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comments10.xml" ContentType="application/vnd.openxmlformats-officedocument.spreadsheetml.comments+xml"/>
  <Override PartName="/xl/drawings/drawing14.xml" ContentType="application/vnd.openxmlformats-officedocument.drawing+xml"/>
  <Override PartName="/xl/comments11.xml" ContentType="application/vnd.openxmlformats-officedocument.spreadsheetml.comments+xml"/>
  <Override PartName="/xl/drawings/drawing15.xml" ContentType="application/vnd.openxmlformats-officedocument.drawing+xml"/>
  <Override PartName="/xl/comments12.xml" ContentType="application/vnd.openxmlformats-officedocument.spreadsheetml.comments+xml"/>
  <Override PartName="/xl/drawings/drawing16.xml" ContentType="application/vnd.openxmlformats-officedocument.drawing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8" codeName="{00000000-0000-0000-0000-000000000000}"/>
  <workbookPr codeName="ThisWorkbook"/>
  <xr:revisionPtr revIDLastSave="1" documentId="11_07B4FF8B72026030F2B266B5D1DE698080D4BC2A" xr6:coauthVersionLast="47" xr6:coauthVersionMax="47" xr10:uidLastSave="{951D4340-5831-4802-AA1C-FF87D51ED417}"/>
  <bookViews>
    <workbookView xWindow="3870" yWindow="195" windowWidth="9300" windowHeight="9495" tabRatio="815" firstSheet="12" activeTab="12" xr2:uid="{00000000-000D-0000-FFFF-FFFF00000000}"/>
  </bookViews>
  <sheets>
    <sheet name="Nøgler GL" sheetId="1" r:id="rId1"/>
    <sheet name="Nøgler januar 2006 (2)" sheetId="61" r:id="rId2"/>
    <sheet name="Nøgler m. lønkode" sheetId="2" r:id="rId3"/>
    <sheet name="Nøgler januar 2006" sheetId="3" r:id="rId4"/>
    <sheet name="Maj 2013 (2)" sheetId="57" r:id="rId5"/>
    <sheet name="Maj 2013" sheetId="39" r:id="rId6"/>
    <sheet name="Juni 2013" sheetId="40" r:id="rId7"/>
    <sheet name="Juli 2013" sheetId="41" r:id="rId8"/>
    <sheet name="August 2013" sheetId="42" r:id="rId9"/>
    <sheet name="September 2013" sheetId="43" r:id="rId10"/>
    <sheet name="Oktober 2013" sheetId="44" r:id="rId11"/>
    <sheet name="November 2013" sheetId="45" r:id="rId12"/>
    <sheet name="December 2013" sheetId="46" r:id="rId13"/>
    <sheet name="Ark3" sheetId="62" r:id="rId14"/>
    <sheet name="Januar 2014" sheetId="47" r:id="rId15"/>
    <sheet name="Februar 2014" sheetId="48" r:id="rId16"/>
    <sheet name="Marts 2014" sheetId="49" r:id="rId17"/>
    <sheet name="April 2014" sheetId="50" r:id="rId18"/>
    <sheet name="Prisliste 2013" sheetId="16" r:id="rId19"/>
    <sheet name="MUS 2013" sheetId="17" r:id="rId20"/>
    <sheet name="KM tal på biler 2012" sheetId="38" r:id="rId21"/>
    <sheet name="KM tal på biler 2013" sheetId="56" r:id="rId22"/>
    <sheet name="Statistik 2013" sheetId="55" r:id="rId23"/>
    <sheet name="Statistik 2012" sheetId="53" r:id="rId24"/>
    <sheet name="Statistik 2011" sheetId="23" r:id="rId25"/>
    <sheet name="Statistik 2010" sheetId="21" r:id="rId26"/>
    <sheet name="Balanced 2010" sheetId="22" r:id="rId27"/>
    <sheet name="HVEM KAN HVAD" sheetId="24" r:id="rId28"/>
    <sheet name="Ark1" sheetId="58" r:id="rId29"/>
    <sheet name="Ark2" sheetId="59" r:id="rId30"/>
  </sheets>
  <externalReferences>
    <externalReference r:id="rId31"/>
    <externalReference r:id="rId32"/>
    <externalReference r:id="rId33"/>
    <externalReference r:id="rId34"/>
  </externalReferences>
  <definedNames>
    <definedName name="_xlnm.Print_Area" localSheetId="3">'Nøgler januar 2006'!$A$1:$W$229</definedName>
    <definedName name="_xlnm.Print_Area" localSheetId="1">'Nøgler januar 2006 (2)'!$A$1:$W$229</definedName>
    <definedName name="_xlnm.Print_Area" localSheetId="2">'Nøgler m. lønkode'!$A$1:$J$302</definedName>
    <definedName name="_xlnm.Print_Titles" localSheetId="17">'April 2014'!$1:$3</definedName>
    <definedName name="_xlnm.Print_Titles" localSheetId="8">'August 2013'!$1:$3</definedName>
    <definedName name="_xlnm.Print_Titles" localSheetId="26">'Balanced 2010'!$1:$1</definedName>
    <definedName name="_xlnm.Print_Titles" localSheetId="12">'December 2013'!$1:$3</definedName>
    <definedName name="_xlnm.Print_Titles" localSheetId="15">'Februar 2014'!$1:$3</definedName>
    <definedName name="_xlnm.Print_Titles" localSheetId="14">'Januar 2014'!$1:$3</definedName>
    <definedName name="_xlnm.Print_Titles" localSheetId="7">'Juli 2013'!$1:$3</definedName>
    <definedName name="_xlnm.Print_Titles" localSheetId="6">'Juni 2013'!$1:$3</definedName>
    <definedName name="_xlnm.Print_Titles" localSheetId="5">'Maj 2013'!$1:$3</definedName>
    <definedName name="_xlnm.Print_Titles" localSheetId="4">'Maj 2013 (2)'!$1:$3</definedName>
    <definedName name="_xlnm.Print_Titles" localSheetId="16">'Marts 2014'!$1:$3</definedName>
    <definedName name="_xlnm.Print_Titles" localSheetId="11">'November 2013'!$1:$3</definedName>
    <definedName name="_xlnm.Print_Titles" localSheetId="10">'Oktober 2013'!$1:$3</definedName>
    <definedName name="_xlnm.Print_Titles" localSheetId="9">'September 2013'!$1:$3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18" i="55" l="1"/>
  <c r="C322" i="55"/>
  <c r="C324" i="55"/>
  <c r="C329" i="55"/>
  <c r="C331" i="55"/>
  <c r="C335" i="55"/>
  <c r="D322" i="55"/>
  <c r="D324" i="55"/>
  <c r="D329" i="55"/>
  <c r="D331" i="55"/>
  <c r="D335" i="55"/>
  <c r="E322" i="55"/>
  <c r="E324" i="55"/>
  <c r="E329" i="55"/>
  <c r="E331" i="55"/>
  <c r="E335" i="55"/>
  <c r="F322" i="55"/>
  <c r="F324" i="55"/>
  <c r="F329" i="55"/>
  <c r="F331" i="55"/>
  <c r="F335" i="55"/>
  <c r="G322" i="55"/>
  <c r="G324" i="55"/>
  <c r="G329" i="55"/>
  <c r="G331" i="55"/>
  <c r="G335" i="55"/>
  <c r="H322" i="55"/>
  <c r="H324" i="55"/>
  <c r="H329" i="55"/>
  <c r="H331" i="55"/>
  <c r="H335" i="55"/>
  <c r="I322" i="55"/>
  <c r="I324" i="55"/>
  <c r="I329" i="55"/>
  <c r="I331" i="55"/>
  <c r="I335" i="55"/>
  <c r="J322" i="55"/>
  <c r="J324" i="55"/>
  <c r="J329" i="55"/>
  <c r="J331" i="55"/>
  <c r="J335" i="55"/>
  <c r="K322" i="55"/>
  <c r="K324" i="55"/>
  <c r="K329" i="55"/>
  <c r="K331" i="55"/>
  <c r="K335" i="55"/>
  <c r="L322" i="55"/>
  <c r="L324" i="55"/>
  <c r="L329" i="55"/>
  <c r="L331" i="55"/>
  <c r="L335" i="55"/>
  <c r="M322" i="55"/>
  <c r="M324" i="55"/>
  <c r="M329" i="55"/>
  <c r="M331" i="55"/>
  <c r="M335" i="55"/>
  <c r="B322" i="55"/>
  <c r="B324" i="55"/>
  <c r="B329" i="55"/>
  <c r="B331" i="55"/>
  <c r="N331" i="55"/>
  <c r="N332" i="55"/>
  <c r="N333" i="55"/>
  <c r="N334" i="55"/>
  <c r="N335" i="55"/>
  <c r="B335" i="55"/>
  <c r="A10" i="56"/>
  <c r="A11" i="56"/>
  <c r="A12" i="56"/>
  <c r="A13" i="56"/>
  <c r="A14" i="56"/>
  <c r="A15" i="56"/>
  <c r="A16" i="56"/>
  <c r="A17" i="56"/>
  <c r="A18" i="56"/>
  <c r="A19" i="56"/>
  <c r="A20" i="56"/>
  <c r="A21" i="56"/>
  <c r="A22" i="56"/>
  <c r="A9" i="56"/>
  <c r="K7" i="56"/>
  <c r="L7" i="56"/>
  <c r="K8" i="56"/>
  <c r="L8" i="56"/>
  <c r="F7" i="56"/>
  <c r="H7" i="56"/>
  <c r="J7" i="56"/>
  <c r="F8" i="56"/>
  <c r="H8" i="56"/>
  <c r="J8" i="56"/>
  <c r="D8" i="56"/>
  <c r="D7" i="56"/>
  <c r="G9" i="56"/>
  <c r="I9" i="56"/>
  <c r="E9" i="56"/>
  <c r="C9" i="56"/>
  <c r="F10" i="56"/>
  <c r="H10" i="56"/>
  <c r="J10" i="56"/>
  <c r="K10" i="56"/>
  <c r="L10" i="56"/>
  <c r="M10" i="56"/>
  <c r="F11" i="56"/>
  <c r="H11" i="56"/>
  <c r="J11" i="56"/>
  <c r="K11" i="56"/>
  <c r="L11" i="56"/>
  <c r="M11" i="56"/>
  <c r="F12" i="56"/>
  <c r="H12" i="56"/>
  <c r="J12" i="56"/>
  <c r="K12" i="56"/>
  <c r="L12" i="56"/>
  <c r="M12" i="56"/>
  <c r="F13" i="56"/>
  <c r="H13" i="56"/>
  <c r="J13" i="56"/>
  <c r="K13" i="56"/>
  <c r="L13" i="56"/>
  <c r="M13" i="56"/>
  <c r="F14" i="56"/>
  <c r="H14" i="56"/>
  <c r="J14" i="56"/>
  <c r="K14" i="56"/>
  <c r="L14" i="56"/>
  <c r="M14" i="56"/>
  <c r="F15" i="56"/>
  <c r="H15" i="56"/>
  <c r="J15" i="56"/>
  <c r="K15" i="56"/>
  <c r="L15" i="56"/>
  <c r="M15" i="56"/>
  <c r="F16" i="56"/>
  <c r="H16" i="56"/>
  <c r="J16" i="56"/>
  <c r="K16" i="56"/>
  <c r="L16" i="56"/>
  <c r="M16" i="56"/>
  <c r="F17" i="56"/>
  <c r="H17" i="56"/>
  <c r="J17" i="56"/>
  <c r="K17" i="56"/>
  <c r="L17" i="56"/>
  <c r="M17" i="56"/>
  <c r="F18" i="56"/>
  <c r="H18" i="56"/>
  <c r="J18" i="56"/>
  <c r="K18" i="56"/>
  <c r="L18" i="56"/>
  <c r="M18" i="56"/>
  <c r="F19" i="56"/>
  <c r="H19" i="56"/>
  <c r="J19" i="56"/>
  <c r="K19" i="56"/>
  <c r="L19" i="56"/>
  <c r="M19" i="56"/>
  <c r="F20" i="56"/>
  <c r="H20" i="56"/>
  <c r="J20" i="56"/>
  <c r="K20" i="56"/>
  <c r="L20" i="56"/>
  <c r="M20" i="56"/>
  <c r="F21" i="56"/>
  <c r="H21" i="56"/>
  <c r="J21" i="56"/>
  <c r="K21" i="56"/>
  <c r="L21" i="56"/>
  <c r="M21" i="56"/>
  <c r="F22" i="56"/>
  <c r="H22" i="56"/>
  <c r="J22" i="56"/>
  <c r="K22" i="56"/>
  <c r="L22" i="56"/>
  <c r="M22" i="56"/>
  <c r="D22" i="56"/>
  <c r="D11" i="56"/>
  <c r="D12" i="56"/>
  <c r="D13" i="56"/>
  <c r="D14" i="56"/>
  <c r="D15" i="56"/>
  <c r="D16" i="56"/>
  <c r="D17" i="56"/>
  <c r="D18" i="56"/>
  <c r="D19" i="56"/>
  <c r="D20" i="56"/>
  <c r="D21" i="56"/>
  <c r="D10" i="56"/>
  <c r="H265" i="61"/>
  <c r="G265" i="61"/>
  <c r="F265" i="61"/>
  <c r="E265" i="61"/>
  <c r="D265" i="61"/>
  <c r="C265" i="61"/>
  <c r="B265" i="61"/>
  <c r="I264" i="61"/>
  <c r="I262" i="61"/>
  <c r="I260" i="61"/>
  <c r="I258" i="61"/>
  <c r="I256" i="61"/>
  <c r="I254" i="61"/>
  <c r="I252" i="61"/>
  <c r="I250" i="61"/>
  <c r="I248" i="61"/>
  <c r="I246" i="61"/>
  <c r="I244" i="61"/>
  <c r="I242" i="61"/>
  <c r="I240" i="61"/>
  <c r="I238" i="61"/>
  <c r="I236" i="61"/>
  <c r="I225" i="61"/>
  <c r="I223" i="61"/>
  <c r="I224" i="61"/>
  <c r="I226" i="61"/>
  <c r="H214" i="61"/>
  <c r="G214" i="61"/>
  <c r="F214" i="61"/>
  <c r="E214" i="61"/>
  <c r="D214" i="61"/>
  <c r="C214" i="61"/>
  <c r="B214" i="61"/>
  <c r="I213" i="61"/>
  <c r="I211" i="61"/>
  <c r="I209" i="61"/>
  <c r="H203" i="61"/>
  <c r="G203" i="61"/>
  <c r="F203" i="61"/>
  <c r="E203" i="61"/>
  <c r="D203" i="61"/>
  <c r="C203" i="61"/>
  <c r="B203" i="61"/>
  <c r="I202" i="61"/>
  <c r="I200" i="61"/>
  <c r="I198" i="61"/>
  <c r="I196" i="61"/>
  <c r="I194" i="61"/>
  <c r="N192" i="61"/>
  <c r="I192" i="61"/>
  <c r="N191" i="61"/>
  <c r="I190" i="61"/>
  <c r="S187" i="61"/>
  <c r="H182" i="61"/>
  <c r="G182" i="61"/>
  <c r="F182" i="61"/>
  <c r="E182" i="61"/>
  <c r="D182" i="61"/>
  <c r="C182" i="61"/>
  <c r="B182" i="61"/>
  <c r="I181" i="61"/>
  <c r="I175" i="61"/>
  <c r="N172" i="61"/>
  <c r="N173" i="61"/>
  <c r="I173" i="61"/>
  <c r="N171" i="61"/>
  <c r="I171" i="61"/>
  <c r="N170" i="61"/>
  <c r="I169" i="61"/>
  <c r="S166" i="61"/>
  <c r="H162" i="61"/>
  <c r="G162" i="61"/>
  <c r="F162" i="61"/>
  <c r="E162" i="61"/>
  <c r="D162" i="61"/>
  <c r="C162" i="61"/>
  <c r="B162" i="61"/>
  <c r="I161" i="61"/>
  <c r="I159" i="61"/>
  <c r="I157" i="61"/>
  <c r="I155" i="61"/>
  <c r="I153" i="61"/>
  <c r="I151" i="61"/>
  <c r="H144" i="61"/>
  <c r="G144" i="61"/>
  <c r="F144" i="61"/>
  <c r="E144" i="61"/>
  <c r="D144" i="61"/>
  <c r="C144" i="61"/>
  <c r="B144" i="61"/>
  <c r="I143" i="61"/>
  <c r="N142" i="61"/>
  <c r="I141" i="61"/>
  <c r="I139" i="61"/>
  <c r="H132" i="61"/>
  <c r="G132" i="61"/>
  <c r="F132" i="61"/>
  <c r="E132" i="61"/>
  <c r="D132" i="61"/>
  <c r="C132" i="61"/>
  <c r="B132" i="61"/>
  <c r="I131" i="61"/>
  <c r="Q129" i="61"/>
  <c r="O131" i="61"/>
  <c r="Q131" i="61"/>
  <c r="I129" i="61"/>
  <c r="S127" i="61"/>
  <c r="I123" i="61"/>
  <c r="G125" i="61"/>
  <c r="H125" i="61"/>
  <c r="I125" i="61"/>
  <c r="I117" i="61"/>
  <c r="I114" i="61"/>
  <c r="H107" i="61"/>
  <c r="G107" i="61"/>
  <c r="F107" i="61"/>
  <c r="E107" i="61"/>
  <c r="D107" i="61"/>
  <c r="C107" i="61"/>
  <c r="B107" i="61"/>
  <c r="I106" i="61"/>
  <c r="I104" i="61"/>
  <c r="I102" i="61"/>
  <c r="I100" i="61"/>
  <c r="I98" i="61"/>
  <c r="I96" i="61"/>
  <c r="I94" i="61"/>
  <c r="I92" i="61"/>
  <c r="I90" i="61"/>
  <c r="I88" i="61"/>
  <c r="I86" i="61"/>
  <c r="I84" i="61"/>
  <c r="I82" i="61"/>
  <c r="I80" i="61"/>
  <c r="I78" i="61"/>
  <c r="H70" i="61"/>
  <c r="G70" i="61"/>
  <c r="F70" i="61"/>
  <c r="E70" i="61"/>
  <c r="D70" i="61"/>
  <c r="C70" i="61"/>
  <c r="B70" i="61"/>
  <c r="I69" i="61"/>
  <c r="I67" i="61"/>
  <c r="N50" i="61"/>
  <c r="M66" i="61"/>
  <c r="I65" i="61"/>
  <c r="I63" i="61"/>
  <c r="N54" i="61"/>
  <c r="I61" i="61"/>
  <c r="N49" i="61"/>
  <c r="I59" i="61"/>
  <c r="N44" i="61"/>
  <c r="I57" i="61"/>
  <c r="I55" i="61"/>
  <c r="N48" i="61"/>
  <c r="N53" i="61"/>
  <c r="I53" i="61"/>
  <c r="N43" i="61"/>
  <c r="I51" i="61"/>
  <c r="N52" i="61"/>
  <c r="I49" i="61"/>
  <c r="N47" i="61"/>
  <c r="I47" i="61"/>
  <c r="N42" i="61"/>
  <c r="I45" i="61"/>
  <c r="N51" i="61"/>
  <c r="I43" i="61"/>
  <c r="N46" i="61"/>
  <c r="I41" i="61"/>
  <c r="H34" i="61"/>
  <c r="G34" i="61"/>
  <c r="F34" i="61"/>
  <c r="E34" i="61"/>
  <c r="D34" i="61"/>
  <c r="C34" i="61"/>
  <c r="B34" i="61"/>
  <c r="M33" i="61"/>
  <c r="I33" i="61"/>
  <c r="I31" i="61"/>
  <c r="I29" i="61"/>
  <c r="H25" i="61"/>
  <c r="G25" i="61"/>
  <c r="F25" i="61"/>
  <c r="F220" i="61"/>
  <c r="F221" i="61"/>
  <c r="E25" i="61"/>
  <c r="D25" i="61"/>
  <c r="C25" i="61"/>
  <c r="B25" i="61"/>
  <c r="B220" i="61"/>
  <c r="B221" i="61"/>
  <c r="I24" i="61"/>
  <c r="N20" i="61"/>
  <c r="I22" i="61"/>
  <c r="I20" i="61"/>
  <c r="N18" i="61"/>
  <c r="I18" i="61"/>
  <c r="I16" i="61"/>
  <c r="N16" i="61"/>
  <c r="I14" i="61"/>
  <c r="I8" i="61"/>
  <c r="I4" i="61"/>
  <c r="E220" i="61"/>
  <c r="E221" i="61"/>
  <c r="G119" i="61"/>
  <c r="H119" i="61"/>
  <c r="I119" i="61"/>
  <c r="I25" i="61"/>
  <c r="D220" i="61"/>
  <c r="D221" i="61"/>
  <c r="H220" i="61"/>
  <c r="H221" i="61"/>
  <c r="I70" i="61"/>
  <c r="G72" i="61"/>
  <c r="H72" i="61"/>
  <c r="I72" i="61"/>
  <c r="I182" i="61"/>
  <c r="I203" i="61"/>
  <c r="I214" i="61"/>
  <c r="G216" i="61"/>
  <c r="H216" i="61"/>
  <c r="I216" i="61"/>
  <c r="I34" i="61"/>
  <c r="G36" i="61"/>
  <c r="H36" i="61"/>
  <c r="I36" i="61"/>
  <c r="I265" i="61"/>
  <c r="G267" i="61"/>
  <c r="H267" i="61"/>
  <c r="I267" i="61"/>
  <c r="C220" i="61"/>
  <c r="C221" i="61"/>
  <c r="G220" i="61"/>
  <c r="G221" i="61"/>
  <c r="I107" i="61"/>
  <c r="G109" i="61"/>
  <c r="H109" i="61"/>
  <c r="I109" i="61"/>
  <c r="I132" i="61"/>
  <c r="G134" i="61"/>
  <c r="H134" i="61"/>
  <c r="I134" i="61"/>
  <c r="I144" i="61"/>
  <c r="G146" i="61"/>
  <c r="H146" i="61"/>
  <c r="I146" i="61"/>
  <c r="I162" i="61"/>
  <c r="G164" i="61"/>
  <c r="H164" i="61"/>
  <c r="I164" i="61"/>
  <c r="M35" i="61"/>
  <c r="M68" i="61"/>
  <c r="P182" i="61"/>
  <c r="G184" i="61"/>
  <c r="H184" i="61"/>
  <c r="I184" i="61"/>
  <c r="P203" i="61"/>
  <c r="G205" i="61"/>
  <c r="H205" i="61"/>
  <c r="I205" i="61"/>
  <c r="G10" i="61"/>
  <c r="H10" i="61"/>
  <c r="I10" i="61"/>
  <c r="N15" i="61"/>
  <c r="N21" i="61"/>
  <c r="N41" i="61"/>
  <c r="N56" i="61"/>
  <c r="O60" i="61"/>
  <c r="M62" i="61"/>
  <c r="P62" i="61"/>
  <c r="N130" i="61"/>
  <c r="N169" i="61"/>
  <c r="N174" i="61"/>
  <c r="Q168" i="61"/>
  <c r="O170" i="61"/>
  <c r="Q170" i="61"/>
  <c r="O172" i="61"/>
  <c r="S172" i="61"/>
  <c r="S174" i="61"/>
  <c r="S182" i="61"/>
  <c r="N190" i="61"/>
  <c r="N195" i="61"/>
  <c r="Q189" i="61"/>
  <c r="O191" i="61"/>
  <c r="Q191" i="61"/>
  <c r="O193" i="61"/>
  <c r="S193" i="61"/>
  <c r="S195" i="61"/>
  <c r="S203" i="61"/>
  <c r="H75" i="55"/>
  <c r="I75" i="55"/>
  <c r="J75" i="55"/>
  <c r="K75" i="55"/>
  <c r="L75" i="55"/>
  <c r="N75" i="55"/>
  <c r="H76" i="55"/>
  <c r="I76" i="55"/>
  <c r="J76" i="55"/>
  <c r="K76" i="55"/>
  <c r="L76" i="55"/>
  <c r="N76" i="55"/>
  <c r="H77" i="55"/>
  <c r="I77" i="55"/>
  <c r="J77" i="55"/>
  <c r="K77" i="55"/>
  <c r="L77" i="55"/>
  <c r="N77" i="55"/>
  <c r="H78" i="55"/>
  <c r="I78" i="55"/>
  <c r="J78" i="55"/>
  <c r="K78" i="55"/>
  <c r="L78" i="55"/>
  <c r="N78" i="55"/>
  <c r="H79" i="55"/>
  <c r="I79" i="55"/>
  <c r="J79" i="55"/>
  <c r="K79" i="55"/>
  <c r="L79" i="55"/>
  <c r="N79" i="55"/>
  <c r="H80" i="55"/>
  <c r="I80" i="55"/>
  <c r="J80" i="55"/>
  <c r="K80" i="55"/>
  <c r="L80" i="55"/>
  <c r="N80" i="55"/>
  <c r="H81" i="55"/>
  <c r="I81" i="55"/>
  <c r="J81" i="55"/>
  <c r="K81" i="55"/>
  <c r="L81" i="55"/>
  <c r="N81" i="55"/>
  <c r="H82" i="55"/>
  <c r="I82" i="55"/>
  <c r="J82" i="55"/>
  <c r="K82" i="55"/>
  <c r="L82" i="55"/>
  <c r="N82" i="55"/>
  <c r="H83" i="55"/>
  <c r="I83" i="55"/>
  <c r="J83" i="55"/>
  <c r="K83" i="55"/>
  <c r="L83" i="55"/>
  <c r="N83" i="55"/>
  <c r="H84" i="55"/>
  <c r="I84" i="55"/>
  <c r="J84" i="55"/>
  <c r="K84" i="55"/>
  <c r="L84" i="55"/>
  <c r="N84" i="55"/>
  <c r="H85" i="55"/>
  <c r="I85" i="55"/>
  <c r="J85" i="55"/>
  <c r="K85" i="55"/>
  <c r="L85" i="55"/>
  <c r="N85" i="55"/>
  <c r="H86" i="55"/>
  <c r="I86" i="55"/>
  <c r="J86" i="55"/>
  <c r="K86" i="55"/>
  <c r="L86" i="55"/>
  <c r="N86" i="55"/>
  <c r="H87" i="55"/>
  <c r="I87" i="55"/>
  <c r="J87" i="55"/>
  <c r="K87" i="55"/>
  <c r="L87" i="55"/>
  <c r="N87" i="55"/>
  <c r="H88" i="55"/>
  <c r="I88" i="55"/>
  <c r="J88" i="55"/>
  <c r="K88" i="55"/>
  <c r="L88" i="55"/>
  <c r="N88" i="55"/>
  <c r="H89" i="55"/>
  <c r="I89" i="55"/>
  <c r="J89" i="55"/>
  <c r="K89" i="55"/>
  <c r="L89" i="55"/>
  <c r="N89" i="55"/>
  <c r="H90" i="55"/>
  <c r="I90" i="55"/>
  <c r="J90" i="55"/>
  <c r="K90" i="55"/>
  <c r="L90" i="55"/>
  <c r="N90" i="55"/>
  <c r="H91" i="55"/>
  <c r="I91" i="55"/>
  <c r="J91" i="55"/>
  <c r="K91" i="55"/>
  <c r="L91" i="55"/>
  <c r="N91" i="55"/>
  <c r="H92" i="55"/>
  <c r="I92" i="55"/>
  <c r="J92" i="55"/>
  <c r="K92" i="55"/>
  <c r="L92" i="55"/>
  <c r="N92" i="55"/>
  <c r="H93" i="55"/>
  <c r="I93" i="55"/>
  <c r="J93" i="55"/>
  <c r="K93" i="55"/>
  <c r="L93" i="55"/>
  <c r="N93" i="55"/>
  <c r="H94" i="55"/>
  <c r="I94" i="55"/>
  <c r="J94" i="55"/>
  <c r="K94" i="55"/>
  <c r="L94" i="55"/>
  <c r="N94" i="55"/>
  <c r="H95" i="55"/>
  <c r="I95" i="55"/>
  <c r="J95" i="55"/>
  <c r="K95" i="55"/>
  <c r="L95" i="55"/>
  <c r="N95" i="55"/>
  <c r="H96" i="55"/>
  <c r="I96" i="55"/>
  <c r="J96" i="55"/>
  <c r="K96" i="55"/>
  <c r="L96" i="55"/>
  <c r="N96" i="55"/>
  <c r="H97" i="55"/>
  <c r="I97" i="55"/>
  <c r="J97" i="55"/>
  <c r="K97" i="55"/>
  <c r="L97" i="55"/>
  <c r="N97" i="55"/>
  <c r="H98" i="55"/>
  <c r="I98" i="55"/>
  <c r="J98" i="55"/>
  <c r="K98" i="55"/>
  <c r="L98" i="55"/>
  <c r="N98" i="55"/>
  <c r="H99" i="55"/>
  <c r="I99" i="55"/>
  <c r="J99" i="55"/>
  <c r="K99" i="55"/>
  <c r="L99" i="55"/>
  <c r="N99" i="55"/>
  <c r="H100" i="55"/>
  <c r="I100" i="55"/>
  <c r="J100" i="55"/>
  <c r="K100" i="55"/>
  <c r="L100" i="55"/>
  <c r="N100" i="55"/>
  <c r="H101" i="55"/>
  <c r="I101" i="55"/>
  <c r="J101" i="55"/>
  <c r="K101" i="55"/>
  <c r="L101" i="55"/>
  <c r="M101" i="55"/>
  <c r="N101" i="55"/>
  <c r="H102" i="55"/>
  <c r="I102" i="55"/>
  <c r="J102" i="55"/>
  <c r="K102" i="55"/>
  <c r="L102" i="55"/>
  <c r="M102" i="55"/>
  <c r="N102" i="55"/>
  <c r="H103" i="55"/>
  <c r="I103" i="55"/>
  <c r="J103" i="55"/>
  <c r="K103" i="55"/>
  <c r="L103" i="55"/>
  <c r="M103" i="55"/>
  <c r="N103" i="55"/>
  <c r="C108" i="55"/>
  <c r="I59" i="55"/>
  <c r="J59" i="55"/>
  <c r="K59" i="55"/>
  <c r="L59" i="55"/>
  <c r="M59" i="55"/>
  <c r="N59" i="55"/>
  <c r="I60" i="55"/>
  <c r="J60" i="55"/>
  <c r="K60" i="55"/>
  <c r="L60" i="55"/>
  <c r="M60" i="55"/>
  <c r="N60" i="55"/>
  <c r="I61" i="55"/>
  <c r="J61" i="55"/>
  <c r="K61" i="55"/>
  <c r="L61" i="55"/>
  <c r="M61" i="55"/>
  <c r="N61" i="55"/>
  <c r="I62" i="55"/>
  <c r="J62" i="55"/>
  <c r="K62" i="55"/>
  <c r="L62" i="55"/>
  <c r="M62" i="55"/>
  <c r="N62" i="55"/>
  <c r="I63" i="55"/>
  <c r="J63" i="55"/>
  <c r="K63" i="55"/>
  <c r="L63" i="55"/>
  <c r="M63" i="55"/>
  <c r="N63" i="55"/>
  <c r="I64" i="55"/>
  <c r="J64" i="55"/>
  <c r="K64" i="55"/>
  <c r="L64" i="55"/>
  <c r="M64" i="55"/>
  <c r="N64" i="55"/>
  <c r="I65" i="55"/>
  <c r="J65" i="55"/>
  <c r="K65" i="55"/>
  <c r="L65" i="55"/>
  <c r="M65" i="55"/>
  <c r="N65" i="55"/>
  <c r="I66" i="55"/>
  <c r="J66" i="55"/>
  <c r="K66" i="55"/>
  <c r="L66" i="55"/>
  <c r="M66" i="55"/>
  <c r="N66" i="55"/>
  <c r="I67" i="55"/>
  <c r="J67" i="55"/>
  <c r="K67" i="55"/>
  <c r="L67" i="55"/>
  <c r="M67" i="55"/>
  <c r="N67" i="55"/>
  <c r="I68" i="55"/>
  <c r="J68" i="55"/>
  <c r="K68" i="55"/>
  <c r="L68" i="55"/>
  <c r="M68" i="55"/>
  <c r="N68" i="55"/>
  <c r="I69" i="55"/>
  <c r="J69" i="55"/>
  <c r="K69" i="55"/>
  <c r="L69" i="55"/>
  <c r="M69" i="55"/>
  <c r="N69" i="55"/>
  <c r="I70" i="55"/>
  <c r="J70" i="55"/>
  <c r="K70" i="55"/>
  <c r="L70" i="55"/>
  <c r="M70" i="55"/>
  <c r="N70" i="55"/>
  <c r="I71" i="55"/>
  <c r="J71" i="55"/>
  <c r="K71" i="55"/>
  <c r="L71" i="55"/>
  <c r="M71" i="55"/>
  <c r="N71" i="55"/>
  <c r="I72" i="55"/>
  <c r="J72" i="55"/>
  <c r="K72" i="55"/>
  <c r="L72" i="55"/>
  <c r="M72" i="55"/>
  <c r="N72" i="55"/>
  <c r="I73" i="55"/>
  <c r="J73" i="55"/>
  <c r="K73" i="55"/>
  <c r="L73" i="55"/>
  <c r="M73" i="55"/>
  <c r="N73" i="55"/>
  <c r="I74" i="55"/>
  <c r="J74" i="55"/>
  <c r="K74" i="55"/>
  <c r="L74" i="55"/>
  <c r="N74" i="55"/>
  <c r="H60" i="55"/>
  <c r="H61" i="55"/>
  <c r="H62" i="55"/>
  <c r="H63" i="55"/>
  <c r="H64" i="55"/>
  <c r="H65" i="55"/>
  <c r="H66" i="55"/>
  <c r="H67" i="55"/>
  <c r="H68" i="55"/>
  <c r="H69" i="55"/>
  <c r="H71" i="55"/>
  <c r="H72" i="55"/>
  <c r="H73" i="55"/>
  <c r="H74" i="55"/>
  <c r="H59" i="55"/>
  <c r="B59" i="55"/>
  <c r="C59" i="55"/>
  <c r="D59" i="55"/>
  <c r="E59" i="55"/>
  <c r="F59" i="55"/>
  <c r="G59" i="55"/>
  <c r="B60" i="55"/>
  <c r="C60" i="55"/>
  <c r="D60" i="55"/>
  <c r="E60" i="55"/>
  <c r="F60" i="55"/>
  <c r="G60" i="55"/>
  <c r="B61" i="55"/>
  <c r="C61" i="55"/>
  <c r="D61" i="55"/>
  <c r="E61" i="55"/>
  <c r="F61" i="55"/>
  <c r="G61" i="55"/>
  <c r="B62" i="55"/>
  <c r="C62" i="55"/>
  <c r="D62" i="55"/>
  <c r="E62" i="55"/>
  <c r="F62" i="55"/>
  <c r="G62" i="55"/>
  <c r="B63" i="55"/>
  <c r="C63" i="55"/>
  <c r="D63" i="55"/>
  <c r="E63" i="55"/>
  <c r="F63" i="55"/>
  <c r="G63" i="55"/>
  <c r="B64" i="55"/>
  <c r="C64" i="55"/>
  <c r="D64" i="55"/>
  <c r="E64" i="55"/>
  <c r="F64" i="55"/>
  <c r="G64" i="55"/>
  <c r="B65" i="55"/>
  <c r="C65" i="55"/>
  <c r="D65" i="55"/>
  <c r="E65" i="55"/>
  <c r="F65" i="55"/>
  <c r="G65" i="55"/>
  <c r="B66" i="55"/>
  <c r="C66" i="55"/>
  <c r="D66" i="55"/>
  <c r="E66" i="55"/>
  <c r="F66" i="55"/>
  <c r="G66" i="55"/>
  <c r="B67" i="55"/>
  <c r="C67" i="55"/>
  <c r="D67" i="55"/>
  <c r="E67" i="55"/>
  <c r="F67" i="55"/>
  <c r="G67" i="55"/>
  <c r="B68" i="55"/>
  <c r="C68" i="55"/>
  <c r="D68" i="55"/>
  <c r="E68" i="55"/>
  <c r="F68" i="55"/>
  <c r="G68" i="55"/>
  <c r="B69" i="55"/>
  <c r="C69" i="55"/>
  <c r="D69" i="55"/>
  <c r="E69" i="55"/>
  <c r="B70" i="55"/>
  <c r="C70" i="55"/>
  <c r="D70" i="55"/>
  <c r="D107" i="55"/>
  <c r="E70" i="55"/>
  <c r="B71" i="55"/>
  <c r="C71" i="55"/>
  <c r="D71" i="55"/>
  <c r="E71" i="55"/>
  <c r="F71" i="55"/>
  <c r="G71" i="55"/>
  <c r="B72" i="55"/>
  <c r="G72" i="55"/>
  <c r="B73" i="55"/>
  <c r="C73" i="55"/>
  <c r="D73" i="55"/>
  <c r="E73" i="55"/>
  <c r="F73" i="55"/>
  <c r="G73" i="55"/>
  <c r="B74" i="55"/>
  <c r="C74" i="55"/>
  <c r="D74" i="55"/>
  <c r="F74" i="55"/>
  <c r="G74" i="55"/>
  <c r="B75" i="55"/>
  <c r="C75" i="55"/>
  <c r="D75" i="55"/>
  <c r="F75" i="55"/>
  <c r="G75" i="55"/>
  <c r="B76" i="55"/>
  <c r="C76" i="55"/>
  <c r="D76" i="55"/>
  <c r="F76" i="55"/>
  <c r="G76" i="55"/>
  <c r="B77" i="55"/>
  <c r="C77" i="55"/>
  <c r="D77" i="55"/>
  <c r="F77" i="55"/>
  <c r="G77" i="55"/>
  <c r="B78" i="55"/>
  <c r="C78" i="55"/>
  <c r="D78" i="55"/>
  <c r="F78" i="55"/>
  <c r="G78" i="55"/>
  <c r="B79" i="55"/>
  <c r="C79" i="55"/>
  <c r="D79" i="55"/>
  <c r="F79" i="55"/>
  <c r="G79" i="55"/>
  <c r="B80" i="55"/>
  <c r="C80" i="55"/>
  <c r="D80" i="55"/>
  <c r="F80" i="55"/>
  <c r="G80" i="55"/>
  <c r="B81" i="55"/>
  <c r="C81" i="55"/>
  <c r="D81" i="55"/>
  <c r="F81" i="55"/>
  <c r="G81" i="55"/>
  <c r="B82" i="55"/>
  <c r="C82" i="55"/>
  <c r="D82" i="55"/>
  <c r="F82" i="55"/>
  <c r="G82" i="55"/>
  <c r="B83" i="55"/>
  <c r="C83" i="55"/>
  <c r="D83" i="55"/>
  <c r="F83" i="55"/>
  <c r="G83" i="55"/>
  <c r="B84" i="55"/>
  <c r="C84" i="55"/>
  <c r="D84" i="55"/>
  <c r="F84" i="55"/>
  <c r="G84" i="55"/>
  <c r="B85" i="55"/>
  <c r="C85" i="55"/>
  <c r="D85" i="55"/>
  <c r="F85" i="55"/>
  <c r="G85" i="55"/>
  <c r="B86" i="55"/>
  <c r="C86" i="55"/>
  <c r="D86" i="55"/>
  <c r="F86" i="55"/>
  <c r="G86" i="55"/>
  <c r="B87" i="55"/>
  <c r="C87" i="55"/>
  <c r="D87" i="55"/>
  <c r="F87" i="55"/>
  <c r="G87" i="55"/>
  <c r="B88" i="55"/>
  <c r="C88" i="55"/>
  <c r="D88" i="55"/>
  <c r="F88" i="55"/>
  <c r="G88" i="55"/>
  <c r="B89" i="55"/>
  <c r="C89" i="55"/>
  <c r="D89" i="55"/>
  <c r="F89" i="55"/>
  <c r="G89" i="55"/>
  <c r="B90" i="55"/>
  <c r="C90" i="55"/>
  <c r="D90" i="55"/>
  <c r="F90" i="55"/>
  <c r="G90" i="55"/>
  <c r="B91" i="55"/>
  <c r="C91" i="55"/>
  <c r="D91" i="55"/>
  <c r="F91" i="55"/>
  <c r="G91" i="55"/>
  <c r="B92" i="55"/>
  <c r="C92" i="55"/>
  <c r="D92" i="55"/>
  <c r="F92" i="55"/>
  <c r="G92" i="55"/>
  <c r="B93" i="55"/>
  <c r="C93" i="55"/>
  <c r="D93" i="55"/>
  <c r="F93" i="55"/>
  <c r="G93" i="55"/>
  <c r="B94" i="55"/>
  <c r="C94" i="55"/>
  <c r="D94" i="55"/>
  <c r="F94" i="55"/>
  <c r="G94" i="55"/>
  <c r="B95" i="55"/>
  <c r="C95" i="55"/>
  <c r="D95" i="55"/>
  <c r="F95" i="55"/>
  <c r="G95" i="55"/>
  <c r="B96" i="55"/>
  <c r="C96" i="55"/>
  <c r="D96" i="55"/>
  <c r="F96" i="55"/>
  <c r="G96" i="55"/>
  <c r="B97" i="55"/>
  <c r="C97" i="55"/>
  <c r="D97" i="55"/>
  <c r="F97" i="55"/>
  <c r="G97" i="55"/>
  <c r="B98" i="55"/>
  <c r="C98" i="55"/>
  <c r="D98" i="55"/>
  <c r="F98" i="55"/>
  <c r="G98" i="55"/>
  <c r="B99" i="55"/>
  <c r="C99" i="55"/>
  <c r="D99" i="55"/>
  <c r="F99" i="55"/>
  <c r="G99" i="55"/>
  <c r="B100" i="55"/>
  <c r="F100" i="55"/>
  <c r="G100" i="55"/>
  <c r="B101" i="55"/>
  <c r="C101" i="55"/>
  <c r="D101" i="55"/>
  <c r="E101" i="55"/>
  <c r="F101" i="55"/>
  <c r="G101" i="55"/>
  <c r="B102" i="55"/>
  <c r="C102" i="55"/>
  <c r="D102" i="55"/>
  <c r="E102" i="55"/>
  <c r="F102" i="55"/>
  <c r="G102" i="55"/>
  <c r="B103" i="55"/>
  <c r="C103" i="55"/>
  <c r="D103" i="55"/>
  <c r="E103" i="55"/>
  <c r="F103" i="55"/>
  <c r="G103" i="55"/>
  <c r="A69" i="55"/>
  <c r="A70" i="55"/>
  <c r="A71" i="55"/>
  <c r="A72" i="55"/>
  <c r="A73" i="55"/>
  <c r="A74" i="55"/>
  <c r="A75" i="55"/>
  <c r="A76" i="55"/>
  <c r="A77" i="55"/>
  <c r="A78" i="55"/>
  <c r="A79" i="55"/>
  <c r="A80" i="55"/>
  <c r="A81" i="55"/>
  <c r="A82" i="55"/>
  <c r="A83" i="55"/>
  <c r="A84" i="55"/>
  <c r="A85" i="55"/>
  <c r="A86" i="55"/>
  <c r="A87" i="55"/>
  <c r="A88" i="55"/>
  <c r="A89" i="55"/>
  <c r="A90" i="55"/>
  <c r="A91" i="55"/>
  <c r="A92" i="55"/>
  <c r="A93" i="55"/>
  <c r="A94" i="55"/>
  <c r="A95" i="55"/>
  <c r="A96" i="55"/>
  <c r="A97" i="55"/>
  <c r="A98" i="55"/>
  <c r="A99" i="55"/>
  <c r="A100" i="55"/>
  <c r="A101" i="55"/>
  <c r="A102" i="55"/>
  <c r="A103" i="55"/>
  <c r="A60" i="55"/>
  <c r="A61" i="55"/>
  <c r="A62" i="55"/>
  <c r="A63" i="55"/>
  <c r="A64" i="55"/>
  <c r="A65" i="55"/>
  <c r="A66" i="55"/>
  <c r="A67" i="55"/>
  <c r="A68" i="55"/>
  <c r="A59" i="55"/>
  <c r="I220" i="61"/>
  <c r="I221" i="61"/>
  <c r="J222" i="61"/>
  <c r="P27" i="61"/>
  <c r="O25" i="61"/>
  <c r="M27" i="61"/>
  <c r="U203" i="61"/>
  <c r="U182" i="61"/>
  <c r="P64" i="61"/>
  <c r="P66" i="61"/>
  <c r="R66" i="61"/>
  <c r="O68" i="61"/>
  <c r="P68" i="61"/>
  <c r="M64" i="61"/>
  <c r="B108" i="55"/>
  <c r="L108" i="55"/>
  <c r="J108" i="55"/>
  <c r="H108" i="55"/>
  <c r="F108" i="55"/>
  <c r="D108" i="55"/>
  <c r="M107" i="55"/>
  <c r="K107" i="55"/>
  <c r="I107" i="55"/>
  <c r="G107" i="55"/>
  <c r="E107" i="55"/>
  <c r="C107" i="55"/>
  <c r="B107" i="55"/>
  <c r="M108" i="55"/>
  <c r="K108" i="55"/>
  <c r="I108" i="55"/>
  <c r="G108" i="55"/>
  <c r="E108" i="55"/>
  <c r="L107" i="55"/>
  <c r="J107" i="55"/>
  <c r="H107" i="55"/>
  <c r="F107" i="55"/>
  <c r="N4" i="55"/>
  <c r="N5" i="55"/>
  <c r="N6" i="55"/>
  <c r="N7" i="55"/>
  <c r="N8" i="55"/>
  <c r="N9" i="55"/>
  <c r="N10" i="55"/>
  <c r="N11" i="55"/>
  <c r="N12" i="55"/>
  <c r="N13" i="55"/>
  <c r="N14" i="55"/>
  <c r="N15" i="55"/>
  <c r="B16" i="55"/>
  <c r="B21" i="55"/>
  <c r="B23" i="55"/>
  <c r="C16" i="55"/>
  <c r="D16" i="55"/>
  <c r="D30" i="55"/>
  <c r="E16" i="55"/>
  <c r="F16" i="55"/>
  <c r="F19" i="55"/>
  <c r="G16" i="55"/>
  <c r="G22" i="55"/>
  <c r="H16" i="55"/>
  <c r="H19" i="55"/>
  <c r="I16" i="55"/>
  <c r="I19" i="55"/>
  <c r="J16" i="55"/>
  <c r="J19" i="55"/>
  <c r="K16" i="55"/>
  <c r="K19" i="55"/>
  <c r="L16" i="55"/>
  <c r="L19" i="55"/>
  <c r="M16" i="55"/>
  <c r="M19" i="55"/>
  <c r="B19" i="55"/>
  <c r="C19" i="55"/>
  <c r="D19" i="55"/>
  <c r="C21" i="55"/>
  <c r="D21" i="55"/>
  <c r="M21" i="55"/>
  <c r="M23" i="55"/>
  <c r="C22" i="55"/>
  <c r="J22" i="55"/>
  <c r="K22" i="55"/>
  <c r="M22" i="55"/>
  <c r="C23" i="55"/>
  <c r="D23" i="55"/>
  <c r="N25" i="55"/>
  <c r="B27" i="55"/>
  <c r="C27" i="55"/>
  <c r="D27" i="55"/>
  <c r="K27" i="55"/>
  <c r="M27" i="55"/>
  <c r="C28" i="55"/>
  <c r="D28" i="55"/>
  <c r="J28" i="55"/>
  <c r="K28" i="55"/>
  <c r="L28" i="55"/>
  <c r="M28" i="55"/>
  <c r="C29" i="55"/>
  <c r="J29" i="55"/>
  <c r="K29" i="55"/>
  <c r="L29" i="55"/>
  <c r="B30" i="55"/>
  <c r="C30" i="55"/>
  <c r="H30" i="55"/>
  <c r="K30" i="55"/>
  <c r="L30" i="55"/>
  <c r="M30" i="55"/>
  <c r="B37" i="55"/>
  <c r="C37" i="55"/>
  <c r="D37" i="55"/>
  <c r="D38" i="55"/>
  <c r="E37" i="55"/>
  <c r="F37" i="55"/>
  <c r="G37" i="55"/>
  <c r="H37" i="55"/>
  <c r="I37" i="55"/>
  <c r="J37" i="55"/>
  <c r="K37" i="55"/>
  <c r="L37" i="55"/>
  <c r="M37" i="55"/>
  <c r="N42" i="55"/>
  <c r="N43" i="55"/>
  <c r="N44" i="55"/>
  <c r="N45" i="55"/>
  <c r="N46" i="55"/>
  <c r="N50" i="55"/>
  <c r="N51" i="55"/>
  <c r="N52" i="55"/>
  <c r="N53" i="55"/>
  <c r="N54" i="55"/>
  <c r="N55" i="55"/>
  <c r="N110" i="55"/>
  <c r="N111" i="55"/>
  <c r="N112" i="55"/>
  <c r="N113" i="55"/>
  <c r="N114" i="55"/>
  <c r="N115" i="55"/>
  <c r="N116" i="55"/>
  <c r="N117" i="55"/>
  <c r="N118" i="55"/>
  <c r="N119" i="55"/>
  <c r="N120" i="55"/>
  <c r="B121" i="55"/>
  <c r="C121" i="55"/>
  <c r="D121" i="55"/>
  <c r="E121" i="55"/>
  <c r="F121" i="55"/>
  <c r="G121" i="55"/>
  <c r="H121" i="55"/>
  <c r="I121" i="55"/>
  <c r="J121" i="55"/>
  <c r="K121" i="55"/>
  <c r="L121" i="55"/>
  <c r="M121" i="55"/>
  <c r="N122" i="55"/>
  <c r="N124" i="55"/>
  <c r="N125" i="55"/>
  <c r="N126" i="55"/>
  <c r="N127" i="55"/>
  <c r="N128" i="55"/>
  <c r="N134" i="55"/>
  <c r="N135" i="55"/>
  <c r="N136" i="55"/>
  <c r="N137" i="55"/>
  <c r="N138" i="55"/>
  <c r="N139" i="55"/>
  <c r="N140" i="55"/>
  <c r="N141" i="55"/>
  <c r="N142" i="55"/>
  <c r="N143" i="55"/>
  <c r="N144" i="55"/>
  <c r="B145" i="55"/>
  <c r="C145" i="55"/>
  <c r="C150" i="55"/>
  <c r="C152" i="55"/>
  <c r="D145" i="55"/>
  <c r="E145" i="55"/>
  <c r="E148" i="55"/>
  <c r="F145" i="55"/>
  <c r="F156" i="55"/>
  <c r="G145" i="55"/>
  <c r="G148" i="55"/>
  <c r="H145" i="55"/>
  <c r="H148" i="55"/>
  <c r="I145" i="55"/>
  <c r="I148" i="55"/>
  <c r="J145" i="55"/>
  <c r="J148" i="55"/>
  <c r="K145" i="55"/>
  <c r="K148" i="55"/>
  <c r="L145" i="55"/>
  <c r="L148" i="55"/>
  <c r="M145" i="55"/>
  <c r="M148" i="55"/>
  <c r="B148" i="55"/>
  <c r="D148" i="55"/>
  <c r="F148" i="55"/>
  <c r="B150" i="55"/>
  <c r="D150" i="55"/>
  <c r="D152" i="55"/>
  <c r="F150" i="55"/>
  <c r="F152" i="55"/>
  <c r="K150" i="55"/>
  <c r="K152" i="55"/>
  <c r="B151" i="55"/>
  <c r="D151" i="55"/>
  <c r="F151" i="55"/>
  <c r="B152" i="55"/>
  <c r="N154" i="55"/>
  <c r="B156" i="55"/>
  <c r="C156" i="55"/>
  <c r="D156" i="55"/>
  <c r="G156" i="55"/>
  <c r="K156" i="55"/>
  <c r="B157" i="55"/>
  <c r="D157" i="55"/>
  <c r="F157" i="55"/>
  <c r="G157" i="55"/>
  <c r="H157" i="55"/>
  <c r="J157" i="55"/>
  <c r="M157" i="55"/>
  <c r="B158" i="55"/>
  <c r="C158" i="55"/>
  <c r="D158" i="55"/>
  <c r="G158" i="55"/>
  <c r="H158" i="55"/>
  <c r="K158" i="55"/>
  <c r="B159" i="55"/>
  <c r="D159" i="55"/>
  <c r="H159" i="55"/>
  <c r="M159" i="55"/>
  <c r="N163" i="55"/>
  <c r="N164" i="55"/>
  <c r="B165" i="55"/>
  <c r="B166" i="55"/>
  <c r="C165" i="55"/>
  <c r="C166" i="55"/>
  <c r="D165" i="55"/>
  <c r="D166" i="55"/>
  <c r="D167" i="55"/>
  <c r="E165" i="55"/>
  <c r="F165" i="55"/>
  <c r="F166" i="55"/>
  <c r="G165" i="55"/>
  <c r="G166" i="55"/>
  <c r="H165" i="55"/>
  <c r="I162" i="55"/>
  <c r="I165" i="55"/>
  <c r="N165" i="55"/>
  <c r="E166" i="55"/>
  <c r="N171" i="55"/>
  <c r="N172" i="55"/>
  <c r="N173" i="55"/>
  <c r="N174" i="55"/>
  <c r="B175" i="55"/>
  <c r="C175" i="55"/>
  <c r="D175" i="55"/>
  <c r="E175" i="55"/>
  <c r="F175" i="55"/>
  <c r="G175" i="55"/>
  <c r="G181" i="55"/>
  <c r="G183" i="55"/>
  <c r="G187" i="55"/>
  <c r="H175" i="55"/>
  <c r="I175" i="55"/>
  <c r="J175" i="55"/>
  <c r="K175" i="55"/>
  <c r="L175" i="55"/>
  <c r="M175" i="55"/>
  <c r="M181" i="55"/>
  <c r="M183" i="55"/>
  <c r="M187" i="55"/>
  <c r="N176" i="55"/>
  <c r="N177" i="55"/>
  <c r="N178" i="55"/>
  <c r="N179" i="55"/>
  <c r="N180" i="55"/>
  <c r="B181" i="55"/>
  <c r="B183" i="55"/>
  <c r="B187" i="55"/>
  <c r="C181" i="55"/>
  <c r="D181" i="55"/>
  <c r="E181" i="55"/>
  <c r="F181" i="55"/>
  <c r="H181" i="55"/>
  <c r="I181" i="55"/>
  <c r="J181" i="55"/>
  <c r="K181" i="55"/>
  <c r="L181" i="55"/>
  <c r="N182" i="55"/>
  <c r="D183" i="55"/>
  <c r="I183" i="55"/>
  <c r="I187" i="55"/>
  <c r="N184" i="55"/>
  <c r="N185" i="55"/>
  <c r="N186" i="55"/>
  <c r="D187" i="55"/>
  <c r="N193" i="55"/>
  <c r="N194" i="55"/>
  <c r="N195" i="55"/>
  <c r="N196" i="55"/>
  <c r="N197" i="55"/>
  <c r="N198" i="55"/>
  <c r="N199" i="55"/>
  <c r="N200" i="55"/>
  <c r="N201" i="55"/>
  <c r="N202" i="55"/>
  <c r="N203" i="55"/>
  <c r="B204" i="55"/>
  <c r="B209" i="55"/>
  <c r="B211" i="55"/>
  <c r="C204" i="55"/>
  <c r="D204" i="55"/>
  <c r="D210" i="55"/>
  <c r="E204" i="55"/>
  <c r="E207" i="55"/>
  <c r="F204" i="55"/>
  <c r="F209" i="55"/>
  <c r="F211" i="55"/>
  <c r="G204" i="55"/>
  <c r="G207" i="55"/>
  <c r="H204" i="55"/>
  <c r="H207" i="55"/>
  <c r="I204" i="55"/>
  <c r="I207" i="55"/>
  <c r="J204" i="55"/>
  <c r="J207" i="55"/>
  <c r="K204" i="55"/>
  <c r="K207" i="55"/>
  <c r="L204" i="55"/>
  <c r="L207" i="55"/>
  <c r="M204" i="55"/>
  <c r="M207" i="55"/>
  <c r="B207" i="55"/>
  <c r="F207" i="55"/>
  <c r="C209" i="55"/>
  <c r="C211" i="55"/>
  <c r="G209" i="55"/>
  <c r="K209" i="55"/>
  <c r="K211" i="55"/>
  <c r="B210" i="55"/>
  <c r="H210" i="55"/>
  <c r="G211" i="55"/>
  <c r="N213" i="55"/>
  <c r="B215" i="55"/>
  <c r="C215" i="55"/>
  <c r="D215" i="55"/>
  <c r="G215" i="55"/>
  <c r="H215" i="55"/>
  <c r="C216" i="55"/>
  <c r="G216" i="55"/>
  <c r="I216" i="55"/>
  <c r="K216" i="55"/>
  <c r="C217" i="55"/>
  <c r="G217" i="55"/>
  <c r="I217" i="55"/>
  <c r="K217" i="55"/>
  <c r="L217" i="55"/>
  <c r="B218" i="55"/>
  <c r="C218" i="55"/>
  <c r="D218" i="55"/>
  <c r="G218" i="55"/>
  <c r="I218" i="55"/>
  <c r="K218" i="55"/>
  <c r="L218" i="55"/>
  <c r="N222" i="55"/>
  <c r="N223" i="55"/>
  <c r="B224" i="55"/>
  <c r="B225" i="55"/>
  <c r="C224" i="55"/>
  <c r="C225" i="55"/>
  <c r="D224" i="55"/>
  <c r="E224" i="55"/>
  <c r="F221" i="55"/>
  <c r="F224" i="55"/>
  <c r="N224" i="55"/>
  <c r="D225" i="55"/>
  <c r="D226" i="55"/>
  <c r="M234" i="55"/>
  <c r="M235" i="55"/>
  <c r="M236" i="55"/>
  <c r="D240" i="55"/>
  <c r="D241" i="55"/>
  <c r="N251" i="55"/>
  <c r="N252" i="55"/>
  <c r="N253" i="55"/>
  <c r="N254" i="55"/>
  <c r="N255" i="55"/>
  <c r="B256" i="55"/>
  <c r="C256" i="55"/>
  <c r="D256" i="55"/>
  <c r="E256" i="55"/>
  <c r="F256" i="55"/>
  <c r="G256" i="55"/>
  <c r="H256" i="55"/>
  <c r="I256" i="55"/>
  <c r="J256" i="55"/>
  <c r="K256" i="55"/>
  <c r="L256" i="55"/>
  <c r="M256" i="55"/>
  <c r="N257" i="55"/>
  <c r="N259" i="55"/>
  <c r="N260" i="55"/>
  <c r="N261" i="55"/>
  <c r="N262" i="55"/>
  <c r="N263" i="55"/>
  <c r="N264" i="55"/>
  <c r="N265" i="55"/>
  <c r="N266" i="55"/>
  <c r="N267" i="55"/>
  <c r="N268" i="55"/>
  <c r="N269" i="55"/>
  <c r="N276" i="55"/>
  <c r="N277" i="55"/>
  <c r="N278" i="55"/>
  <c r="N279" i="55"/>
  <c r="N280" i="55"/>
  <c r="N281" i="55"/>
  <c r="N282" i="55"/>
  <c r="N283" i="55"/>
  <c r="N284" i="55"/>
  <c r="N285" i="55"/>
  <c r="N286" i="55"/>
  <c r="B287" i="55"/>
  <c r="C287" i="55"/>
  <c r="C300" i="55"/>
  <c r="D287" i="55"/>
  <c r="E287" i="55"/>
  <c r="E290" i="55"/>
  <c r="F287" i="55"/>
  <c r="F292" i="55"/>
  <c r="F294" i="55"/>
  <c r="G287" i="55"/>
  <c r="G290" i="55"/>
  <c r="H287" i="55"/>
  <c r="H298" i="55"/>
  <c r="I287" i="55"/>
  <c r="I290" i="55"/>
  <c r="J287" i="55"/>
  <c r="J298" i="55"/>
  <c r="K287" i="55"/>
  <c r="K290" i="55"/>
  <c r="L287" i="55"/>
  <c r="L290" i="55"/>
  <c r="M287" i="55"/>
  <c r="M290" i="55"/>
  <c r="B290" i="55"/>
  <c r="D290" i="55"/>
  <c r="J290" i="55"/>
  <c r="B292" i="55"/>
  <c r="B294" i="55"/>
  <c r="D292" i="55"/>
  <c r="J292" i="55"/>
  <c r="J294" i="55"/>
  <c r="B293" i="55"/>
  <c r="D293" i="55"/>
  <c r="J293" i="55"/>
  <c r="D294" i="55"/>
  <c r="N296" i="55"/>
  <c r="B298" i="55"/>
  <c r="D298" i="55"/>
  <c r="B299" i="55"/>
  <c r="C299" i="55"/>
  <c r="D299" i="55"/>
  <c r="G299" i="55"/>
  <c r="L299" i="55"/>
  <c r="B300" i="55"/>
  <c r="D300" i="55"/>
  <c r="J300" i="55"/>
  <c r="L300" i="55"/>
  <c r="B301" i="55"/>
  <c r="C301" i="55"/>
  <c r="D301" i="55"/>
  <c r="G301" i="55"/>
  <c r="J301" i="55"/>
  <c r="L301" i="55"/>
  <c r="N305" i="55"/>
  <c r="N306" i="55"/>
  <c r="B307" i="55"/>
  <c r="B308" i="55"/>
  <c r="C307" i="55"/>
  <c r="C308" i="55"/>
  <c r="D307" i="55"/>
  <c r="E307" i="55"/>
  <c r="E308" i="55"/>
  <c r="F307" i="55"/>
  <c r="F308" i="55"/>
  <c r="G307" i="55"/>
  <c r="G308" i="55"/>
  <c r="H307" i="55"/>
  <c r="I307" i="55"/>
  <c r="I308" i="55"/>
  <c r="N307" i="55"/>
  <c r="D308" i="55"/>
  <c r="D309" i="55"/>
  <c r="H308" i="55"/>
  <c r="N323" i="55"/>
  <c r="N325" i="55"/>
  <c r="N326" i="55"/>
  <c r="N327" i="55"/>
  <c r="N328" i="55"/>
  <c r="N330" i="55"/>
  <c r="M29" i="55"/>
  <c r="M218" i="55"/>
  <c r="M217" i="55"/>
  <c r="M216" i="55"/>
  <c r="B248" i="55"/>
  <c r="I248" i="55"/>
  <c r="E248" i="55"/>
  <c r="M248" i="55"/>
  <c r="D153" i="55"/>
  <c r="M209" i="55"/>
  <c r="M211" i="55"/>
  <c r="I209" i="55"/>
  <c r="I211" i="55"/>
  <c r="K183" i="55"/>
  <c r="K187" i="55"/>
  <c r="E183" i="55"/>
  <c r="E187" i="55"/>
  <c r="C183" i="55"/>
  <c r="C187" i="55"/>
  <c r="J183" i="55"/>
  <c r="J187" i="55"/>
  <c r="H183" i="55"/>
  <c r="H187" i="55"/>
  <c r="F183" i="55"/>
  <c r="F187" i="55"/>
  <c r="J156" i="55"/>
  <c r="J38" i="55"/>
  <c r="J21" i="55"/>
  <c r="J23" i="55"/>
  <c r="I229" i="61"/>
  <c r="M301" i="55"/>
  <c r="M299" i="55"/>
  <c r="K292" i="55"/>
  <c r="K294" i="55"/>
  <c r="C292" i="55"/>
  <c r="C294" i="55"/>
  <c r="D295" i="55"/>
  <c r="G248" i="55"/>
  <c r="H218" i="55"/>
  <c r="D217" i="55"/>
  <c r="D216" i="55"/>
  <c r="D209" i="55"/>
  <c r="D211" i="55"/>
  <c r="D212" i="55"/>
  <c r="D207" i="55"/>
  <c r="L183" i="55"/>
  <c r="L187" i="55"/>
  <c r="G159" i="55"/>
  <c r="M158" i="55"/>
  <c r="K157" i="55"/>
  <c r="M156" i="55"/>
  <c r="E151" i="55"/>
  <c r="M150" i="55"/>
  <c r="M152" i="55"/>
  <c r="E150" i="55"/>
  <c r="E152" i="55"/>
  <c r="H28" i="55"/>
  <c r="D22" i="55"/>
  <c r="H21" i="55"/>
  <c r="H23" i="55"/>
  <c r="M292" i="55"/>
  <c r="M294" i="55"/>
  <c r="K299" i="55"/>
  <c r="I292" i="55"/>
  <c r="I294" i="55"/>
  <c r="K248" i="55"/>
  <c r="C248" i="55"/>
  <c r="F218" i="55"/>
  <c r="H217" i="55"/>
  <c r="B217" i="55"/>
  <c r="H216" i="55"/>
  <c r="B216" i="55"/>
  <c r="N175" i="55"/>
  <c r="G167" i="55"/>
  <c r="K159" i="55"/>
  <c r="C159" i="55"/>
  <c r="C157" i="55"/>
  <c r="G151" i="55"/>
  <c r="C151" i="55"/>
  <c r="G150" i="55"/>
  <c r="G152" i="55"/>
  <c r="D29" i="55"/>
  <c r="L27" i="55"/>
  <c r="L22" i="55"/>
  <c r="L21" i="55"/>
  <c r="L23" i="55"/>
  <c r="L159" i="55"/>
  <c r="L158" i="55"/>
  <c r="L157" i="55"/>
  <c r="L156" i="55"/>
  <c r="L151" i="55"/>
  <c r="L150" i="55"/>
  <c r="L152" i="55"/>
  <c r="L209" i="55"/>
  <c r="L211" i="55"/>
  <c r="L216" i="55"/>
  <c r="L215" i="55"/>
  <c r="M212" i="55"/>
  <c r="L210" i="55"/>
  <c r="L298" i="55"/>
  <c r="L292" i="55"/>
  <c r="L294" i="55"/>
  <c r="L293" i="55"/>
  <c r="K21" i="55"/>
  <c r="K23" i="55"/>
  <c r="J159" i="55"/>
  <c r="J158" i="55"/>
  <c r="J151" i="55"/>
  <c r="J150" i="55"/>
  <c r="J152" i="55"/>
  <c r="K301" i="55"/>
  <c r="M38" i="55"/>
  <c r="J30" i="55"/>
  <c r="J27" i="55"/>
  <c r="H29" i="55"/>
  <c r="H27" i="55"/>
  <c r="H22" i="55"/>
  <c r="F30" i="55"/>
  <c r="F29" i="55"/>
  <c r="F28" i="55"/>
  <c r="F27" i="55"/>
  <c r="F22" i="55"/>
  <c r="F21" i="55"/>
  <c r="F23" i="55"/>
  <c r="G38" i="55"/>
  <c r="D24" i="55"/>
  <c r="B29" i="55"/>
  <c r="P29" i="61"/>
  <c r="P33" i="61"/>
  <c r="R33" i="61"/>
  <c r="O35" i="61"/>
  <c r="P35" i="61"/>
  <c r="M29" i="61"/>
  <c r="B28" i="55"/>
  <c r="B22" i="55"/>
  <c r="J218" i="55"/>
  <c r="J209" i="55"/>
  <c r="J211" i="55"/>
  <c r="J217" i="55"/>
  <c r="J216" i="55"/>
  <c r="J215" i="55"/>
  <c r="J210" i="55"/>
  <c r="J299" i="55"/>
  <c r="I22" i="55"/>
  <c r="I30" i="55"/>
  <c r="I29" i="55"/>
  <c r="I28" i="55"/>
  <c r="I27" i="55"/>
  <c r="I21" i="55"/>
  <c r="I23" i="55"/>
  <c r="I159" i="55"/>
  <c r="I158" i="55"/>
  <c r="I157" i="55"/>
  <c r="I150" i="55"/>
  <c r="I152" i="55"/>
  <c r="I156" i="55"/>
  <c r="I151" i="55"/>
  <c r="I301" i="55"/>
  <c r="I299" i="55"/>
  <c r="G29" i="55"/>
  <c r="G27" i="55"/>
  <c r="G21" i="55"/>
  <c r="G23" i="55"/>
  <c r="G19" i="55"/>
  <c r="G30" i="55"/>
  <c r="G28" i="55"/>
  <c r="H301" i="55"/>
  <c r="H299" i="55"/>
  <c r="H293" i="55"/>
  <c r="H292" i="55"/>
  <c r="H294" i="55"/>
  <c r="J295" i="55"/>
  <c r="H290" i="55"/>
  <c r="H300" i="55"/>
  <c r="H209" i="55"/>
  <c r="H211" i="55"/>
  <c r="H156" i="55"/>
  <c r="H151" i="55"/>
  <c r="H150" i="55"/>
  <c r="H152" i="55"/>
  <c r="N16" i="55"/>
  <c r="G292" i="55"/>
  <c r="G294" i="55"/>
  <c r="F159" i="55"/>
  <c r="F158" i="55"/>
  <c r="G153" i="55"/>
  <c r="F216" i="55"/>
  <c r="F215" i="55"/>
  <c r="F217" i="55"/>
  <c r="F210" i="55"/>
  <c r="F301" i="55"/>
  <c r="F299" i="55"/>
  <c r="F290" i="55"/>
  <c r="F300" i="55"/>
  <c r="F298" i="55"/>
  <c r="F293" i="55"/>
  <c r="N329" i="55"/>
  <c r="E29" i="55"/>
  <c r="E28" i="55"/>
  <c r="E30" i="55"/>
  <c r="E27" i="55"/>
  <c r="E22" i="55"/>
  <c r="E21" i="55"/>
  <c r="E23" i="55"/>
  <c r="G24" i="55"/>
  <c r="E19" i="55"/>
  <c r="N19" i="55"/>
  <c r="N145" i="55"/>
  <c r="E158" i="55"/>
  <c r="E157" i="55"/>
  <c r="N157" i="55"/>
  <c r="E159" i="55"/>
  <c r="E156" i="55"/>
  <c r="E209" i="55"/>
  <c r="E211" i="55"/>
  <c r="G212" i="55"/>
  <c r="E218" i="55"/>
  <c r="N218" i="55"/>
  <c r="E217" i="55"/>
  <c r="E216" i="55"/>
  <c r="E215" i="55"/>
  <c r="N204" i="55"/>
  <c r="E292" i="55"/>
  <c r="E294" i="55"/>
  <c r="G295" i="55"/>
  <c r="N287" i="55"/>
  <c r="E301" i="55"/>
  <c r="E300" i="55"/>
  <c r="E299" i="55"/>
  <c r="N121" i="55"/>
  <c r="N47" i="55"/>
  <c r="N56" i="55"/>
  <c r="N183" i="55"/>
  <c r="N187" i="55"/>
  <c r="N181" i="55"/>
  <c r="N256" i="55"/>
  <c r="F225" i="55"/>
  <c r="G221" i="55"/>
  <c r="G224" i="55"/>
  <c r="B249" i="55"/>
  <c r="B250" i="55"/>
  <c r="D249" i="55"/>
  <c r="F249" i="55"/>
  <c r="H249" i="55"/>
  <c r="J249" i="55"/>
  <c r="L249" i="55"/>
  <c r="C249" i="55"/>
  <c r="E249" i="55"/>
  <c r="E250" i="55"/>
  <c r="E258" i="55"/>
  <c r="E270" i="55"/>
  <c r="G249" i="55"/>
  <c r="G250" i="55"/>
  <c r="G258" i="55"/>
  <c r="G270" i="55"/>
  <c r="I249" i="55"/>
  <c r="I250" i="55"/>
  <c r="I258" i="55"/>
  <c r="I270" i="55"/>
  <c r="K249" i="55"/>
  <c r="K250" i="55"/>
  <c r="K258" i="55"/>
  <c r="K270" i="55"/>
  <c r="M249" i="55"/>
  <c r="M250" i="55"/>
  <c r="M258" i="55"/>
  <c r="M270" i="55"/>
  <c r="I166" i="55"/>
  <c r="J162" i="55"/>
  <c r="J165" i="55"/>
  <c r="G309" i="55"/>
  <c r="C109" i="55"/>
  <c r="C123" i="55"/>
  <c r="C129" i="55"/>
  <c r="E109" i="55"/>
  <c r="E123" i="55"/>
  <c r="E129" i="55"/>
  <c r="G109" i="55"/>
  <c r="G123" i="55"/>
  <c r="G129" i="55"/>
  <c r="I109" i="55"/>
  <c r="I123" i="55"/>
  <c r="I129" i="55"/>
  <c r="K109" i="55"/>
  <c r="K123" i="55"/>
  <c r="K129" i="55"/>
  <c r="M109" i="55"/>
  <c r="M123" i="55"/>
  <c r="M129" i="55"/>
  <c r="D109" i="55"/>
  <c r="D123" i="55"/>
  <c r="D129" i="55"/>
  <c r="F109" i="55"/>
  <c r="F123" i="55"/>
  <c r="F129" i="55"/>
  <c r="H109" i="55"/>
  <c r="H123" i="55"/>
  <c r="H129" i="55"/>
  <c r="J109" i="55"/>
  <c r="J123" i="55"/>
  <c r="J129" i="55"/>
  <c r="L109" i="55"/>
  <c r="L123" i="55"/>
  <c r="L129" i="55"/>
  <c r="J304" i="55"/>
  <c r="J307" i="55"/>
  <c r="M300" i="55"/>
  <c r="K300" i="55"/>
  <c r="I300" i="55"/>
  <c r="G300" i="55"/>
  <c r="M298" i="55"/>
  <c r="K298" i="55"/>
  <c r="I298" i="55"/>
  <c r="G298" i="55"/>
  <c r="E298" i="55"/>
  <c r="C298" i="55"/>
  <c r="M293" i="55"/>
  <c r="K293" i="55"/>
  <c r="I293" i="55"/>
  <c r="G293" i="55"/>
  <c r="E293" i="55"/>
  <c r="C293" i="55"/>
  <c r="C290" i="55"/>
  <c r="L248" i="55"/>
  <c r="J248" i="55"/>
  <c r="H248" i="55"/>
  <c r="F248" i="55"/>
  <c r="D248" i="55"/>
  <c r="E225" i="55"/>
  <c r="M215" i="55"/>
  <c r="K215" i="55"/>
  <c r="I215" i="55"/>
  <c r="M210" i="55"/>
  <c r="K210" i="55"/>
  <c r="I210" i="55"/>
  <c r="G210" i="55"/>
  <c r="E210" i="55"/>
  <c r="C210" i="55"/>
  <c r="C207" i="55"/>
  <c r="N207" i="55"/>
  <c r="H166" i="55"/>
  <c r="M151" i="55"/>
  <c r="K151" i="55"/>
  <c r="C148" i="55"/>
  <c r="N148" i="55"/>
  <c r="M153" i="55"/>
  <c r="N290" i="55"/>
  <c r="C250" i="55"/>
  <c r="C258" i="55"/>
  <c r="C270" i="55"/>
  <c r="N156" i="55"/>
  <c r="N22" i="55"/>
  <c r="M24" i="55"/>
  <c r="N301" i="55"/>
  <c r="J24" i="55"/>
  <c r="N24" i="55"/>
  <c r="M295" i="55"/>
  <c r="N295" i="55"/>
  <c r="N217" i="55"/>
  <c r="N159" i="55"/>
  <c r="N150" i="55"/>
  <c r="N29" i="55"/>
  <c r="N209" i="55"/>
  <c r="J212" i="55"/>
  <c r="N212" i="55"/>
  <c r="N216" i="55"/>
  <c r="N30" i="55"/>
  <c r="N158" i="55"/>
  <c r="J153" i="55"/>
  <c r="N153" i="55"/>
  <c r="N27" i="55"/>
  <c r="N28" i="55"/>
  <c r="N299" i="55"/>
  <c r="N292" i="55"/>
  <c r="H250" i="55"/>
  <c r="H258" i="55"/>
  <c r="H270" i="55"/>
  <c r="N21" i="55"/>
  <c r="D250" i="55"/>
  <c r="D258" i="55"/>
  <c r="D270" i="55"/>
  <c r="L250" i="55"/>
  <c r="L258" i="55"/>
  <c r="L270" i="55"/>
  <c r="F250" i="55"/>
  <c r="F258" i="55"/>
  <c r="F270" i="55"/>
  <c r="J250" i="55"/>
  <c r="J258" i="55"/>
  <c r="J270" i="55"/>
  <c r="N107" i="55"/>
  <c r="B109" i="55"/>
  <c r="N151" i="55"/>
  <c r="N210" i="55"/>
  <c r="N215" i="55"/>
  <c r="N293" i="55"/>
  <c r="N298" i="55"/>
  <c r="N300" i="55"/>
  <c r="N108" i="55"/>
  <c r="N249" i="55"/>
  <c r="N248" i="55"/>
  <c r="N322" i="55"/>
  <c r="J308" i="55"/>
  <c r="J309" i="55"/>
  <c r="K304" i="55"/>
  <c r="K307" i="55"/>
  <c r="K162" i="55"/>
  <c r="K165" i="55"/>
  <c r="J166" i="55"/>
  <c r="J167" i="55"/>
  <c r="B258" i="55"/>
  <c r="B270" i="55"/>
  <c r="N324" i="55"/>
  <c r="H221" i="55"/>
  <c r="H224" i="55"/>
  <c r="G225" i="55"/>
  <c r="G226" i="55"/>
  <c r="N152" i="55"/>
  <c r="N23" i="55"/>
  <c r="N211" i="55"/>
  <c r="N294" i="55"/>
  <c r="N250" i="55"/>
  <c r="H225" i="55"/>
  <c r="I221" i="55"/>
  <c r="I224" i="55"/>
  <c r="K166" i="55"/>
  <c r="L162" i="55"/>
  <c r="L165" i="55"/>
  <c r="N258" i="55"/>
  <c r="N270" i="55"/>
  <c r="K308" i="55"/>
  <c r="L304" i="55"/>
  <c r="L307" i="55"/>
  <c r="N109" i="55"/>
  <c r="B123" i="55"/>
  <c r="N123" i="55"/>
  <c r="N129" i="55"/>
  <c r="B129" i="55"/>
  <c r="M304" i="55"/>
  <c r="M307" i="55"/>
  <c r="L308" i="55"/>
  <c r="M162" i="55"/>
  <c r="M165" i="55"/>
  <c r="L166" i="55"/>
  <c r="J221" i="55"/>
  <c r="J224" i="55"/>
  <c r="I225" i="55"/>
  <c r="M308" i="55"/>
  <c r="M309" i="55"/>
  <c r="N304" i="55"/>
  <c r="J225" i="55"/>
  <c r="J226" i="55"/>
  <c r="K221" i="55"/>
  <c r="K224" i="55"/>
  <c r="M166" i="55"/>
  <c r="M167" i="55"/>
  <c r="N162" i="55"/>
  <c r="L221" i="55"/>
  <c r="L224" i="55"/>
  <c r="K225" i="55"/>
  <c r="L225" i="55"/>
  <c r="M221" i="55"/>
  <c r="M224" i="55"/>
  <c r="N221" i="55"/>
  <c r="M225" i="55"/>
  <c r="M226" i="55"/>
  <c r="M224" i="53"/>
  <c r="M225" i="53"/>
  <c r="M226" i="53"/>
  <c r="N324" i="53"/>
  <c r="N323" i="53"/>
  <c r="N322" i="53"/>
  <c r="N320" i="53"/>
  <c r="M319" i="53"/>
  <c r="L319" i="53"/>
  <c r="K319" i="53"/>
  <c r="J319" i="53"/>
  <c r="I319" i="53"/>
  <c r="H319" i="53"/>
  <c r="G319" i="53"/>
  <c r="F319" i="53"/>
  <c r="E319" i="53"/>
  <c r="D319" i="53"/>
  <c r="C319" i="53"/>
  <c r="B319" i="53"/>
  <c r="N318" i="53"/>
  <c r="N317" i="53"/>
  <c r="N316" i="53"/>
  <c r="N315" i="53"/>
  <c r="N313" i="53"/>
  <c r="D308" i="53"/>
  <c r="N297" i="53"/>
  <c r="I297" i="53"/>
  <c r="I298" i="53"/>
  <c r="H297" i="53"/>
  <c r="H298" i="53"/>
  <c r="G297" i="53"/>
  <c r="G298" i="53"/>
  <c r="F297" i="53"/>
  <c r="F298" i="53"/>
  <c r="E297" i="53"/>
  <c r="E298" i="53"/>
  <c r="D297" i="53"/>
  <c r="D298" i="53"/>
  <c r="D299" i="53"/>
  <c r="C297" i="53"/>
  <c r="C298" i="53"/>
  <c r="B297" i="53"/>
  <c r="B298" i="53"/>
  <c r="N296" i="53"/>
  <c r="N295" i="53"/>
  <c r="J294" i="53"/>
  <c r="J297" i="53"/>
  <c r="K294" i="53"/>
  <c r="K297" i="53"/>
  <c r="N286" i="53"/>
  <c r="M277" i="53"/>
  <c r="M289" i="53"/>
  <c r="L277" i="53"/>
  <c r="L291" i="53"/>
  <c r="K277" i="53"/>
  <c r="K291" i="53"/>
  <c r="J277" i="53"/>
  <c r="J291" i="53"/>
  <c r="I277" i="53"/>
  <c r="I289" i="53"/>
  <c r="H277" i="53"/>
  <c r="H291" i="53"/>
  <c r="G277" i="53"/>
  <c r="G291" i="53"/>
  <c r="F277" i="53"/>
  <c r="F291" i="53"/>
  <c r="E277" i="53"/>
  <c r="E282" i="53"/>
  <c r="E284" i="53"/>
  <c r="D277" i="53"/>
  <c r="D291" i="53"/>
  <c r="C277" i="53"/>
  <c r="C291" i="53"/>
  <c r="B277" i="53"/>
  <c r="B291" i="53"/>
  <c r="N276" i="53"/>
  <c r="N275" i="53"/>
  <c r="N274" i="53"/>
  <c r="N273" i="53"/>
  <c r="N272" i="53"/>
  <c r="N271" i="53"/>
  <c r="N270" i="53"/>
  <c r="N269" i="53"/>
  <c r="N268" i="53"/>
  <c r="N267" i="53"/>
  <c r="N266" i="53"/>
  <c r="N259" i="53"/>
  <c r="N258" i="53"/>
  <c r="N257" i="53"/>
  <c r="N256" i="53"/>
  <c r="N255" i="53"/>
  <c r="N254" i="53"/>
  <c r="N253" i="53"/>
  <c r="N252" i="53"/>
  <c r="N251" i="53"/>
  <c r="N250" i="53"/>
  <c r="N249" i="53"/>
  <c r="N247" i="53"/>
  <c r="M246" i="53"/>
  <c r="L246" i="53"/>
  <c r="K246" i="53"/>
  <c r="J246" i="53"/>
  <c r="I246" i="53"/>
  <c r="H246" i="53"/>
  <c r="G246" i="53"/>
  <c r="F246" i="53"/>
  <c r="E246" i="53"/>
  <c r="D246" i="53"/>
  <c r="C246" i="53"/>
  <c r="B246" i="53"/>
  <c r="N245" i="53"/>
  <c r="N244" i="53"/>
  <c r="N243" i="53"/>
  <c r="N242" i="53"/>
  <c r="N241" i="53"/>
  <c r="D230" i="53"/>
  <c r="D231" i="53"/>
  <c r="D214" i="53"/>
  <c r="D215" i="53"/>
  <c r="D216" i="53"/>
  <c r="N214" i="53"/>
  <c r="E214" i="53"/>
  <c r="E215" i="53"/>
  <c r="C214" i="53"/>
  <c r="C215" i="53"/>
  <c r="B214" i="53"/>
  <c r="B215" i="53"/>
  <c r="N213" i="53"/>
  <c r="N212" i="53"/>
  <c r="F211" i="53"/>
  <c r="F214" i="53"/>
  <c r="G211" i="53"/>
  <c r="G214" i="53"/>
  <c r="N203" i="53"/>
  <c r="M194" i="53"/>
  <c r="L194" i="53"/>
  <c r="L208" i="53"/>
  <c r="K194" i="53"/>
  <c r="J194" i="53"/>
  <c r="J208" i="53"/>
  <c r="I194" i="53"/>
  <c r="H194" i="53"/>
  <c r="H208" i="53"/>
  <c r="G194" i="53"/>
  <c r="F194" i="53"/>
  <c r="F208" i="53"/>
  <c r="E194" i="53"/>
  <c r="D194" i="53"/>
  <c r="D208" i="53"/>
  <c r="C194" i="53"/>
  <c r="B194" i="53"/>
  <c r="B208" i="53"/>
  <c r="N193" i="53"/>
  <c r="N192" i="53"/>
  <c r="N191" i="53"/>
  <c r="N190" i="53"/>
  <c r="N189" i="53"/>
  <c r="N188" i="53"/>
  <c r="N187" i="53"/>
  <c r="N186" i="53"/>
  <c r="N185" i="53"/>
  <c r="N184" i="53"/>
  <c r="N183" i="53"/>
  <c r="N176" i="53"/>
  <c r="N175" i="53"/>
  <c r="N173" i="53"/>
  <c r="M172" i="53"/>
  <c r="L172" i="53"/>
  <c r="K172" i="53"/>
  <c r="J172" i="53"/>
  <c r="I172" i="53"/>
  <c r="H172" i="53"/>
  <c r="H166" i="53"/>
  <c r="H174" i="53"/>
  <c r="H177" i="53"/>
  <c r="G172" i="53"/>
  <c r="F172" i="53"/>
  <c r="E172" i="53"/>
  <c r="D172" i="53"/>
  <c r="C172" i="53"/>
  <c r="B172" i="53"/>
  <c r="N171" i="53"/>
  <c r="N170" i="53"/>
  <c r="N169" i="53"/>
  <c r="N168" i="53"/>
  <c r="N167" i="53"/>
  <c r="M166" i="53"/>
  <c r="M174" i="53"/>
  <c r="M177" i="53"/>
  <c r="L166" i="53"/>
  <c r="K166" i="53"/>
  <c r="J166" i="53"/>
  <c r="I166" i="53"/>
  <c r="I174" i="53"/>
  <c r="I177" i="53"/>
  <c r="G166" i="53"/>
  <c r="F166" i="53"/>
  <c r="E166" i="53"/>
  <c r="E174" i="53"/>
  <c r="E177" i="53"/>
  <c r="D166" i="53"/>
  <c r="C166" i="53"/>
  <c r="B166" i="53"/>
  <c r="N165" i="53"/>
  <c r="N164" i="53"/>
  <c r="N163" i="53"/>
  <c r="N162" i="53"/>
  <c r="N156" i="53"/>
  <c r="H156" i="53"/>
  <c r="I153" i="53"/>
  <c r="I156" i="53"/>
  <c r="G156" i="53"/>
  <c r="G157" i="53"/>
  <c r="F156" i="53"/>
  <c r="F157" i="53"/>
  <c r="E156" i="53"/>
  <c r="E157" i="53"/>
  <c r="D156" i="53"/>
  <c r="D157" i="53"/>
  <c r="D158" i="53"/>
  <c r="C156" i="53"/>
  <c r="C157" i="53"/>
  <c r="B156" i="53"/>
  <c r="B157" i="53"/>
  <c r="N155" i="53"/>
  <c r="N154" i="53"/>
  <c r="N145" i="53"/>
  <c r="M136" i="53"/>
  <c r="M149" i="53"/>
  <c r="L136" i="53"/>
  <c r="K136" i="53"/>
  <c r="K142" i="53"/>
  <c r="J136" i="53"/>
  <c r="I136" i="53"/>
  <c r="I139" i="53"/>
  <c r="H136" i="53"/>
  <c r="G136" i="53"/>
  <c r="G147" i="53"/>
  <c r="F136" i="53"/>
  <c r="E136" i="53"/>
  <c r="E142" i="53"/>
  <c r="D136" i="53"/>
  <c r="C136" i="53"/>
  <c r="C142" i="53"/>
  <c r="B136" i="53"/>
  <c r="N135" i="53"/>
  <c r="N134" i="53"/>
  <c r="N133" i="53"/>
  <c r="N132" i="53"/>
  <c r="N131" i="53"/>
  <c r="N130" i="53"/>
  <c r="N129" i="53"/>
  <c r="N128" i="53"/>
  <c r="N127" i="53"/>
  <c r="N126" i="53"/>
  <c r="N125" i="53"/>
  <c r="N119" i="53"/>
  <c r="N118" i="53"/>
  <c r="N117" i="53"/>
  <c r="N116" i="53"/>
  <c r="N114" i="53"/>
  <c r="M113" i="53"/>
  <c r="L113" i="53"/>
  <c r="K113" i="53"/>
  <c r="J113" i="53"/>
  <c r="I113" i="53"/>
  <c r="H113" i="53"/>
  <c r="G113" i="53"/>
  <c r="F113" i="53"/>
  <c r="E113" i="53"/>
  <c r="D113" i="53"/>
  <c r="C113" i="53"/>
  <c r="B113" i="53"/>
  <c r="N112" i="53"/>
  <c r="N111" i="53"/>
  <c r="N110" i="53"/>
  <c r="N109" i="53"/>
  <c r="N108" i="53"/>
  <c r="N107" i="53"/>
  <c r="N106" i="53"/>
  <c r="N105" i="53"/>
  <c r="N104" i="53"/>
  <c r="N103" i="53"/>
  <c r="N102" i="53"/>
  <c r="N99" i="53"/>
  <c r="F90" i="53"/>
  <c r="D62" i="53"/>
  <c r="D63" i="53"/>
  <c r="N61" i="53"/>
  <c r="N89" i="53"/>
  <c r="N90" i="53"/>
  <c r="N55" i="53"/>
  <c r="N54" i="53"/>
  <c r="N53" i="53"/>
  <c r="N52" i="53"/>
  <c r="N51" i="53"/>
  <c r="N50" i="53"/>
  <c r="N46" i="53"/>
  <c r="N45" i="53"/>
  <c r="N44" i="53"/>
  <c r="N43" i="53"/>
  <c r="N42" i="53"/>
  <c r="M37" i="53"/>
  <c r="L37" i="53"/>
  <c r="K37" i="53"/>
  <c r="J37" i="53"/>
  <c r="I37" i="53"/>
  <c r="H37" i="53"/>
  <c r="G37" i="53"/>
  <c r="F37" i="53"/>
  <c r="E37" i="53"/>
  <c r="D37" i="53"/>
  <c r="D38" i="53"/>
  <c r="C37" i="53"/>
  <c r="B37" i="53"/>
  <c r="L16" i="53"/>
  <c r="L29" i="53"/>
  <c r="D16" i="53"/>
  <c r="D29" i="53"/>
  <c r="H16" i="53"/>
  <c r="H27" i="53"/>
  <c r="N25" i="53"/>
  <c r="L19" i="53"/>
  <c r="M16" i="53"/>
  <c r="M29" i="53"/>
  <c r="L30" i="53"/>
  <c r="K16" i="53"/>
  <c r="K29" i="53"/>
  <c r="J16" i="53"/>
  <c r="J30" i="53"/>
  <c r="I16" i="53"/>
  <c r="I29" i="53"/>
  <c r="H30" i="53"/>
  <c r="G16" i="53"/>
  <c r="G29" i="53"/>
  <c r="F16" i="53"/>
  <c r="F30" i="53"/>
  <c r="E16" i="53"/>
  <c r="E29" i="53"/>
  <c r="D30" i="53"/>
  <c r="C16" i="53"/>
  <c r="C29" i="53"/>
  <c r="B16" i="53"/>
  <c r="B30" i="53"/>
  <c r="N15" i="53"/>
  <c r="N14" i="53"/>
  <c r="N13" i="53"/>
  <c r="N12" i="53"/>
  <c r="N11" i="53"/>
  <c r="N10" i="53"/>
  <c r="N9" i="53"/>
  <c r="N8" i="53"/>
  <c r="N7" i="53"/>
  <c r="N6" i="53"/>
  <c r="N5" i="53"/>
  <c r="N4" i="53"/>
  <c r="M139" i="53"/>
  <c r="I149" i="53"/>
  <c r="H157" i="53"/>
  <c r="D197" i="53"/>
  <c r="H200" i="53"/>
  <c r="B205" i="53"/>
  <c r="J205" i="53"/>
  <c r="F207" i="53"/>
  <c r="F280" i="53"/>
  <c r="B283" i="53"/>
  <c r="E289" i="53"/>
  <c r="J290" i="53"/>
  <c r="D19" i="53"/>
  <c r="H22" i="53"/>
  <c r="B27" i="53"/>
  <c r="J27" i="53"/>
  <c r="F29" i="53"/>
  <c r="N47" i="53"/>
  <c r="E139" i="53"/>
  <c r="I142" i="53"/>
  <c r="E149" i="53"/>
  <c r="B174" i="53"/>
  <c r="B177" i="53"/>
  <c r="D174" i="53"/>
  <c r="D177" i="53"/>
  <c r="F174" i="53"/>
  <c r="F177" i="53"/>
  <c r="J174" i="53"/>
  <c r="J177" i="53"/>
  <c r="L174" i="53"/>
  <c r="L177" i="53"/>
  <c r="L197" i="53"/>
  <c r="H205" i="53"/>
  <c r="D207" i="53"/>
  <c r="L207" i="53"/>
  <c r="J283" i="53"/>
  <c r="F288" i="53"/>
  <c r="B290" i="53"/>
  <c r="G215" i="53"/>
  <c r="H211" i="53"/>
  <c r="H214" i="53"/>
  <c r="I211" i="53"/>
  <c r="I214" i="53"/>
  <c r="J211" i="53"/>
  <c r="J214" i="53"/>
  <c r="I157" i="53"/>
  <c r="J153" i="53"/>
  <c r="J156" i="53"/>
  <c r="K153" i="53"/>
  <c r="K156" i="53"/>
  <c r="L283" i="53"/>
  <c r="B19" i="53"/>
  <c r="K139" i="53"/>
  <c r="G142" i="53"/>
  <c r="D280" i="53"/>
  <c r="D288" i="53"/>
  <c r="H19" i="53"/>
  <c r="D22" i="53"/>
  <c r="L22" i="53"/>
  <c r="F27" i="53"/>
  <c r="B29" i="53"/>
  <c r="J29" i="53"/>
  <c r="J38" i="53"/>
  <c r="M142" i="53"/>
  <c r="K147" i="53"/>
  <c r="G158" i="53"/>
  <c r="C174" i="53"/>
  <c r="C177" i="53"/>
  <c r="G174" i="53"/>
  <c r="G177" i="53"/>
  <c r="K174" i="53"/>
  <c r="K177" i="53"/>
  <c r="N172" i="53"/>
  <c r="H197" i="53"/>
  <c r="D200" i="53"/>
  <c r="L200" i="53"/>
  <c r="F205" i="53"/>
  <c r="B207" i="53"/>
  <c r="J207" i="53"/>
  <c r="B280" i="53"/>
  <c r="J280" i="53"/>
  <c r="M282" i="53"/>
  <c r="M284" i="53"/>
  <c r="H283" i="53"/>
  <c r="B288" i="53"/>
  <c r="J288" i="53"/>
  <c r="H290" i="53"/>
  <c r="G299" i="53"/>
  <c r="C147" i="53"/>
  <c r="D283" i="53"/>
  <c r="D290" i="53"/>
  <c r="L290" i="53"/>
  <c r="J19" i="53"/>
  <c r="F22" i="53"/>
  <c r="G38" i="53"/>
  <c r="N113" i="53"/>
  <c r="C139" i="53"/>
  <c r="B197" i="53"/>
  <c r="J197" i="53"/>
  <c r="F200" i="53"/>
  <c r="L280" i="53"/>
  <c r="L288" i="53"/>
  <c r="N319" i="53"/>
  <c r="F19" i="53"/>
  <c r="B22" i="53"/>
  <c r="J22" i="53"/>
  <c r="D27" i="53"/>
  <c r="L27" i="53"/>
  <c r="H29" i="53"/>
  <c r="M38" i="53"/>
  <c r="N56" i="53"/>
  <c r="G139" i="53"/>
  <c r="F197" i="53"/>
  <c r="B200" i="53"/>
  <c r="J200" i="53"/>
  <c r="D205" i="53"/>
  <c r="L205" i="53"/>
  <c r="H207" i="53"/>
  <c r="H280" i="53"/>
  <c r="I282" i="53"/>
  <c r="I284" i="53"/>
  <c r="F283" i="53"/>
  <c r="H288" i="53"/>
  <c r="F290" i="53"/>
  <c r="K298" i="53"/>
  <c r="L294" i="53"/>
  <c r="L297" i="53"/>
  <c r="M100" i="53"/>
  <c r="M101" i="53"/>
  <c r="M115" i="53"/>
  <c r="M120" i="53"/>
  <c r="K100" i="53"/>
  <c r="K101" i="53"/>
  <c r="K115" i="53"/>
  <c r="K120" i="53"/>
  <c r="I100" i="53"/>
  <c r="I101" i="53"/>
  <c r="I115" i="53"/>
  <c r="I120" i="53"/>
  <c r="G100" i="53"/>
  <c r="G101" i="53"/>
  <c r="G115" i="53"/>
  <c r="G120" i="53"/>
  <c r="E100" i="53"/>
  <c r="E101" i="53"/>
  <c r="E115" i="53"/>
  <c r="E120" i="53"/>
  <c r="C100" i="53"/>
  <c r="C101" i="53"/>
  <c r="C115" i="53"/>
  <c r="C120" i="53"/>
  <c r="L100" i="53"/>
  <c r="L101" i="53"/>
  <c r="L115" i="53"/>
  <c r="L120" i="53"/>
  <c r="J100" i="53"/>
  <c r="J101" i="53"/>
  <c r="J115" i="53"/>
  <c r="J120" i="53"/>
  <c r="H100" i="53"/>
  <c r="H101" i="53"/>
  <c r="H115" i="53"/>
  <c r="H120" i="53"/>
  <c r="F100" i="53"/>
  <c r="F101" i="53"/>
  <c r="F115" i="53"/>
  <c r="F120" i="53"/>
  <c r="D100" i="53"/>
  <c r="D101" i="53"/>
  <c r="D115" i="53"/>
  <c r="D120" i="53"/>
  <c r="B100" i="53"/>
  <c r="N29" i="53"/>
  <c r="B149" i="53"/>
  <c r="B147" i="53"/>
  <c r="D149" i="53"/>
  <c r="D147" i="53"/>
  <c r="F149" i="53"/>
  <c r="F147" i="53"/>
  <c r="H149" i="53"/>
  <c r="H147" i="53"/>
  <c r="J149" i="53"/>
  <c r="J147" i="53"/>
  <c r="L149" i="53"/>
  <c r="L147" i="53"/>
  <c r="C207" i="53"/>
  <c r="C205" i="53"/>
  <c r="C200" i="53"/>
  <c r="C197" i="53"/>
  <c r="E207" i="53"/>
  <c r="E205" i="53"/>
  <c r="E200" i="53"/>
  <c r="E197" i="53"/>
  <c r="G207" i="53"/>
  <c r="G205" i="53"/>
  <c r="G200" i="53"/>
  <c r="G197" i="53"/>
  <c r="I207" i="53"/>
  <c r="I205" i="53"/>
  <c r="I200" i="53"/>
  <c r="I197" i="53"/>
  <c r="K207" i="53"/>
  <c r="K205" i="53"/>
  <c r="K200" i="53"/>
  <c r="K197" i="53"/>
  <c r="M207" i="53"/>
  <c r="M205" i="53"/>
  <c r="M200" i="53"/>
  <c r="M197" i="53"/>
  <c r="M239" i="53"/>
  <c r="K239" i="53"/>
  <c r="I239" i="53"/>
  <c r="G239" i="53"/>
  <c r="E239" i="53"/>
  <c r="C239" i="53"/>
  <c r="L238" i="53"/>
  <c r="J238" i="53"/>
  <c r="H238" i="53"/>
  <c r="F238" i="53"/>
  <c r="D238" i="53"/>
  <c r="B238" i="53"/>
  <c r="L312" i="53"/>
  <c r="L314" i="53"/>
  <c r="L321" i="53"/>
  <c r="L325" i="53"/>
  <c r="J312" i="53"/>
  <c r="J314" i="53"/>
  <c r="J321" i="53"/>
  <c r="J325" i="53"/>
  <c r="H312" i="53"/>
  <c r="H314" i="53"/>
  <c r="H321" i="53"/>
  <c r="H325" i="53"/>
  <c r="F312" i="53"/>
  <c r="F314" i="53"/>
  <c r="F321" i="53"/>
  <c r="F325" i="53"/>
  <c r="D312" i="53"/>
  <c r="D314" i="53"/>
  <c r="D321" i="53"/>
  <c r="D325" i="53"/>
  <c r="B312" i="53"/>
  <c r="C150" i="53"/>
  <c r="C148" i="53"/>
  <c r="E150" i="53"/>
  <c r="E148" i="53"/>
  <c r="G150" i="53"/>
  <c r="G148" i="53"/>
  <c r="I150" i="53"/>
  <c r="I148" i="53"/>
  <c r="K150" i="53"/>
  <c r="K148" i="53"/>
  <c r="M150" i="53"/>
  <c r="M148" i="53"/>
  <c r="C290" i="53"/>
  <c r="C288" i="53"/>
  <c r="C283" i="53"/>
  <c r="C280" i="53"/>
  <c r="E290" i="53"/>
  <c r="E288" i="53"/>
  <c r="E283" i="53"/>
  <c r="E280" i="53"/>
  <c r="G290" i="53"/>
  <c r="G288" i="53"/>
  <c r="G283" i="53"/>
  <c r="G280" i="53"/>
  <c r="I290" i="53"/>
  <c r="I288" i="53"/>
  <c r="I283" i="53"/>
  <c r="I280" i="53"/>
  <c r="K290" i="53"/>
  <c r="K288" i="53"/>
  <c r="K283" i="53"/>
  <c r="K280" i="53"/>
  <c r="M290" i="53"/>
  <c r="M288" i="53"/>
  <c r="M283" i="53"/>
  <c r="M280" i="53"/>
  <c r="C21" i="53"/>
  <c r="C23" i="53"/>
  <c r="E21" i="53"/>
  <c r="E23" i="53"/>
  <c r="G21" i="53"/>
  <c r="G23" i="53"/>
  <c r="I21" i="53"/>
  <c r="I23" i="53"/>
  <c r="K21" i="53"/>
  <c r="K23" i="53"/>
  <c r="M21" i="53"/>
  <c r="M23" i="53"/>
  <c r="C28" i="53"/>
  <c r="E28" i="53"/>
  <c r="G28" i="53"/>
  <c r="I28" i="53"/>
  <c r="K28" i="53"/>
  <c r="M28" i="53"/>
  <c r="C30" i="53"/>
  <c r="E30" i="53"/>
  <c r="G30" i="53"/>
  <c r="I30" i="53"/>
  <c r="K30" i="53"/>
  <c r="M30" i="53"/>
  <c r="N136" i="53"/>
  <c r="B141" i="53"/>
  <c r="D141" i="53"/>
  <c r="D143" i="53"/>
  <c r="F141" i="53"/>
  <c r="F143" i="53"/>
  <c r="H141" i="53"/>
  <c r="H143" i="53"/>
  <c r="J141" i="53"/>
  <c r="J143" i="53"/>
  <c r="L141" i="53"/>
  <c r="L143" i="53"/>
  <c r="B148" i="53"/>
  <c r="F148" i="53"/>
  <c r="J148" i="53"/>
  <c r="D150" i="53"/>
  <c r="H150" i="53"/>
  <c r="L150" i="53"/>
  <c r="C199" i="53"/>
  <c r="C201" i="53"/>
  <c r="G199" i="53"/>
  <c r="G201" i="53"/>
  <c r="K199" i="53"/>
  <c r="K201" i="53"/>
  <c r="C206" i="53"/>
  <c r="G206" i="53"/>
  <c r="K206" i="53"/>
  <c r="E208" i="53"/>
  <c r="I208" i="53"/>
  <c r="M208" i="53"/>
  <c r="H215" i="53"/>
  <c r="E238" i="53"/>
  <c r="I238" i="53"/>
  <c r="M238" i="53"/>
  <c r="D239" i="53"/>
  <c r="H239" i="53"/>
  <c r="L239" i="53"/>
  <c r="J298" i="53"/>
  <c r="J299" i="53"/>
  <c r="E312" i="53"/>
  <c r="E314" i="53"/>
  <c r="E321" i="53"/>
  <c r="E325" i="53"/>
  <c r="I312" i="53"/>
  <c r="I314" i="53"/>
  <c r="I321" i="53"/>
  <c r="I325" i="53"/>
  <c r="M312" i="53"/>
  <c r="M314" i="53"/>
  <c r="M321" i="53"/>
  <c r="M325" i="53"/>
  <c r="N16" i="53"/>
  <c r="C19" i="53"/>
  <c r="E19" i="53"/>
  <c r="G19" i="53"/>
  <c r="I19" i="53"/>
  <c r="K19" i="53"/>
  <c r="M19" i="53"/>
  <c r="B21" i="53"/>
  <c r="D21" i="53"/>
  <c r="D23" i="53"/>
  <c r="F21" i="53"/>
  <c r="F23" i="53"/>
  <c r="H21" i="53"/>
  <c r="H23" i="53"/>
  <c r="J21" i="53"/>
  <c r="J23" i="53"/>
  <c r="J24" i="53"/>
  <c r="L21" i="53"/>
  <c r="L23" i="53"/>
  <c r="C22" i="53"/>
  <c r="E22" i="53"/>
  <c r="G22" i="53"/>
  <c r="I22" i="53"/>
  <c r="K22" i="53"/>
  <c r="M22" i="53"/>
  <c r="C27" i="53"/>
  <c r="E27" i="53"/>
  <c r="G27" i="53"/>
  <c r="I27" i="53"/>
  <c r="K27" i="53"/>
  <c r="M27" i="53"/>
  <c r="B28" i="53"/>
  <c r="D28" i="53"/>
  <c r="F28" i="53"/>
  <c r="H28" i="53"/>
  <c r="J28" i="53"/>
  <c r="L28" i="53"/>
  <c r="B139" i="53"/>
  <c r="D139" i="53"/>
  <c r="F139" i="53"/>
  <c r="H139" i="53"/>
  <c r="J139" i="53"/>
  <c r="L139" i="53"/>
  <c r="C141" i="53"/>
  <c r="C143" i="53"/>
  <c r="E141" i="53"/>
  <c r="E143" i="53"/>
  <c r="G141" i="53"/>
  <c r="G143" i="53"/>
  <c r="I141" i="53"/>
  <c r="I143" i="53"/>
  <c r="K141" i="53"/>
  <c r="K143" i="53"/>
  <c r="M141" i="53"/>
  <c r="M143" i="53"/>
  <c r="B142" i="53"/>
  <c r="D142" i="53"/>
  <c r="F142" i="53"/>
  <c r="H142" i="53"/>
  <c r="J142" i="53"/>
  <c r="L142" i="53"/>
  <c r="E147" i="53"/>
  <c r="I147" i="53"/>
  <c r="M147" i="53"/>
  <c r="D148" i="53"/>
  <c r="H148" i="53"/>
  <c r="L148" i="53"/>
  <c r="C149" i="53"/>
  <c r="G149" i="53"/>
  <c r="K149" i="53"/>
  <c r="B150" i="53"/>
  <c r="F150" i="53"/>
  <c r="J150" i="53"/>
  <c r="J157" i="53"/>
  <c r="J158" i="53"/>
  <c r="N166" i="53"/>
  <c r="E199" i="53"/>
  <c r="E201" i="53"/>
  <c r="I199" i="53"/>
  <c r="I201" i="53"/>
  <c r="M199" i="53"/>
  <c r="M201" i="53"/>
  <c r="E206" i="53"/>
  <c r="I206" i="53"/>
  <c r="M206" i="53"/>
  <c r="C208" i="53"/>
  <c r="G208" i="53"/>
  <c r="K208" i="53"/>
  <c r="F215" i="53"/>
  <c r="G216" i="53"/>
  <c r="C238" i="53"/>
  <c r="G238" i="53"/>
  <c r="K238" i="53"/>
  <c r="B239" i="53"/>
  <c r="F239" i="53"/>
  <c r="J239" i="53"/>
  <c r="N246" i="53"/>
  <c r="C282" i="53"/>
  <c r="C284" i="53"/>
  <c r="G282" i="53"/>
  <c r="G284" i="53"/>
  <c r="K282" i="53"/>
  <c r="K284" i="53"/>
  <c r="C289" i="53"/>
  <c r="G289" i="53"/>
  <c r="K289" i="53"/>
  <c r="E291" i="53"/>
  <c r="I291" i="53"/>
  <c r="M291" i="53"/>
  <c r="C312" i="53"/>
  <c r="C314" i="53"/>
  <c r="C321" i="53"/>
  <c r="C325" i="53"/>
  <c r="G312" i="53"/>
  <c r="G314" i="53"/>
  <c r="G321" i="53"/>
  <c r="G325" i="53"/>
  <c r="K312" i="53"/>
  <c r="K314" i="53"/>
  <c r="K321" i="53"/>
  <c r="K325" i="53"/>
  <c r="N194" i="53"/>
  <c r="B199" i="53"/>
  <c r="D199" i="53"/>
  <c r="D201" i="53"/>
  <c r="F199" i="53"/>
  <c r="F201" i="53"/>
  <c r="H199" i="53"/>
  <c r="H201" i="53"/>
  <c r="J199" i="53"/>
  <c r="J201" i="53"/>
  <c r="L199" i="53"/>
  <c r="L201" i="53"/>
  <c r="B206" i="53"/>
  <c r="D206" i="53"/>
  <c r="F206" i="53"/>
  <c r="H206" i="53"/>
  <c r="J206" i="53"/>
  <c r="L206" i="53"/>
  <c r="N277" i="53"/>
  <c r="B282" i="53"/>
  <c r="D282" i="53"/>
  <c r="D284" i="53"/>
  <c r="F282" i="53"/>
  <c r="F284" i="53"/>
  <c r="G285" i="53"/>
  <c r="H282" i="53"/>
  <c r="H284" i="53"/>
  <c r="J282" i="53"/>
  <c r="J284" i="53"/>
  <c r="L282" i="53"/>
  <c r="L284" i="53"/>
  <c r="B289" i="53"/>
  <c r="D289" i="53"/>
  <c r="F289" i="53"/>
  <c r="H289" i="53"/>
  <c r="J289" i="53"/>
  <c r="L289" i="53"/>
  <c r="K240" i="53"/>
  <c r="K248" i="53"/>
  <c r="K260" i="53"/>
  <c r="J202" i="53"/>
  <c r="N27" i="53"/>
  <c r="N30" i="53"/>
  <c r="N19" i="53"/>
  <c r="N197" i="53"/>
  <c r="N174" i="53"/>
  <c r="N177" i="53"/>
  <c r="N291" i="53"/>
  <c r="G144" i="53"/>
  <c r="N22" i="53"/>
  <c r="N283" i="53"/>
  <c r="N207" i="53"/>
  <c r="I215" i="53"/>
  <c r="K157" i="53"/>
  <c r="L153" i="53"/>
  <c r="L156" i="53"/>
  <c r="N290" i="53"/>
  <c r="N200" i="53"/>
  <c r="N208" i="53"/>
  <c r="N288" i="53"/>
  <c r="M285" i="53"/>
  <c r="G202" i="53"/>
  <c r="N280" i="53"/>
  <c r="N205" i="53"/>
  <c r="C240" i="53"/>
  <c r="C248" i="53"/>
  <c r="C260" i="53"/>
  <c r="G240" i="53"/>
  <c r="G248" i="53"/>
  <c r="G260" i="53"/>
  <c r="H240" i="53"/>
  <c r="H248" i="53"/>
  <c r="H260" i="53"/>
  <c r="I240" i="53"/>
  <c r="I248" i="53"/>
  <c r="I260" i="53"/>
  <c r="B284" i="53"/>
  <c r="D285" i="53"/>
  <c r="N282" i="53"/>
  <c r="N284" i="53"/>
  <c r="B201" i="53"/>
  <c r="D202" i="53"/>
  <c r="N199" i="53"/>
  <c r="B23" i="53"/>
  <c r="D24" i="53"/>
  <c r="N21" i="53"/>
  <c r="N23" i="53"/>
  <c r="B143" i="53"/>
  <c r="D144" i="53"/>
  <c r="N141" i="53"/>
  <c r="B314" i="53"/>
  <c r="N312" i="53"/>
  <c r="B240" i="53"/>
  <c r="N238" i="53"/>
  <c r="K211" i="53"/>
  <c r="K214" i="53"/>
  <c r="J215" i="53"/>
  <c r="B101" i="53"/>
  <c r="N100" i="53"/>
  <c r="M294" i="53"/>
  <c r="M297" i="53"/>
  <c r="L298" i="53"/>
  <c r="N289" i="53"/>
  <c r="N239" i="53"/>
  <c r="N150" i="53"/>
  <c r="J216" i="53"/>
  <c r="J144" i="53"/>
  <c r="M24" i="53"/>
  <c r="D240" i="53"/>
  <c r="D248" i="53"/>
  <c r="D260" i="53"/>
  <c r="L240" i="53"/>
  <c r="L248" i="53"/>
  <c r="L260" i="53"/>
  <c r="N149" i="53"/>
  <c r="J285" i="53"/>
  <c r="N206" i="53"/>
  <c r="N142" i="53"/>
  <c r="M144" i="53"/>
  <c r="N139" i="53"/>
  <c r="N28" i="53"/>
  <c r="M240" i="53"/>
  <c r="M248" i="53"/>
  <c r="M260" i="53"/>
  <c r="E240" i="53"/>
  <c r="E248" i="53"/>
  <c r="E260" i="53"/>
  <c r="M202" i="53"/>
  <c r="N148" i="53"/>
  <c r="G24" i="53"/>
  <c r="F240" i="53"/>
  <c r="F248" i="53"/>
  <c r="F260" i="53"/>
  <c r="J240" i="53"/>
  <c r="J248" i="53"/>
  <c r="J260" i="53"/>
  <c r="N147" i="53"/>
  <c r="M153" i="53"/>
  <c r="M156" i="53"/>
  <c r="L157" i="53"/>
  <c r="N201" i="53"/>
  <c r="M298" i="53"/>
  <c r="M299" i="53"/>
  <c r="N294" i="53"/>
  <c r="B115" i="53"/>
  <c r="B120" i="53"/>
  <c r="N101" i="53"/>
  <c r="K215" i="53"/>
  <c r="L211" i="53"/>
  <c r="L214" i="53"/>
  <c r="B248" i="53"/>
  <c r="N240" i="53"/>
  <c r="N314" i="53"/>
  <c r="B321" i="53"/>
  <c r="N144" i="53"/>
  <c r="N24" i="53"/>
  <c r="N202" i="53"/>
  <c r="N285" i="53"/>
  <c r="N143" i="53"/>
  <c r="M157" i="53"/>
  <c r="N153" i="53"/>
  <c r="M158" i="53"/>
  <c r="B260" i="53"/>
  <c r="N260" i="53"/>
  <c r="N248" i="53"/>
  <c r="N115" i="53"/>
  <c r="N120" i="53"/>
  <c r="B325" i="53"/>
  <c r="N321" i="53"/>
  <c r="N325" i="53"/>
  <c r="M211" i="53"/>
  <c r="M214" i="53"/>
  <c r="L215" i="53"/>
  <c r="M215" i="53"/>
  <c r="M216" i="53"/>
  <c r="N211" i="53"/>
  <c r="Q51" i="38"/>
  <c r="L51" i="38"/>
  <c r="H51" i="38"/>
  <c r="D51" i="38"/>
  <c r="P50" i="38"/>
  <c r="R50" i="38"/>
  <c r="N50" i="38"/>
  <c r="J50" i="38"/>
  <c r="F50" i="38"/>
  <c r="P49" i="38"/>
  <c r="R49" i="38"/>
  <c r="N49" i="38"/>
  <c r="J49" i="38"/>
  <c r="F49" i="38"/>
  <c r="P48" i="38"/>
  <c r="R48" i="38"/>
  <c r="N48" i="38"/>
  <c r="J48" i="38"/>
  <c r="F48" i="38"/>
  <c r="P47" i="38"/>
  <c r="R47" i="38"/>
  <c r="N47" i="38"/>
  <c r="J47" i="38"/>
  <c r="F47" i="38"/>
  <c r="P46" i="38"/>
  <c r="R46" i="38"/>
  <c r="M46" i="38"/>
  <c r="N46" i="38"/>
  <c r="I46" i="38"/>
  <c r="J46" i="38"/>
  <c r="E46" i="38"/>
  <c r="F46" i="38"/>
  <c r="P45" i="38"/>
  <c r="R45" i="38"/>
  <c r="N45" i="38"/>
  <c r="I45" i="38"/>
  <c r="J45" i="38"/>
  <c r="E45" i="38"/>
  <c r="F45" i="38"/>
  <c r="P44" i="38"/>
  <c r="R44" i="38"/>
  <c r="N44" i="38"/>
  <c r="J44" i="38"/>
  <c r="F44" i="38"/>
  <c r="P43" i="38"/>
  <c r="R43" i="38"/>
  <c r="M43" i="38"/>
  <c r="N43" i="38"/>
  <c r="N51" i="38"/>
  <c r="I43" i="38"/>
  <c r="J43" i="38"/>
  <c r="J51" i="38"/>
  <c r="E43" i="38"/>
  <c r="F43" i="38"/>
  <c r="P42" i="38"/>
  <c r="R42" i="38"/>
  <c r="P41" i="38"/>
  <c r="R41" i="38"/>
  <c r="P40" i="38"/>
  <c r="R40" i="38"/>
  <c r="P39" i="38"/>
  <c r="R39" i="38"/>
  <c r="Q28" i="38"/>
  <c r="P28" i="38"/>
  <c r="M28" i="38"/>
  <c r="L28" i="38"/>
  <c r="D28" i="38"/>
  <c r="F28" i="38"/>
  <c r="N27" i="38"/>
  <c r="I27" i="38"/>
  <c r="J27" i="38"/>
  <c r="E27" i="38"/>
  <c r="F27" i="38"/>
  <c r="N26" i="38"/>
  <c r="I26" i="38"/>
  <c r="J26" i="38"/>
  <c r="E26" i="38"/>
  <c r="F26" i="38"/>
  <c r="N25" i="38"/>
  <c r="I25" i="38"/>
  <c r="J25" i="38"/>
  <c r="E25" i="38"/>
  <c r="F25" i="38"/>
  <c r="N24" i="38"/>
  <c r="I24" i="38"/>
  <c r="J24" i="38"/>
  <c r="E24" i="38"/>
  <c r="F24" i="38"/>
  <c r="N23" i="38"/>
  <c r="I23" i="38"/>
  <c r="J23" i="38"/>
  <c r="E23" i="38"/>
  <c r="F23" i="38"/>
  <c r="N22" i="38"/>
  <c r="I22" i="38"/>
  <c r="J22" i="38"/>
  <c r="E22" i="38"/>
  <c r="F22" i="38"/>
  <c r="N21" i="38"/>
  <c r="I21" i="38"/>
  <c r="I28" i="38"/>
  <c r="E21" i="38"/>
  <c r="F21" i="38"/>
  <c r="N20" i="38"/>
  <c r="N28" i="38"/>
  <c r="F20" i="38"/>
  <c r="E51" i="38"/>
  <c r="F51" i="38"/>
  <c r="I51" i="38"/>
  <c r="M51" i="38"/>
  <c r="P51" i="38"/>
  <c r="R51" i="38"/>
  <c r="J21" i="38"/>
  <c r="N108" i="23"/>
  <c r="N107" i="23"/>
  <c r="N4" i="23"/>
  <c r="N5" i="23"/>
  <c r="N6" i="23"/>
  <c r="N7" i="23"/>
  <c r="N8" i="23"/>
  <c r="N9" i="23"/>
  <c r="N10" i="23"/>
  <c r="N11" i="23"/>
  <c r="N12" i="23"/>
  <c r="N13" i="23"/>
  <c r="N14" i="23"/>
  <c r="N15" i="23"/>
  <c r="B16" i="23"/>
  <c r="B19" i="23"/>
  <c r="C16" i="23"/>
  <c r="C21" i="23"/>
  <c r="D16" i="23"/>
  <c r="D19" i="23"/>
  <c r="E16" i="23"/>
  <c r="E21" i="23"/>
  <c r="E23" i="23"/>
  <c r="F16" i="23"/>
  <c r="F19" i="23"/>
  <c r="G16" i="23"/>
  <c r="G21" i="23"/>
  <c r="G23" i="23"/>
  <c r="H16" i="23"/>
  <c r="H19" i="23"/>
  <c r="I16" i="23"/>
  <c r="I19" i="23"/>
  <c r="J16" i="23"/>
  <c r="J19" i="23"/>
  <c r="K16" i="23"/>
  <c r="K22" i="23"/>
  <c r="L16" i="23"/>
  <c r="L19" i="23"/>
  <c r="M16" i="23"/>
  <c r="M19" i="23"/>
  <c r="F21" i="23"/>
  <c r="F23" i="23"/>
  <c r="G22" i="23"/>
  <c r="N25" i="23"/>
  <c r="B28" i="23"/>
  <c r="G28" i="23"/>
  <c r="F30" i="23"/>
  <c r="B36" i="23"/>
  <c r="C33" i="23"/>
  <c r="C36" i="23"/>
  <c r="N42" i="23"/>
  <c r="N43" i="23"/>
  <c r="N44" i="23"/>
  <c r="N45" i="23"/>
  <c r="N46" i="23"/>
  <c r="N50" i="23"/>
  <c r="N51" i="23"/>
  <c r="N52" i="23"/>
  <c r="N53" i="23"/>
  <c r="N54" i="23"/>
  <c r="D61" i="23"/>
  <c r="D62" i="23"/>
  <c r="F89" i="23"/>
  <c r="N60" i="23"/>
  <c r="N88" i="23"/>
  <c r="N89" i="23"/>
  <c r="M99" i="23"/>
  <c r="M100" i="23"/>
  <c r="N98" i="23"/>
  <c r="N101" i="23"/>
  <c r="N102" i="23"/>
  <c r="N103" i="23"/>
  <c r="N106" i="23"/>
  <c r="N105" i="23"/>
  <c r="N104" i="23"/>
  <c r="B109" i="23"/>
  <c r="C109" i="23"/>
  <c r="D109" i="23"/>
  <c r="E109" i="23"/>
  <c r="F109" i="23"/>
  <c r="G109" i="23"/>
  <c r="H109" i="23"/>
  <c r="I109" i="23"/>
  <c r="J109" i="23"/>
  <c r="K109" i="23"/>
  <c r="L109" i="23"/>
  <c r="M109" i="23"/>
  <c r="N110" i="23"/>
  <c r="N112" i="23"/>
  <c r="N113" i="23"/>
  <c r="N119" i="23"/>
  <c r="N120" i="23"/>
  <c r="N121" i="23"/>
  <c r="N122" i="23"/>
  <c r="N123" i="23"/>
  <c r="N124" i="23"/>
  <c r="N125" i="23"/>
  <c r="N126" i="23"/>
  <c r="N127" i="23"/>
  <c r="N128" i="23"/>
  <c r="N129" i="23"/>
  <c r="B130" i="23"/>
  <c r="B133" i="23"/>
  <c r="C130" i="23"/>
  <c r="C133" i="23"/>
  <c r="D130" i="23"/>
  <c r="D133" i="23"/>
  <c r="E130" i="23"/>
  <c r="E135" i="23"/>
  <c r="E137" i="23"/>
  <c r="F130" i="23"/>
  <c r="F133" i="23"/>
  <c r="G130" i="23"/>
  <c r="G133" i="23"/>
  <c r="H130" i="23"/>
  <c r="H133" i="23"/>
  <c r="I130" i="23"/>
  <c r="I133" i="23"/>
  <c r="J130" i="23"/>
  <c r="J133" i="23"/>
  <c r="K130" i="23"/>
  <c r="K133" i="23"/>
  <c r="L130" i="23"/>
  <c r="L133" i="23"/>
  <c r="M130" i="23"/>
  <c r="M135" i="23"/>
  <c r="M137" i="23"/>
  <c r="N139" i="23"/>
  <c r="N148" i="23"/>
  <c r="N149" i="23"/>
  <c r="B150" i="23"/>
  <c r="C147" i="23"/>
  <c r="C150" i="23"/>
  <c r="N150" i="23"/>
  <c r="B151" i="23"/>
  <c r="N156" i="23"/>
  <c r="N157" i="23"/>
  <c r="N158" i="23"/>
  <c r="B159" i="23"/>
  <c r="C159" i="23"/>
  <c r="D159" i="23"/>
  <c r="E159" i="23"/>
  <c r="F159" i="23"/>
  <c r="G159" i="23"/>
  <c r="H159" i="23"/>
  <c r="I159" i="23"/>
  <c r="J159" i="23"/>
  <c r="K159" i="23"/>
  <c r="L159" i="23"/>
  <c r="M159" i="23"/>
  <c r="N160" i="23"/>
  <c r="N161" i="23"/>
  <c r="N162" i="23"/>
  <c r="N163" i="23"/>
  <c r="N164" i="23"/>
  <c r="B165" i="23"/>
  <c r="C165" i="23"/>
  <c r="D165" i="23"/>
  <c r="E165" i="23"/>
  <c r="F165" i="23"/>
  <c r="G165" i="23"/>
  <c r="H165" i="23"/>
  <c r="I165" i="23"/>
  <c r="J165" i="23"/>
  <c r="K165" i="23"/>
  <c r="L165" i="23"/>
  <c r="M165" i="23"/>
  <c r="N166" i="23"/>
  <c r="N168" i="23"/>
  <c r="N175" i="23"/>
  <c r="N176" i="23"/>
  <c r="N177" i="23"/>
  <c r="N178" i="23"/>
  <c r="N179" i="23"/>
  <c r="N180" i="23"/>
  <c r="N181" i="23"/>
  <c r="N182" i="23"/>
  <c r="N183" i="23"/>
  <c r="N184" i="23"/>
  <c r="N185" i="23"/>
  <c r="B186" i="23"/>
  <c r="B191" i="23"/>
  <c r="C186" i="23"/>
  <c r="C191" i="23"/>
  <c r="D186" i="23"/>
  <c r="D191" i="23"/>
  <c r="D193" i="23"/>
  <c r="E186" i="23"/>
  <c r="E191" i="23"/>
  <c r="E193" i="23"/>
  <c r="F186" i="23"/>
  <c r="F191" i="23"/>
  <c r="F193" i="23"/>
  <c r="G186" i="23"/>
  <c r="G191" i="23"/>
  <c r="G193" i="23"/>
  <c r="H186" i="23"/>
  <c r="H197" i="23"/>
  <c r="I186" i="23"/>
  <c r="I197" i="23"/>
  <c r="J186" i="23"/>
  <c r="J197" i="23"/>
  <c r="K186" i="23"/>
  <c r="K191" i="23"/>
  <c r="K193" i="23"/>
  <c r="L186" i="23"/>
  <c r="L191" i="23"/>
  <c r="L193" i="23"/>
  <c r="M186" i="23"/>
  <c r="M191" i="23"/>
  <c r="M193" i="23"/>
  <c r="D189" i="23"/>
  <c r="N195" i="23"/>
  <c r="D197" i="23"/>
  <c r="N204" i="23"/>
  <c r="N205" i="23"/>
  <c r="B206" i="23"/>
  <c r="B207" i="23"/>
  <c r="N206" i="23"/>
  <c r="M217" i="23"/>
  <c r="M218" i="23"/>
  <c r="D221" i="23"/>
  <c r="D222" i="23"/>
  <c r="N232" i="23"/>
  <c r="N233" i="23"/>
  <c r="N234" i="23"/>
  <c r="B235" i="23"/>
  <c r="C235" i="23"/>
  <c r="D235" i="23"/>
  <c r="E235" i="23"/>
  <c r="F235" i="23"/>
  <c r="G235" i="23"/>
  <c r="H235" i="23"/>
  <c r="I235" i="23"/>
  <c r="J235" i="23"/>
  <c r="K235" i="23"/>
  <c r="L235" i="23"/>
  <c r="M235" i="23"/>
  <c r="N236" i="23"/>
  <c r="N238" i="23"/>
  <c r="N239" i="23"/>
  <c r="N246" i="23"/>
  <c r="N247" i="23"/>
  <c r="N248" i="23"/>
  <c r="N249" i="23"/>
  <c r="N250" i="23"/>
  <c r="N251" i="23"/>
  <c r="N252" i="23"/>
  <c r="N253" i="23"/>
  <c r="N254" i="23"/>
  <c r="N255" i="23"/>
  <c r="N256" i="23"/>
  <c r="B257" i="23"/>
  <c r="B262" i="23"/>
  <c r="B264" i="23"/>
  <c r="C257" i="23"/>
  <c r="C260" i="23"/>
  <c r="D257" i="23"/>
  <c r="D262" i="23"/>
  <c r="D264" i="23"/>
  <c r="E257" i="23"/>
  <c r="E262" i="23"/>
  <c r="E264" i="23"/>
  <c r="F257" i="23"/>
  <c r="F262" i="23"/>
  <c r="F264" i="23"/>
  <c r="G257" i="23"/>
  <c r="G262" i="23"/>
  <c r="G264" i="23"/>
  <c r="H257" i="23"/>
  <c r="H271" i="23"/>
  <c r="I257" i="23"/>
  <c r="I260" i="23"/>
  <c r="J257" i="23"/>
  <c r="J262" i="23"/>
  <c r="J264" i="23"/>
  <c r="K257" i="23"/>
  <c r="K260" i="23"/>
  <c r="L257" i="23"/>
  <c r="L269" i="23"/>
  <c r="M257" i="23"/>
  <c r="M260" i="23"/>
  <c r="N266" i="23"/>
  <c r="N275" i="23"/>
  <c r="N276" i="23"/>
  <c r="B277" i="23"/>
  <c r="B278" i="23"/>
  <c r="C277" i="23"/>
  <c r="C278" i="23"/>
  <c r="D277" i="23"/>
  <c r="D278" i="23"/>
  <c r="D279" i="23"/>
  <c r="E277" i="23"/>
  <c r="E278" i="23"/>
  <c r="F277" i="23"/>
  <c r="F278" i="23"/>
  <c r="G277" i="23"/>
  <c r="G278" i="23"/>
  <c r="H277" i="23"/>
  <c r="H278" i="23"/>
  <c r="I277" i="23"/>
  <c r="J274" i="23"/>
  <c r="J277" i="23"/>
  <c r="N277" i="23"/>
  <c r="D287" i="23"/>
  <c r="D288" i="23"/>
  <c r="N293" i="23"/>
  <c r="N295" i="23"/>
  <c r="N296" i="23"/>
  <c r="N297" i="23"/>
  <c r="N298" i="23"/>
  <c r="B299" i="23"/>
  <c r="C299" i="23"/>
  <c r="D299" i="23"/>
  <c r="E299" i="23"/>
  <c r="F299" i="23"/>
  <c r="G299" i="23"/>
  <c r="H299" i="23"/>
  <c r="I299" i="23"/>
  <c r="J299" i="23"/>
  <c r="K299" i="23"/>
  <c r="L299" i="23"/>
  <c r="M299" i="23"/>
  <c r="N300" i="23"/>
  <c r="N302" i="23"/>
  <c r="N303" i="23"/>
  <c r="I4" i="1"/>
  <c r="I9" i="1"/>
  <c r="I11" i="1"/>
  <c r="I13" i="1"/>
  <c r="I15" i="1"/>
  <c r="I17" i="1"/>
  <c r="I19" i="1"/>
  <c r="B20" i="1"/>
  <c r="C20" i="1"/>
  <c r="D20" i="1"/>
  <c r="E20" i="1"/>
  <c r="F20" i="1"/>
  <c r="G20" i="1"/>
  <c r="H20" i="1"/>
  <c r="I25" i="1"/>
  <c r="I27" i="1"/>
  <c r="I29" i="1"/>
  <c r="B30" i="1"/>
  <c r="C30" i="1"/>
  <c r="D30" i="1"/>
  <c r="E30" i="1"/>
  <c r="F30" i="1"/>
  <c r="G30" i="1"/>
  <c r="H30" i="1"/>
  <c r="I36" i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B65" i="1"/>
  <c r="C65" i="1"/>
  <c r="D65" i="1"/>
  <c r="E65" i="1"/>
  <c r="F65" i="1"/>
  <c r="G65" i="1"/>
  <c r="H65" i="1"/>
  <c r="I69" i="1"/>
  <c r="I71" i="1"/>
  <c r="I73" i="1"/>
  <c r="B74" i="1"/>
  <c r="C74" i="1"/>
  <c r="D74" i="1"/>
  <c r="E74" i="1"/>
  <c r="F74" i="1"/>
  <c r="G74" i="1"/>
  <c r="H74" i="1"/>
  <c r="I78" i="1"/>
  <c r="I80" i="1"/>
  <c r="I82" i="1"/>
  <c r="I84" i="1"/>
  <c r="I86" i="1"/>
  <c r="I88" i="1"/>
  <c r="B89" i="1"/>
  <c r="C89" i="1"/>
  <c r="D89" i="1"/>
  <c r="E89" i="1"/>
  <c r="F89" i="1"/>
  <c r="G89" i="1"/>
  <c r="H89" i="1"/>
  <c r="I93" i="1"/>
  <c r="I95" i="1"/>
  <c r="I97" i="1"/>
  <c r="B98" i="1"/>
  <c r="C98" i="1"/>
  <c r="D98" i="1"/>
  <c r="E98" i="1"/>
  <c r="F98" i="1"/>
  <c r="G98" i="1"/>
  <c r="H98" i="1"/>
  <c r="I102" i="1"/>
  <c r="I107" i="1"/>
  <c r="I112" i="1"/>
  <c r="I114" i="1"/>
  <c r="I116" i="1"/>
  <c r="B117" i="1"/>
  <c r="C117" i="1"/>
  <c r="D117" i="1"/>
  <c r="E117" i="1"/>
  <c r="F117" i="1"/>
  <c r="G117" i="1"/>
  <c r="H117" i="1"/>
  <c r="I122" i="1"/>
  <c r="I127" i="1"/>
  <c r="I135" i="1"/>
  <c r="I137" i="1"/>
  <c r="I139" i="1"/>
  <c r="I141" i="1"/>
  <c r="I143" i="1"/>
  <c r="B144" i="1"/>
  <c r="C144" i="1"/>
  <c r="D144" i="1"/>
  <c r="E144" i="1"/>
  <c r="F144" i="1"/>
  <c r="G144" i="1"/>
  <c r="H144" i="1"/>
  <c r="I153" i="1"/>
  <c r="I154" i="1"/>
  <c r="I155" i="1"/>
  <c r="I4" i="3"/>
  <c r="I8" i="3"/>
  <c r="I14" i="3"/>
  <c r="N15" i="3"/>
  <c r="I16" i="3"/>
  <c r="N16" i="3"/>
  <c r="I18" i="3"/>
  <c r="I20" i="3"/>
  <c r="N18" i="3"/>
  <c r="I24" i="3"/>
  <c r="N20" i="3"/>
  <c r="I22" i="3"/>
  <c r="B25" i="3"/>
  <c r="C25" i="3"/>
  <c r="D25" i="3"/>
  <c r="E25" i="3"/>
  <c r="F25" i="3"/>
  <c r="G25" i="3"/>
  <c r="H25" i="3"/>
  <c r="I29" i="3"/>
  <c r="I31" i="3"/>
  <c r="I33" i="3"/>
  <c r="M33" i="3"/>
  <c r="B34" i="3"/>
  <c r="C34" i="3"/>
  <c r="D34" i="3"/>
  <c r="E34" i="3"/>
  <c r="F34" i="3"/>
  <c r="G34" i="3"/>
  <c r="H34" i="3"/>
  <c r="I41" i="3"/>
  <c r="N41" i="3"/>
  <c r="I47" i="3"/>
  <c r="N42" i="3"/>
  <c r="I43" i="3"/>
  <c r="N46" i="3"/>
  <c r="I53" i="3"/>
  <c r="N43" i="3"/>
  <c r="I59" i="3"/>
  <c r="N44" i="3"/>
  <c r="I45" i="3"/>
  <c r="N51" i="3"/>
  <c r="I49" i="3"/>
  <c r="N47" i="3"/>
  <c r="I55" i="3"/>
  <c r="N48" i="3"/>
  <c r="I61" i="3"/>
  <c r="N49" i="3"/>
  <c r="I67" i="3"/>
  <c r="N50" i="3"/>
  <c r="I51" i="3"/>
  <c r="N52" i="3"/>
  <c r="I57" i="3"/>
  <c r="N53" i="3"/>
  <c r="I63" i="3"/>
  <c r="N54" i="3"/>
  <c r="I65" i="3"/>
  <c r="M66" i="3"/>
  <c r="I69" i="3"/>
  <c r="B70" i="3"/>
  <c r="C70" i="3"/>
  <c r="D70" i="3"/>
  <c r="E70" i="3"/>
  <c r="F70" i="3"/>
  <c r="G70" i="3"/>
  <c r="H70" i="3"/>
  <c r="I78" i="3"/>
  <c r="I80" i="3"/>
  <c r="I82" i="3"/>
  <c r="I84" i="3"/>
  <c r="I86" i="3"/>
  <c r="I88" i="3"/>
  <c r="I90" i="3"/>
  <c r="I92" i="3"/>
  <c r="I94" i="3"/>
  <c r="I96" i="3"/>
  <c r="I98" i="3"/>
  <c r="I100" i="3"/>
  <c r="I102" i="3"/>
  <c r="I104" i="3"/>
  <c r="I106" i="3"/>
  <c r="B107" i="3"/>
  <c r="C107" i="3"/>
  <c r="D107" i="3"/>
  <c r="E107" i="3"/>
  <c r="F107" i="3"/>
  <c r="G107" i="3"/>
  <c r="H107" i="3"/>
  <c r="I114" i="3"/>
  <c r="I117" i="3"/>
  <c r="I123" i="3"/>
  <c r="G125" i="3"/>
  <c r="H125" i="3"/>
  <c r="I125" i="3"/>
  <c r="S127" i="3"/>
  <c r="I129" i="3"/>
  <c r="I131" i="3"/>
  <c r="N130" i="3"/>
  <c r="B132" i="3"/>
  <c r="C132" i="3"/>
  <c r="D132" i="3"/>
  <c r="E132" i="3"/>
  <c r="F132" i="3"/>
  <c r="G132" i="3"/>
  <c r="H132" i="3"/>
  <c r="I139" i="3"/>
  <c r="I141" i="3"/>
  <c r="N142" i="3"/>
  <c r="I143" i="3"/>
  <c r="B144" i="3"/>
  <c r="C144" i="3"/>
  <c r="D144" i="3"/>
  <c r="E144" i="3"/>
  <c r="F144" i="3"/>
  <c r="G144" i="3"/>
  <c r="H144" i="3"/>
  <c r="I151" i="3"/>
  <c r="I153" i="3"/>
  <c r="I155" i="3"/>
  <c r="I157" i="3"/>
  <c r="I159" i="3"/>
  <c r="I161" i="3"/>
  <c r="B162" i="3"/>
  <c r="C162" i="3"/>
  <c r="D162" i="3"/>
  <c r="E162" i="3"/>
  <c r="F162" i="3"/>
  <c r="G162" i="3"/>
  <c r="H162" i="3"/>
  <c r="S166" i="3"/>
  <c r="I173" i="3"/>
  <c r="N171" i="3"/>
  <c r="I181" i="3"/>
  <c r="B182" i="3"/>
  <c r="C182" i="3"/>
  <c r="D182" i="3"/>
  <c r="E182" i="3"/>
  <c r="F182" i="3"/>
  <c r="G182" i="3"/>
  <c r="H182" i="3"/>
  <c r="S187" i="3"/>
  <c r="I190" i="3"/>
  <c r="N190" i="3"/>
  <c r="I192" i="3"/>
  <c r="N191" i="3"/>
  <c r="I194" i="3"/>
  <c r="N192" i="3"/>
  <c r="I196" i="3"/>
  <c r="I198" i="3"/>
  <c r="I200" i="3"/>
  <c r="I202" i="3"/>
  <c r="B203" i="3"/>
  <c r="C203" i="3"/>
  <c r="D203" i="3"/>
  <c r="E203" i="3"/>
  <c r="F203" i="3"/>
  <c r="G203" i="3"/>
  <c r="H203" i="3"/>
  <c r="I209" i="3"/>
  <c r="I211" i="3"/>
  <c r="I213" i="3"/>
  <c r="B214" i="3"/>
  <c r="C214" i="3"/>
  <c r="D214" i="3"/>
  <c r="E214" i="3"/>
  <c r="F214" i="3"/>
  <c r="G214" i="3"/>
  <c r="H214" i="3"/>
  <c r="I223" i="3"/>
  <c r="I224" i="3"/>
  <c r="I225" i="3"/>
  <c r="I236" i="3"/>
  <c r="I238" i="3"/>
  <c r="I240" i="3"/>
  <c r="I242" i="3"/>
  <c r="I244" i="3"/>
  <c r="I246" i="3"/>
  <c r="I248" i="3"/>
  <c r="I250" i="3"/>
  <c r="I252" i="3"/>
  <c r="I254" i="3"/>
  <c r="I256" i="3"/>
  <c r="I258" i="3"/>
  <c r="I260" i="3"/>
  <c r="I262" i="3"/>
  <c r="I264" i="3"/>
  <c r="B265" i="3"/>
  <c r="C265" i="3"/>
  <c r="D265" i="3"/>
  <c r="E265" i="3"/>
  <c r="F265" i="3"/>
  <c r="G265" i="3"/>
  <c r="H265" i="3"/>
  <c r="I4" i="2"/>
  <c r="G7" i="2"/>
  <c r="H7" i="2"/>
  <c r="I7" i="2"/>
  <c r="I11" i="2"/>
  <c r="G14" i="2"/>
  <c r="H14" i="2"/>
  <c r="I14" i="2"/>
  <c r="I36" i="2"/>
  <c r="I39" i="2"/>
  <c r="I42" i="2"/>
  <c r="I45" i="2"/>
  <c r="I48" i="2"/>
  <c r="I51" i="2"/>
  <c r="B53" i="2"/>
  <c r="C53" i="2"/>
  <c r="D53" i="2"/>
  <c r="E53" i="2"/>
  <c r="F53" i="2"/>
  <c r="G53" i="2"/>
  <c r="H53" i="2"/>
  <c r="I57" i="2"/>
  <c r="I60" i="2"/>
  <c r="I63" i="2"/>
  <c r="B65" i="2"/>
  <c r="C65" i="2"/>
  <c r="D65" i="2"/>
  <c r="E65" i="2"/>
  <c r="F65" i="2"/>
  <c r="G65" i="2"/>
  <c r="H65" i="2"/>
  <c r="I73" i="2"/>
  <c r="I76" i="2"/>
  <c r="I79" i="2"/>
  <c r="I82" i="2"/>
  <c r="I85" i="2"/>
  <c r="I88" i="2"/>
  <c r="I91" i="2"/>
  <c r="I94" i="2"/>
  <c r="I97" i="2"/>
  <c r="I100" i="2"/>
  <c r="I103" i="2"/>
  <c r="I106" i="2"/>
  <c r="I109" i="2"/>
  <c r="I112" i="2"/>
  <c r="I115" i="2"/>
  <c r="B116" i="2"/>
  <c r="C116" i="2"/>
  <c r="D116" i="2"/>
  <c r="E116" i="2"/>
  <c r="F116" i="2"/>
  <c r="G116" i="2"/>
  <c r="H116" i="2"/>
  <c r="I157" i="2"/>
  <c r="I162" i="2"/>
  <c r="B163" i="2"/>
  <c r="C163" i="2"/>
  <c r="D163" i="2"/>
  <c r="E163" i="2"/>
  <c r="F163" i="2"/>
  <c r="I169" i="2"/>
  <c r="G172" i="2"/>
  <c r="H172" i="2"/>
  <c r="I172" i="2"/>
  <c r="I184" i="2"/>
  <c r="I187" i="2"/>
  <c r="B189" i="2"/>
  <c r="C189" i="2"/>
  <c r="D189" i="2"/>
  <c r="E189" i="2"/>
  <c r="F189" i="2"/>
  <c r="G189" i="2"/>
  <c r="H189" i="2"/>
  <c r="I196" i="2"/>
  <c r="I199" i="2"/>
  <c r="I202" i="2"/>
  <c r="B204" i="2"/>
  <c r="C204" i="2"/>
  <c r="D204" i="2"/>
  <c r="E204" i="2"/>
  <c r="F204" i="2"/>
  <c r="G204" i="2"/>
  <c r="H204" i="2"/>
  <c r="I221" i="2"/>
  <c r="I224" i="2"/>
  <c r="I227" i="2"/>
  <c r="I230" i="2"/>
  <c r="I233" i="2"/>
  <c r="I236" i="2"/>
  <c r="B238" i="2"/>
  <c r="C238" i="2"/>
  <c r="D238" i="2"/>
  <c r="E238" i="2"/>
  <c r="F238" i="2"/>
  <c r="G238" i="2"/>
  <c r="H238" i="2"/>
  <c r="B247" i="2"/>
  <c r="C247" i="2"/>
  <c r="D247" i="2"/>
  <c r="E247" i="2"/>
  <c r="F247" i="2"/>
  <c r="G247" i="2"/>
  <c r="H247" i="2"/>
  <c r="G249" i="2"/>
  <c r="H249" i="2"/>
  <c r="I249" i="2"/>
  <c r="I257" i="2"/>
  <c r="I260" i="2"/>
  <c r="I263" i="2"/>
  <c r="I266" i="2"/>
  <c r="I269" i="2"/>
  <c r="I272" i="2"/>
  <c r="I275" i="2"/>
  <c r="B277" i="2"/>
  <c r="C277" i="2"/>
  <c r="D277" i="2"/>
  <c r="E277" i="2"/>
  <c r="F277" i="2"/>
  <c r="G277" i="2"/>
  <c r="H277" i="2"/>
  <c r="I291" i="2"/>
  <c r="I292" i="2"/>
  <c r="I293" i="2"/>
  <c r="N4" i="21"/>
  <c r="N5" i="21"/>
  <c r="N6" i="21"/>
  <c r="N7" i="21"/>
  <c r="N8" i="21"/>
  <c r="N9" i="21"/>
  <c r="N10" i="21"/>
  <c r="N11" i="21"/>
  <c r="N12" i="21"/>
  <c r="N13" i="21"/>
  <c r="N14" i="21"/>
  <c r="N15" i="21"/>
  <c r="B16" i="21"/>
  <c r="B21" i="21"/>
  <c r="B23" i="21"/>
  <c r="C16" i="21"/>
  <c r="C19" i="21"/>
  <c r="D16" i="21"/>
  <c r="D29" i="21"/>
  <c r="E16" i="21"/>
  <c r="E29" i="21"/>
  <c r="F16" i="21"/>
  <c r="F21" i="21"/>
  <c r="F23" i="21"/>
  <c r="G16" i="21"/>
  <c r="G28" i="21"/>
  <c r="H16" i="21"/>
  <c r="H19" i="21"/>
  <c r="I16" i="21"/>
  <c r="I29" i="21"/>
  <c r="J16" i="21"/>
  <c r="J28" i="21"/>
  <c r="K16" i="21"/>
  <c r="K27" i="21"/>
  <c r="L16" i="21"/>
  <c r="L28" i="21"/>
  <c r="M16" i="21"/>
  <c r="M30" i="21"/>
  <c r="N25" i="21"/>
  <c r="B36" i="21"/>
  <c r="C33" i="21"/>
  <c r="C36" i="21"/>
  <c r="N42" i="21"/>
  <c r="N43" i="21"/>
  <c r="N44" i="21"/>
  <c r="N45" i="21"/>
  <c r="N46" i="21"/>
  <c r="N50" i="21"/>
  <c r="N51" i="21"/>
  <c r="N52" i="21"/>
  <c r="N53" i="21"/>
  <c r="N54" i="21"/>
  <c r="F89" i="21"/>
  <c r="N60" i="21"/>
  <c r="N88" i="21"/>
  <c r="N89" i="21"/>
  <c r="D61" i="21"/>
  <c r="D62" i="21"/>
  <c r="N98" i="21"/>
  <c r="N101" i="21"/>
  <c r="N102" i="21"/>
  <c r="N103" i="21"/>
  <c r="N104" i="21"/>
  <c r="N105" i="21"/>
  <c r="B107" i="21"/>
  <c r="C107" i="21"/>
  <c r="D107" i="21"/>
  <c r="E107" i="21"/>
  <c r="F107" i="21"/>
  <c r="G107" i="21"/>
  <c r="H107" i="21"/>
  <c r="I107" i="21"/>
  <c r="J107" i="21"/>
  <c r="K107" i="21"/>
  <c r="L107" i="21"/>
  <c r="M107" i="21"/>
  <c r="N108" i="21"/>
  <c r="N110" i="21"/>
  <c r="N111" i="21"/>
  <c r="N117" i="21"/>
  <c r="N118" i="21"/>
  <c r="N119" i="21"/>
  <c r="N120" i="21"/>
  <c r="N121" i="21"/>
  <c r="N122" i="21"/>
  <c r="N123" i="21"/>
  <c r="N124" i="21"/>
  <c r="N125" i="21"/>
  <c r="N126" i="21"/>
  <c r="N127" i="21"/>
  <c r="B128" i="21"/>
  <c r="B140" i="21"/>
  <c r="C128" i="21"/>
  <c r="C142" i="21"/>
  <c r="D128" i="21"/>
  <c r="D139" i="21"/>
  <c r="E128" i="21"/>
  <c r="E131" i="21"/>
  <c r="F128" i="21"/>
  <c r="F133" i="21"/>
  <c r="F135" i="21"/>
  <c r="G128" i="21"/>
  <c r="G131" i="21"/>
  <c r="H128" i="21"/>
  <c r="H142" i="21"/>
  <c r="I128" i="21"/>
  <c r="I139" i="21"/>
  <c r="J128" i="21"/>
  <c r="J142" i="21"/>
  <c r="K128" i="21"/>
  <c r="K131" i="21"/>
  <c r="L128" i="21"/>
  <c r="L140" i="21"/>
  <c r="M128" i="21"/>
  <c r="M141" i="21"/>
  <c r="N137" i="21"/>
  <c r="B148" i="21"/>
  <c r="C145" i="21"/>
  <c r="C148" i="21"/>
  <c r="D145" i="21"/>
  <c r="D148" i="21"/>
  <c r="N146" i="21"/>
  <c r="N147" i="21"/>
  <c r="N148" i="21"/>
  <c r="N154" i="21"/>
  <c r="N155" i="21"/>
  <c r="N156" i="21"/>
  <c r="B157" i="21"/>
  <c r="C157" i="21"/>
  <c r="D157" i="21"/>
  <c r="E157" i="21"/>
  <c r="F157" i="21"/>
  <c r="G157" i="21"/>
  <c r="H157" i="21"/>
  <c r="I157" i="21"/>
  <c r="J157" i="21"/>
  <c r="K157" i="21"/>
  <c r="L157" i="21"/>
  <c r="M157" i="21"/>
  <c r="N158" i="21"/>
  <c r="N159" i="21"/>
  <c r="N160" i="21"/>
  <c r="N161" i="21"/>
  <c r="N162" i="21"/>
  <c r="B163" i="21"/>
  <c r="C163" i="21"/>
  <c r="D163" i="21"/>
  <c r="E163" i="21"/>
  <c r="F163" i="21"/>
  <c r="G163" i="21"/>
  <c r="H163" i="21"/>
  <c r="I163" i="21"/>
  <c r="J163" i="21"/>
  <c r="K163" i="21"/>
  <c r="L163" i="21"/>
  <c r="M163" i="21"/>
  <c r="N164" i="21"/>
  <c r="N166" i="21"/>
  <c r="N173" i="21"/>
  <c r="N174" i="21"/>
  <c r="N175" i="21"/>
  <c r="N176" i="21"/>
  <c r="N177" i="21"/>
  <c r="N178" i="21"/>
  <c r="N179" i="21"/>
  <c r="N180" i="21"/>
  <c r="N181" i="21"/>
  <c r="N182" i="21"/>
  <c r="N183" i="21"/>
  <c r="B184" i="21"/>
  <c r="B187" i="21"/>
  <c r="C184" i="21"/>
  <c r="C196" i="21"/>
  <c r="D184" i="21"/>
  <c r="D197" i="21"/>
  <c r="E184" i="21"/>
  <c r="E190" i="21"/>
  <c r="F184" i="21"/>
  <c r="F190" i="21"/>
  <c r="G184" i="21"/>
  <c r="G196" i="21"/>
  <c r="H184" i="21"/>
  <c r="H187" i="21"/>
  <c r="I184" i="21"/>
  <c r="I187" i="21"/>
  <c r="J184" i="21"/>
  <c r="J189" i="21"/>
  <c r="J191" i="21"/>
  <c r="K184" i="21"/>
  <c r="K195" i="21"/>
  <c r="L184" i="21"/>
  <c r="L187" i="21"/>
  <c r="M184" i="21"/>
  <c r="M195" i="21"/>
  <c r="H189" i="21"/>
  <c r="H191" i="21"/>
  <c r="N193" i="21"/>
  <c r="B204" i="21"/>
  <c r="C201" i="21"/>
  <c r="C204" i="21"/>
  <c r="N202" i="21"/>
  <c r="N203" i="21"/>
  <c r="N204" i="21"/>
  <c r="M215" i="21"/>
  <c r="M216" i="21"/>
  <c r="D219" i="21"/>
  <c r="D220" i="21"/>
  <c r="N230" i="21"/>
  <c r="N231" i="21"/>
  <c r="N232" i="21"/>
  <c r="B233" i="21"/>
  <c r="C233" i="21"/>
  <c r="D233" i="21"/>
  <c r="E233" i="21"/>
  <c r="F233" i="21"/>
  <c r="G233" i="21"/>
  <c r="H233" i="21"/>
  <c r="I233" i="21"/>
  <c r="J233" i="21"/>
  <c r="K233" i="21"/>
  <c r="L233" i="21"/>
  <c r="M233" i="21"/>
  <c r="N234" i="21"/>
  <c r="N236" i="21"/>
  <c r="N237" i="21"/>
  <c r="N244" i="21"/>
  <c r="N245" i="21"/>
  <c r="N246" i="21"/>
  <c r="N247" i="21"/>
  <c r="N248" i="21"/>
  <c r="N249" i="21"/>
  <c r="N250" i="21"/>
  <c r="N251" i="21"/>
  <c r="N252" i="21"/>
  <c r="N253" i="21"/>
  <c r="N254" i="21"/>
  <c r="B255" i="21"/>
  <c r="B260" i="21"/>
  <c r="B262" i="21"/>
  <c r="C255" i="21"/>
  <c r="C269" i="21"/>
  <c r="D255" i="21"/>
  <c r="D268" i="21"/>
  <c r="E255" i="21"/>
  <c r="E267" i="21"/>
  <c r="F255" i="21"/>
  <c r="F260" i="21"/>
  <c r="F262" i="21"/>
  <c r="G255" i="21"/>
  <c r="G267" i="21"/>
  <c r="H255" i="21"/>
  <c r="H258" i="21"/>
  <c r="I255" i="21"/>
  <c r="I268" i="21"/>
  <c r="J255" i="21"/>
  <c r="J267" i="21"/>
  <c r="K255" i="21"/>
  <c r="K266" i="21"/>
  <c r="L255" i="21"/>
  <c r="L267" i="21"/>
  <c r="M255" i="21"/>
  <c r="M268" i="21"/>
  <c r="N264" i="21"/>
  <c r="I275" i="21"/>
  <c r="J272" i="21"/>
  <c r="J275" i="21"/>
  <c r="N273" i="21"/>
  <c r="N274" i="21"/>
  <c r="B275" i="21"/>
  <c r="B276" i="21"/>
  <c r="C275" i="21"/>
  <c r="C276" i="21"/>
  <c r="D275" i="21"/>
  <c r="D276" i="21"/>
  <c r="D277" i="21"/>
  <c r="E275" i="21"/>
  <c r="E276" i="21"/>
  <c r="F275" i="21"/>
  <c r="F276" i="21"/>
  <c r="G275" i="21"/>
  <c r="G276" i="21"/>
  <c r="H275" i="21"/>
  <c r="H276" i="21"/>
  <c r="N275" i="21"/>
  <c r="D285" i="21"/>
  <c r="D286" i="21"/>
  <c r="B290" i="21"/>
  <c r="B292" i="21"/>
  <c r="N291" i="21"/>
  <c r="N293" i="21"/>
  <c r="N294" i="21"/>
  <c r="N295" i="21"/>
  <c r="N296" i="21"/>
  <c r="B297" i="21"/>
  <c r="C297" i="21"/>
  <c r="D297" i="21"/>
  <c r="E297" i="21"/>
  <c r="F297" i="21"/>
  <c r="G297" i="21"/>
  <c r="H297" i="21"/>
  <c r="I297" i="21"/>
  <c r="J297" i="21"/>
  <c r="K297" i="21"/>
  <c r="L297" i="21"/>
  <c r="M297" i="21"/>
  <c r="N298" i="21"/>
  <c r="N300" i="21"/>
  <c r="N301" i="21"/>
  <c r="B260" i="23"/>
  <c r="M198" i="23"/>
  <c r="I198" i="23"/>
  <c r="E198" i="23"/>
  <c r="M192" i="23"/>
  <c r="M199" i="23"/>
  <c r="K192" i="23"/>
  <c r="K199" i="23"/>
  <c r="I192" i="23"/>
  <c r="G189" i="23"/>
  <c r="G197" i="23"/>
  <c r="E189" i="23"/>
  <c r="E197" i="23"/>
  <c r="C192" i="23"/>
  <c r="C199" i="23"/>
  <c r="J143" i="23"/>
  <c r="F143" i="23"/>
  <c r="B143" i="23"/>
  <c r="J141" i="23"/>
  <c r="F141" i="23"/>
  <c r="B141" i="23"/>
  <c r="J136" i="23"/>
  <c r="F136" i="23"/>
  <c r="B136" i="23"/>
  <c r="L27" i="23"/>
  <c r="J135" i="23"/>
  <c r="J137" i="23"/>
  <c r="B37" i="23"/>
  <c r="C271" i="23"/>
  <c r="E270" i="23"/>
  <c r="K269" i="23"/>
  <c r="E269" i="23"/>
  <c r="G268" i="23"/>
  <c r="M263" i="23"/>
  <c r="K262" i="23"/>
  <c r="K264" i="23"/>
  <c r="F142" i="23"/>
  <c r="H135" i="23"/>
  <c r="H137" i="23"/>
  <c r="G30" i="23"/>
  <c r="G29" i="23"/>
  <c r="M27" i="23"/>
  <c r="E260" i="23"/>
  <c r="C270" i="23"/>
  <c r="I268" i="23"/>
  <c r="C263" i="23"/>
  <c r="B144" i="23"/>
  <c r="K30" i="23"/>
  <c r="E30" i="23"/>
  <c r="E29" i="23"/>
  <c r="I28" i="23"/>
  <c r="K27" i="23"/>
  <c r="C22" i="23"/>
  <c r="M29" i="23"/>
  <c r="I22" i="23"/>
  <c r="K21" i="23"/>
  <c r="K23" i="23"/>
  <c r="K270" i="23"/>
  <c r="E268" i="23"/>
  <c r="L144" i="23"/>
  <c r="L142" i="23"/>
  <c r="E27" i="21"/>
  <c r="M271" i="23"/>
  <c r="G263" i="23"/>
  <c r="C200" i="23"/>
  <c r="H144" i="23"/>
  <c r="K19" i="23"/>
  <c r="I271" i="23"/>
  <c r="E28" i="23"/>
  <c r="E27" i="23"/>
  <c r="L196" i="21"/>
  <c r="G200" i="23"/>
  <c r="B135" i="23"/>
  <c r="B137" i="23"/>
  <c r="K200" i="23"/>
  <c r="D135" i="23"/>
  <c r="C193" i="23"/>
  <c r="B99" i="23"/>
  <c r="B100" i="23"/>
  <c r="B111" i="23"/>
  <c r="B114" i="23"/>
  <c r="E99" i="23"/>
  <c r="E100" i="23"/>
  <c r="I99" i="23"/>
  <c r="I100" i="23"/>
  <c r="B189" i="21"/>
  <c r="B191" i="21"/>
  <c r="C139" i="21"/>
  <c r="I191" i="23"/>
  <c r="I193" i="23"/>
  <c r="M131" i="21"/>
  <c r="M28" i="21"/>
  <c r="I262" i="23"/>
  <c r="D290" i="21"/>
  <c r="D292" i="21"/>
  <c r="D299" i="21"/>
  <c r="D302" i="21"/>
  <c r="F99" i="23"/>
  <c r="F100" i="23"/>
  <c r="F111" i="23"/>
  <c r="F114" i="23"/>
  <c r="J99" i="23"/>
  <c r="J100" i="23"/>
  <c r="J111" i="23"/>
  <c r="J114" i="23"/>
  <c r="C99" i="23"/>
  <c r="C100" i="23"/>
  <c r="F198" i="23"/>
  <c r="L270" i="23"/>
  <c r="M140" i="21"/>
  <c r="G27" i="23"/>
  <c r="J189" i="23"/>
  <c r="M143" i="23"/>
  <c r="L200" i="23"/>
  <c r="I135" i="23"/>
  <c r="I137" i="23"/>
  <c r="E30" i="21"/>
  <c r="I131" i="21"/>
  <c r="I22" i="21"/>
  <c r="F197" i="21"/>
  <c r="F269" i="23"/>
  <c r="K28" i="21"/>
  <c r="B197" i="23"/>
  <c r="G141" i="23"/>
  <c r="D192" i="23"/>
  <c r="D28" i="23"/>
  <c r="J200" i="23"/>
  <c r="J192" i="23"/>
  <c r="H22" i="23"/>
  <c r="F260" i="23"/>
  <c r="E197" i="21"/>
  <c r="B19" i="21"/>
  <c r="H267" i="21"/>
  <c r="L142" i="21"/>
  <c r="J269" i="21"/>
  <c r="C198" i="21"/>
  <c r="C287" i="2"/>
  <c r="C288" i="2"/>
  <c r="N235" i="23"/>
  <c r="I28" i="21"/>
  <c r="C27" i="21"/>
  <c r="I141" i="21"/>
  <c r="M134" i="21"/>
  <c r="M29" i="21"/>
  <c r="E142" i="21"/>
  <c r="I111" i="23"/>
  <c r="I114" i="23"/>
  <c r="K21" i="21"/>
  <c r="K23" i="21"/>
  <c r="E134" i="21"/>
  <c r="H260" i="23"/>
  <c r="M141" i="23"/>
  <c r="K144" i="23"/>
  <c r="E141" i="23"/>
  <c r="F199" i="23"/>
  <c r="D21" i="23"/>
  <c r="D23" i="23"/>
  <c r="C141" i="23"/>
  <c r="J191" i="23"/>
  <c r="J193" i="23"/>
  <c r="H269" i="23"/>
  <c r="L28" i="23"/>
  <c r="G136" i="23"/>
  <c r="G143" i="23"/>
  <c r="H199" i="23"/>
  <c r="N16" i="23"/>
  <c r="D27" i="23"/>
  <c r="H29" i="23"/>
  <c r="D260" i="23"/>
  <c r="J270" i="23"/>
  <c r="I214" i="3"/>
  <c r="G216" i="3"/>
  <c r="H216" i="3"/>
  <c r="I216" i="3"/>
  <c r="C148" i="1"/>
  <c r="H290" i="21"/>
  <c r="H292" i="21"/>
  <c r="H299" i="21"/>
  <c r="H302" i="21"/>
  <c r="F141" i="21"/>
  <c r="J22" i="21"/>
  <c r="L269" i="21"/>
  <c r="C187" i="21"/>
  <c r="K197" i="21"/>
  <c r="F290" i="21"/>
  <c r="F292" i="21"/>
  <c r="F299" i="21"/>
  <c r="F302" i="21"/>
  <c r="G198" i="21"/>
  <c r="H266" i="21"/>
  <c r="L21" i="21"/>
  <c r="L23" i="21"/>
  <c r="N165" i="23"/>
  <c r="C111" i="23"/>
  <c r="C114" i="23"/>
  <c r="G290" i="21"/>
  <c r="G292" i="21"/>
  <c r="H30" i="23"/>
  <c r="I269" i="23"/>
  <c r="D133" i="21"/>
  <c r="D135" i="21"/>
  <c r="L134" i="21"/>
  <c r="F28" i="21"/>
  <c r="D27" i="21"/>
  <c r="F269" i="21"/>
  <c r="J258" i="21"/>
  <c r="M198" i="21"/>
  <c r="E111" i="23"/>
  <c r="E114" i="23"/>
  <c r="G271" i="23"/>
  <c r="C144" i="23"/>
  <c r="G260" i="23"/>
  <c r="L30" i="23"/>
  <c r="B189" i="23"/>
  <c r="B199" i="23"/>
  <c r="G270" i="23"/>
  <c r="L19" i="21"/>
  <c r="E133" i="23"/>
  <c r="M142" i="23"/>
  <c r="M133" i="23"/>
  <c r="I136" i="23"/>
  <c r="G142" i="23"/>
  <c r="F197" i="23"/>
  <c r="K263" i="23"/>
  <c r="C269" i="23"/>
  <c r="K271" i="23"/>
  <c r="M268" i="23"/>
  <c r="L21" i="23"/>
  <c r="L23" i="23"/>
  <c r="J21" i="23"/>
  <c r="J23" i="23"/>
  <c r="C135" i="23"/>
  <c r="C137" i="23"/>
  <c r="E142" i="23"/>
  <c r="H189" i="23"/>
  <c r="J199" i="23"/>
  <c r="M262" i="23"/>
  <c r="M264" i="23"/>
  <c r="I263" i="23"/>
  <c r="I270" i="23"/>
  <c r="L192" i="23"/>
  <c r="I144" i="23"/>
  <c r="H198" i="23"/>
  <c r="C262" i="23"/>
  <c r="C264" i="23"/>
  <c r="D265" i="23"/>
  <c r="E263" i="23"/>
  <c r="C268" i="23"/>
  <c r="K268" i="23"/>
  <c r="G269" i="23"/>
  <c r="M269" i="23"/>
  <c r="M270" i="23"/>
  <c r="E271" i="23"/>
  <c r="D22" i="23"/>
  <c r="L22" i="23"/>
  <c r="H27" i="23"/>
  <c r="D29" i="23"/>
  <c r="L29" i="23"/>
  <c r="N186" i="23"/>
  <c r="C203" i="23"/>
  <c r="C206" i="23"/>
  <c r="C207" i="23"/>
  <c r="I197" i="21"/>
  <c r="H261" i="21"/>
  <c r="I132" i="3"/>
  <c r="G134" i="3"/>
  <c r="H134" i="3"/>
  <c r="I134" i="3"/>
  <c r="G220" i="3"/>
  <c r="G221" i="3"/>
  <c r="H148" i="1"/>
  <c r="D200" i="23"/>
  <c r="M111" i="23"/>
  <c r="M114" i="23"/>
  <c r="J269" i="23"/>
  <c r="L99" i="23"/>
  <c r="L100" i="23"/>
  <c r="L111" i="23"/>
  <c r="L114" i="23"/>
  <c r="H99" i="23"/>
  <c r="H100" i="23"/>
  <c r="H111" i="23"/>
  <c r="H114" i="23"/>
  <c r="D99" i="23"/>
  <c r="D100" i="23"/>
  <c r="D111" i="23"/>
  <c r="D114" i="23"/>
  <c r="E22" i="23"/>
  <c r="E22" i="21"/>
  <c r="K260" i="21"/>
  <c r="K262" i="21"/>
  <c r="C28" i="21"/>
  <c r="G140" i="21"/>
  <c r="I133" i="21"/>
  <c r="I135" i="21"/>
  <c r="K133" i="21"/>
  <c r="K135" i="21"/>
  <c r="M142" i="21"/>
  <c r="D195" i="21"/>
  <c r="E19" i="23"/>
  <c r="I21" i="21"/>
  <c r="I23" i="21"/>
  <c r="I30" i="21"/>
  <c r="G22" i="21"/>
  <c r="G30" i="21"/>
  <c r="C141" i="21"/>
  <c r="C133" i="21"/>
  <c r="K99" i="23"/>
  <c r="K100" i="23"/>
  <c r="G99" i="23"/>
  <c r="G100" i="23"/>
  <c r="D196" i="21"/>
  <c r="B142" i="23"/>
  <c r="D142" i="23"/>
  <c r="F144" i="23"/>
  <c r="K141" i="21"/>
  <c r="E140" i="21"/>
  <c r="B190" i="21"/>
  <c r="L189" i="21"/>
  <c r="L191" i="21"/>
  <c r="I27" i="23"/>
  <c r="I29" i="23"/>
  <c r="I200" i="23"/>
  <c r="I21" i="23"/>
  <c r="I23" i="23"/>
  <c r="L135" i="23"/>
  <c r="L137" i="23"/>
  <c r="L271" i="23"/>
  <c r="J142" i="23"/>
  <c r="J144" i="23"/>
  <c r="G29" i="21"/>
  <c r="M28" i="23"/>
  <c r="C19" i="23"/>
  <c r="C27" i="23"/>
  <c r="K28" i="23"/>
  <c r="K29" i="23"/>
  <c r="I30" i="23"/>
  <c r="D144" i="23"/>
  <c r="J271" i="23"/>
  <c r="M22" i="23"/>
  <c r="C28" i="23"/>
  <c r="C29" i="23"/>
  <c r="C30" i="23"/>
  <c r="M30" i="23"/>
  <c r="H142" i="23"/>
  <c r="E200" i="23"/>
  <c r="M21" i="23"/>
  <c r="M23" i="23"/>
  <c r="F135" i="23"/>
  <c r="F137" i="23"/>
  <c r="D136" i="23"/>
  <c r="H136" i="23"/>
  <c r="L136" i="23"/>
  <c r="D141" i="23"/>
  <c r="H141" i="23"/>
  <c r="L141" i="23"/>
  <c r="D143" i="23"/>
  <c r="H143" i="23"/>
  <c r="L143" i="23"/>
  <c r="C197" i="23"/>
  <c r="C189" i="23"/>
  <c r="E199" i="23"/>
  <c r="E192" i="23"/>
  <c r="G199" i="23"/>
  <c r="G192" i="23"/>
  <c r="I199" i="23"/>
  <c r="I189" i="23"/>
  <c r="K197" i="23"/>
  <c r="K189" i="23"/>
  <c r="M197" i="23"/>
  <c r="M189" i="23"/>
  <c r="C198" i="23"/>
  <c r="G198" i="23"/>
  <c r="K198" i="23"/>
  <c r="B37" i="21"/>
  <c r="B268" i="23"/>
  <c r="D268" i="23"/>
  <c r="F268" i="23"/>
  <c r="H268" i="23"/>
  <c r="J263" i="23"/>
  <c r="L263" i="23"/>
  <c r="I277" i="2"/>
  <c r="G279" i="2"/>
  <c r="H279" i="2"/>
  <c r="I279" i="2"/>
  <c r="I265" i="3"/>
  <c r="G267" i="3"/>
  <c r="H267" i="3"/>
  <c r="I267" i="3"/>
  <c r="I107" i="3"/>
  <c r="G109" i="3"/>
  <c r="H109" i="3"/>
  <c r="I109" i="3"/>
  <c r="N56" i="3"/>
  <c r="O60" i="3"/>
  <c r="M62" i="3"/>
  <c r="P62" i="3"/>
  <c r="M64" i="3"/>
  <c r="I144" i="1"/>
  <c r="G148" i="1"/>
  <c r="E149" i="1"/>
  <c r="I65" i="1"/>
  <c r="D148" i="1"/>
  <c r="I20" i="1"/>
  <c r="F22" i="21"/>
  <c r="L290" i="21"/>
  <c r="L292" i="21"/>
  <c r="L299" i="21"/>
  <c r="L302" i="21"/>
  <c r="I290" i="21"/>
  <c r="I292" i="21"/>
  <c r="I299" i="21"/>
  <c r="I302" i="21"/>
  <c r="B131" i="21"/>
  <c r="D141" i="21"/>
  <c r="H131" i="21"/>
  <c r="L141" i="21"/>
  <c r="G195" i="21"/>
  <c r="J19" i="21"/>
  <c r="L258" i="21"/>
  <c r="F19" i="21"/>
  <c r="J133" i="21"/>
  <c r="J135" i="21"/>
  <c r="C197" i="21"/>
  <c r="K187" i="21"/>
  <c r="M187" i="21"/>
  <c r="F267" i="21"/>
  <c r="H269" i="21"/>
  <c r="J266" i="21"/>
  <c r="G197" i="21"/>
  <c r="B22" i="21"/>
  <c r="B261" i="21"/>
  <c r="F266" i="21"/>
  <c r="Q129" i="3"/>
  <c r="O131" i="3"/>
  <c r="Q131" i="3"/>
  <c r="H268" i="21"/>
  <c r="B149" i="21"/>
  <c r="E187" i="21"/>
  <c r="M196" i="21"/>
  <c r="I70" i="3"/>
  <c r="M190" i="21"/>
  <c r="F261" i="21"/>
  <c r="M167" i="23"/>
  <c r="M169" i="23"/>
  <c r="K167" i="23"/>
  <c r="K169" i="23"/>
  <c r="B299" i="21"/>
  <c r="B302" i="21"/>
  <c r="N159" i="23"/>
  <c r="E287" i="2"/>
  <c r="E288" i="2"/>
  <c r="I163" i="2"/>
  <c r="G165" i="2"/>
  <c r="H165" i="2"/>
  <c r="I165" i="2"/>
  <c r="I116" i="2"/>
  <c r="G118" i="2"/>
  <c r="H118" i="2"/>
  <c r="I118" i="2"/>
  <c r="I162" i="3"/>
  <c r="G164" i="3"/>
  <c r="H164" i="3"/>
  <c r="I164" i="3"/>
  <c r="I34" i="3"/>
  <c r="E220" i="3"/>
  <c r="E221" i="3"/>
  <c r="C220" i="3"/>
  <c r="C221" i="3"/>
  <c r="I25" i="3"/>
  <c r="M35" i="3"/>
  <c r="F148" i="1"/>
  <c r="B148" i="1"/>
  <c r="I74" i="1"/>
  <c r="I30" i="1"/>
  <c r="D30" i="23"/>
  <c r="B269" i="23"/>
  <c r="I196" i="21"/>
  <c r="J290" i="21"/>
  <c r="J292" i="21"/>
  <c r="J299" i="21"/>
  <c r="J302" i="21"/>
  <c r="K290" i="21"/>
  <c r="K292" i="21"/>
  <c r="E290" i="21"/>
  <c r="E292" i="21"/>
  <c r="E299" i="21"/>
  <c r="E302" i="21"/>
  <c r="M290" i="21"/>
  <c r="M292" i="21"/>
  <c r="M299" i="21"/>
  <c r="M302" i="21"/>
  <c r="C290" i="21"/>
  <c r="C292" i="21"/>
  <c r="C299" i="21"/>
  <c r="C302" i="21"/>
  <c r="B271" i="23"/>
  <c r="E19" i="21"/>
  <c r="E21" i="21"/>
  <c r="E23" i="21"/>
  <c r="I19" i="21"/>
  <c r="I27" i="21"/>
  <c r="E198" i="21"/>
  <c r="E189" i="21"/>
  <c r="E191" i="21"/>
  <c r="G189" i="21"/>
  <c r="G191" i="21"/>
  <c r="C29" i="21"/>
  <c r="C21" i="21"/>
  <c r="C23" i="21"/>
  <c r="M27" i="21"/>
  <c r="G139" i="21"/>
  <c r="I140" i="21"/>
  <c r="I142" i="21"/>
  <c r="K139" i="21"/>
  <c r="K134" i="21"/>
  <c r="M133" i="21"/>
  <c r="M135" i="21"/>
  <c r="M139" i="21"/>
  <c r="L268" i="21"/>
  <c r="M21" i="21"/>
  <c r="M23" i="21"/>
  <c r="G21" i="21"/>
  <c r="G23" i="21"/>
  <c r="M19" i="21"/>
  <c r="M22" i="21"/>
  <c r="C131" i="21"/>
  <c r="C134" i="21"/>
  <c r="E133" i="21"/>
  <c r="E135" i="21"/>
  <c r="E139" i="21"/>
  <c r="C195" i="21"/>
  <c r="C190" i="21"/>
  <c r="C189" i="21"/>
  <c r="C191" i="21"/>
  <c r="K190" i="21"/>
  <c r="K189" i="21"/>
  <c r="K191" i="21"/>
  <c r="M197" i="21"/>
  <c r="M189" i="21"/>
  <c r="M191" i="21"/>
  <c r="F268" i="21"/>
  <c r="F258" i="21"/>
  <c r="H260" i="21"/>
  <c r="H262" i="21"/>
  <c r="J261" i="21"/>
  <c r="J268" i="21"/>
  <c r="G190" i="21"/>
  <c r="G187" i="21"/>
  <c r="C143" i="23"/>
  <c r="I198" i="21"/>
  <c r="L266" i="21"/>
  <c r="K111" i="23"/>
  <c r="K114" i="23"/>
  <c r="G111" i="23"/>
  <c r="G114" i="23"/>
  <c r="J28" i="23"/>
  <c r="C136" i="23"/>
  <c r="E144" i="23"/>
  <c r="K140" i="21"/>
  <c r="K142" i="21"/>
  <c r="B267" i="21"/>
  <c r="I203" i="3"/>
  <c r="C140" i="21"/>
  <c r="E141" i="21"/>
  <c r="D266" i="21"/>
  <c r="H28" i="23"/>
  <c r="J30" i="23"/>
  <c r="K142" i="23"/>
  <c r="D269" i="23"/>
  <c r="K136" i="23"/>
  <c r="M144" i="23"/>
  <c r="F192" i="23"/>
  <c r="B198" i="23"/>
  <c r="B200" i="23"/>
  <c r="D271" i="23"/>
  <c r="J260" i="21"/>
  <c r="J262" i="21"/>
  <c r="C22" i="21"/>
  <c r="I134" i="21"/>
  <c r="E195" i="21"/>
  <c r="D261" i="21"/>
  <c r="I142" i="23"/>
  <c r="I143" i="23"/>
  <c r="L262" i="23"/>
  <c r="L264" i="23"/>
  <c r="G135" i="23"/>
  <c r="G137" i="23"/>
  <c r="K135" i="23"/>
  <c r="K137" i="23"/>
  <c r="M136" i="23"/>
  <c r="K141" i="23"/>
  <c r="K143" i="23"/>
  <c r="H192" i="23"/>
  <c r="D198" i="23"/>
  <c r="F200" i="23"/>
  <c r="N257" i="23"/>
  <c r="E196" i="21"/>
  <c r="F189" i="23"/>
  <c r="B21" i="23"/>
  <c r="B23" i="23"/>
  <c r="H21" i="23"/>
  <c r="H23" i="23"/>
  <c r="E136" i="23"/>
  <c r="C142" i="23"/>
  <c r="E143" i="23"/>
  <c r="H191" i="23"/>
  <c r="H193" i="23"/>
  <c r="J194" i="23"/>
  <c r="J198" i="23"/>
  <c r="H200" i="23"/>
  <c r="H262" i="23"/>
  <c r="H264" i="23"/>
  <c r="F271" i="23"/>
  <c r="L189" i="23"/>
  <c r="F28" i="23"/>
  <c r="B30" i="23"/>
  <c r="I141" i="23"/>
  <c r="G144" i="23"/>
  <c r="B192" i="23"/>
  <c r="L197" i="23"/>
  <c r="L198" i="23"/>
  <c r="L199" i="23"/>
  <c r="N130" i="23"/>
  <c r="B22" i="23"/>
  <c r="F22" i="23"/>
  <c r="J22" i="23"/>
  <c r="B27" i="23"/>
  <c r="F27" i="23"/>
  <c r="J27" i="23"/>
  <c r="B29" i="23"/>
  <c r="F29" i="23"/>
  <c r="J29" i="23"/>
  <c r="I278" i="23"/>
  <c r="I190" i="21"/>
  <c r="I195" i="21"/>
  <c r="B270" i="23"/>
  <c r="B263" i="23"/>
  <c r="D270" i="23"/>
  <c r="D263" i="23"/>
  <c r="F270" i="23"/>
  <c r="F263" i="23"/>
  <c r="H270" i="23"/>
  <c r="H263" i="23"/>
  <c r="J268" i="23"/>
  <c r="J260" i="23"/>
  <c r="L268" i="23"/>
  <c r="L260" i="23"/>
  <c r="L260" i="21"/>
  <c r="L262" i="21"/>
  <c r="L261" i="21"/>
  <c r="M165" i="21"/>
  <c r="M167" i="21"/>
  <c r="K165" i="21"/>
  <c r="K167" i="21"/>
  <c r="I165" i="21"/>
  <c r="I167" i="21"/>
  <c r="G165" i="21"/>
  <c r="G167" i="21"/>
  <c r="E165" i="21"/>
  <c r="E167" i="21"/>
  <c r="C165" i="21"/>
  <c r="C167" i="21"/>
  <c r="D199" i="23"/>
  <c r="L167" i="23"/>
  <c r="L169" i="23"/>
  <c r="G19" i="23"/>
  <c r="M260" i="21"/>
  <c r="M262" i="21"/>
  <c r="B133" i="21"/>
  <c r="B135" i="21"/>
  <c r="E268" i="21"/>
  <c r="J190" i="21"/>
  <c r="H141" i="21"/>
  <c r="H22" i="21"/>
  <c r="H196" i="21"/>
  <c r="F29" i="21"/>
  <c r="I260" i="21"/>
  <c r="I262" i="21"/>
  <c r="D19" i="21"/>
  <c r="B29" i="21"/>
  <c r="H133" i="21"/>
  <c r="H135" i="21"/>
  <c r="C261" i="21"/>
  <c r="I167" i="23"/>
  <c r="I169" i="23"/>
  <c r="G167" i="23"/>
  <c r="G169" i="23"/>
  <c r="E167" i="23"/>
  <c r="E169" i="23"/>
  <c r="C167" i="23"/>
  <c r="C169" i="23"/>
  <c r="C151" i="23"/>
  <c r="D147" i="23"/>
  <c r="D150" i="23"/>
  <c r="D151" i="23"/>
  <c r="D152" i="23"/>
  <c r="N297" i="21"/>
  <c r="N233" i="21"/>
  <c r="N163" i="21"/>
  <c r="N107" i="21"/>
  <c r="H167" i="23"/>
  <c r="H169" i="23"/>
  <c r="D167" i="23"/>
  <c r="D169" i="23"/>
  <c r="G24" i="23"/>
  <c r="C23" i="23"/>
  <c r="N299" i="23"/>
  <c r="K299" i="21"/>
  <c r="K302" i="21"/>
  <c r="B134" i="21"/>
  <c r="D142" i="21"/>
  <c r="D140" i="21"/>
  <c r="F140" i="21"/>
  <c r="F142" i="21"/>
  <c r="H140" i="21"/>
  <c r="L139" i="21"/>
  <c r="L131" i="21"/>
  <c r="I267" i="21"/>
  <c r="K269" i="21"/>
  <c r="J21" i="21"/>
  <c r="J23" i="21"/>
  <c r="J27" i="21"/>
  <c r="D30" i="21"/>
  <c r="B28" i="21"/>
  <c r="B198" i="21"/>
  <c r="J140" i="21"/>
  <c r="B142" i="21"/>
  <c r="B196" i="21"/>
  <c r="G258" i="21"/>
  <c r="B30" i="21"/>
  <c r="J196" i="21"/>
  <c r="L133" i="21"/>
  <c r="L135" i="21"/>
  <c r="E261" i="21"/>
  <c r="C260" i="21"/>
  <c r="C262" i="21"/>
  <c r="G261" i="21"/>
  <c r="L197" i="21"/>
  <c r="H27" i="21"/>
  <c r="J29" i="21"/>
  <c r="F195" i="21"/>
  <c r="M261" i="21"/>
  <c r="L190" i="21"/>
  <c r="I276" i="21"/>
  <c r="F189" i="21"/>
  <c r="F191" i="21"/>
  <c r="M269" i="21"/>
  <c r="C258" i="21"/>
  <c r="L30" i="21"/>
  <c r="J141" i="21"/>
  <c r="I189" i="2"/>
  <c r="G191" i="2"/>
  <c r="H191" i="2"/>
  <c r="I191" i="2"/>
  <c r="I65" i="2"/>
  <c r="G10" i="3"/>
  <c r="H10" i="3"/>
  <c r="I10" i="3"/>
  <c r="C37" i="21"/>
  <c r="D33" i="21"/>
  <c r="D36" i="21"/>
  <c r="E33" i="21"/>
  <c r="E36" i="21"/>
  <c r="G299" i="21"/>
  <c r="G302" i="21"/>
  <c r="I261" i="21"/>
  <c r="K258" i="21"/>
  <c r="M266" i="21"/>
  <c r="D198" i="21"/>
  <c r="E260" i="21"/>
  <c r="E262" i="21"/>
  <c r="J134" i="21"/>
  <c r="J139" i="21"/>
  <c r="F187" i="21"/>
  <c r="F198" i="21"/>
  <c r="B139" i="21"/>
  <c r="B141" i="21"/>
  <c r="B195" i="21"/>
  <c r="N184" i="21"/>
  <c r="B197" i="21"/>
  <c r="E266" i="21"/>
  <c r="G268" i="21"/>
  <c r="D187" i="21"/>
  <c r="H195" i="21"/>
  <c r="J197" i="21"/>
  <c r="D137" i="23"/>
  <c r="E258" i="21"/>
  <c r="E269" i="21"/>
  <c r="H139" i="21"/>
  <c r="H197" i="21"/>
  <c r="K19" i="21"/>
  <c r="K29" i="21"/>
  <c r="N16" i="21"/>
  <c r="C30" i="21"/>
  <c r="J131" i="21"/>
  <c r="H198" i="21"/>
  <c r="H190" i="21"/>
  <c r="K30" i="21"/>
  <c r="L195" i="21"/>
  <c r="L198" i="21"/>
  <c r="J187" i="21"/>
  <c r="L29" i="21"/>
  <c r="L22" i="21"/>
  <c r="E28" i="21"/>
  <c r="K22" i="21"/>
  <c r="F196" i="21"/>
  <c r="L27" i="21"/>
  <c r="H134" i="21"/>
  <c r="B205" i="21"/>
  <c r="J195" i="21"/>
  <c r="L165" i="21"/>
  <c r="L167" i="21"/>
  <c r="J165" i="21"/>
  <c r="J167" i="21"/>
  <c r="H165" i="21"/>
  <c r="H167" i="21"/>
  <c r="F165" i="21"/>
  <c r="F167" i="21"/>
  <c r="G119" i="3"/>
  <c r="H119" i="3"/>
  <c r="I119" i="3"/>
  <c r="I156" i="1"/>
  <c r="G277" i="21"/>
  <c r="D292" i="23"/>
  <c r="D294" i="23"/>
  <c r="D301" i="23"/>
  <c r="D304" i="23"/>
  <c r="H292" i="23"/>
  <c r="H294" i="23"/>
  <c r="H301" i="23"/>
  <c r="H304" i="23"/>
  <c r="L292" i="23"/>
  <c r="L294" i="23"/>
  <c r="L301" i="23"/>
  <c r="L304" i="23"/>
  <c r="E292" i="23"/>
  <c r="E294" i="23"/>
  <c r="E301" i="23"/>
  <c r="E304" i="23"/>
  <c r="I292" i="23"/>
  <c r="I294" i="23"/>
  <c r="I301" i="23"/>
  <c r="I304" i="23"/>
  <c r="M292" i="23"/>
  <c r="M294" i="23"/>
  <c r="M301" i="23"/>
  <c r="M304" i="23"/>
  <c r="F292" i="23"/>
  <c r="F294" i="23"/>
  <c r="F301" i="23"/>
  <c r="F304" i="23"/>
  <c r="J292" i="23"/>
  <c r="J294" i="23"/>
  <c r="J301" i="23"/>
  <c r="J304" i="23"/>
  <c r="C292" i="23"/>
  <c r="C294" i="23"/>
  <c r="C301" i="23"/>
  <c r="C304" i="23"/>
  <c r="G292" i="23"/>
  <c r="G294" i="23"/>
  <c r="G301" i="23"/>
  <c r="G304" i="23"/>
  <c r="K292" i="23"/>
  <c r="K294" i="23"/>
  <c r="K301" i="23"/>
  <c r="K304" i="23"/>
  <c r="B292" i="23"/>
  <c r="B294" i="23"/>
  <c r="J138" i="23"/>
  <c r="G265" i="23"/>
  <c r="J198" i="21"/>
  <c r="I189" i="21"/>
  <c r="I191" i="21"/>
  <c r="J192" i="21"/>
  <c r="D165" i="21"/>
  <c r="D167" i="21"/>
  <c r="B165" i="21"/>
  <c r="B167" i="21"/>
  <c r="I294" i="2"/>
  <c r="N21" i="3"/>
  <c r="O25" i="3"/>
  <c r="M27" i="3"/>
  <c r="G194" i="23"/>
  <c r="I117" i="1"/>
  <c r="K272" i="21"/>
  <c r="K275" i="21"/>
  <c r="J276" i="21"/>
  <c r="D227" i="21"/>
  <c r="H227" i="21"/>
  <c r="C227" i="21"/>
  <c r="K227" i="21"/>
  <c r="I227" i="21"/>
  <c r="G227" i="21"/>
  <c r="F227" i="21"/>
  <c r="L227" i="21"/>
  <c r="K274" i="23"/>
  <c r="K277" i="23"/>
  <c r="L274" i="23"/>
  <c r="L277" i="23"/>
  <c r="J278" i="23"/>
  <c r="G229" i="23"/>
  <c r="F229" i="23"/>
  <c r="C229" i="23"/>
  <c r="D229" i="23"/>
  <c r="H229" i="23"/>
  <c r="J229" i="23"/>
  <c r="E229" i="23"/>
  <c r="M229" i="23"/>
  <c r="L229" i="23"/>
  <c r="K229" i="23"/>
  <c r="I229" i="23"/>
  <c r="B229" i="23"/>
  <c r="D33" i="23"/>
  <c r="D36" i="23"/>
  <c r="D37" i="23"/>
  <c r="D38" i="23"/>
  <c r="C37" i="23"/>
  <c r="G279" i="23"/>
  <c r="F228" i="21"/>
  <c r="E228" i="21"/>
  <c r="M228" i="21"/>
  <c r="J228" i="21"/>
  <c r="L228" i="21"/>
  <c r="H228" i="21"/>
  <c r="C228" i="21"/>
  <c r="I228" i="21"/>
  <c r="B228" i="21"/>
  <c r="K228" i="21"/>
  <c r="G228" i="21"/>
  <c r="D228" i="21"/>
  <c r="D201" i="21"/>
  <c r="D204" i="21"/>
  <c r="E201" i="21"/>
  <c r="E204" i="21"/>
  <c r="C205" i="21"/>
  <c r="H99" i="21"/>
  <c r="H100" i="21"/>
  <c r="H109" i="21"/>
  <c r="H112" i="21"/>
  <c r="J99" i="21"/>
  <c r="J100" i="21"/>
  <c r="J109" i="21"/>
  <c r="J112" i="21"/>
  <c r="E99" i="21"/>
  <c r="E100" i="21"/>
  <c r="E109" i="21"/>
  <c r="E112" i="21"/>
  <c r="G99" i="21"/>
  <c r="G100" i="21"/>
  <c r="G109" i="21"/>
  <c r="G112" i="21"/>
  <c r="M99" i="21"/>
  <c r="M100" i="21"/>
  <c r="M109" i="21"/>
  <c r="M112" i="21"/>
  <c r="B99" i="21"/>
  <c r="D99" i="21"/>
  <c r="D100" i="21"/>
  <c r="D109" i="21"/>
  <c r="D112" i="21"/>
  <c r="F99" i="21"/>
  <c r="F100" i="21"/>
  <c r="F109" i="21"/>
  <c r="F112" i="21"/>
  <c r="L99" i="21"/>
  <c r="L100" i="21"/>
  <c r="L109" i="21"/>
  <c r="L112" i="21"/>
  <c r="C99" i="21"/>
  <c r="C100" i="21"/>
  <c r="C109" i="21"/>
  <c r="C112" i="21"/>
  <c r="I99" i="21"/>
  <c r="I100" i="21"/>
  <c r="I109" i="21"/>
  <c r="I112" i="21"/>
  <c r="K99" i="21"/>
  <c r="K100" i="21"/>
  <c r="K109" i="21"/>
  <c r="K112" i="21"/>
  <c r="C230" i="23"/>
  <c r="M230" i="23"/>
  <c r="K230" i="23"/>
  <c r="B230" i="23"/>
  <c r="F230" i="23"/>
  <c r="F231" i="23"/>
  <c r="F237" i="23"/>
  <c r="F240" i="23"/>
  <c r="D230" i="23"/>
  <c r="H230" i="23"/>
  <c r="J230" i="23"/>
  <c r="L230" i="23"/>
  <c r="G230" i="23"/>
  <c r="I230" i="23"/>
  <c r="E230" i="23"/>
  <c r="B193" i="23"/>
  <c r="D194" i="23"/>
  <c r="N195" i="3"/>
  <c r="Q189" i="3"/>
  <c r="O191" i="3"/>
  <c r="Q191" i="3"/>
  <c r="O193" i="3"/>
  <c r="S193" i="3"/>
  <c r="S195" i="3"/>
  <c r="S203" i="3"/>
  <c r="N270" i="23"/>
  <c r="N157" i="21"/>
  <c r="I182" i="3"/>
  <c r="I144" i="3"/>
  <c r="M200" i="23"/>
  <c r="J167" i="23"/>
  <c r="J169" i="23"/>
  <c r="F167" i="23"/>
  <c r="F169" i="23"/>
  <c r="B167" i="23"/>
  <c r="B169" i="23"/>
  <c r="N269" i="23"/>
  <c r="M192" i="21"/>
  <c r="M194" i="23"/>
  <c r="N109" i="23"/>
  <c r="F33" i="21"/>
  <c r="F36" i="21"/>
  <c r="E37" i="21"/>
  <c r="I264" i="23"/>
  <c r="D149" i="21"/>
  <c r="D150" i="21"/>
  <c r="E145" i="21"/>
  <c r="E148" i="21"/>
  <c r="C135" i="21"/>
  <c r="D37" i="21"/>
  <c r="D38" i="21"/>
  <c r="D149" i="1"/>
  <c r="H149" i="1"/>
  <c r="H150" i="1"/>
  <c r="C149" i="1"/>
  <c r="G149" i="1"/>
  <c r="G150" i="1"/>
  <c r="F149" i="1"/>
  <c r="B149" i="1"/>
  <c r="C267" i="21"/>
  <c r="C268" i="21"/>
  <c r="C266" i="21"/>
  <c r="D189" i="21"/>
  <c r="D190" i="21"/>
  <c r="G134" i="21"/>
  <c r="G142" i="21"/>
  <c r="G133" i="21"/>
  <c r="G135" i="21"/>
  <c r="G136" i="21"/>
  <c r="G141" i="21"/>
  <c r="G19" i="21"/>
  <c r="G27" i="21"/>
  <c r="D21" i="21"/>
  <c r="D28" i="21"/>
  <c r="D22" i="21"/>
  <c r="C149" i="21"/>
  <c r="K267" i="21"/>
  <c r="G266" i="21"/>
  <c r="F131" i="21"/>
  <c r="B27" i="21"/>
  <c r="J30" i="21"/>
  <c r="G287" i="2"/>
  <c r="G288" i="2"/>
  <c r="B287" i="2"/>
  <c r="B288" i="2"/>
  <c r="I53" i="2"/>
  <c r="I226" i="3"/>
  <c r="H220" i="3"/>
  <c r="H221" i="3"/>
  <c r="F220" i="3"/>
  <c r="F221" i="3"/>
  <c r="D220" i="3"/>
  <c r="D221" i="3"/>
  <c r="B220" i="3"/>
  <c r="B221" i="3"/>
  <c r="I89" i="1"/>
  <c r="M258" i="21"/>
  <c r="M267" i="21"/>
  <c r="K261" i="21"/>
  <c r="K268" i="21"/>
  <c r="I258" i="21"/>
  <c r="I269" i="21"/>
  <c r="I266" i="21"/>
  <c r="G260" i="21"/>
  <c r="G262" i="21"/>
  <c r="G269" i="21"/>
  <c r="D258" i="21"/>
  <c r="D269" i="21"/>
  <c r="D260" i="21"/>
  <c r="D267" i="21"/>
  <c r="B266" i="21"/>
  <c r="B258" i="21"/>
  <c r="B269" i="21"/>
  <c r="B268" i="21"/>
  <c r="N255" i="21"/>
  <c r="M227" i="21"/>
  <c r="E227" i="21"/>
  <c r="B227" i="21"/>
  <c r="J227" i="21"/>
  <c r="K196" i="21"/>
  <c r="K198" i="21"/>
  <c r="F139" i="21"/>
  <c r="F134" i="21"/>
  <c r="D131" i="21"/>
  <c r="D134" i="21"/>
  <c r="H28" i="21"/>
  <c r="H30" i="21"/>
  <c r="H21" i="21"/>
  <c r="H23" i="21"/>
  <c r="H29" i="21"/>
  <c r="F27" i="21"/>
  <c r="F30" i="21"/>
  <c r="N128" i="21"/>
  <c r="I238" i="2"/>
  <c r="G240" i="2"/>
  <c r="H240" i="2"/>
  <c r="I240" i="2"/>
  <c r="I204" i="2"/>
  <c r="G206" i="2"/>
  <c r="H206" i="2"/>
  <c r="I206" i="2"/>
  <c r="H287" i="2"/>
  <c r="H288" i="2"/>
  <c r="F287" i="2"/>
  <c r="F288" i="2"/>
  <c r="D287" i="2"/>
  <c r="D288" i="2"/>
  <c r="N174" i="3"/>
  <c r="I98" i="1"/>
  <c r="E148" i="1"/>
  <c r="E150" i="1"/>
  <c r="Q168" i="3"/>
  <c r="O170" i="3"/>
  <c r="Q170" i="3"/>
  <c r="O172" i="3"/>
  <c r="S172" i="3"/>
  <c r="S174" i="3"/>
  <c r="S182" i="3"/>
  <c r="P182" i="3"/>
  <c r="U182" i="3"/>
  <c r="J265" i="23"/>
  <c r="J24" i="23"/>
  <c r="G138" i="23"/>
  <c r="D150" i="1"/>
  <c r="J136" i="21"/>
  <c r="N167" i="23"/>
  <c r="N169" i="23"/>
  <c r="N29" i="23"/>
  <c r="N144" i="23"/>
  <c r="G36" i="3"/>
  <c r="H36" i="3"/>
  <c r="I36" i="3"/>
  <c r="N199" i="23"/>
  <c r="N197" i="23"/>
  <c r="N28" i="23"/>
  <c r="M138" i="23"/>
  <c r="M265" i="23"/>
  <c r="M24" i="23"/>
  <c r="N133" i="23"/>
  <c r="M24" i="21"/>
  <c r="J263" i="21"/>
  <c r="J24" i="21"/>
  <c r="N139" i="21"/>
  <c r="N261" i="21"/>
  <c r="N19" i="21"/>
  <c r="E147" i="23"/>
  <c r="E150" i="23"/>
  <c r="F147" i="23"/>
  <c r="F150" i="23"/>
  <c r="N99" i="23"/>
  <c r="N100" i="23"/>
  <c r="D138" i="23"/>
  <c r="N138" i="23"/>
  <c r="D203" i="23"/>
  <c r="D206" i="23"/>
  <c r="E203" i="23"/>
  <c r="E206" i="23"/>
  <c r="N141" i="21"/>
  <c r="F150" i="1"/>
  <c r="C150" i="1"/>
  <c r="N262" i="23"/>
  <c r="N292" i="21"/>
  <c r="N191" i="23"/>
  <c r="N19" i="23"/>
  <c r="N197" i="21"/>
  <c r="N196" i="21"/>
  <c r="M136" i="21"/>
  <c r="N30" i="23"/>
  <c r="K229" i="21"/>
  <c r="K235" i="21"/>
  <c r="K238" i="21"/>
  <c r="E33" i="23"/>
  <c r="E36" i="23"/>
  <c r="F33" i="23"/>
  <c r="F36" i="23"/>
  <c r="K278" i="23"/>
  <c r="P27" i="3"/>
  <c r="M29" i="3"/>
  <c r="F229" i="21"/>
  <c r="F235" i="21"/>
  <c r="F238" i="21"/>
  <c r="P64" i="3"/>
  <c r="P66" i="3"/>
  <c r="R66" i="3"/>
  <c r="O68" i="3"/>
  <c r="N140" i="21"/>
  <c r="N136" i="23"/>
  <c r="M229" i="21"/>
  <c r="M235" i="21"/>
  <c r="M238" i="21"/>
  <c r="N142" i="21"/>
  <c r="N190" i="21"/>
  <c r="D136" i="21"/>
  <c r="N111" i="23"/>
  <c r="N114" i="23"/>
  <c r="N299" i="21"/>
  <c r="N302" i="21"/>
  <c r="N165" i="21"/>
  <c r="N167" i="21"/>
  <c r="J277" i="21"/>
  <c r="M263" i="21"/>
  <c r="N22" i="23"/>
  <c r="N141" i="23"/>
  <c r="N260" i="23"/>
  <c r="N263" i="23"/>
  <c r="N264" i="23"/>
  <c r="N27" i="23"/>
  <c r="N198" i="23"/>
  <c r="G24" i="21"/>
  <c r="G72" i="3"/>
  <c r="H72" i="3"/>
  <c r="I72" i="3"/>
  <c r="M68" i="3"/>
  <c r="P68" i="3"/>
  <c r="N29" i="21"/>
  <c r="N134" i="21"/>
  <c r="N198" i="21"/>
  <c r="G263" i="21"/>
  <c r="N22" i="21"/>
  <c r="N290" i="21"/>
  <c r="N200" i="23"/>
  <c r="J279" i="23"/>
  <c r="G192" i="21"/>
  <c r="N189" i="23"/>
  <c r="N143" i="23"/>
  <c r="N194" i="23"/>
  <c r="N271" i="23"/>
  <c r="D205" i="21"/>
  <c r="D206" i="21"/>
  <c r="D24" i="23"/>
  <c r="N24" i="23"/>
  <c r="J229" i="21"/>
  <c r="J235" i="21"/>
  <c r="J238" i="21"/>
  <c r="E229" i="21"/>
  <c r="E235" i="21"/>
  <c r="E238" i="21"/>
  <c r="N21" i="23"/>
  <c r="N192" i="23"/>
  <c r="N142" i="23"/>
  <c r="N268" i="23"/>
  <c r="P203" i="3"/>
  <c r="G205" i="3"/>
  <c r="H205" i="3"/>
  <c r="I205" i="3"/>
  <c r="U203" i="3"/>
  <c r="N187" i="21"/>
  <c r="N135" i="23"/>
  <c r="N228" i="21"/>
  <c r="N30" i="21"/>
  <c r="N265" i="23"/>
  <c r="N231" i="23"/>
  <c r="N131" i="21"/>
  <c r="J231" i="23"/>
  <c r="J237" i="23"/>
  <c r="J240" i="23"/>
  <c r="N292" i="23"/>
  <c r="N195" i="21"/>
  <c r="D207" i="23"/>
  <c r="D208" i="23"/>
  <c r="G184" i="3"/>
  <c r="H184" i="3"/>
  <c r="I184" i="3"/>
  <c r="B100" i="21"/>
  <c r="B109" i="21"/>
  <c r="B112" i="21"/>
  <c r="N99" i="21"/>
  <c r="N100" i="21"/>
  <c r="N109" i="21"/>
  <c r="N112" i="21"/>
  <c r="L272" i="21"/>
  <c r="L275" i="21"/>
  <c r="K276" i="21"/>
  <c r="N28" i="21"/>
  <c r="N230" i="23"/>
  <c r="I231" i="23"/>
  <c r="I237" i="23"/>
  <c r="I240" i="23"/>
  <c r="L231" i="23"/>
  <c r="L237" i="23"/>
  <c r="L240" i="23"/>
  <c r="E231" i="23"/>
  <c r="E237" i="23"/>
  <c r="E240" i="23"/>
  <c r="H231" i="23"/>
  <c r="H237" i="23"/>
  <c r="H240" i="23"/>
  <c r="C231" i="23"/>
  <c r="C237" i="23"/>
  <c r="C240" i="23"/>
  <c r="G231" i="23"/>
  <c r="G237" i="23"/>
  <c r="G240" i="23"/>
  <c r="I229" i="21"/>
  <c r="I235" i="21"/>
  <c r="I238" i="21"/>
  <c r="C229" i="21"/>
  <c r="C235" i="21"/>
  <c r="C238" i="21"/>
  <c r="D229" i="21"/>
  <c r="D235" i="21"/>
  <c r="D238" i="21"/>
  <c r="G146" i="3"/>
  <c r="H146" i="3"/>
  <c r="I146" i="3"/>
  <c r="I220" i="3"/>
  <c r="I221" i="3"/>
  <c r="J222" i="3"/>
  <c r="N229" i="23"/>
  <c r="B231" i="23"/>
  <c r="B237" i="23"/>
  <c r="N269" i="21"/>
  <c r="N266" i="21"/>
  <c r="I149" i="1"/>
  <c r="K231" i="23"/>
  <c r="K237" i="23"/>
  <c r="K240" i="23"/>
  <c r="M231" i="23"/>
  <c r="M237" i="23"/>
  <c r="M240" i="23"/>
  <c r="D231" i="23"/>
  <c r="D237" i="23"/>
  <c r="D240" i="23"/>
  <c r="L229" i="21"/>
  <c r="L235" i="21"/>
  <c r="L238" i="21"/>
  <c r="G229" i="21"/>
  <c r="G235" i="21"/>
  <c r="G238" i="21"/>
  <c r="H229" i="21"/>
  <c r="H235" i="21"/>
  <c r="H238" i="21"/>
  <c r="D262" i="21"/>
  <c r="D263" i="21"/>
  <c r="N260" i="21"/>
  <c r="N262" i="21"/>
  <c r="G67" i="2"/>
  <c r="H67" i="2"/>
  <c r="I67" i="2"/>
  <c r="I287" i="2"/>
  <c r="I288" i="2"/>
  <c r="I297" i="2"/>
  <c r="D23" i="21"/>
  <c r="D24" i="21"/>
  <c r="N21" i="21"/>
  <c r="D191" i="21"/>
  <c r="D192" i="21"/>
  <c r="N189" i="21"/>
  <c r="F201" i="21"/>
  <c r="F204" i="21"/>
  <c r="E205" i="21"/>
  <c r="G33" i="21"/>
  <c r="G36" i="21"/>
  <c r="F37" i="21"/>
  <c r="I148" i="1"/>
  <c r="N27" i="21"/>
  <c r="B150" i="1"/>
  <c r="N133" i="21"/>
  <c r="B229" i="21"/>
  <c r="B235" i="21"/>
  <c r="N227" i="21"/>
  <c r="N229" i="21"/>
  <c r="B301" i="23"/>
  <c r="B304" i="23"/>
  <c r="N294" i="23"/>
  <c r="N301" i="23"/>
  <c r="N304" i="23"/>
  <c r="E37" i="23"/>
  <c r="M274" i="23"/>
  <c r="M277" i="23"/>
  <c r="L278" i="23"/>
  <c r="E151" i="23"/>
  <c r="F145" i="21"/>
  <c r="F148" i="21"/>
  <c r="E149" i="21"/>
  <c r="N268" i="21"/>
  <c r="N258" i="21"/>
  <c r="N267" i="21"/>
  <c r="I150" i="1"/>
  <c r="I159" i="1"/>
  <c r="P29" i="3"/>
  <c r="P33" i="3"/>
  <c r="R33" i="3"/>
  <c r="O35" i="3"/>
  <c r="P35" i="3"/>
  <c r="N192" i="21"/>
  <c r="N193" i="23"/>
  <c r="N136" i="21"/>
  <c r="N137" i="23"/>
  <c r="N191" i="21"/>
  <c r="N23" i="21"/>
  <c r="N24" i="21"/>
  <c r="N23" i="23"/>
  <c r="N135" i="21"/>
  <c r="N263" i="21"/>
  <c r="F203" i="23"/>
  <c r="F206" i="23"/>
  <c r="E207" i="23"/>
  <c r="B240" i="23"/>
  <c r="N237" i="23"/>
  <c r="N240" i="23"/>
  <c r="M272" i="21"/>
  <c r="M275" i="21"/>
  <c r="L276" i="21"/>
  <c r="I229" i="3"/>
  <c r="G145" i="21"/>
  <c r="G148" i="21"/>
  <c r="F149" i="21"/>
  <c r="G147" i="23"/>
  <c r="G150" i="23"/>
  <c r="F151" i="23"/>
  <c r="N274" i="23"/>
  <c r="M278" i="23"/>
  <c r="M279" i="23"/>
  <c r="G33" i="23"/>
  <c r="G36" i="23"/>
  <c r="F37" i="23"/>
  <c r="B238" i="21"/>
  <c r="N235" i="21"/>
  <c r="N238" i="21"/>
  <c r="H33" i="21"/>
  <c r="H36" i="21"/>
  <c r="G37" i="21"/>
  <c r="G38" i="21"/>
  <c r="G201" i="21"/>
  <c r="G204" i="21"/>
  <c r="F205" i="21"/>
  <c r="F207" i="23"/>
  <c r="G203" i="23"/>
  <c r="G206" i="23"/>
  <c r="M276" i="21"/>
  <c r="M277" i="21"/>
  <c r="N272" i="21"/>
  <c r="H201" i="21"/>
  <c r="H204" i="21"/>
  <c r="G205" i="21"/>
  <c r="G206" i="21"/>
  <c r="I33" i="21"/>
  <c r="I36" i="21"/>
  <c r="H37" i="21"/>
  <c r="H33" i="23"/>
  <c r="H36" i="23"/>
  <c r="G37" i="23"/>
  <c r="G38" i="23"/>
  <c r="G151" i="23"/>
  <c r="G152" i="23"/>
  <c r="H147" i="23"/>
  <c r="H150" i="23"/>
  <c r="G149" i="21"/>
  <c r="G150" i="21"/>
  <c r="H145" i="21"/>
  <c r="H148" i="21"/>
  <c r="H203" i="23"/>
  <c r="H206" i="23"/>
  <c r="G207" i="23"/>
  <c r="G208" i="23"/>
  <c r="I145" i="21"/>
  <c r="I148" i="21"/>
  <c r="H149" i="21"/>
  <c r="I147" i="23"/>
  <c r="I150" i="23"/>
  <c r="H151" i="23"/>
  <c r="I33" i="23"/>
  <c r="I36" i="23"/>
  <c r="H37" i="23"/>
  <c r="I37" i="21"/>
  <c r="J33" i="21"/>
  <c r="J36" i="21"/>
  <c r="I201" i="21"/>
  <c r="I204" i="21"/>
  <c r="H205" i="21"/>
  <c r="I203" i="23"/>
  <c r="I206" i="23"/>
  <c r="H207" i="23"/>
  <c r="J33" i="23"/>
  <c r="J36" i="23"/>
  <c r="I37" i="23"/>
  <c r="J147" i="23"/>
  <c r="J150" i="23"/>
  <c r="I151" i="23"/>
  <c r="J145" i="21"/>
  <c r="J148" i="21"/>
  <c r="I149" i="21"/>
  <c r="J201" i="21"/>
  <c r="J204" i="21"/>
  <c r="I205" i="21"/>
  <c r="K33" i="21"/>
  <c r="K36" i="21"/>
  <c r="J37" i="21"/>
  <c r="J38" i="21"/>
  <c r="I207" i="23"/>
  <c r="J203" i="23"/>
  <c r="J206" i="23"/>
  <c r="K145" i="21"/>
  <c r="K148" i="21"/>
  <c r="J149" i="21"/>
  <c r="J150" i="21"/>
  <c r="J151" i="23"/>
  <c r="J152" i="23"/>
  <c r="K147" i="23"/>
  <c r="K150" i="23"/>
  <c r="L33" i="21"/>
  <c r="L36" i="21"/>
  <c r="K37" i="21"/>
  <c r="J205" i="21"/>
  <c r="J206" i="21"/>
  <c r="K201" i="21"/>
  <c r="K204" i="21"/>
  <c r="J37" i="23"/>
  <c r="J38" i="23"/>
  <c r="K33" i="23"/>
  <c r="K36" i="23"/>
  <c r="J207" i="23"/>
  <c r="J208" i="23"/>
  <c r="K203" i="23"/>
  <c r="K206" i="23"/>
  <c r="L37" i="21"/>
  <c r="M33" i="21"/>
  <c r="M36" i="21"/>
  <c r="L145" i="21"/>
  <c r="L148" i="21"/>
  <c r="K149" i="21"/>
  <c r="L33" i="23"/>
  <c r="L36" i="23"/>
  <c r="K37" i="23"/>
  <c r="L201" i="21"/>
  <c r="L204" i="21"/>
  <c r="K205" i="21"/>
  <c r="L147" i="23"/>
  <c r="L150" i="23"/>
  <c r="K151" i="23"/>
  <c r="L203" i="23"/>
  <c r="L206" i="23"/>
  <c r="K207" i="23"/>
  <c r="M33" i="23"/>
  <c r="M36" i="23"/>
  <c r="L37" i="23"/>
  <c r="M145" i="21"/>
  <c r="M148" i="21"/>
  <c r="L149" i="21"/>
  <c r="L151" i="23"/>
  <c r="M147" i="23"/>
  <c r="M150" i="23"/>
  <c r="M201" i="21"/>
  <c r="M204" i="21"/>
  <c r="L205" i="21"/>
  <c r="M37" i="21"/>
  <c r="M38" i="21"/>
  <c r="N33" i="21"/>
  <c r="N36" i="21"/>
  <c r="M203" i="23"/>
  <c r="M206" i="23"/>
  <c r="L207" i="23"/>
  <c r="M205" i="21"/>
  <c r="M206" i="21"/>
  <c r="N201" i="21"/>
  <c r="M149" i="21"/>
  <c r="M150" i="21"/>
  <c r="N145" i="21"/>
  <c r="M37" i="23"/>
  <c r="M38" i="23"/>
  <c r="N33" i="23"/>
  <c r="N36" i="23"/>
  <c r="N147" i="23"/>
  <c r="M151" i="23"/>
  <c r="M152" i="23"/>
  <c r="N203" i="23"/>
  <c r="M207" i="23"/>
  <c r="M208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sthert</author>
  </authors>
  <commentList>
    <comment ref="W121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21" authorId="0" shapeId="0" xr:uid="{00000000-0006-0000-0400-000002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21" authorId="0" shapeId="0" xr:uid="{00000000-0006-0000-0400-000003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1" authorId="0" shapeId="0" xr:uid="{00000000-0006-0000-0400-000004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121" authorId="0" shapeId="0" xr:uid="{00000000-0006-0000-0400-000005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22" authorId="0" shapeId="0" xr:uid="{00000000-0006-0000-0400-000006000000}">
      <text>
        <r>
          <rPr>
            <b/>
            <sz val="8"/>
            <color indexed="81"/>
            <rFont val="Tahoma"/>
            <family val="2"/>
          </rPr>
          <t>VALDEMARSGADE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24" authorId="0" shapeId="0" xr:uid="{00000000-0006-0000-0400-000007000000}">
      <text>
        <r>
          <rPr>
            <sz val="8"/>
            <color indexed="81"/>
            <rFont val="Tahoma"/>
            <family val="2"/>
          </rPr>
          <t xml:space="preserve">Omvisninger og Tårnture
</t>
        </r>
      </text>
    </comment>
    <comment ref="E124" authorId="0" shapeId="0" xr:uid="{00000000-0006-0000-0400-000008000000}">
      <text>
        <r>
          <rPr>
            <sz val="8"/>
            <color indexed="81"/>
            <rFont val="Tahoma"/>
            <family val="2"/>
          </rPr>
          <t xml:space="preserve">Omvisninger og Tårnture
</t>
        </r>
      </text>
    </comment>
    <comment ref="F124" authorId="0" shapeId="0" xr:uid="{00000000-0006-0000-0400-000009000000}">
      <text>
        <r>
          <rPr>
            <sz val="8"/>
            <color indexed="81"/>
            <rFont val="Tahoma"/>
            <family val="2"/>
          </rPr>
          <t xml:space="preserve">Omvisninger og Tårnture
</t>
        </r>
      </text>
    </comment>
    <comment ref="AC124" authorId="1" shapeId="0" xr:uid="{00000000-0006-0000-0400-00000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AD124" authorId="1" shapeId="0" xr:uid="{00000000-0006-0000-0400-00000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D125" authorId="0" shapeId="0" xr:uid="{00000000-0006-0000-0400-00000C000000}">
      <text>
        <r>
          <rPr>
            <b/>
            <sz val="8"/>
            <color indexed="81"/>
            <rFont val="Tahoma"/>
            <family val="2"/>
          </rPr>
          <t>Måske Brønshøjvej</t>
        </r>
        <r>
          <rPr>
            <sz val="8"/>
            <color indexed="81"/>
            <rFont val="Tahoma"/>
            <family val="2"/>
          </rPr>
          <t xml:space="preserve">
Ellers hjælpe Dorthe</t>
        </r>
      </text>
    </comment>
    <comment ref="E125" authorId="0" shapeId="0" xr:uid="{00000000-0006-0000-0400-00000D000000}">
      <text>
        <r>
          <rPr>
            <b/>
            <sz val="8"/>
            <color indexed="81"/>
            <rFont val="Tahoma"/>
            <family val="2"/>
          </rPr>
          <t>Måske Brønshøjvej</t>
        </r>
        <r>
          <rPr>
            <sz val="8"/>
            <color indexed="81"/>
            <rFont val="Tahoma"/>
            <family val="2"/>
          </rPr>
          <t xml:space="preserve">
Ellers hjælpe Dorthe</t>
        </r>
      </text>
    </comment>
    <comment ref="O138" authorId="0" shapeId="0" xr:uid="{00000000-0006-0000-0400-00000E000000}">
      <text>
        <r>
          <rPr>
            <sz val="8"/>
            <color indexed="81"/>
            <rFont val="Tahoma"/>
            <family val="2"/>
          </rPr>
          <t xml:space="preserve">Møder hos Dorthe og Mikael kl. 07.00
</t>
        </r>
      </text>
    </comment>
    <comment ref="Q138" authorId="0" shapeId="0" xr:uid="{00000000-0006-0000-0400-00000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kl. 17 - 22</t>
        </r>
      </text>
    </comment>
    <comment ref="R138" authorId="0" shapeId="0" xr:uid="{00000000-0006-0000-0400-000010000000}">
      <text>
        <r>
          <rPr>
            <b/>
            <sz val="8"/>
            <color indexed="81"/>
            <rFont val="Tahoma"/>
            <family val="2"/>
          </rPr>
          <t>Møder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138" authorId="0" shapeId="0" xr:uid="{00000000-0006-0000-0400-000011000000}">
      <text>
        <r>
          <rPr>
            <b/>
            <sz val="8"/>
            <color indexed="81"/>
            <rFont val="Tahoma"/>
            <family val="2"/>
          </rPr>
          <t>Møder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39" authorId="0" shapeId="0" xr:uid="{00000000-0006-0000-0400-00001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Maskinhuset</t>
        </r>
      </text>
    </comment>
    <comment ref="X139" authorId="0" shapeId="0" xr:uid="{00000000-0006-0000-0400-00001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Maskinhuset</t>
        </r>
      </text>
    </comment>
    <comment ref="Y139" authorId="0" shapeId="0" xr:uid="{00000000-0006-0000-0400-00001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kl. 07.00
Dorte og Mikael</t>
        </r>
      </text>
    </comment>
    <comment ref="Z139" authorId="0" shapeId="0" xr:uid="{00000000-0006-0000-0400-00001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kl. 07.00
Dorte og Mikael</t>
        </r>
      </text>
    </comment>
    <comment ref="P158" authorId="0" shapeId="0" xr:uid="{00000000-0006-0000-0400-00001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159" authorId="0" shapeId="0" xr:uid="{00000000-0006-0000-0400-00001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O164" authorId="0" shapeId="0" xr:uid="{00000000-0006-0000-0400-00001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184" authorId="0" shapeId="0" xr:uid="{00000000-0006-0000-0400-00001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O188" authorId="0" shapeId="0" xr:uid="{00000000-0006-0000-0400-00001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P189" authorId="0" shapeId="0" xr:uid="{00000000-0006-0000-0400-00001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190" authorId="0" shapeId="0" xr:uid="{00000000-0006-0000-0400-00001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O199" authorId="0" shapeId="0" xr:uid="{00000000-0006-0000-0400-00001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P200" authorId="0" shapeId="0" xr:uid="{00000000-0006-0000-0400-00001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202" authorId="0" shapeId="0" xr:uid="{00000000-0006-0000-0400-00001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P203" authorId="0" shapeId="0" xr:uid="{00000000-0006-0000-0400-00002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218" authorId="0" shapeId="0" xr:uid="{00000000-0006-0000-0400-00002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P220" authorId="0" shapeId="0" xr:uid="{00000000-0006-0000-0400-00002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O223" authorId="0" shapeId="0" xr:uid="{00000000-0006-0000-0400-00002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derise</author>
    <author>sthert</author>
    <author>bovolf</author>
  </authors>
  <commentList>
    <comment ref="P18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O20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P21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W21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X21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Regninger</t>
        </r>
      </text>
    </comment>
    <comment ref="O37" authorId="1" shapeId="0" xr:uid="{00000000-0006-0000-0500-000006000000}">
      <text>
        <r>
          <rPr>
            <b/>
            <sz val="8"/>
            <color indexed="81"/>
            <rFont val="Tahoma"/>
            <family val="2"/>
          </rPr>
          <t>derise:</t>
        </r>
        <r>
          <rPr>
            <sz val="8"/>
            <color indexed="81"/>
            <rFont val="Tahoma"/>
            <family val="2"/>
          </rPr>
          <t xml:space="preserve">
Svanevej 13-16</t>
        </r>
      </text>
    </comment>
    <comment ref="O39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Ottiliavej 14 - 16</t>
        </r>
      </text>
    </comment>
    <comment ref="Z41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Patruljeleder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42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P43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O44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4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O46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P46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46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L47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 xml:space="preserve">Patruljeleder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47" authorId="0" shapeId="0" xr:uid="{00000000-0006-0000-0500-000011000000}">
      <text>
        <r>
          <rPr>
            <sz val="8"/>
            <color indexed="81"/>
            <rFont val="Tahoma"/>
            <family val="2"/>
          </rPr>
          <t xml:space="preserve">Vagthavende
</t>
        </r>
      </text>
    </comment>
    <comment ref="AD47" authorId="0" shapeId="0" xr:uid="{00000000-0006-0000-0500-000012000000}">
      <text>
        <r>
          <rPr>
            <sz val="8"/>
            <color indexed="81"/>
            <rFont val="Tahoma"/>
            <family val="2"/>
          </rPr>
          <t xml:space="preserve">Vagthavende
</t>
        </r>
      </text>
    </comment>
    <comment ref="H61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Møde som Vagthavende
06.30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61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Anders møder 06.30</t>
        </r>
      </text>
    </comment>
    <comment ref="R62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Møder i Parterre 32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62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Møder i Parterre 32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62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Møder i Parterre 32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62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Møder i Parterre 32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62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Møder i Parterre 32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74" authorId="2" shapeId="0" xr:uid="{00000000-0006-0000-0500-00001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Div møder</t>
        </r>
      </text>
    </comment>
    <comment ref="Q86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 - vagt
Gl. Køgelandevej</t>
        </r>
      </text>
    </comment>
    <comment ref="S86" authorId="2" shapeId="0" xr:uid="{00000000-0006-0000-0500-00001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 1030</t>
        </r>
      </text>
    </comment>
    <comment ref="O87" authorId="0" shapeId="0" xr:uid="{00000000-0006-0000-0500-00001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Spaniensgade</t>
        </r>
      </text>
    </comment>
    <comment ref="P87" authorId="0" shapeId="0" xr:uid="{00000000-0006-0000-0500-00001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Spaniensgade</t>
        </r>
      </text>
    </comment>
    <comment ref="I88" authorId="2" shapeId="0" xr:uid="{00000000-0006-0000-0500-00001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 fra 1000-1200</t>
        </r>
      </text>
    </comment>
    <comment ref="O88" authorId="0" shapeId="0" xr:uid="{00000000-0006-0000-0500-00002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Ottiliavej 14 - 16</t>
        </r>
      </text>
    </comment>
    <comment ref="Q88" authorId="0" shapeId="0" xr:uid="{00000000-0006-0000-0500-00002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W88" authorId="3" shapeId="0" xr:uid="{00000000-0006-0000-0500-000022000000}">
      <text>
        <r>
          <rPr>
            <sz val="11"/>
            <color indexed="81"/>
            <rFont val="Tahoma"/>
            <family val="2"/>
          </rPr>
          <t>Svanevej
BV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20" authorId="2" shapeId="0" xr:uid="{00000000-0006-0000-0500-00002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Intern fridag</t>
        </r>
      </text>
    </comment>
    <comment ref="O120" authorId="2" shapeId="0" xr:uid="{00000000-0006-0000-0500-00002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Intern fridag</t>
        </r>
      </text>
    </comment>
    <comment ref="Y120" authorId="2" shapeId="0" xr:uid="{00000000-0006-0000-05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Intern fridag</t>
        </r>
      </text>
    </comment>
    <comment ref="O121" authorId="0" shapeId="0" xr:uid="{00000000-0006-0000-0500-00002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I124" authorId="0" shapeId="0" xr:uid="{00000000-0006-0000-0500-000027000000}">
      <text>
        <r>
          <rPr>
            <b/>
            <sz val="8"/>
            <color indexed="81"/>
            <rFont val="Tahoma"/>
            <family val="2"/>
          </rPr>
          <t>Undersøgelse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24" authorId="0" shapeId="0" xr:uid="{00000000-0006-0000-0500-00002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125" authorId="0" shapeId="0" xr:uid="{00000000-0006-0000-0500-00002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126" authorId="0" shapeId="0" xr:uid="{00000000-0006-0000-0500-00002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I129" authorId="2" shapeId="0" xr:uid="{00000000-0006-0000-05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Hospital kl.1045-1145</t>
        </r>
      </text>
    </comment>
    <comment ref="O130" authorId="0" shapeId="0" xr:uid="{00000000-0006-0000-0500-00002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W139" authorId="0" shapeId="0" xr:uid="{00000000-0006-0000-0500-00002D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39" authorId="0" shapeId="0" xr:uid="{00000000-0006-0000-0500-00002E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139" authorId="0" shapeId="0" xr:uid="{00000000-0006-0000-0500-00002F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39" authorId="0" shapeId="0" xr:uid="{00000000-0006-0000-0500-000030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G139" authorId="0" shapeId="0" xr:uid="{00000000-0006-0000-0500-000031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140" authorId="0" shapeId="0" xr:uid="{00000000-0006-0000-0500-000032000000}">
      <text>
        <r>
          <rPr>
            <b/>
            <sz val="8"/>
            <color indexed="81"/>
            <rFont val="Tahoma"/>
            <family val="2"/>
          </rPr>
          <t>VALDEMARSGADE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42" authorId="0" shapeId="0" xr:uid="{00000000-0006-0000-0500-000033000000}">
      <text>
        <r>
          <rPr>
            <sz val="8"/>
            <color indexed="81"/>
            <rFont val="Tahoma"/>
            <family val="2"/>
          </rPr>
          <t xml:space="preserve">Omvisninger og Tårnture
</t>
        </r>
      </text>
    </comment>
    <comment ref="E142" authorId="0" shapeId="0" xr:uid="{00000000-0006-0000-0500-000034000000}">
      <text>
        <r>
          <rPr>
            <sz val="8"/>
            <color indexed="81"/>
            <rFont val="Tahoma"/>
            <family val="2"/>
          </rPr>
          <t xml:space="preserve">Omvisninger og Tårnture
</t>
        </r>
      </text>
    </comment>
    <comment ref="F142" authorId="0" shapeId="0" xr:uid="{00000000-0006-0000-0500-000035000000}">
      <text>
        <r>
          <rPr>
            <sz val="8"/>
            <color indexed="81"/>
            <rFont val="Tahoma"/>
            <family val="2"/>
          </rPr>
          <t xml:space="preserve">Omvisninger og Tårnture
</t>
        </r>
      </text>
    </comment>
    <comment ref="AC142" authorId="2" shapeId="0" xr:uid="{00000000-0006-0000-05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AD142" authorId="2" shapeId="0" xr:uid="{00000000-0006-0000-0500-00003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D143" authorId="0" shapeId="0" xr:uid="{00000000-0006-0000-0500-000038000000}">
      <text>
        <r>
          <rPr>
            <b/>
            <sz val="8"/>
            <color indexed="81"/>
            <rFont val="Tahoma"/>
            <family val="2"/>
          </rPr>
          <t>Måske Brønshøjvej</t>
        </r>
        <r>
          <rPr>
            <sz val="8"/>
            <color indexed="81"/>
            <rFont val="Tahoma"/>
            <family val="2"/>
          </rPr>
          <t xml:space="preserve">
Ellers hjælpe Dorthe</t>
        </r>
      </text>
    </comment>
    <comment ref="E143" authorId="0" shapeId="0" xr:uid="{00000000-0006-0000-0500-000039000000}">
      <text>
        <r>
          <rPr>
            <b/>
            <sz val="8"/>
            <color indexed="81"/>
            <rFont val="Tahoma"/>
            <family val="2"/>
          </rPr>
          <t>Måske Brønshøjvej</t>
        </r>
        <r>
          <rPr>
            <sz val="8"/>
            <color indexed="81"/>
            <rFont val="Tahoma"/>
            <family val="2"/>
          </rPr>
          <t xml:space="preserve">
Ellers hjælpe Dorthe</t>
        </r>
      </text>
    </comment>
    <comment ref="O156" authorId="0" shapeId="0" xr:uid="{00000000-0006-0000-0500-00003A000000}">
      <text>
        <r>
          <rPr>
            <sz val="8"/>
            <color indexed="81"/>
            <rFont val="Tahoma"/>
            <family val="2"/>
          </rPr>
          <t xml:space="preserve">Møder hos Dorthe og Mikael kl. 07.00
</t>
        </r>
      </text>
    </comment>
    <comment ref="Q156" authorId="0" shapeId="0" xr:uid="{00000000-0006-0000-0500-00003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kl. 17 - 22</t>
        </r>
      </text>
    </comment>
    <comment ref="R156" authorId="0" shapeId="0" xr:uid="{00000000-0006-0000-0500-00003C000000}">
      <text>
        <r>
          <rPr>
            <b/>
            <sz val="8"/>
            <color indexed="81"/>
            <rFont val="Tahoma"/>
            <family val="2"/>
          </rPr>
          <t>Møder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S156" authorId="0" shapeId="0" xr:uid="{00000000-0006-0000-0500-00003D000000}">
      <text>
        <r>
          <rPr>
            <b/>
            <sz val="8"/>
            <color indexed="81"/>
            <rFont val="Tahoma"/>
            <family val="2"/>
          </rPr>
          <t>Møder i posten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57" authorId="0" shapeId="0" xr:uid="{00000000-0006-0000-0500-00003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Maskinhuset</t>
        </r>
      </text>
    </comment>
    <comment ref="X157" authorId="0" shapeId="0" xr:uid="{00000000-0006-0000-0500-00003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Maskinhuset</t>
        </r>
      </text>
    </comment>
    <comment ref="Y157" authorId="0" shapeId="0" xr:uid="{00000000-0006-0000-0500-00004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kl. 07.00
Dorte og Mikael</t>
        </r>
      </text>
    </comment>
    <comment ref="Z157" authorId="0" shapeId="0" xr:uid="{00000000-0006-0000-0500-00004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kl. 07.00
Dorte og Mikael</t>
        </r>
      </text>
    </comment>
    <comment ref="P176" authorId="0" shapeId="0" xr:uid="{00000000-0006-0000-0500-00004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177" authorId="0" shapeId="0" xr:uid="{00000000-0006-0000-0500-00004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O182" authorId="0" shapeId="0" xr:uid="{00000000-0006-0000-0500-00004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202" authorId="0" shapeId="0" xr:uid="{00000000-0006-0000-0500-00004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O206" authorId="0" shapeId="0" xr:uid="{00000000-0006-0000-0500-00004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P207" authorId="0" shapeId="0" xr:uid="{00000000-0006-0000-0500-00004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208" authorId="0" shapeId="0" xr:uid="{00000000-0006-0000-0500-00004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O217" authorId="0" shapeId="0" xr:uid="{00000000-0006-0000-0500-00004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P218" authorId="0" shapeId="0" xr:uid="{00000000-0006-0000-0500-00004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220" authorId="0" shapeId="0" xr:uid="{00000000-0006-0000-0500-00004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P221" authorId="0" shapeId="0" xr:uid="{00000000-0006-0000-0500-00004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Q236" authorId="0" shapeId="0" xr:uid="{00000000-0006-0000-0500-00004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P238" authorId="0" shapeId="0" xr:uid="{00000000-0006-0000-0500-00004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jilars</author>
    <author>sthert</author>
    <author>benvil</author>
    <author>marasm</author>
  </authors>
  <commentList>
    <comment ref="H18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Går lige med kursus</t>
        </r>
      </text>
    </comment>
    <comment ref="I18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Går lige med kursus</t>
        </r>
      </text>
    </comment>
    <comment ref="S3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Ottiliavej 1 8 - 16</t>
        </r>
      </text>
    </comment>
    <comment ref="T39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Ottiliavej 1 8 - 16</t>
        </r>
      </text>
    </comment>
    <comment ref="U39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Ottiliavej 1 8 - 16</t>
        </r>
      </text>
    </comment>
    <comment ref="V3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Ottiliavej 1 8 - 16</t>
        </r>
      </text>
    </comment>
    <comment ref="W39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Ottiliavej 1 8 - 16</t>
        </r>
      </text>
    </comment>
    <comment ref="AA40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1-vagt og 4-vagt</t>
        </r>
      </text>
    </comment>
    <comment ref="L42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Fuglebakken kl. 08:30 - 15:30</t>
        </r>
      </text>
    </comment>
    <comment ref="M42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Fuglebakken kl. 08:30 - 15:30</t>
        </r>
      </text>
    </comment>
    <comment ref="N42" authorId="1" shapeId="0" xr:uid="{00000000-0006-0000-0600-00000B000000}">
      <text>
        <r>
          <rPr>
            <b/>
            <sz val="9"/>
            <color indexed="81"/>
            <rFont val="Tahoma"/>
            <family val="2"/>
          </rPr>
          <t>Fuglebakken kl. 08:30 - 15:30</t>
        </r>
      </text>
    </comment>
    <comment ref="O42" authorId="1" shapeId="0" xr:uid="{00000000-0006-0000-0600-00000C000000}">
      <text>
        <r>
          <rPr>
            <b/>
            <sz val="9"/>
            <color indexed="81"/>
            <rFont val="Tahoma"/>
            <family val="2"/>
          </rPr>
          <t>Fuglebakken kl. 08:30 - 15:30</t>
        </r>
      </text>
    </comment>
    <comment ref="P42" authorId="1" shapeId="0" xr:uid="{00000000-0006-0000-0600-00000D000000}">
      <text>
        <r>
          <rPr>
            <b/>
            <sz val="9"/>
            <color indexed="81"/>
            <rFont val="Tahoma"/>
            <family val="2"/>
          </rPr>
          <t>Fuglebakken kl. 08:30 - 15:30</t>
        </r>
      </text>
    </comment>
    <comment ref="AA42" authorId="2" shapeId="0" xr:uid="{00000000-0006-0000-0600-00000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Valdemarsgade
11-1530</t>
        </r>
      </text>
    </comment>
    <comment ref="T45" authorId="2" shapeId="0" xr:uid="{00000000-0006-0000-0600-00000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P-VAGT</t>
        </r>
      </text>
    </comment>
    <comment ref="V45" authorId="2" shapeId="0" xr:uid="{00000000-0006-0000-0600-00001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Valdemarsgade kl.1530-1800</t>
        </r>
      </text>
    </comment>
    <comment ref="F49" authorId="0" shapeId="0" xr:uid="{00000000-0006-0000-0600-00001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Ottiliavej 09.30 - 11.30</t>
        </r>
      </text>
    </comment>
    <comment ref="H49" authorId="1" shapeId="0" xr:uid="{00000000-0006-0000-0600-000012000000}">
      <text>
        <r>
          <rPr>
            <b/>
            <sz val="10"/>
            <color indexed="81"/>
            <rFont val="Tahoma"/>
            <family val="2"/>
          </rPr>
          <t>BR-møde fra kl. 16:45</t>
        </r>
      </text>
    </comment>
    <comment ref="AB50" authorId="2" shapeId="0" xr:uid="{00000000-0006-0000-0600-00001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K2</t>
        </r>
      </text>
    </comment>
    <comment ref="S61" authorId="0" shapeId="0" xr:uid="{00000000-0006-0000-0600-00001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kl. 06.30</t>
        </r>
      </text>
    </comment>
    <comment ref="T61" authorId="0" shapeId="0" xr:uid="{00000000-0006-0000-0600-00001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kl. 06.30</t>
        </r>
      </text>
    </comment>
    <comment ref="L62" authorId="0" shapeId="0" xr:uid="{00000000-0006-0000-0600-00001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Projekt</t>
        </r>
      </text>
    </comment>
    <comment ref="M62" authorId="0" shapeId="0" xr:uid="{00000000-0006-0000-0600-00001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Projekt</t>
        </r>
      </text>
    </comment>
    <comment ref="O62" authorId="0" shapeId="0" xr:uid="{00000000-0006-0000-0600-00001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Projekt</t>
        </r>
      </text>
    </comment>
    <comment ref="T62" authorId="0" shapeId="0" xr:uid="{00000000-0006-0000-0600-00001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Projekt</t>
        </r>
      </text>
    </comment>
    <comment ref="U62" authorId="0" shapeId="0" xr:uid="{00000000-0006-0000-0600-00001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Projekt</t>
        </r>
      </text>
    </comment>
    <comment ref="V62" authorId="0" shapeId="0" xr:uid="{00000000-0006-0000-0600-00001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Projekt</t>
        </r>
      </text>
    </comment>
    <comment ref="W62" authorId="0" shapeId="0" xr:uid="{00000000-0006-0000-0600-00001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Projekt</t>
        </r>
      </text>
    </comment>
    <comment ref="E74" authorId="2" shapeId="0" xr:uid="{00000000-0006-0000-0600-00001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F74" authorId="2" shapeId="0" xr:uid="{00000000-0006-0000-0600-00001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Møder</t>
        </r>
      </text>
    </comment>
    <comment ref="H74" authorId="2" shapeId="0" xr:uid="{00000000-0006-0000-0600-00001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i byen</t>
        </r>
      </text>
    </comment>
    <comment ref="I74" authorId="2" shapeId="0" xr:uid="{00000000-0006-0000-0600-00002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 0900-1200</t>
        </r>
      </text>
    </comment>
    <comment ref="L74" authorId="2" shapeId="0" xr:uid="{00000000-0006-0000-0600-00002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N-VAGT</t>
        </r>
      </text>
    </comment>
    <comment ref="M74" authorId="2" shapeId="0" xr:uid="{00000000-0006-0000-0600-00002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N-VAGT</t>
        </r>
      </text>
    </comment>
    <comment ref="N74" authorId="2" shapeId="0" xr:uid="{00000000-0006-0000-0600-00002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N-VAGT</t>
        </r>
      </text>
    </comment>
    <comment ref="P74" authorId="2" shapeId="0" xr:uid="{00000000-0006-0000-0600-00002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N-VAGT</t>
        </r>
      </text>
    </comment>
    <comment ref="S74" authorId="2" shapeId="0" xr:uid="{00000000-0006-0000-06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N-vagt</t>
        </r>
      </text>
    </comment>
    <comment ref="T74" authorId="2" shapeId="0" xr:uid="{00000000-0006-0000-06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N-vagt</t>
        </r>
      </text>
    </comment>
    <comment ref="U74" authorId="2" shapeId="0" xr:uid="{00000000-0006-0000-0600-00002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N-vagt</t>
        </r>
      </text>
    </comment>
    <comment ref="V74" authorId="2" shapeId="0" xr:uid="{00000000-0006-0000-0600-00002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N-vagt</t>
        </r>
      </text>
    </comment>
    <comment ref="W74" authorId="2" shapeId="0" xr:uid="{00000000-0006-0000-0600-00002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N-vagt</t>
        </r>
      </text>
    </comment>
    <comment ref="Z74" authorId="2" shapeId="0" xr:uid="{00000000-0006-0000-0600-00002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AA74" authorId="2" shapeId="0" xr:uid="{00000000-0006-0000-06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AB74" authorId="2" shapeId="0" xr:uid="{00000000-0006-0000-0600-00002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AC74" authorId="2" shapeId="0" xr:uid="{00000000-0006-0000-0600-00002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AD74" authorId="2" shapeId="0" xr:uid="{00000000-0006-0000-0600-00002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F75" authorId="2" shapeId="0" xr:uid="{00000000-0006-0000-0600-00002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H75" authorId="2" shapeId="0" xr:uid="{00000000-0006-0000-0600-00003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N-VAGT</t>
        </r>
      </text>
    </comment>
    <comment ref="I75" authorId="2" shapeId="0" xr:uid="{00000000-0006-0000-0600-00003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N-VAGT</t>
        </r>
      </text>
    </comment>
    <comment ref="N75" authorId="2" shapeId="0" xr:uid="{00000000-0006-0000-0600-00003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Valdemarsgade</t>
        </r>
      </text>
    </comment>
    <comment ref="O75" authorId="3" shapeId="0" xr:uid="{00000000-0006-0000-0600-000033000000}">
      <text>
        <r>
          <rPr>
            <b/>
            <sz val="8"/>
            <color indexed="81"/>
            <rFont val="Tahoma"/>
            <family val="2"/>
          </rPr>
          <t>benvil: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N- vagt
</t>
        </r>
      </text>
    </comment>
    <comment ref="P75" authorId="2" shapeId="0" xr:uid="{00000000-0006-0000-0600-00003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N-VAGT</t>
        </r>
      </text>
    </comment>
    <comment ref="S75" authorId="2" shapeId="0" xr:uid="{00000000-0006-0000-0600-00003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T75" authorId="2" shapeId="0" xr:uid="{00000000-0006-0000-06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AB75" authorId="2" shapeId="0" xr:uid="{00000000-0006-0000-0600-00003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N-VAGT</t>
        </r>
      </text>
    </comment>
    <comment ref="E86" authorId="2" shapeId="0" xr:uid="{00000000-0006-0000-0600-00003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F86" authorId="2" shapeId="0" xr:uid="{00000000-0006-0000-0600-00003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H86" authorId="2" shapeId="0" xr:uid="{00000000-0006-0000-0600-00003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I86" authorId="2" shapeId="0" xr:uid="{00000000-0006-0000-0600-00003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L86" authorId="2" shapeId="0" xr:uid="{00000000-0006-0000-0600-00003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M86" authorId="2" shapeId="0" xr:uid="{00000000-0006-0000-0600-00003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N86" authorId="2" shapeId="0" xr:uid="{00000000-0006-0000-0600-00003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O86" authorId="2" shapeId="0" xr:uid="{00000000-0006-0000-0600-00003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P86" authorId="2" shapeId="0" xr:uid="{00000000-0006-0000-0600-00004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T86" authorId="2" shapeId="0" xr:uid="{00000000-0006-0000-0600-00004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 oa.</t>
        </r>
      </text>
    </comment>
    <comment ref="U86" authorId="2" shapeId="0" xr:uid="{00000000-0006-0000-06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 oa.</t>
        </r>
      </text>
    </comment>
    <comment ref="V86" authorId="2" shapeId="0" xr:uid="{00000000-0006-0000-0600-00004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 55</t>
        </r>
      </text>
    </comment>
    <comment ref="W86" authorId="2" shapeId="0" xr:uid="{00000000-0006-0000-0600-00004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 55</t>
        </r>
      </text>
    </comment>
    <comment ref="Z86" authorId="2" shapeId="0" xr:uid="{00000000-0006-0000-0600-00004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AA86" authorId="2" shapeId="0" xr:uid="{00000000-0006-0000-0600-00004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AB86" authorId="2" shapeId="0" xr:uid="{00000000-0006-0000-0600-00004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AC86" authorId="2" shapeId="0" xr:uid="{00000000-0006-0000-0600-00004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AD86" authorId="2" shapeId="0" xr:uid="{00000000-0006-0000-0600-00004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E87" authorId="2" shapeId="0" xr:uid="{00000000-0006-0000-0600-00004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F87" authorId="2" shapeId="0" xr:uid="{00000000-0006-0000-0600-00004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H87" authorId="2" shapeId="0" xr:uid="{00000000-0006-0000-0600-00004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I87" authorId="2" shapeId="0" xr:uid="{00000000-0006-0000-0600-00004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L87" authorId="2" shapeId="0" xr:uid="{00000000-0006-0000-0600-00004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M87" authorId="2" shapeId="0" xr:uid="{00000000-0006-0000-0600-00004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N87" authorId="2" shapeId="0" xr:uid="{00000000-0006-0000-0600-00005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O87" authorId="2" shapeId="0" xr:uid="{00000000-0006-0000-0600-00005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P87" authorId="2" shapeId="0" xr:uid="{00000000-0006-0000-0600-00005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S87" authorId="2" shapeId="0" xr:uid="{00000000-0006-0000-0600-000053000000}">
      <text>
        <r>
          <rPr>
            <b/>
            <sz val="9"/>
            <color indexed="81"/>
            <rFont val="Tahoma"/>
            <family val="2"/>
          </rPr>
          <t>I retten kl. 09:30</t>
        </r>
      </text>
    </comment>
    <comment ref="T87" authorId="2" shapeId="0" xr:uid="{00000000-0006-0000-0600-00005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U87" authorId="2" shapeId="0" xr:uid="{00000000-0006-0000-0600-00005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V87" authorId="2" shapeId="0" xr:uid="{00000000-0006-0000-0600-00005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W87" authorId="2" shapeId="0" xr:uid="{00000000-0006-0000-0600-00005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Z87" authorId="2" shapeId="0" xr:uid="{00000000-0006-0000-0600-00005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somj H-VAGT</t>
        </r>
      </text>
    </comment>
    <comment ref="AA87" authorId="2" shapeId="0" xr:uid="{00000000-0006-0000-0600-00005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somj H-VAGT</t>
        </r>
      </text>
    </comment>
    <comment ref="AB87" authorId="2" shapeId="0" xr:uid="{00000000-0006-0000-0600-00005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somj H-VAGT</t>
        </r>
      </text>
    </comment>
    <comment ref="AC87" authorId="2" shapeId="0" xr:uid="{00000000-0006-0000-0600-00005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somj H-VAGT</t>
        </r>
      </text>
    </comment>
    <comment ref="AD87" authorId="2" shapeId="0" xr:uid="{00000000-0006-0000-0600-00005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somj H-VAGT</t>
        </r>
      </text>
    </comment>
    <comment ref="L88" authorId="2" shapeId="0" xr:uid="{00000000-0006-0000-0600-00005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K2
+ Gl. Køge Landevej</t>
        </r>
      </text>
    </comment>
    <comment ref="M88" authorId="2" shapeId="0" xr:uid="{00000000-0006-0000-0600-00005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K2</t>
        </r>
      </text>
    </comment>
    <comment ref="N88" authorId="2" shapeId="0" xr:uid="{00000000-0006-0000-0600-00005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K2</t>
        </r>
      </text>
    </comment>
    <comment ref="O88" authorId="2" shapeId="0" xr:uid="{00000000-0006-0000-0600-00006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K5</t>
        </r>
      </text>
    </comment>
    <comment ref="P88" authorId="2" shapeId="0" xr:uid="{00000000-0006-0000-0600-00006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K5</t>
        </r>
      </text>
    </comment>
    <comment ref="S88" authorId="1" shapeId="0" xr:uid="{00000000-0006-0000-0600-000062000000}">
      <text>
        <r>
          <rPr>
            <b/>
            <sz val="9"/>
            <color indexed="81"/>
            <rFont val="Tahoma"/>
            <family val="2"/>
          </rPr>
          <t>Spaniensgade 08:30 - 15:45</t>
        </r>
      </text>
    </comment>
    <comment ref="T88" authorId="2" shapeId="0" xr:uid="{00000000-0006-0000-0600-00006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Til læge
</t>
        </r>
      </text>
    </comment>
    <comment ref="U88" authorId="2" shapeId="0" xr:uid="{00000000-0006-0000-0600-00006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V88" authorId="2" shapeId="0" xr:uid="{00000000-0006-0000-0600-00006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W88" authorId="2" shapeId="0" xr:uid="{00000000-0006-0000-0600-00006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P99" authorId="4" shapeId="0" xr:uid="{00000000-0006-0000-0600-000067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Går kl 14,15</t>
        </r>
      </text>
    </comment>
    <comment ref="I121" authorId="2" shapeId="0" xr:uid="{00000000-0006-0000-0600-00006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Tandlæge 0900-1130</t>
        </r>
      </text>
    </comment>
    <comment ref="T121" authorId="2" shapeId="0" xr:uid="{00000000-0006-0000-0600-00006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opration.</t>
        </r>
      </text>
    </comment>
    <comment ref="V125" authorId="2" shapeId="0" xr:uid="{00000000-0006-0000-0600-00006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Går kl. 1530</t>
        </r>
      </text>
    </comment>
    <comment ref="AA125" authorId="2" shapeId="0" xr:uid="{00000000-0006-0000-0600-00006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Går kl. 1100</t>
        </r>
      </text>
    </comment>
    <comment ref="E139" authorId="0" shapeId="0" xr:uid="{00000000-0006-0000-0600-00006C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9" authorId="0" shapeId="0" xr:uid="{00000000-0006-0000-0600-00006D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139" authorId="0" shapeId="0" xr:uid="{00000000-0006-0000-0600-00006E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39" authorId="0" shapeId="0" xr:uid="{00000000-0006-0000-0600-00006F000000}">
      <text>
        <r>
          <rPr>
            <b/>
            <sz val="8"/>
            <color indexed="81"/>
            <rFont val="Tahoma"/>
            <family val="2"/>
          </rPr>
          <t>Omvisninger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40" authorId="0" shapeId="0" xr:uid="{00000000-0006-0000-0600-000070000000}">
      <text>
        <r>
          <rPr>
            <b/>
            <sz val="10"/>
            <color indexed="81"/>
            <rFont val="Tahoma"/>
            <family val="2"/>
          </rPr>
          <t>flniel:</t>
        </r>
        <r>
          <rPr>
            <sz val="10"/>
            <color indexed="81"/>
            <rFont val="Tahoma"/>
            <family val="2"/>
          </rPr>
          <t xml:space="preserve">
Hovedbiblioteket fra 
10.45- 16</t>
        </r>
      </text>
    </comment>
    <comment ref="AA140" authorId="0" shapeId="0" xr:uid="{00000000-0006-0000-0600-00007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12"/>
            <color indexed="81"/>
            <rFont val="Tahoma"/>
            <family val="2"/>
          </rPr>
          <t xml:space="preserve">
Svanevej</t>
        </r>
      </text>
    </comment>
    <comment ref="S141" authorId="0" shapeId="0" xr:uid="{00000000-0006-0000-0600-00007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Gl.Køgevej</t>
        </r>
      </text>
    </comment>
    <comment ref="T141" authorId="0" shapeId="0" xr:uid="{00000000-0006-0000-0600-00007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Gl.Køgevej</t>
        </r>
      </text>
    </comment>
    <comment ref="V141" authorId="0" shapeId="0" xr:uid="{00000000-0006-0000-0600-00007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Fuglebakken</t>
        </r>
      </text>
    </comment>
    <comment ref="AB141" authorId="0" shapeId="0" xr:uid="{00000000-0006-0000-0600-00007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GL.Køgelandevej</t>
        </r>
      </text>
    </comment>
    <comment ref="AC141" authorId="0" shapeId="0" xr:uid="{00000000-0006-0000-0600-00007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GL.Køgelandevej</t>
        </r>
      </text>
    </comment>
    <comment ref="AD141" authorId="0" shapeId="0" xr:uid="{00000000-0006-0000-0600-00007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GL.Køgelandevej</t>
        </r>
      </text>
    </comment>
    <comment ref="L142" authorId="1" shapeId="0" xr:uid="{00000000-0006-0000-0600-000078000000}">
      <text>
        <r>
          <rPr>
            <b/>
            <sz val="9"/>
            <color indexed="81"/>
            <rFont val="Tahoma"/>
            <family val="2"/>
          </rPr>
          <t>Møde Ottiliavej kl. 08:00 - 16:00</t>
        </r>
      </text>
    </comment>
    <comment ref="M142" authorId="1" shapeId="0" xr:uid="{00000000-0006-0000-0600-000079000000}">
      <text>
        <r>
          <rPr>
            <b/>
            <sz val="9"/>
            <color indexed="81"/>
            <rFont val="Tahoma"/>
            <family val="2"/>
          </rPr>
          <t>Møde Ottiliavej kl. 08:00 - 16:00</t>
        </r>
      </text>
    </comment>
    <comment ref="N142" authorId="1" shapeId="0" xr:uid="{00000000-0006-0000-0600-00007A000000}">
      <text>
        <r>
          <rPr>
            <b/>
            <sz val="9"/>
            <color indexed="81"/>
            <rFont val="Tahoma"/>
            <family val="2"/>
          </rPr>
          <t>Møde Ottiliavej kl. 08:00 - 16:00</t>
        </r>
      </text>
    </comment>
    <comment ref="O142" authorId="1" shapeId="0" xr:uid="{00000000-0006-0000-0600-00007B000000}">
      <text>
        <r>
          <rPr>
            <b/>
            <sz val="9"/>
            <color indexed="81"/>
            <rFont val="Tahoma"/>
            <family val="2"/>
          </rPr>
          <t>Møde Ottiliavej kl. 08:00 - 16:00</t>
        </r>
      </text>
    </comment>
    <comment ref="P142" authorId="1" shapeId="0" xr:uid="{00000000-0006-0000-0600-00007C000000}">
      <text>
        <r>
          <rPr>
            <b/>
            <sz val="9"/>
            <color indexed="81"/>
            <rFont val="Tahoma"/>
            <family val="2"/>
          </rPr>
          <t>Møde Ottiliavej kl. 08:00 - 16:00</t>
        </r>
      </text>
    </comment>
    <comment ref="S155" authorId="0" shapeId="0" xr:uid="{00000000-0006-0000-0600-00007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</t>
        </r>
      </text>
    </comment>
    <comment ref="E156" authorId="0" shapeId="0" xr:uid="{00000000-0006-0000-0600-00007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Dorte og Mikael</t>
        </r>
      </text>
    </comment>
    <comment ref="F156" authorId="0" shapeId="0" xr:uid="{00000000-0006-0000-0600-00007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Dorte og Mikael</t>
        </r>
      </text>
    </comment>
    <comment ref="H156" authorId="0" shapeId="0" xr:uid="{00000000-0006-0000-0600-00008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Dorte og Mikael</t>
        </r>
      </text>
    </comment>
    <comment ref="I156" authorId="0" shapeId="0" xr:uid="{00000000-0006-0000-0600-00008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Dorte og Mikael</t>
        </r>
      </text>
    </comment>
    <comment ref="P156" authorId="0" shapeId="0" xr:uid="{00000000-0006-0000-0600-00008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Kører med Martin i posten</t>
        </r>
      </text>
    </comment>
    <comment ref="L169" authorId="0" shapeId="0" xr:uid="{00000000-0006-0000-0600-000083000000}">
      <text>
        <r>
          <rPr>
            <b/>
            <sz val="8"/>
            <color indexed="81"/>
            <rFont val="Tahoma"/>
            <family val="2"/>
          </rPr>
          <t>Seniordage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C170" authorId="0" shapeId="0" xr:uid="{00000000-0006-0000-0600-00008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06.30 for Erik</t>
        </r>
      </text>
    </comment>
    <comment ref="AD170" authorId="0" shapeId="0" xr:uid="{00000000-0006-0000-0600-00008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06.30 for Erik</t>
        </r>
      </text>
    </comment>
    <comment ref="Z181" authorId="0" shapeId="0" xr:uid="{00000000-0006-0000-0600-00008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Ottiliavej 1</t>
        </r>
      </text>
    </comment>
    <comment ref="AA181" authorId="0" shapeId="0" xr:uid="{00000000-0006-0000-0600-00008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Ottiliavej 1</t>
        </r>
      </text>
    </comment>
    <comment ref="AB181" authorId="0" shapeId="0" xr:uid="{00000000-0006-0000-06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Ottiliavej 1</t>
        </r>
      </text>
    </comment>
    <comment ref="AC181" authorId="0" shapeId="0" xr:uid="{00000000-0006-0000-0600-00008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Ottiliavej 1</t>
        </r>
      </text>
    </comment>
    <comment ref="AD181" authorId="0" shapeId="0" xr:uid="{00000000-0006-0000-0600-00008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Ottiliavej 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erskyg</author>
    <author>sthert</author>
    <author>marasm</author>
    <author>jilars</author>
    <author>mipede</author>
    <author>flniel</author>
  </authors>
  <commentList>
    <comment ref="J46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Thomas møder i Spaniensgade fra 9.30 - 11.30, og kommer herin bagefter</t>
        </r>
      </text>
    </comment>
    <comment ref="C74" authorId="1" shapeId="0" xr:uid="{00000000-0006-0000-0700-00000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D74" authorId="1" shapeId="0" xr:uid="{00000000-0006-0000-0700-00000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E74" authorId="1" shapeId="0" xr:uid="{00000000-0006-0000-0700-00000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F74" authorId="1" shapeId="0" xr:uid="{00000000-0006-0000-0700-00000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N-vagt</t>
        </r>
      </text>
    </comment>
    <comment ref="G74" authorId="1" shapeId="0" xr:uid="{00000000-0006-0000-0700-00000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N-vagt</t>
        </r>
      </text>
    </comment>
    <comment ref="J74" authorId="1" shapeId="0" xr:uid="{00000000-0006-0000-0700-00000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M-vagt</t>
        </r>
      </text>
    </comment>
    <comment ref="K74" authorId="1" shapeId="0" xr:uid="{00000000-0006-0000-0700-00000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M-vagt</t>
        </r>
      </text>
    </comment>
    <comment ref="L74" authorId="1" shapeId="0" xr:uid="{00000000-0006-0000-0700-00000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M-vagt</t>
        </r>
      </text>
    </comment>
    <comment ref="M74" authorId="1" shapeId="0" xr:uid="{00000000-0006-0000-0700-00000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M-vagt</t>
        </r>
      </text>
    </comment>
    <comment ref="N74" authorId="1" shapeId="0" xr:uid="{00000000-0006-0000-0700-00000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M-vagt</t>
        </r>
      </text>
    </comment>
    <comment ref="Q74" authorId="2" shapeId="0" xr:uid="{00000000-0006-0000-0700-00000C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i byen</t>
        </r>
      </text>
    </comment>
    <comment ref="R74" authorId="1" shapeId="0" xr:uid="{00000000-0006-0000-0700-00000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i byen</t>
        </r>
      </text>
    </comment>
    <comment ref="S74" authorId="1" shapeId="0" xr:uid="{00000000-0006-0000-0700-00000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M-vagt</t>
        </r>
      </text>
    </comment>
    <comment ref="T74" authorId="1" shapeId="0" xr:uid="{00000000-0006-0000-0700-00000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M-vagt</t>
        </r>
      </text>
    </comment>
    <comment ref="U74" authorId="1" shapeId="0" xr:uid="{00000000-0006-0000-0700-00001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M-vagt</t>
        </r>
      </text>
    </comment>
    <comment ref="X74" authorId="1" shapeId="0" xr:uid="{00000000-0006-0000-0700-00001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M-VAGT</t>
        </r>
      </text>
    </comment>
    <comment ref="AA74" authorId="1" shapeId="0" xr:uid="{00000000-0006-0000-0700-00001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Svanevej</t>
        </r>
      </text>
    </comment>
    <comment ref="AB74" authorId="1" shapeId="0" xr:uid="{00000000-0006-0000-0700-00001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Svanevej</t>
        </r>
      </text>
    </comment>
    <comment ref="AE74" authorId="1" shapeId="0" xr:uid="{00000000-0006-0000-0700-00001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AF74" authorId="1" shapeId="0" xr:uid="{00000000-0006-0000-0700-00001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AG74" authorId="1" shapeId="0" xr:uid="{00000000-0006-0000-0700-00001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J75" authorId="1" shapeId="0" xr:uid="{00000000-0006-0000-0700-00001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K75" authorId="1" shapeId="0" xr:uid="{00000000-0006-0000-0700-00001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L75" authorId="1" shapeId="0" xr:uid="{00000000-0006-0000-0700-00001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Q75" authorId="2" shapeId="0" xr:uid="{00000000-0006-0000-0700-00001A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M-Vagt</t>
        </r>
      </text>
    </comment>
    <comment ref="R75" authorId="2" shapeId="0" xr:uid="{00000000-0006-0000-0700-00001B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M-Vagt</t>
        </r>
      </text>
    </comment>
    <comment ref="X75" authorId="3" shapeId="0" xr:uid="{00000000-0006-0000-0700-00001C000000}">
      <text>
        <r>
          <rPr>
            <b/>
            <sz val="9"/>
            <color indexed="81"/>
            <rFont val="Tahoma"/>
            <family val="2"/>
          </rPr>
          <t>Remisevej fra kl. 13:30 - 15:00</t>
        </r>
      </text>
    </comment>
    <comment ref="Z75" authorId="1" shapeId="0" xr:uid="{00000000-0006-0000-0700-00001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M-VAGT</t>
        </r>
      </text>
    </comment>
    <comment ref="AB75" authorId="4" shapeId="0" xr:uid="{00000000-0006-0000-0700-00001E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AE75" authorId="1" shapeId="0" xr:uid="{00000000-0006-0000-0700-00001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AF75" authorId="1" shapeId="0" xr:uid="{00000000-0006-0000-0700-00002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AG75" authorId="1" shapeId="0" xr:uid="{00000000-0006-0000-0700-00002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C86" authorId="1" shapeId="0" xr:uid="{00000000-0006-0000-0700-00002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K2</t>
        </r>
      </text>
    </comment>
    <comment ref="D86" authorId="1" shapeId="0" xr:uid="{00000000-0006-0000-0700-00002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K2</t>
        </r>
      </text>
    </comment>
    <comment ref="E86" authorId="1" shapeId="0" xr:uid="{00000000-0006-0000-0700-00002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K2</t>
        </r>
      </text>
    </comment>
    <comment ref="F86" authorId="1" shapeId="0" xr:uid="{00000000-0006-0000-07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K5</t>
        </r>
      </text>
    </comment>
    <comment ref="G86" authorId="1" shapeId="0" xr:uid="{00000000-0006-0000-07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K5</t>
        </r>
      </text>
    </comment>
    <comment ref="C87" authorId="1" shapeId="0" xr:uid="{00000000-0006-0000-0700-00002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D87" authorId="1" shapeId="0" xr:uid="{00000000-0006-0000-0700-00002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E87" authorId="1" shapeId="0" xr:uid="{00000000-0006-0000-0700-00002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F87" authorId="1" shapeId="0" xr:uid="{00000000-0006-0000-0700-00002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G87" authorId="1" shapeId="0" xr:uid="{00000000-0006-0000-07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Q87" authorId="5" shapeId="0" xr:uid="{00000000-0006-0000-0700-00002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R87" authorId="5" shapeId="0" xr:uid="{00000000-0006-0000-0700-00002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S87" authorId="5" shapeId="0" xr:uid="{00000000-0006-0000-0700-00002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T87" authorId="5" shapeId="0" xr:uid="{00000000-0006-0000-0700-00002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U87" authorId="5" shapeId="0" xr:uid="{00000000-0006-0000-0700-00003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X87" authorId="5" shapeId="0" xr:uid="{00000000-0006-0000-0700-00003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Y87" authorId="5" shapeId="0" xr:uid="{00000000-0006-0000-0700-00003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Z87" authorId="5" shapeId="0" xr:uid="{00000000-0006-0000-0700-00003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AA87" authorId="5" shapeId="0" xr:uid="{00000000-0006-0000-0700-00003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AB87" authorId="5" shapeId="0" xr:uid="{00000000-0006-0000-0700-00003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AE87" authorId="1" shapeId="0" xr:uid="{00000000-0006-0000-07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AF87" authorId="1" shapeId="0" xr:uid="{00000000-0006-0000-0700-00003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AG87" authorId="1" shapeId="0" xr:uid="{00000000-0006-0000-0700-00003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</t>
        </r>
      </text>
    </comment>
    <comment ref="C88" authorId="5" shapeId="0" xr:uid="{00000000-0006-0000-0700-00003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Ottiliavej 1</t>
        </r>
      </text>
    </comment>
    <comment ref="D88" authorId="5" shapeId="0" xr:uid="{00000000-0006-0000-0700-00003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Ottiliavej 1</t>
        </r>
      </text>
    </comment>
    <comment ref="E88" authorId="5" shapeId="0" xr:uid="{00000000-0006-0000-0700-00003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Ottiliavej 1</t>
        </r>
      </text>
    </comment>
    <comment ref="F88" authorId="5" shapeId="0" xr:uid="{00000000-0006-0000-0700-00003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Ottiliavej 1</t>
        </r>
      </text>
    </comment>
    <comment ref="G88" authorId="5" shapeId="0" xr:uid="{00000000-0006-0000-0700-00003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Ottiliavej 1
Tager K2 på OA
BV</t>
        </r>
      </text>
    </comment>
    <comment ref="J88" authorId="1" shapeId="0" xr:uid="{00000000-0006-0000-0700-00003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P-VAGT</t>
        </r>
      </text>
    </comment>
    <comment ref="K88" authorId="1" shapeId="0" xr:uid="{00000000-0006-0000-0700-00003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P-VAGT</t>
        </r>
      </text>
    </comment>
    <comment ref="L88" authorId="1" shapeId="0" xr:uid="{00000000-0006-0000-0700-00004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P-VAGT</t>
        </r>
      </text>
    </comment>
    <comment ref="M88" authorId="1" shapeId="0" xr:uid="{00000000-0006-0000-0700-00004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P-VAGT</t>
        </r>
      </text>
    </comment>
    <comment ref="N88" authorId="1" shapeId="0" xr:uid="{00000000-0006-0000-07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P-VAGT</t>
        </r>
      </text>
    </comment>
    <comment ref="X99" authorId="2" shapeId="0" xr:uid="{00000000-0006-0000-0700-000043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Kommer senere</t>
        </r>
      </text>
    </comment>
    <comment ref="F120" authorId="1" shapeId="0" xr:uid="{00000000-0006-0000-0700-00004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Skal i retten</t>
        </r>
      </text>
    </comment>
    <comment ref="AG167" authorId="5" shapeId="0" xr:uid="{00000000-0006-0000-0700-00004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For John Rasmussen</t>
        </r>
      </text>
    </comment>
    <comment ref="Y169" authorId="4" shapeId="0" xr:uid="{00000000-0006-0000-0700-000046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Spaniensgade 25
10-13</t>
        </r>
      </text>
    </comment>
    <comment ref="X171" authorId="1" shapeId="0" xr:uid="{00000000-0006-0000-0700-00004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L-VAGT på OA.</t>
        </r>
      </text>
    </comment>
    <comment ref="Y171" authorId="1" shapeId="0" xr:uid="{00000000-0006-0000-0700-00004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M-VAGT på OA</t>
        </r>
      </text>
    </comment>
    <comment ref="AA171" authorId="4" shapeId="0" xr:uid="{00000000-0006-0000-0700-000049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Matthæusgade OA
</t>
        </r>
      </text>
    </comment>
    <comment ref="AF171" authorId="5" shapeId="0" xr:uid="{00000000-0006-0000-0700-00004A000000}">
      <text>
        <r>
          <rPr>
            <b/>
            <sz val="8"/>
            <color indexed="81"/>
            <rFont val="Tahoma"/>
            <family val="2"/>
          </rPr>
          <t>flniel: OA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</t>
        </r>
      </text>
    </comment>
    <comment ref="AG171" authorId="5" shapeId="0" xr:uid="{00000000-0006-0000-0700-00004B000000}">
      <text>
        <r>
          <rPr>
            <b/>
            <sz val="8"/>
            <color indexed="81"/>
            <rFont val="Tahoma"/>
            <family val="2"/>
          </rPr>
          <t>flniel: OA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</t>
        </r>
      </text>
    </comment>
    <comment ref="C180" authorId="5" shapeId="0" xr:uid="{00000000-0006-0000-0700-00004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D180" authorId="5" shapeId="0" xr:uid="{00000000-0006-0000-0700-00004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E180" authorId="5" shapeId="0" xr:uid="{00000000-0006-0000-0700-00004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F180" authorId="5" shapeId="0" xr:uid="{00000000-0006-0000-0700-00004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G180" authorId="5" shapeId="0" xr:uid="{00000000-0006-0000-0700-00005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J180" authorId="5" shapeId="0" xr:uid="{00000000-0006-0000-0700-00005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K180" authorId="5" shapeId="0" xr:uid="{00000000-0006-0000-0700-00005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L180" authorId="5" shapeId="0" xr:uid="{00000000-0006-0000-0700-00005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M180" authorId="5" shapeId="0" xr:uid="{00000000-0006-0000-0700-00005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N180" authorId="5" shapeId="0" xr:uid="{00000000-0006-0000-0700-00005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Q180" authorId="5" shapeId="0" xr:uid="{00000000-0006-0000-0700-00005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R180" authorId="5" shapeId="0" xr:uid="{00000000-0006-0000-0700-00005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S180" authorId="5" shapeId="0" xr:uid="{00000000-0006-0000-0700-00005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T180" authorId="5" shapeId="0" xr:uid="{00000000-0006-0000-0700-00005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U180" authorId="5" shapeId="0" xr:uid="{00000000-0006-0000-0700-00005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X180" authorId="5" shapeId="0" xr:uid="{00000000-0006-0000-0700-00005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Y180" authorId="5" shapeId="0" xr:uid="{00000000-0006-0000-0700-00005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Z180" authorId="5" shapeId="0" xr:uid="{00000000-0006-0000-0700-00005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AA180" authorId="5" shapeId="0" xr:uid="{00000000-0006-0000-0700-00005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AB180" authorId="5" shapeId="0" xr:uid="{00000000-0006-0000-0700-00005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AE180" authorId="5" shapeId="0" xr:uid="{00000000-0006-0000-0700-00006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AF180" authorId="5" shapeId="0" xr:uid="{00000000-0006-0000-0700-00006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AG180" authorId="5" shapeId="0" xr:uid="{00000000-0006-0000-0700-00006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Bernstoffsgade 17</t>
        </r>
      </text>
    </comment>
    <comment ref="D183" authorId="2" shapeId="0" xr:uid="{00000000-0006-0000-0700-000063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E183" authorId="2" shapeId="0" xr:uid="{00000000-0006-0000-0700-000064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F183" authorId="2" shapeId="0" xr:uid="{00000000-0006-0000-0700-000065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K183" authorId="2" shapeId="0" xr:uid="{00000000-0006-0000-0700-000066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L183" authorId="2" shapeId="0" xr:uid="{00000000-0006-0000-0700-000067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M183" authorId="2" shapeId="0" xr:uid="{00000000-0006-0000-0700-000068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R183" authorId="2" shapeId="0" xr:uid="{00000000-0006-0000-0700-000069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S183" authorId="2" shapeId="0" xr:uid="{00000000-0006-0000-0700-00006A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T183" authorId="2" shapeId="0" xr:uid="{00000000-0006-0000-0700-00006B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Y183" authorId="2" shapeId="0" xr:uid="{00000000-0006-0000-0700-00006C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Z183" authorId="2" shapeId="0" xr:uid="{00000000-0006-0000-0700-00006D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AA183" authorId="2" shapeId="0" xr:uid="{00000000-0006-0000-0700-00006E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AF183" authorId="2" shapeId="0" xr:uid="{00000000-0006-0000-0700-00006F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AG183" authorId="2" shapeId="0" xr:uid="{00000000-0006-0000-0700-000070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Møder kl 9-15</t>
        </r>
      </text>
    </comment>
    <comment ref="C184" authorId="5" shapeId="0" xr:uid="{00000000-0006-0000-0700-00007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D184" authorId="5" shapeId="0" xr:uid="{00000000-0006-0000-0700-00007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E184" authorId="5" shapeId="0" xr:uid="{00000000-0006-0000-0700-00007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F184" authorId="5" shapeId="0" xr:uid="{00000000-0006-0000-0700-00007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G184" authorId="5" shapeId="0" xr:uid="{00000000-0006-0000-0700-00007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J184" authorId="5" shapeId="0" xr:uid="{00000000-0006-0000-0700-00007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K184" authorId="5" shapeId="0" xr:uid="{00000000-0006-0000-0700-00007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L184" authorId="5" shapeId="0" xr:uid="{00000000-0006-0000-0700-00007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M184" authorId="5" shapeId="0" xr:uid="{00000000-0006-0000-0700-00007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N184" authorId="5" shapeId="0" xr:uid="{00000000-0006-0000-0700-00007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Q184" authorId="5" shapeId="0" xr:uid="{00000000-0006-0000-0700-00007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R184" authorId="5" shapeId="0" xr:uid="{00000000-0006-0000-0700-00007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S184" authorId="5" shapeId="0" xr:uid="{00000000-0006-0000-0700-00007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T184" authorId="5" shapeId="0" xr:uid="{00000000-0006-0000-0700-00007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U184" authorId="5" shapeId="0" xr:uid="{00000000-0006-0000-0700-00007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X184" authorId="5" shapeId="0" xr:uid="{00000000-0006-0000-0700-00008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Y184" authorId="5" shapeId="0" xr:uid="{00000000-0006-0000-0700-00008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Z184" authorId="5" shapeId="0" xr:uid="{00000000-0006-0000-0700-00008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AA184" authorId="5" shapeId="0" xr:uid="{00000000-0006-0000-0700-00008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AB184" authorId="5" shapeId="0" xr:uid="{00000000-0006-0000-0700-00008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AE184" authorId="5" shapeId="0" xr:uid="{00000000-0006-0000-0700-00008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AF184" authorId="5" shapeId="0" xr:uid="{00000000-0006-0000-0700-00008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AG184" authorId="5" shapeId="0" xr:uid="{00000000-0006-0000-0700-00008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E263" authorId="2" shapeId="0" xr:uid="{00000000-0006-0000-0700-000088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Afspadser 3 timer</t>
        </r>
      </text>
    </comment>
    <comment ref="F263" authorId="2" shapeId="0" xr:uid="{00000000-0006-0000-0700-000089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Afspadser 3 timer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sthert</author>
    <author>flniel</author>
    <author>jilars</author>
    <author>marasm</author>
    <author>mipede</author>
  </authors>
  <commentList>
    <comment ref="G21" authorId="0" shapeId="0" xr:uid="{00000000-0006-0000-0800-00000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Fashionweek</t>
        </r>
      </text>
    </comment>
    <comment ref="H21" authorId="0" shapeId="0" xr:uid="{00000000-0006-0000-0800-00000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Fashionweek</t>
        </r>
      </text>
    </comment>
    <comment ref="I21" authorId="0" shapeId="0" xr:uid="{00000000-0006-0000-0800-00000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Fashionweek</t>
        </r>
      </text>
    </comment>
    <comment ref="J21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Fashionweek</t>
        </r>
      </text>
    </comment>
    <comment ref="K21" authorId="0" shapeId="0" xr:uid="{00000000-0006-0000-0800-00000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Fashionweek</t>
        </r>
      </text>
    </comment>
    <comment ref="H39" authorId="1" shapeId="0" xr:uid="{00000000-0006-0000-0800-00000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OA 17. - 23</t>
        </r>
      </text>
    </comment>
    <comment ref="K39" authorId="0" shapeId="0" xr:uid="{00000000-0006-0000-0800-00000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 0900-1100</t>
        </r>
      </text>
    </comment>
    <comment ref="G61" authorId="1" shapeId="0" xr:uid="{00000000-0006-0000-0800-00000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06.30</t>
        </r>
      </text>
    </comment>
    <comment ref="H61" authorId="1" shapeId="0" xr:uid="{00000000-0006-0000-0800-00000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06.30</t>
        </r>
      </text>
    </comment>
    <comment ref="I61" authorId="1" shapeId="0" xr:uid="{00000000-0006-0000-0800-00000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06.30</t>
        </r>
      </text>
    </comment>
    <comment ref="J61" authorId="1" shapeId="0" xr:uid="{00000000-0006-0000-0800-00000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06.30</t>
        </r>
      </text>
    </comment>
    <comment ref="K61" authorId="1" shapeId="0" xr:uid="{00000000-0006-0000-0800-00000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06.30</t>
        </r>
      </text>
    </comment>
    <comment ref="N61" authorId="1" shapeId="0" xr:uid="{00000000-0006-0000-0800-00000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06.30</t>
        </r>
      </text>
    </comment>
    <comment ref="O61" authorId="1" shapeId="0" xr:uid="{00000000-0006-0000-0800-00000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06.30</t>
        </r>
      </text>
    </comment>
    <comment ref="P61" authorId="1" shapeId="0" xr:uid="{00000000-0006-0000-0800-00000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06.30</t>
        </r>
      </text>
    </comment>
    <comment ref="Q61" authorId="1" shapeId="0" xr:uid="{00000000-0006-0000-0800-00001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06.30</t>
        </r>
      </text>
    </comment>
    <comment ref="R61" authorId="1" shapeId="0" xr:uid="{00000000-0006-0000-0800-00001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06.30</t>
        </r>
      </text>
    </comment>
    <comment ref="L62" authorId="2" shapeId="0" xr:uid="{00000000-0006-0000-0800-000012000000}">
      <text>
        <r>
          <rPr>
            <b/>
            <sz val="8"/>
            <color indexed="81"/>
            <rFont val="Tahoma"/>
            <family val="2"/>
          </rPr>
          <t>jilars: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Vagt i hovedporten fra kl. 09:30</t>
        </r>
      </text>
    </comment>
    <comment ref="M62" authorId="1" shapeId="0" xr:uid="{00000000-0006-0000-0800-00001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 Ottiliavej
12 - 19.30</t>
        </r>
      </text>
    </comment>
    <comment ref="R62" authorId="1" shapeId="0" xr:uid="{00000000-0006-0000-0800-000014000000}">
      <text>
        <r>
          <rPr>
            <b/>
            <sz val="10"/>
            <color indexed="81"/>
            <rFont val="Tahoma"/>
            <family val="2"/>
          </rPr>
          <t>flniel:</t>
        </r>
        <r>
          <rPr>
            <sz val="10"/>
            <color indexed="81"/>
            <rFont val="Tahoma"/>
            <family val="2"/>
          </rPr>
          <t xml:space="preserve">
OA Hans Knudsens Plds
14 - 22</t>
        </r>
      </text>
    </comment>
    <comment ref="S62" authorId="1" shapeId="0" xr:uid="{00000000-0006-0000-0800-000015000000}">
      <text>
        <r>
          <rPr>
            <b/>
            <sz val="10"/>
            <color indexed="81"/>
            <rFont val="Tahoma"/>
            <family val="2"/>
          </rPr>
          <t>flniel:</t>
        </r>
        <r>
          <rPr>
            <sz val="10"/>
            <color indexed="81"/>
            <rFont val="Tahoma"/>
            <family val="2"/>
          </rPr>
          <t xml:space="preserve">
OA Hans Knudsens Plds
08- 22</t>
        </r>
      </text>
    </comment>
    <comment ref="C74" authorId="0" shapeId="0" xr:uid="{00000000-0006-0000-0800-00001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D74" authorId="0" shapeId="0" xr:uid="{00000000-0006-0000-0800-00001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G74" authorId="0" shapeId="0" xr:uid="{00000000-0006-0000-0800-00001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H74" authorId="0" shapeId="0" xr:uid="{00000000-0006-0000-0800-00001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I74" authorId="0" shapeId="0" xr:uid="{00000000-0006-0000-0800-00001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J74" authorId="0" shapeId="0" xr:uid="{00000000-0006-0000-0800-00001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K74" authorId="0" shapeId="0" xr:uid="{00000000-0006-0000-0800-00001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N74" authorId="0" shapeId="0" xr:uid="{00000000-0006-0000-0800-00001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N-VAGT</t>
        </r>
      </text>
    </comment>
    <comment ref="O74" authorId="0" shapeId="0" xr:uid="{00000000-0006-0000-0800-00001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N-VAGT</t>
        </r>
      </text>
    </comment>
    <comment ref="P74" authorId="0" shapeId="0" xr:uid="{00000000-0006-0000-0800-00001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D-VAGT</t>
        </r>
      </text>
    </comment>
    <comment ref="Q74" authorId="0" shapeId="0" xr:uid="{00000000-0006-0000-0800-00002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N-VAGT</t>
        </r>
      </text>
    </comment>
    <comment ref="R74" authorId="0" shapeId="0" xr:uid="{00000000-0006-0000-0800-00002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N-VAGT</t>
        </r>
      </text>
    </comment>
    <comment ref="X74" authorId="0" shapeId="0" xr:uid="{00000000-0006-0000-0800-00002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 i byen 0730-1200</t>
        </r>
      </text>
    </comment>
    <comment ref="C75" authorId="0" shapeId="0" xr:uid="{00000000-0006-0000-0800-00002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D75" authorId="0" shapeId="0" xr:uid="{00000000-0006-0000-0800-00002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I75" authorId="0" shapeId="0" xr:uid="{00000000-0006-0000-08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Fashionweek</t>
        </r>
      </text>
    </comment>
    <comment ref="J75" authorId="0" shapeId="0" xr:uid="{00000000-0006-0000-08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Fashionweek</t>
        </r>
      </text>
    </comment>
    <comment ref="K75" authorId="0" shapeId="0" xr:uid="{00000000-0006-0000-0800-00002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Fashionweek</t>
        </r>
      </text>
    </comment>
    <comment ref="P75" authorId="1" shapeId="0" xr:uid="{00000000-0006-0000-0800-00002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Svanevej N - VAGT</t>
        </r>
      </text>
    </comment>
    <comment ref="W75" authorId="0" shapeId="0" xr:uid="{00000000-0006-0000-0800-00002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Remisevej. 0815-1540</t>
        </r>
      </text>
    </comment>
    <comment ref="Y75" authorId="0" shapeId="0" xr:uid="{00000000-0006-0000-0800-00002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AB75" authorId="0" shapeId="0" xr:uid="{00000000-0006-0000-08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AC75" authorId="0" shapeId="0" xr:uid="{00000000-0006-0000-0800-00002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AD75" authorId="0" shapeId="0" xr:uid="{00000000-0006-0000-0800-00002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AE75" authorId="0" shapeId="0" xr:uid="{00000000-0006-0000-0800-00002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AF75" authorId="0" shapeId="0" xr:uid="{00000000-0006-0000-0800-00002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G-VAGT</t>
        </r>
      </text>
    </comment>
    <comment ref="J76" authorId="1" shapeId="0" xr:uid="{00000000-0006-0000-0800-00003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K76" authorId="1" shapeId="0" xr:uid="{00000000-0006-0000-0800-00003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R76" authorId="0" shapeId="0" xr:uid="{00000000-0006-0000-0800-00003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H-VAGT og er på huset igen kl. 1330</t>
        </r>
      </text>
    </comment>
    <comment ref="V76" authorId="0" shapeId="0" xr:uid="{00000000-0006-0000-0800-00003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 på oa.</t>
        </r>
      </text>
    </comment>
    <comment ref="G86" authorId="0" shapeId="0" xr:uid="{00000000-0006-0000-0800-00003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H86" authorId="0" shapeId="0" xr:uid="{00000000-0006-0000-0800-00003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I86" authorId="0" shapeId="0" xr:uid="{00000000-0006-0000-08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
K2 på OA</t>
        </r>
      </text>
    </comment>
    <comment ref="J86" authorId="0" shapeId="0" xr:uid="{00000000-0006-0000-0800-00003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
K5 PÅ OA</t>
        </r>
      </text>
    </comment>
    <comment ref="K86" authorId="0" shapeId="0" xr:uid="{00000000-0006-0000-0800-00003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
K5 PÅ OA</t>
        </r>
      </text>
    </comment>
    <comment ref="N86" authorId="0" shapeId="0" xr:uid="{00000000-0006-0000-0800-00003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O86" authorId="0" shapeId="0" xr:uid="{00000000-0006-0000-0800-00003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P86" authorId="0" shapeId="0" xr:uid="{00000000-0006-0000-0800-00003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Q86" authorId="0" shapeId="0" xr:uid="{00000000-0006-0000-0800-00003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R86" authorId="0" shapeId="0" xr:uid="{00000000-0006-0000-0800-00003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U86" authorId="0" shapeId="0" xr:uid="{00000000-0006-0000-0800-00003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C-VAGT</t>
        </r>
      </text>
    </comment>
    <comment ref="X86" authorId="1" shapeId="0" xr:uid="{00000000-0006-0000-0800-00003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Svanevej 9 - 18</t>
        </r>
      </text>
    </comment>
    <comment ref="AE86" authorId="0" shapeId="0" xr:uid="{00000000-0006-0000-0800-00004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Møder som C-VAGT</t>
        </r>
      </text>
    </comment>
    <comment ref="C87" authorId="0" shapeId="0" xr:uid="{00000000-0006-0000-0800-00004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D87" authorId="0" shapeId="0" xr:uid="{00000000-0006-0000-08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G87" authorId="0" shapeId="0" xr:uid="{00000000-0006-0000-0800-00004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
Møder som K5</t>
        </r>
      </text>
    </comment>
    <comment ref="H87" authorId="0" shapeId="0" xr:uid="{00000000-0006-0000-0800-00004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I87" authorId="0" shapeId="0" xr:uid="{00000000-0006-0000-0800-00004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J87" authorId="0" shapeId="0" xr:uid="{00000000-0006-0000-0800-00004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K87" authorId="0" shapeId="0" xr:uid="{00000000-0006-0000-0800-00004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N87" authorId="0" shapeId="0" xr:uid="{00000000-0006-0000-0800-00004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O87" authorId="0" shapeId="0" xr:uid="{00000000-0006-0000-0800-00004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P87" authorId="0" shapeId="0" xr:uid="{00000000-0006-0000-0800-00004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Q87" authorId="0" shapeId="0" xr:uid="{00000000-0006-0000-0800-00004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R87" authorId="0" shapeId="0" xr:uid="{00000000-0006-0000-0800-00004C000000}">
      <text>
        <r>
          <rPr>
            <b/>
            <sz val="8"/>
            <color indexed="81"/>
            <rFont val="Tahoma"/>
            <family val="2"/>
          </rPr>
          <t>sthert
Til Læge</t>
        </r>
      </text>
    </comment>
    <comment ref="U87" authorId="0" shapeId="0" xr:uid="{00000000-0006-0000-0800-00004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V87" authorId="0" shapeId="0" xr:uid="{00000000-0006-0000-0800-00004E000000}">
      <text>
        <r>
          <rPr>
            <b/>
            <sz val="8"/>
            <color indexed="81"/>
            <rFont val="Tahoma"/>
            <family val="2"/>
          </rPr>
          <t>sthert:
Til LÆGE</t>
        </r>
      </text>
    </comment>
    <comment ref="W87" authorId="0" shapeId="0" xr:uid="{00000000-0006-0000-0800-00004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X87" authorId="0" shapeId="0" xr:uid="{00000000-0006-0000-0800-00005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Y87" authorId="0" shapeId="0" xr:uid="{00000000-0006-0000-0800-00005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B87" authorId="0" shapeId="0" xr:uid="{00000000-0006-0000-0800-00005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C87" authorId="0" shapeId="0" xr:uid="{00000000-0006-0000-0800-00005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D87" authorId="0" shapeId="0" xr:uid="{00000000-0006-0000-0800-00005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E87" authorId="0" shapeId="0" xr:uid="{00000000-0006-0000-0800-00005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F87" authorId="0" shapeId="0" xr:uid="{00000000-0006-0000-0800-00005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U88" authorId="0" shapeId="0" xr:uid="{00000000-0006-0000-0800-00005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K-VAGT</t>
        </r>
      </text>
    </comment>
    <comment ref="V88" authorId="0" shapeId="0" xr:uid="{00000000-0006-0000-0800-00005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K-VAGT</t>
        </r>
      </text>
    </comment>
    <comment ref="W88" authorId="0" shapeId="0" xr:uid="{00000000-0006-0000-0800-00005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K-VAGT</t>
        </r>
      </text>
    </comment>
    <comment ref="X88" authorId="0" shapeId="0" xr:uid="{00000000-0006-0000-0800-00005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K-VAGT</t>
        </r>
      </text>
    </comment>
    <comment ref="Y88" authorId="0" shapeId="0" xr:uid="{00000000-0006-0000-0800-00005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K-VAGT</t>
        </r>
      </text>
    </comment>
    <comment ref="AE120" authorId="0" shapeId="0" xr:uid="{00000000-0006-0000-0800-00005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TR-MØDE</t>
        </r>
      </text>
    </comment>
    <comment ref="X128" authorId="1" shapeId="0" xr:uid="{00000000-0006-0000-0800-00005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Til LÆGEN</t>
        </r>
      </text>
    </comment>
    <comment ref="P154" authorId="3" shapeId="0" xr:uid="{00000000-0006-0000-0800-00005E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P2</t>
        </r>
      </text>
    </comment>
    <comment ref="C167" authorId="1" shapeId="0" xr:uid="{00000000-0006-0000-0800-00005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For John Rasmussen</t>
        </r>
      </text>
    </comment>
    <comment ref="D167" authorId="1" shapeId="0" xr:uid="{00000000-0006-0000-0800-00006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For John Rasmussen</t>
        </r>
      </text>
    </comment>
    <comment ref="E167" authorId="1" shapeId="0" xr:uid="{00000000-0006-0000-0800-00006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For John Rasmussen</t>
        </r>
      </text>
    </comment>
    <comment ref="G167" authorId="3" shapeId="0" xr:uid="{00000000-0006-0000-0800-000062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John Rasmussen</t>
        </r>
      </text>
    </comment>
    <comment ref="H167" authorId="3" shapeId="0" xr:uid="{00000000-0006-0000-0800-000063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John Rasmussen</t>
        </r>
      </text>
    </comment>
    <comment ref="K167" authorId="1" shapeId="0" xr:uid="{00000000-0006-0000-0800-000064000000}">
      <text>
        <r>
          <rPr>
            <b/>
            <sz val="10"/>
            <color indexed="81"/>
            <rFont val="Tahoma"/>
            <family val="2"/>
          </rPr>
          <t>flniel:</t>
        </r>
        <r>
          <rPr>
            <sz val="10"/>
            <color indexed="81"/>
            <rFont val="Tahoma"/>
            <family val="2"/>
          </rPr>
          <t xml:space="preserve">
7 - 14</t>
        </r>
      </text>
    </comment>
    <comment ref="O167" authorId="3" shapeId="0" xr:uid="{00000000-0006-0000-0800-000065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John Rasmussen</t>
        </r>
      </text>
    </comment>
    <comment ref="P167" authorId="3" shapeId="0" xr:uid="{00000000-0006-0000-0800-000066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John Rasmussen</t>
        </r>
      </text>
    </comment>
    <comment ref="Q167" authorId="3" shapeId="0" xr:uid="{00000000-0006-0000-0800-000067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John Rasmussen</t>
        </r>
      </text>
    </comment>
    <comment ref="R167" authorId="3" shapeId="0" xr:uid="{00000000-0006-0000-0800-000068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John Rasmussen</t>
        </r>
      </text>
    </comment>
    <comment ref="S167" authorId="3" shapeId="0" xr:uid="{00000000-0006-0000-0800-000069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John Rasmussen</t>
        </r>
      </text>
    </comment>
    <comment ref="V167" authorId="3" shapeId="0" xr:uid="{00000000-0006-0000-0800-00006A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W167" authorId="3" shapeId="0" xr:uid="{00000000-0006-0000-0800-00006B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X167" authorId="3" shapeId="0" xr:uid="{00000000-0006-0000-0800-00006C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Y167" authorId="3" shapeId="0" xr:uid="{00000000-0006-0000-0800-00006D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Z167" authorId="3" shapeId="0" xr:uid="{00000000-0006-0000-0800-00006E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AC167" authorId="3" shapeId="0" xr:uid="{00000000-0006-0000-0800-00006F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AD167" authorId="3" shapeId="0" xr:uid="{00000000-0006-0000-0800-000070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AE167" authorId="1" shapeId="0" xr:uid="{00000000-0006-0000-0800-000071000000}">
      <text>
        <r>
          <rPr>
            <b/>
            <sz val="10"/>
            <color indexed="81"/>
            <rFont val="Tahoma"/>
            <family val="2"/>
          </rPr>
          <t>flniel:</t>
        </r>
        <r>
          <rPr>
            <sz val="10"/>
            <color indexed="81"/>
            <rFont val="Tahoma"/>
            <family val="2"/>
          </rPr>
          <t xml:space="preserve">
Valdemarsgade </t>
        </r>
      </text>
    </comment>
    <comment ref="AF167" authorId="3" shapeId="0" xr:uid="{00000000-0006-0000-0800-000072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N170" authorId="1" shapeId="0" xr:uid="{00000000-0006-0000-0800-00007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også som 4- vagt
kl. 09.30</t>
        </r>
      </text>
    </comment>
    <comment ref="G171" authorId="1" shapeId="0" xr:uid="{00000000-0006-0000-0800-00007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Gl.KØGELANDEVEJ 4 OA</t>
        </r>
      </text>
    </comment>
    <comment ref="I171" authorId="0" shapeId="0" xr:uid="{00000000-0006-0000-0800-00007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Fashionweek OA.</t>
        </r>
      </text>
    </comment>
    <comment ref="J171" authorId="0" shapeId="0" xr:uid="{00000000-0006-0000-0800-00007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Fashionweek</t>
        </r>
      </text>
    </comment>
    <comment ref="K171" authorId="0" shapeId="0" xr:uid="{00000000-0006-0000-0800-00007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Fashionweek</t>
        </r>
      </text>
    </comment>
    <comment ref="AB171" authorId="4" shapeId="0" xr:uid="{00000000-0006-0000-0800-000078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7-vagt på OA</t>
        </r>
      </text>
    </comment>
    <comment ref="AC171" authorId="4" shapeId="0" xr:uid="{00000000-0006-0000-0800-000079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7-Vagt  på OA</t>
        </r>
      </text>
    </comment>
    <comment ref="C183" authorId="1" shapeId="0" xr:uid="{00000000-0006-0000-0800-00007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D183" authorId="1" shapeId="0" xr:uid="{00000000-0006-0000-0800-00007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G183" authorId="1" shapeId="0" xr:uid="{00000000-0006-0000-0800-00007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H183" authorId="1" shapeId="0" xr:uid="{00000000-0006-0000-0800-00007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I183" authorId="1" shapeId="0" xr:uid="{00000000-0006-0000-0800-00007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J183" authorId="1" shapeId="0" xr:uid="{00000000-0006-0000-0800-00007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K183" authorId="1" shapeId="0" xr:uid="{00000000-0006-0000-0800-00008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N183" authorId="1" shapeId="0" xr:uid="{00000000-0006-0000-0800-00008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O183" authorId="1" shapeId="0" xr:uid="{00000000-0006-0000-0800-00008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P183" authorId="1" shapeId="0" xr:uid="{00000000-0006-0000-0800-00008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Q183" authorId="1" shapeId="0" xr:uid="{00000000-0006-0000-0800-00008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R183" authorId="1" shapeId="0" xr:uid="{00000000-0006-0000-0800-00008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U183" authorId="1" shapeId="0" xr:uid="{00000000-0006-0000-0800-00008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V183" authorId="1" shapeId="0" xr:uid="{00000000-0006-0000-0800-00008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W183" authorId="1" shapeId="0" xr:uid="{00000000-0006-0000-08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X183" authorId="1" shapeId="0" xr:uid="{00000000-0006-0000-0800-00008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Y183" authorId="1" shapeId="0" xr:uid="{00000000-0006-0000-0800-00008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AB183" authorId="1" shapeId="0" xr:uid="{00000000-0006-0000-0800-00008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AC183" authorId="1" shapeId="0" xr:uid="{00000000-0006-0000-0800-00008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AD183" authorId="1" shapeId="0" xr:uid="{00000000-0006-0000-0800-00008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AE183" authorId="1" shapeId="0" xr:uid="{00000000-0006-0000-0800-00008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AF183" authorId="1" shapeId="0" xr:uid="{00000000-0006-0000-0800-00008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Fuglebakken</t>
        </r>
      </text>
    </comment>
    <comment ref="D205" authorId="3" shapeId="0" xr:uid="{00000000-0006-0000-0800-000090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fra 8-12</t>
        </r>
      </text>
    </comment>
    <comment ref="L209" authorId="1" shapeId="0" xr:uid="{00000000-0006-0000-0800-00009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VagtT Ottiliavej 14 - 17</t>
        </r>
      </text>
    </comment>
    <comment ref="N209" authorId="1" shapeId="0" xr:uid="{00000000-0006-0000-0800-00009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 Ottiliavej
14.30 - 21.00</t>
        </r>
      </text>
    </comment>
    <comment ref="O209" authorId="1" shapeId="0" xr:uid="{00000000-0006-0000-0800-00009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 Ottiliavej
14.30 - 21.00</t>
        </r>
      </text>
    </comment>
    <comment ref="P209" authorId="1" shapeId="0" xr:uid="{00000000-0006-0000-0800-00009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 Ottiliavej
14.30 - 21.00</t>
        </r>
      </text>
    </comment>
    <comment ref="Y261" authorId="1" shapeId="0" xr:uid="{00000000-0006-0000-0800-00009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Skal ikke tastes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kjjesp</author>
    <author>sthert</author>
    <author>mipede</author>
    <author>marasm</author>
    <author>erskyg</author>
  </authors>
  <commentList>
    <comment ref="AA13" authorId="0" shapeId="0" xr:uid="{00000000-0006-0000-0900-00000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F14" authorId="0" shapeId="0" xr:uid="{00000000-0006-0000-0900-00000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Valgdepot</t>
        </r>
      </text>
    </comment>
    <comment ref="AA15" authorId="0" shapeId="0" xr:uid="{00000000-0006-0000-0900-00000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F15" authorId="0" shapeId="0" xr:uid="{00000000-0006-0000-0900-00000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Valgdepot</t>
        </r>
      </text>
    </comment>
    <comment ref="AA16" authorId="0" shapeId="0" xr:uid="{00000000-0006-0000-0900-00000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17" authorId="0" shapeId="0" xr:uid="{00000000-0006-0000-0900-00000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R18" authorId="0" shapeId="0" xr:uid="{00000000-0006-0000-0900-00000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Slole support 8 - 16</t>
        </r>
      </text>
    </comment>
    <comment ref="S18" authorId="0" shapeId="0" xr:uid="{00000000-0006-0000-0900-00000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Slole support 8 - 16</t>
        </r>
      </text>
    </comment>
    <comment ref="T18" authorId="0" shapeId="0" xr:uid="{00000000-0006-0000-0900-00000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Slole support 8 - 16</t>
        </r>
      </text>
    </comment>
    <comment ref="U18" authorId="0" shapeId="0" xr:uid="{00000000-0006-0000-0900-00000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Slole support 8 - 16</t>
        </r>
      </text>
    </comment>
    <comment ref="V18" authorId="0" shapeId="0" xr:uid="{00000000-0006-0000-0900-00000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Slole support 8 - 16</t>
        </r>
      </text>
    </comment>
    <comment ref="AA20" authorId="0" shapeId="0" xr:uid="{00000000-0006-0000-0900-00000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
Betjentvagt</t>
        </r>
      </text>
    </comment>
    <comment ref="AB20" authorId="1" shapeId="0" xr:uid="{00000000-0006-0000-0900-00000D000000}">
      <text>
        <r>
          <rPr>
            <b/>
            <sz val="8"/>
            <color indexed="81"/>
            <rFont val="Tahoma"/>
            <family val="2"/>
          </rPr>
          <t>kjjesp:</t>
        </r>
        <r>
          <rPr>
            <sz val="8"/>
            <color indexed="81"/>
            <rFont val="Tahoma"/>
            <family val="2"/>
          </rPr>
          <t xml:space="preserve">
Læge 10.55</t>
        </r>
      </text>
    </comment>
    <comment ref="AA21" authorId="0" shapeId="0" xr:uid="{00000000-0006-0000-0900-00000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M37" authorId="0" shapeId="0" xr:uid="{00000000-0006-0000-0900-00000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8 - vagt </t>
        </r>
      </text>
    </comment>
    <comment ref="AA37" authorId="0" shapeId="0" xr:uid="{00000000-0006-0000-0900-00001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39" authorId="0" shapeId="0" xr:uid="{00000000-0006-0000-0900-00001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F39" authorId="2" shapeId="0" xr:uid="{00000000-0006-0000-0900-00001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</t>
        </r>
      </text>
    </comment>
    <comment ref="AA40" authorId="0" shapeId="0" xr:uid="{00000000-0006-0000-0900-00001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42" authorId="0" shapeId="0" xr:uid="{00000000-0006-0000-0900-00001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46" authorId="0" shapeId="0" xr:uid="{00000000-0006-0000-0900-00001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47" authorId="0" shapeId="0" xr:uid="{00000000-0006-0000-0900-00001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48" authorId="0" shapeId="0" xr:uid="{00000000-0006-0000-0900-00001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K50" authorId="0" shapeId="0" xr:uid="{00000000-0006-0000-0900-00001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 i HNG kl. 9 - 11.30</t>
        </r>
      </text>
    </comment>
    <comment ref="Z50" authorId="3" shapeId="0" xr:uid="{00000000-0006-0000-0900-000019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Begravelsesfri</t>
        </r>
      </text>
    </comment>
    <comment ref="AA61" authorId="0" shapeId="0" xr:uid="{00000000-0006-0000-0900-00001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E62" authorId="0" shapeId="0" xr:uid="{00000000-0006-0000-0900-00001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Fri kl. 11.00</t>
        </r>
      </text>
    </comment>
    <comment ref="S62" authorId="0" shapeId="0" xr:uid="{00000000-0006-0000-0900-00001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OMVISNINGER</t>
        </r>
      </text>
    </comment>
    <comment ref="T62" authorId="0" shapeId="0" xr:uid="{00000000-0006-0000-0900-00001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OMVISNINGER</t>
        </r>
      </text>
    </comment>
    <comment ref="U62" authorId="0" shapeId="0" xr:uid="{00000000-0006-0000-0900-00001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OMVISNINGER</t>
        </r>
      </text>
    </comment>
    <comment ref="V62" authorId="0" shapeId="0" xr:uid="{00000000-0006-0000-0900-00001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OMVISNINGER</t>
        </r>
      </text>
    </comment>
    <comment ref="AA62" authorId="0" shapeId="0" xr:uid="{00000000-0006-0000-0900-00002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OMVISNINGER</t>
        </r>
      </text>
    </comment>
    <comment ref="AB62" authorId="0" shapeId="0" xr:uid="{00000000-0006-0000-0900-00002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OMVISNINGER</t>
        </r>
      </text>
    </comment>
    <comment ref="H74" authorId="2" shapeId="0" xr:uid="{00000000-0006-0000-0900-00002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div. møder</t>
        </r>
      </text>
    </comment>
    <comment ref="R74" authorId="2" shapeId="0" xr:uid="{00000000-0006-0000-0900-00002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T74" authorId="2" shapeId="0" xr:uid="{00000000-0006-0000-0900-00002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</t>
        </r>
      </text>
    </comment>
    <comment ref="U74" authorId="2" shapeId="0" xr:uid="{00000000-0006-0000-09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</t>
        </r>
      </text>
    </comment>
    <comment ref="V74" authorId="2" shapeId="0" xr:uid="{00000000-0006-0000-09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</t>
        </r>
      </text>
    </comment>
    <comment ref="AA74" authorId="0" shapeId="0" xr:uid="{00000000-0006-0000-0900-00002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Matthæusgade 1 11.30 - 15.30</t>
        </r>
      </text>
    </comment>
    <comment ref="K75" authorId="2" shapeId="0" xr:uid="{00000000-0006-0000-0900-00002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L75" authorId="2" shapeId="0" xr:uid="{00000000-0006-0000-0900-00002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M75" authorId="2" shapeId="0" xr:uid="{00000000-0006-0000-0900-00002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N75" authorId="2" shapeId="0" xr:uid="{00000000-0006-0000-09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O75" authorId="2" shapeId="0" xr:uid="{00000000-0006-0000-0900-00002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R75" authorId="2" shapeId="0" xr:uid="{00000000-0006-0000-0900-00002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L-VAGT OA.</t>
        </r>
      </text>
    </comment>
    <comment ref="S75" authorId="2" shapeId="0" xr:uid="{00000000-0006-0000-0900-00002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L-VAGT OA.</t>
        </r>
      </text>
    </comment>
    <comment ref="T75" authorId="2" shapeId="0" xr:uid="{00000000-0006-0000-0900-00002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 13-15</t>
        </r>
      </text>
    </comment>
    <comment ref="AA75" authorId="0" shapeId="0" xr:uid="{00000000-0006-0000-0900-00003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F75" authorId="2" shapeId="0" xr:uid="{00000000-0006-0000-0900-00003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D76" authorId="2" shapeId="0" xr:uid="{00000000-0006-0000-0900-00003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D-VAGT</t>
        </r>
      </text>
    </comment>
    <comment ref="E76" authorId="2" shapeId="0" xr:uid="{00000000-0006-0000-0900-00003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D-VAGT</t>
        </r>
      </text>
    </comment>
    <comment ref="F76" authorId="2" shapeId="0" xr:uid="{00000000-0006-0000-0900-00003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D-VAGT</t>
        </r>
      </text>
    </comment>
    <comment ref="G76" authorId="2" shapeId="0" xr:uid="{00000000-0006-0000-0900-00003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D-VAGT</t>
        </r>
      </text>
    </comment>
    <comment ref="H76" authorId="2" shapeId="0" xr:uid="{00000000-0006-0000-09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D-VAGT</t>
        </r>
      </text>
    </comment>
    <comment ref="AA76" authorId="0" shapeId="0" xr:uid="{00000000-0006-0000-0900-00003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86" authorId="2" shapeId="0" xr:uid="{00000000-0006-0000-0900-00003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L-VAGT</t>
        </r>
      </text>
    </comment>
    <comment ref="E86" authorId="2" shapeId="0" xr:uid="{00000000-0006-0000-0900-00003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L-VAGT</t>
        </r>
      </text>
    </comment>
    <comment ref="F86" authorId="2" shapeId="0" xr:uid="{00000000-0006-0000-0900-00003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L-VAGT</t>
        </r>
      </text>
    </comment>
    <comment ref="G86" authorId="2" shapeId="0" xr:uid="{00000000-0006-0000-0900-00003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L-VAGT</t>
        </r>
      </text>
    </comment>
    <comment ref="H86" authorId="2" shapeId="0" xr:uid="{00000000-0006-0000-0900-00003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L-VAGT</t>
        </r>
      </text>
    </comment>
    <comment ref="L86" authorId="0" shapeId="0" xr:uid="{00000000-0006-0000-0900-00003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M-vagt for Helle</t>
        </r>
      </text>
    </comment>
    <comment ref="M86" authorId="0" shapeId="0" xr:uid="{00000000-0006-0000-0900-00003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M-vagt for Helle</t>
        </r>
      </text>
    </comment>
    <comment ref="R86" authorId="2" shapeId="0" xr:uid="{00000000-0006-0000-0900-00003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S86" authorId="2" shapeId="0" xr:uid="{00000000-0006-0000-0900-00004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T86" authorId="2" shapeId="0" xr:uid="{00000000-0006-0000-0900-00004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U86" authorId="2" shapeId="0" xr:uid="{00000000-0006-0000-09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V86" authorId="2" shapeId="0" xr:uid="{00000000-0006-0000-0900-00004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AA86" authorId="0" shapeId="0" xr:uid="{00000000-0006-0000-0900-00004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Afløse Brønshøjvej 08.10 -ca. 12. </t>
        </r>
      </text>
    </comment>
    <comment ref="AB86" authorId="0" shapeId="0" xr:uid="{00000000-0006-0000-0900-00004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Møder GL.Køgevej 4</t>
        </r>
      </text>
    </comment>
    <comment ref="AF86" authorId="3" shapeId="0" xr:uid="{00000000-0006-0000-0900-000046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O-vagt </t>
        </r>
      </text>
    </comment>
    <comment ref="D87" authorId="2" shapeId="0" xr:uid="{00000000-0006-0000-0900-00004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H-vagt</t>
        </r>
      </text>
    </comment>
    <comment ref="E87" authorId="2" shapeId="0" xr:uid="{00000000-0006-0000-0900-00004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H-vagt</t>
        </r>
      </text>
    </comment>
    <comment ref="F87" authorId="2" shapeId="0" xr:uid="{00000000-0006-0000-0900-00004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H-vagt</t>
        </r>
      </text>
    </comment>
    <comment ref="G87" authorId="2" shapeId="0" xr:uid="{00000000-0006-0000-0900-00004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H-VAGT</t>
        </r>
      </text>
    </comment>
    <comment ref="H87" authorId="2" shapeId="0" xr:uid="{00000000-0006-0000-0900-00004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H-VAGT</t>
        </r>
      </text>
    </comment>
    <comment ref="K87" authorId="2" shapeId="0" xr:uid="{00000000-0006-0000-0900-00004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H-VAGT</t>
        </r>
      </text>
    </comment>
    <comment ref="L87" authorId="2" shapeId="0" xr:uid="{00000000-0006-0000-0900-00004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H-VAGT</t>
        </r>
      </text>
    </comment>
    <comment ref="M87" authorId="2" shapeId="0" xr:uid="{00000000-0006-0000-0900-00004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H-VAGT</t>
        </r>
      </text>
    </comment>
    <comment ref="N87" authorId="2" shapeId="0" xr:uid="{00000000-0006-0000-0900-00004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H-VAGT</t>
        </r>
      </text>
    </comment>
    <comment ref="O87" authorId="2" shapeId="0" xr:uid="{00000000-0006-0000-0900-00005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H-VAGT</t>
        </r>
      </text>
    </comment>
    <comment ref="R87" authorId="2" shapeId="0" xr:uid="{00000000-0006-0000-0900-00005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 + K5 på OA.</t>
        </r>
      </text>
    </comment>
    <comment ref="S87" authorId="2" shapeId="0" xr:uid="{00000000-0006-0000-0900-00005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T87" authorId="2" shapeId="0" xr:uid="{00000000-0006-0000-0900-00005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U87" authorId="2" shapeId="0" xr:uid="{00000000-0006-0000-0900-00005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V87" authorId="2" shapeId="0" xr:uid="{00000000-0006-0000-0900-00005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 : K2 på OA</t>
        </r>
      </text>
    </comment>
    <comment ref="Y87" authorId="2" shapeId="0" xr:uid="{00000000-0006-0000-0900-00005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Z87" authorId="2" shapeId="0" xr:uid="{00000000-0006-0000-0900-00005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A87" authorId="2" shapeId="0" xr:uid="{00000000-0006-0000-0900-00005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B87" authorId="2" shapeId="0" xr:uid="{00000000-0006-0000-0900-00005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C87" authorId="2" shapeId="0" xr:uid="{00000000-0006-0000-0900-00005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F87" authorId="2" shapeId="0" xr:uid="{00000000-0006-0000-0900-00005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H-VAGT</t>
        </r>
      </text>
    </comment>
    <comment ref="D88" authorId="2" shapeId="0" xr:uid="{00000000-0006-0000-0900-00005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G-VAGT</t>
        </r>
      </text>
    </comment>
    <comment ref="E88" authorId="2" shapeId="0" xr:uid="{00000000-0006-0000-0900-00005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G-VAGT</t>
        </r>
      </text>
    </comment>
    <comment ref="F88" authorId="2" shapeId="0" xr:uid="{00000000-0006-0000-0900-00005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G-VAGT</t>
        </r>
      </text>
    </comment>
    <comment ref="G88" authorId="2" shapeId="0" xr:uid="{00000000-0006-0000-0900-00005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G-VAGT</t>
        </r>
      </text>
    </comment>
    <comment ref="H88" authorId="2" shapeId="0" xr:uid="{00000000-0006-0000-0900-00006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G-VAGT</t>
        </r>
      </text>
    </comment>
    <comment ref="K88" authorId="2" shapeId="0" xr:uid="{00000000-0006-0000-0900-00006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</t>
        </r>
      </text>
    </comment>
    <comment ref="L88" authorId="2" shapeId="0" xr:uid="{00000000-0006-0000-0900-00006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</t>
        </r>
      </text>
    </comment>
    <comment ref="M88" authorId="2" shapeId="0" xr:uid="{00000000-0006-0000-0900-00006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</t>
        </r>
      </text>
    </comment>
    <comment ref="N88" authorId="2" shapeId="0" xr:uid="{00000000-0006-0000-0900-00006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</t>
        </r>
      </text>
    </comment>
    <comment ref="O88" authorId="2" shapeId="0" xr:uid="{00000000-0006-0000-0900-00006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</t>
        </r>
      </text>
    </comment>
    <comment ref="R88" authorId="2" shapeId="0" xr:uid="{00000000-0006-0000-0900-00006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 </t>
        </r>
        <r>
          <rPr>
            <sz val="10"/>
            <color indexed="81"/>
            <rFont val="Tahoma"/>
            <family val="2"/>
          </rPr>
          <t>Møder ikke som K5</t>
        </r>
      </text>
    </comment>
    <comment ref="S88" authorId="2" shapeId="0" xr:uid="{00000000-0006-0000-0900-00006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O-VAGT</t>
        </r>
      </text>
    </comment>
    <comment ref="AA88" authorId="0" shapeId="0" xr:uid="{00000000-0006-0000-0900-00006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Afløse Remisevej 08.10 . Ca. 12.00</t>
        </r>
      </text>
    </comment>
    <comment ref="AA99" authorId="0" shapeId="0" xr:uid="{00000000-0006-0000-0900-00006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L102" authorId="0" shapeId="0" xr:uid="{00000000-0006-0000-0900-00006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senere</t>
        </r>
      </text>
    </comment>
    <comment ref="D119" authorId="0" shapeId="0" xr:uid="{00000000-0006-0000-0900-00006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Intern fridag</t>
        </r>
      </text>
    </comment>
    <comment ref="N120" authorId="0" shapeId="0" xr:uid="{00000000-0006-0000-0900-00006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Intern flex</t>
        </r>
      </text>
    </comment>
    <comment ref="O120" authorId="0" shapeId="0" xr:uid="{00000000-0006-0000-0900-00006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Intern flex</t>
        </r>
      </text>
    </comment>
    <comment ref="R120" authorId="2" shapeId="0" xr:uid="{00000000-0006-0000-0900-00006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 11-13</t>
        </r>
      </text>
    </comment>
    <comment ref="AA120" authorId="0" shapeId="0" xr:uid="{00000000-0006-0000-0900-00006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122" authorId="0" shapeId="0" xr:uid="{00000000-0006-0000-0900-00007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123" authorId="0" shapeId="0" xr:uid="{00000000-0006-0000-0900-00007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127" authorId="0" shapeId="0" xr:uid="{00000000-0006-0000-0900-00007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140" authorId="0" shapeId="0" xr:uid="{00000000-0006-0000-0900-00007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141" authorId="0" shapeId="0" xr:uid="{00000000-0006-0000-0900-00007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155" authorId="0" shapeId="0" xr:uid="{00000000-0006-0000-0900-00007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156" authorId="0" shapeId="0" xr:uid="{00000000-0006-0000-0900-00007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E167" authorId="4" shapeId="0" xr:uid="{00000000-0006-0000-0900-000077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F167" authorId="4" shapeId="0" xr:uid="{00000000-0006-0000-0900-000078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G167" authorId="4" shapeId="0" xr:uid="{00000000-0006-0000-0900-000079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H167" authorId="4" shapeId="0" xr:uid="{00000000-0006-0000-0900-00007A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I167" authorId="4" shapeId="0" xr:uid="{00000000-0006-0000-0900-00007B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K167" authorId="4" shapeId="0" xr:uid="{00000000-0006-0000-0900-00007C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L167" authorId="4" shapeId="0" xr:uid="{00000000-0006-0000-0900-00007D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M167" authorId="4" shapeId="0" xr:uid="{00000000-0006-0000-0900-00007E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N167" authorId="4" shapeId="0" xr:uid="{00000000-0006-0000-0900-00007F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R167" authorId="4" shapeId="0" xr:uid="{00000000-0006-0000-0900-000080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T167" authorId="4" shapeId="0" xr:uid="{00000000-0006-0000-0900-000081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U167" authorId="4" shapeId="0" xr:uid="{00000000-0006-0000-0900-000082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V167" authorId="4" shapeId="0" xr:uid="{00000000-0006-0000-0900-000083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For Marianne Rasmussen</t>
        </r>
      </text>
    </comment>
    <comment ref="Z167" authorId="0" shapeId="0" xr:uid="{00000000-0006-0000-0900-00008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Marianne Rasmussen</t>
        </r>
      </text>
    </comment>
    <comment ref="AC167" authorId="0" shapeId="0" xr:uid="{00000000-0006-0000-0900-00008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Marianne Rasmussen</t>
        </r>
      </text>
    </comment>
    <comment ref="AF167" authorId="0" shapeId="0" xr:uid="{00000000-0006-0000-0900-00008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for Marianne kl. 09.00</t>
        </r>
      </text>
    </comment>
    <comment ref="AA170" authorId="0" shapeId="0" xr:uid="{00000000-0006-0000-0900-00008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D171" authorId="0" shapeId="0" xr:uid="{00000000-0006-0000-09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Mødt kl. 10</t>
        </r>
      </text>
    </comment>
    <comment ref="E171" authorId="0" shapeId="0" xr:uid="{00000000-0006-0000-0900-00008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Mødt  som 1-vagt
Remisevej 10 - 11</t>
        </r>
      </text>
    </comment>
    <comment ref="F171" authorId="0" shapeId="0" xr:uid="{00000000-0006-0000-0900-00008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Mødt  som 1-vagt
</t>
        </r>
      </text>
    </comment>
    <comment ref="T171" authorId="5" shapeId="0" xr:uid="{00000000-0006-0000-0900-00008B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 5 på OA</t>
        </r>
      </text>
    </comment>
    <comment ref="U171" authorId="5" shapeId="0" xr:uid="{00000000-0006-0000-0900-00008C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K-2 på OA</t>
        </r>
      </text>
    </comment>
    <comment ref="AA171" authorId="0" shapeId="0" xr:uid="{00000000-0006-0000-0900-00008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181" authorId="0" shapeId="0" xr:uid="{00000000-0006-0000-0900-00008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F182" authorId="0" shapeId="0" xr:uid="{00000000-0006-0000-0900-00008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 177
Bygning C</t>
        </r>
      </text>
    </comment>
    <comment ref="AA204" authorId="0" shapeId="0" xr:uid="{00000000-0006-0000-0900-00009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205" authorId="0" shapeId="0" xr:uid="{00000000-0006-0000-0900-00009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209" authorId="4" shapeId="0" xr:uid="{00000000-0006-0000-0900-000092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Kursus 12,05-15,30</t>
        </r>
      </text>
    </comment>
    <comment ref="AA210" authorId="0" shapeId="0" xr:uid="{00000000-0006-0000-0900-00009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211" authorId="0" shapeId="0" xr:uid="{00000000-0006-0000-0900-00009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213" authorId="0" shapeId="0" xr:uid="{00000000-0006-0000-0900-00009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229" authorId="0" shapeId="0" xr:uid="{00000000-0006-0000-0900-00009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230" authorId="0" shapeId="0" xr:uid="{00000000-0006-0000-0900-00009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234" authorId="0" shapeId="0" xr:uid="{00000000-0006-0000-0900-00009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236" authorId="0" shapeId="0" xr:uid="{00000000-0006-0000-0900-00009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248" authorId="0" shapeId="0" xr:uid="{00000000-0006-0000-0900-00009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250" authorId="0" shapeId="0" xr:uid="{00000000-0006-0000-0900-00009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259" authorId="0" shapeId="0" xr:uid="{00000000-0006-0000-0900-00009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260" authorId="0" shapeId="0" xr:uid="{00000000-0006-0000-0900-00009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263" authorId="0" shapeId="0" xr:uid="{00000000-0006-0000-0900-00009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AA264" authorId="0" shapeId="0" xr:uid="{00000000-0006-0000-0900-00009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265" authorId="0" shapeId="0" xr:uid="{00000000-0006-0000-0900-0000A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267" authorId="0" shapeId="0" xr:uid="{00000000-0006-0000-0900-0000A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A268" authorId="0" shapeId="0" xr:uid="{00000000-0006-0000-0900-0000A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bovolf</author>
    <author>kjjesp</author>
    <author>sthert</author>
    <author>mipede</author>
    <author>marasm</author>
  </authors>
  <commentList>
    <comment ref="D14" authorId="0" shapeId="0" xr:uid="{00000000-0006-0000-0A00-00000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Q15" authorId="1" shapeId="0" xr:uid="{00000000-0006-0000-0A00-000002000000}">
      <text>
        <r>
          <rPr>
            <sz val="10"/>
            <color indexed="81"/>
            <rFont val="Tahoma"/>
            <family val="2"/>
          </rPr>
          <t>Uniform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5" authorId="1" shapeId="0" xr:uid="{00000000-0006-0000-0A00-000003000000}">
      <text>
        <r>
          <rPr>
            <sz val="10"/>
            <color indexed="81"/>
            <rFont val="Tahoma"/>
            <family val="2"/>
          </rPr>
          <t>Uniform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7" authorId="1" shapeId="0" xr:uid="{00000000-0006-0000-0A00-000004000000}">
      <text>
        <r>
          <rPr>
            <sz val="10"/>
            <color indexed="81"/>
            <rFont val="Tahoma"/>
            <family val="2"/>
          </rPr>
          <t>Brønshøjvej
08:15-15:40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18" authorId="0" shapeId="0" xr:uid="{00000000-0006-0000-0A00-00000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Q18" authorId="1" shapeId="0" xr:uid="{00000000-0006-0000-0A00-000006000000}">
      <text>
        <r>
          <rPr>
            <sz val="10"/>
            <color indexed="81"/>
            <rFont val="Tahoma"/>
            <family val="2"/>
          </rPr>
          <t>Uniform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8" authorId="1" shapeId="0" xr:uid="{00000000-0006-0000-0A00-000007000000}">
      <text>
        <r>
          <rPr>
            <sz val="10"/>
            <color indexed="81"/>
            <rFont val="Tahoma"/>
            <family val="2"/>
          </rPr>
          <t>Uniform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0" authorId="0" shapeId="0" xr:uid="{00000000-0006-0000-0A00-00000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HNG</t>
        </r>
      </text>
    </comment>
    <comment ref="E20" authorId="0" shapeId="0" xr:uid="{00000000-0006-0000-0A00-00000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HNG</t>
        </r>
      </text>
    </comment>
    <comment ref="K20" authorId="0" shapeId="0" xr:uid="{00000000-0006-0000-0A00-00000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Rundvisning</t>
        </r>
      </text>
    </comment>
    <comment ref="AF20" authorId="2" shapeId="0" xr:uid="{00000000-0006-0000-0A00-00000B000000}">
      <text>
        <r>
          <rPr>
            <b/>
            <sz val="8"/>
            <color indexed="81"/>
            <rFont val="Tahoma"/>
            <family val="2"/>
          </rPr>
          <t>kjjesp:</t>
        </r>
        <r>
          <rPr>
            <sz val="8"/>
            <color indexed="81"/>
            <rFont val="Tahoma"/>
            <family val="2"/>
          </rPr>
          <t xml:space="preserve">
læge 10.05</t>
        </r>
      </text>
    </comment>
    <comment ref="C37" authorId="3" shapeId="0" xr:uid="{00000000-0006-0000-0A00-00000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 oa.</t>
        </r>
      </text>
    </comment>
    <comment ref="D37" authorId="3" shapeId="0" xr:uid="{00000000-0006-0000-0A00-00000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 oa.</t>
        </r>
      </text>
    </comment>
    <comment ref="E37" authorId="3" shapeId="0" xr:uid="{00000000-0006-0000-0A00-00000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O-VAGT oa.</t>
        </r>
      </text>
    </comment>
    <comment ref="AE37" authorId="0" shapeId="0" xr:uid="{00000000-0006-0000-0A00-00000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Svavevej 
0815 - 15.40</t>
        </r>
      </text>
    </comment>
    <comment ref="C39" authorId="3" shapeId="0" xr:uid="{00000000-0006-0000-0A00-00001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HNG</t>
        </r>
      </text>
    </comment>
    <comment ref="D39" authorId="0" shapeId="0" xr:uid="{00000000-0006-0000-0A00-00001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Afløse Valdemarsgade 4
10 - 16</t>
        </r>
      </text>
    </comment>
    <comment ref="D43" authorId="0" shapeId="0" xr:uid="{00000000-0006-0000-0A00-000012000000}">
      <text>
        <r>
          <rPr>
            <b/>
            <sz val="8"/>
            <color indexed="81"/>
            <rFont val="Tahoma"/>
            <family val="2"/>
          </rPr>
          <t>flniel:
Møder kl. 07.30 og er 3-vagt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D44" authorId="0" shapeId="0" xr:uid="{00000000-0006-0000-0A00-00001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45" authorId="0" shapeId="0" xr:uid="{00000000-0006-0000-0A00-00001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T48" authorId="0" shapeId="0" xr:uid="{00000000-0006-0000-0A00-00001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 13 - 15.30</t>
        </r>
      </text>
    </comment>
    <comment ref="D49" authorId="0" shapeId="0" xr:uid="{00000000-0006-0000-0A00-00001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50" authorId="0" shapeId="0" xr:uid="{00000000-0006-0000-0A00-00001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D51" authorId="0" shapeId="0" xr:uid="{00000000-0006-0000-0A00-00001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AD61" authorId="0" shapeId="0" xr:uid="{00000000-0006-0000-0A00-00001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Anders møder kl. 06.30</t>
        </r>
      </text>
    </comment>
    <comment ref="AE61" authorId="0" shapeId="0" xr:uid="{00000000-0006-0000-0A00-00001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Anders møder kl. 06.30</t>
        </r>
      </text>
    </comment>
    <comment ref="J62" authorId="3" shapeId="0" xr:uid="{00000000-0006-0000-0A00-00001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Projekt</t>
        </r>
      </text>
    </comment>
    <comment ref="K62" authorId="3" shapeId="0" xr:uid="{00000000-0006-0000-0A00-00001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Projekt</t>
        </r>
      </text>
    </comment>
    <comment ref="L62" authorId="3" shapeId="0" xr:uid="{00000000-0006-0000-0A00-00001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Projekt</t>
        </r>
      </text>
    </comment>
    <comment ref="M62" authorId="3" shapeId="0" xr:uid="{00000000-0006-0000-0A00-00001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Projekt</t>
        </r>
      </text>
    </comment>
    <comment ref="P62" authorId="3" shapeId="0" xr:uid="{00000000-0006-0000-0A00-00001F000000}">
      <text>
        <r>
          <rPr>
            <b/>
            <sz val="8"/>
            <color indexed="81"/>
            <rFont val="Tahoma"/>
            <family val="2"/>
          </rPr>
          <t>sthert:
Projekt</t>
        </r>
      </text>
    </comment>
    <comment ref="Q62" authorId="3" shapeId="0" xr:uid="{00000000-0006-0000-0A00-000020000000}">
      <text>
        <r>
          <rPr>
            <b/>
            <sz val="8"/>
            <color indexed="81"/>
            <rFont val="Tahoma"/>
            <family val="2"/>
          </rPr>
          <t>sthert:
Projekt</t>
        </r>
      </text>
    </comment>
    <comment ref="R62" authorId="3" shapeId="0" xr:uid="{00000000-0006-0000-0A00-000021000000}">
      <text>
        <r>
          <rPr>
            <b/>
            <sz val="8"/>
            <color indexed="81"/>
            <rFont val="Tahoma"/>
            <family val="2"/>
          </rPr>
          <t>sthert:
Projekt</t>
        </r>
      </text>
    </comment>
    <comment ref="S62" authorId="3" shapeId="0" xr:uid="{00000000-0006-0000-0A00-000022000000}">
      <text>
        <r>
          <rPr>
            <b/>
            <sz val="8"/>
            <color indexed="81"/>
            <rFont val="Tahoma"/>
            <family val="2"/>
          </rPr>
          <t>sthert:
Projekt</t>
        </r>
      </text>
    </comment>
    <comment ref="T62" authorId="3" shapeId="0" xr:uid="{00000000-0006-0000-0A00-000023000000}">
      <text>
        <r>
          <rPr>
            <b/>
            <sz val="8"/>
            <color indexed="81"/>
            <rFont val="Tahoma"/>
            <family val="2"/>
          </rPr>
          <t>sthert:
Projekt</t>
        </r>
      </text>
    </comment>
    <comment ref="D74" authorId="0" shapeId="0" xr:uid="{00000000-0006-0000-0A00-00002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Afløse Matthæusgade 1
08. 10 - ca. 12</t>
        </r>
      </text>
    </comment>
    <comment ref="I74" authorId="3" shapeId="0" xr:uid="{00000000-0006-0000-0A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SOC-møder</t>
        </r>
      </text>
    </comment>
    <comment ref="K74" authorId="3" shapeId="0" xr:uid="{00000000-0006-0000-0A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SOC-møder</t>
        </r>
      </text>
    </comment>
    <comment ref="L74" authorId="3" shapeId="0" xr:uid="{00000000-0006-0000-0A00-00002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SOC-møder</t>
        </r>
      </text>
    </comment>
    <comment ref="M74" authorId="3" shapeId="0" xr:uid="{00000000-0006-0000-0A00-00002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SOC-møder</t>
        </r>
      </text>
    </comment>
    <comment ref="R74" authorId="3" shapeId="0" xr:uid="{00000000-0006-0000-0A00-00002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SOF</t>
        </r>
      </text>
    </comment>
    <comment ref="S74" authorId="3" shapeId="0" xr:uid="{00000000-0006-0000-0A00-00002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Møder</t>
        </r>
      </text>
    </comment>
    <comment ref="T74" authorId="3" shapeId="0" xr:uid="{00000000-0006-0000-0A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Møder</t>
        </r>
      </text>
    </comment>
    <comment ref="W74" authorId="3" shapeId="0" xr:uid="{00000000-0006-0000-0A00-00002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 0815-1030</t>
        </r>
      </text>
    </comment>
    <comment ref="AE74" authorId="3" shapeId="0" xr:uid="{00000000-0006-0000-0A00-00002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AF74" authorId="3" shapeId="0" xr:uid="{00000000-0006-0000-0A00-00002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AG74" authorId="3" shapeId="0" xr:uid="{00000000-0006-0000-0A00-00002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C75" authorId="3" shapeId="0" xr:uid="{00000000-0006-0000-0A00-00003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D75" authorId="0" shapeId="0" xr:uid="{00000000-0006-0000-0A00-00003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Afløse svanevej 08.10 - ca. 12</t>
        </r>
      </text>
    </comment>
    <comment ref="E75" authorId="3" shapeId="0" xr:uid="{00000000-0006-0000-0A00-00003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o-vagt</t>
        </r>
      </text>
    </comment>
    <comment ref="F75" authorId="3" shapeId="0" xr:uid="{00000000-0006-0000-0A00-00003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o-vagt</t>
        </r>
      </text>
    </comment>
    <comment ref="J75" authorId="4" shapeId="0" xr:uid="{00000000-0006-0000-0A00-000034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W75" authorId="3" shapeId="0" xr:uid="{00000000-0006-0000-0A00-00003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 + K2</t>
        </r>
      </text>
    </comment>
    <comment ref="X75" authorId="3" shapeId="0" xr:uid="{00000000-0006-0000-0A00-00003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 + K2</t>
        </r>
      </text>
    </comment>
    <comment ref="Y75" authorId="3" shapeId="0" xr:uid="{00000000-0006-0000-0A00-00003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 + K2</t>
        </r>
      </text>
    </comment>
    <comment ref="Z75" authorId="3" shapeId="0" xr:uid="{00000000-0006-0000-0A00-00003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 + K2</t>
        </r>
      </text>
    </comment>
    <comment ref="AA75" authorId="3" shapeId="0" xr:uid="{00000000-0006-0000-0A00-00003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 + K2</t>
        </r>
      </text>
    </comment>
    <comment ref="D76" authorId="0" shapeId="0" xr:uid="{00000000-0006-0000-0A00-00003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Afløse Svendborgade 5
 11 - - 16
OA</t>
        </r>
      </text>
    </comment>
    <comment ref="P76" authorId="3" shapeId="0" xr:uid="{00000000-0006-0000-0A00-00003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Q76" authorId="3" shapeId="0" xr:uid="{00000000-0006-0000-0A00-00003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R76" authorId="3" shapeId="0" xr:uid="{00000000-0006-0000-0A00-00003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S76" authorId="3" shapeId="0" xr:uid="{00000000-0006-0000-0A00-00003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T76" authorId="3" shapeId="0" xr:uid="{00000000-0006-0000-0A00-00003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D86" authorId="0" shapeId="0" xr:uid="{00000000-0006-0000-0A00-00004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I86" authorId="3" shapeId="0" xr:uid="{00000000-0006-0000-0A00-00004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M-VAGT</t>
        </r>
      </text>
    </comment>
    <comment ref="J86" authorId="3" shapeId="0" xr:uid="{00000000-0006-0000-0A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M-VAGT</t>
        </r>
      </text>
    </comment>
    <comment ref="K86" authorId="3" shapeId="0" xr:uid="{00000000-0006-0000-0A00-00004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M-VAGT</t>
        </r>
      </text>
    </comment>
    <comment ref="L86" authorId="3" shapeId="0" xr:uid="{00000000-0006-0000-0A00-00004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M-VAGT</t>
        </r>
      </text>
    </comment>
    <comment ref="M86" authorId="3" shapeId="0" xr:uid="{00000000-0006-0000-0A00-00004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M-VAGT</t>
        </r>
      </text>
    </comment>
    <comment ref="Q86" authorId="3" shapeId="0" xr:uid="{00000000-0006-0000-0A00-00004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K2</t>
        </r>
      </text>
    </comment>
    <comment ref="R86" authorId="3" shapeId="0" xr:uid="{00000000-0006-0000-0A00-00004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K2</t>
        </r>
      </text>
    </comment>
    <comment ref="AD86" authorId="3" shapeId="0" xr:uid="{00000000-0006-0000-0A00-00004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D87" authorId="0" shapeId="0" xr:uid="{00000000-0006-0000-0A00-00004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I87" authorId="3" shapeId="0" xr:uid="{00000000-0006-0000-0A00-00004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J87" authorId="3" shapeId="0" xr:uid="{00000000-0006-0000-0A00-00004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K87" authorId="3" shapeId="0" xr:uid="{00000000-0006-0000-0A00-00004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L87" authorId="3" shapeId="0" xr:uid="{00000000-0006-0000-0A00-00004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M87" authorId="3" shapeId="0" xr:uid="{00000000-0006-0000-0A00-00004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W87" authorId="3" shapeId="0" xr:uid="{00000000-0006-0000-0A00-00004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H-VAGT </t>
        </r>
      </text>
    </comment>
    <comment ref="X87" authorId="3" shapeId="0" xr:uid="{00000000-0006-0000-0A00-00005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H-VAGT </t>
        </r>
      </text>
    </comment>
    <comment ref="Y87" authorId="3" shapeId="0" xr:uid="{00000000-0006-0000-0A00-00005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H-VAGT </t>
        </r>
      </text>
    </comment>
    <comment ref="Z87" authorId="3" shapeId="0" xr:uid="{00000000-0006-0000-0A00-00005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H-VAGT </t>
        </r>
      </text>
    </comment>
    <comment ref="AA87" authorId="3" shapeId="0" xr:uid="{00000000-0006-0000-0A00-00005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H-VAGT </t>
        </r>
      </text>
    </comment>
    <comment ref="AD87" authorId="3" shapeId="0" xr:uid="{00000000-0006-0000-0A00-00005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E87" authorId="3" shapeId="0" xr:uid="{00000000-0006-0000-0A00-00005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F87" authorId="3" shapeId="0" xr:uid="{00000000-0006-0000-0A00-00005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G87" authorId="3" shapeId="0" xr:uid="{00000000-0006-0000-0A00-00005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D88" authorId="0" shapeId="0" xr:uid="{00000000-0006-0000-0A00-00005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P88" authorId="3" shapeId="0" xr:uid="{00000000-0006-0000-0A00-00005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Q88" authorId="3" shapeId="0" xr:uid="{00000000-0006-0000-0A00-00005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R88" authorId="3" shapeId="0" xr:uid="{00000000-0006-0000-0A00-00005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S88" authorId="3" shapeId="0" xr:uid="{00000000-0006-0000-0A00-00005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W88" authorId="3" shapeId="0" xr:uid="{00000000-0006-0000-0A00-00005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X88" authorId="3" shapeId="0" xr:uid="{00000000-0006-0000-0A00-00005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Y88" authorId="3" shapeId="0" xr:uid="{00000000-0006-0000-0A00-00005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Z88" authorId="3" shapeId="0" xr:uid="{00000000-0006-0000-0A00-00006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AA88" authorId="3" shapeId="0" xr:uid="{00000000-0006-0000-0A00-00006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Matthæusgade</t>
        </r>
      </text>
    </comment>
    <comment ref="C99" authorId="5" shapeId="0" xr:uid="{00000000-0006-0000-0A00-000062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9,30-10,30</t>
        </r>
      </text>
    </comment>
    <comment ref="F99" authorId="5" shapeId="0" xr:uid="{00000000-0006-0000-0A00-000063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Går kl 11</t>
        </r>
      </text>
    </comment>
    <comment ref="D102" authorId="0" shapeId="0" xr:uid="{00000000-0006-0000-0A00-00006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119" authorId="0" shapeId="0" xr:uid="{00000000-0006-0000-0A00-00006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M120" authorId="0" shapeId="0" xr:uid="{00000000-0006-0000-0A00-00006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I</t>
        </r>
        <r>
          <rPr>
            <sz val="10"/>
            <color indexed="81"/>
            <rFont val="Tahoma"/>
            <family val="2"/>
          </rPr>
          <t>ntern flexdag</t>
        </r>
      </text>
    </comment>
    <comment ref="D125" authorId="0" shapeId="0" xr:uid="{00000000-0006-0000-0A00-00006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126" authorId="0" shapeId="0" xr:uid="{00000000-0006-0000-0A00-00006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128" authorId="0" shapeId="0" xr:uid="{00000000-0006-0000-0A00-00006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129" authorId="0" shapeId="0" xr:uid="{00000000-0006-0000-0A00-00006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D130" authorId="0" shapeId="0" xr:uid="{00000000-0006-0000-0A00-00006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D142" authorId="0" shapeId="0" xr:uid="{00000000-0006-0000-0A00-00006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C167" authorId="0" shapeId="0" xr:uid="{00000000-0006-0000-0A00-00006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Marianne</t>
        </r>
      </text>
    </comment>
    <comment ref="D167" authorId="0" shapeId="0" xr:uid="{00000000-0006-0000-0A00-00006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E167" authorId="3" shapeId="0" xr:uid="{00000000-0006-0000-0A00-00006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For Marianne</t>
        </r>
      </text>
    </comment>
    <comment ref="F167" authorId="3" shapeId="0" xr:uid="{00000000-0006-0000-0A00-00007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For Marianne</t>
        </r>
      </text>
    </comment>
    <comment ref="G167" authorId="3" shapeId="0" xr:uid="{00000000-0006-0000-0A00-00007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For Marianne</t>
        </r>
      </text>
    </comment>
    <comment ref="J167" authorId="0" shapeId="0" xr:uid="{00000000-0006-0000-0A00-00007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For Marianne</t>
        </r>
      </text>
    </comment>
    <comment ref="Q167" authorId="3" shapeId="0" xr:uid="{00000000-0006-0000-0A00-00007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Marianne </t>
        </r>
      </text>
    </comment>
    <comment ref="R167" authorId="3" shapeId="0" xr:uid="{00000000-0006-0000-0A00-00007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67" authorId="3" shapeId="0" xr:uid="{00000000-0006-0000-0A00-00007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Y167" authorId="3" shapeId="0" xr:uid="{00000000-0006-0000-0A00-00007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Z167" authorId="3" shapeId="0" xr:uid="{00000000-0006-0000-0A00-00007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AA167" authorId="3" shapeId="0" xr:uid="{00000000-0006-0000-0A00-00007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D168" authorId="0" shapeId="0" xr:uid="{00000000-0006-0000-0A00-00007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D169" authorId="0" shapeId="0" xr:uid="{00000000-0006-0000-0A00-00007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P170" authorId="3" shapeId="0" xr:uid="{00000000-0006-0000-0A00-00007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Q170" authorId="3" shapeId="0" xr:uid="{00000000-0006-0000-0A00-00007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R170" authorId="3" shapeId="0" xr:uid="{00000000-0006-0000-0A00-00007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S170" authorId="3" shapeId="0" xr:uid="{00000000-0006-0000-0A00-00007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T170" authorId="3" shapeId="0" xr:uid="{00000000-0006-0000-0A00-00007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 Kun dagvagt</t>
        </r>
      </text>
    </comment>
    <comment ref="I171" authorId="3" shapeId="0" xr:uid="{00000000-0006-0000-0A00-00008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J171" authorId="3" shapeId="0" xr:uid="{00000000-0006-0000-0A00-00008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
Svane fra 930 -?</t>
        </r>
      </text>
    </comment>
    <comment ref="K171" authorId="3" shapeId="0" xr:uid="{00000000-0006-0000-0A00-00008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L171" authorId="3" shapeId="0" xr:uid="{00000000-0006-0000-0A00-00008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M171" authorId="3" shapeId="0" xr:uid="{00000000-0006-0000-0A00-00008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X171" authorId="0" shapeId="0" xr:uid="{00000000-0006-0000-0A00-00008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Matthæusgade 1</t>
        </r>
      </text>
    </comment>
    <comment ref="AD171" authorId="0" shapeId="0" xr:uid="{00000000-0006-0000-0A00-00008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HNG hos Jørgen kROMANN</t>
        </r>
      </text>
    </comment>
    <comment ref="AE171" authorId="0" shapeId="0" xr:uid="{00000000-0006-0000-0A00-00008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HNG hos Jørgen kROMANN</t>
        </r>
      </text>
    </comment>
    <comment ref="AF171" authorId="0" shapeId="0" xr:uid="{00000000-0006-0000-0A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HNG hos Jørgen kROMANN</t>
        </r>
      </text>
    </comment>
    <comment ref="AG171" authorId="0" shapeId="0" xr:uid="{00000000-0006-0000-0A00-00008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HNG hos Jørgen kROMANN</t>
        </r>
      </text>
    </comment>
    <comment ref="C172" authorId="3" shapeId="0" xr:uid="{00000000-0006-0000-0A00-00008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D172" authorId="0" shapeId="0" xr:uid="{00000000-0006-0000-0A00-00008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
Afløse på Spaniensgade 11 til 16</t>
        </r>
      </text>
    </comment>
    <comment ref="E172" authorId="3" shapeId="0" xr:uid="{00000000-0006-0000-0A00-00008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F172" authorId="3" shapeId="0" xr:uid="{00000000-0006-0000-0A00-00008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I172" authorId="0" shapeId="0" xr:uid="{00000000-0006-0000-0A00-00008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Z172" authorId="0" shapeId="0" xr:uid="{00000000-0006-0000-0A00-00008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Timer i bogen</t>
        </r>
      </text>
    </comment>
    <comment ref="AD172" authorId="3" shapeId="0" xr:uid="{00000000-0006-0000-0A00-00009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AE172" authorId="3" shapeId="0" xr:uid="{00000000-0006-0000-0A00-00009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AF172" authorId="3" shapeId="0" xr:uid="{00000000-0006-0000-0A00-00009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C181" authorId="0" shapeId="0" xr:uid="{00000000-0006-0000-0A00-00009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 177</t>
        </r>
      </text>
    </comment>
    <comment ref="D181" authorId="0" shapeId="0" xr:uid="{00000000-0006-0000-0A00-00009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 177</t>
        </r>
      </text>
    </comment>
    <comment ref="E181" authorId="0" shapeId="0" xr:uid="{00000000-0006-0000-0A00-00009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 177</t>
        </r>
      </text>
    </comment>
    <comment ref="F181" authorId="0" shapeId="0" xr:uid="{00000000-0006-0000-0A00-00009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 177</t>
        </r>
      </text>
    </comment>
    <comment ref="Z181" authorId="3" shapeId="0" xr:uid="{00000000-0006-0000-0A00-00009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AA181" authorId="3" shapeId="0" xr:uid="{00000000-0006-0000-0A00-00009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0800-1530</t>
        </r>
      </text>
    </comment>
    <comment ref="AG181" authorId="0" shapeId="0" xr:uid="{00000000-0006-0000-0A00-00009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</t>
        </r>
      </text>
    </comment>
    <comment ref="W182" authorId="0" shapeId="0" xr:uid="{00000000-0006-0000-0A00-00009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
Møder kl. 7</t>
        </r>
      </text>
    </comment>
    <comment ref="X182" authorId="0" shapeId="0" xr:uid="{00000000-0006-0000-0A00-00009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Til kl.16-  22.00</t>
        </r>
      </text>
    </comment>
    <comment ref="Y182" authorId="0" shapeId="0" xr:uid="{00000000-0006-0000-0A00-00009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kl. 16 Til kl. 22</t>
        </r>
      </text>
    </comment>
    <comment ref="D203" authorId="0" shapeId="0" xr:uid="{00000000-0006-0000-0A00-00009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D206" authorId="0" shapeId="0" xr:uid="{00000000-0006-0000-0A00-00009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D207" authorId="0" shapeId="0" xr:uid="{00000000-0006-0000-0A00-00009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D208" authorId="0" shapeId="0" xr:uid="{00000000-0006-0000-0A00-0000A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D212" authorId="0" shapeId="0" xr:uid="{00000000-0006-0000-0A00-0000A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231" authorId="0" shapeId="0" xr:uid="{00000000-0006-0000-0A00-0000A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235" authorId="0" shapeId="0" xr:uid="{00000000-0006-0000-0A00-0000A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D261" authorId="0" shapeId="0" xr:uid="{00000000-0006-0000-0A00-0000A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262" authorId="0" shapeId="0" xr:uid="{00000000-0006-0000-0A00-0000A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266" authorId="0" shapeId="0" xr:uid="{00000000-0006-0000-0A00-0000A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269" authorId="0" shapeId="0" xr:uid="{00000000-0006-0000-0A00-0000A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08.10 - 11.35</t>
        </r>
      </text>
    </comment>
    <comment ref="D270" authorId="0" shapeId="0" xr:uid="{00000000-0006-0000-0A00-0000A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  <comment ref="D271" authorId="0" shapeId="0" xr:uid="{00000000-0006-0000-0A00-0000A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Kursus Klareboderne
12.05 - 15.30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erskyg</author>
    <author>kjjesp</author>
    <author>bovolf</author>
    <author>mipede</author>
    <author>sthert</author>
    <author>marasm</author>
    <author>jilars</author>
  </authors>
  <commentList>
    <comment ref="F13" authorId="0" shapeId="0" xr:uid="{00000000-0006-0000-0B00-00000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Lederudvikling</t>
        </r>
      </text>
    </comment>
    <comment ref="L13" authorId="1" shapeId="0" xr:uid="{00000000-0006-0000-0B00-000002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B3 19.00 - 07.15 på OA</t>
        </r>
      </text>
    </comment>
    <comment ref="Q14" authorId="0" shapeId="0" xr:uid="{00000000-0006-0000-0B00-00000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Valgkælder</t>
        </r>
      </text>
    </comment>
    <comment ref="T14" authorId="0" shapeId="0" xr:uid="{00000000-0006-0000-0B00-00000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Valgkælder</t>
        </r>
      </text>
    </comment>
    <comment ref="U14" authorId="0" shapeId="0" xr:uid="{00000000-0006-0000-0B00-00000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Per bliver til Jesper møder</t>
        </r>
      </text>
    </comment>
    <comment ref="Q15" authorId="0" shapeId="0" xr:uid="{00000000-0006-0000-0B00-00000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Valgkælder</t>
        </r>
      </text>
    </comment>
    <comment ref="T15" authorId="0" shapeId="0" xr:uid="{00000000-0006-0000-0B00-00000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Valgkælder</t>
        </r>
      </text>
    </comment>
    <comment ref="T16" authorId="0" shapeId="0" xr:uid="{00000000-0006-0000-0B00-00000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U16" authorId="0" shapeId="0" xr:uid="{00000000-0006-0000-0B00-00000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V16" authorId="0" shapeId="0" xr:uid="{00000000-0006-0000-0B00-00000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FINTÆLLING</t>
        </r>
      </text>
    </comment>
    <comment ref="H17" authorId="0" shapeId="0" xr:uid="{00000000-0006-0000-0B00-00000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Griffenfeldsgade 44
13 - 14 - 15</t>
        </r>
      </text>
    </comment>
    <comment ref="K17" authorId="1" shapeId="0" xr:uid="{00000000-0006-0000-0B00-00000C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B3 19.00 - 07.15 på OA</t>
        </r>
      </text>
    </comment>
    <comment ref="O17" authorId="0" shapeId="0" xr:uid="{00000000-0006-0000-0B00-00000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Griffenfeldsgade 44
13 - 14 - 15</t>
        </r>
      </text>
    </comment>
    <comment ref="H18" authorId="0" shapeId="0" xr:uid="{00000000-0006-0000-0B00-00000E000000}">
      <text>
        <r>
          <rPr>
            <b/>
            <sz val="14"/>
            <color indexed="81"/>
            <rFont val="Tahoma"/>
            <family val="2"/>
          </rPr>
          <t>flniel:</t>
        </r>
        <r>
          <rPr>
            <sz val="14"/>
            <color indexed="81"/>
            <rFont val="Tahoma"/>
            <family val="2"/>
          </rPr>
          <t xml:space="preserve">
Uniform</t>
        </r>
      </text>
    </comment>
    <comment ref="I18" authorId="0" shapeId="0" xr:uid="{00000000-0006-0000-0B00-00000F000000}">
      <text>
        <r>
          <rPr>
            <b/>
            <sz val="14"/>
            <color indexed="81"/>
            <rFont val="Tahoma"/>
            <family val="2"/>
          </rPr>
          <t>flniel:</t>
        </r>
        <r>
          <rPr>
            <sz val="14"/>
            <color indexed="81"/>
            <rFont val="Tahoma"/>
            <family val="2"/>
          </rPr>
          <t xml:space="preserve">
Uniform</t>
        </r>
      </text>
    </comment>
    <comment ref="J18" authorId="0" shapeId="0" xr:uid="{00000000-0006-0000-0B00-000010000000}">
      <text>
        <r>
          <rPr>
            <b/>
            <sz val="14"/>
            <color indexed="81"/>
            <rFont val="Tahoma"/>
            <family val="2"/>
          </rPr>
          <t>flniel:</t>
        </r>
        <r>
          <rPr>
            <sz val="14"/>
            <color indexed="81"/>
            <rFont val="Tahoma"/>
            <family val="2"/>
          </rPr>
          <t xml:space="preserve">
Uniform</t>
        </r>
      </text>
    </comment>
    <comment ref="H20" authorId="2" shapeId="0" xr:uid="{00000000-0006-0000-0B00-000011000000}">
      <text>
        <r>
          <rPr>
            <b/>
            <sz val="8"/>
            <color indexed="81"/>
            <rFont val="Tahoma"/>
            <family val="2"/>
          </rPr>
          <t>kjjesp:</t>
        </r>
        <r>
          <rPr>
            <sz val="8"/>
            <color indexed="81"/>
            <rFont val="Tahoma"/>
            <family val="2"/>
          </rPr>
          <t xml:space="preserve">
læge 12.50</t>
        </r>
      </text>
    </comment>
    <comment ref="N20" authorId="3" shapeId="0" xr:uid="{00000000-0006-0000-0B00-000012000000}">
      <text>
        <r>
          <rPr>
            <sz val="11"/>
            <color indexed="81"/>
            <rFont val="Tahoma"/>
            <family val="2"/>
          </rPr>
          <t>Betjentvagt for
Gorm (syg)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0" authorId="0" shapeId="0" xr:uid="{00000000-0006-0000-0B00-00001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Brevstemmer</t>
        </r>
      </text>
    </comment>
    <comment ref="V20" authorId="0" shapeId="0" xr:uid="{00000000-0006-0000-0B00-00001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FINTÆLLING</t>
        </r>
      </text>
    </comment>
    <comment ref="AE20" authorId="2" shapeId="0" xr:uid="{00000000-0006-0000-0B00-000015000000}">
      <text>
        <r>
          <rPr>
            <b/>
            <sz val="8"/>
            <color indexed="81"/>
            <rFont val="Tahoma"/>
            <family val="2"/>
          </rPr>
          <t>kjjesp:</t>
        </r>
        <r>
          <rPr>
            <sz val="8"/>
            <color indexed="81"/>
            <rFont val="Tahoma"/>
            <family val="2"/>
          </rPr>
          <t xml:space="preserve">
læge 9.30</t>
        </r>
      </text>
    </comment>
    <comment ref="P21" authorId="0" shapeId="0" xr:uid="{00000000-0006-0000-0B00-00001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B</t>
        </r>
        <r>
          <rPr>
            <sz val="9"/>
            <color indexed="81"/>
            <rFont val="Tahoma"/>
            <family val="2"/>
          </rPr>
          <t>randøvelse på det Kongelige Bibliotek</t>
        </r>
      </text>
    </comment>
    <comment ref="U21" authorId="0" shapeId="0" xr:uid="{00000000-0006-0000-0B00-000017000000}">
      <text>
        <r>
          <rPr>
            <b/>
            <sz val="8"/>
            <color indexed="81"/>
            <rFont val="Tahoma"/>
            <family val="2"/>
          </rPr>
          <t xml:space="preserve">flniel:
</t>
        </r>
        <r>
          <rPr>
            <b/>
            <sz val="10"/>
            <color indexed="81"/>
            <rFont val="Tahoma"/>
            <family val="2"/>
          </rPr>
          <t>Brevstemmer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Modtagning af stemmesedler kl. 20
</t>
        </r>
      </text>
    </comment>
    <comment ref="V21" authorId="0" shapeId="0" xr:uid="{00000000-0006-0000-0B00-00001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FINTÆLLING</t>
        </r>
      </text>
    </comment>
    <comment ref="AD21" authorId="0" shapeId="0" xr:uid="{00000000-0006-0000-0B00-00001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Hente Mary 11.30</t>
        </r>
      </text>
    </comment>
    <comment ref="E37" authorId="0" shapeId="0" xr:uid="{00000000-0006-0000-0B00-00001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Natte vagt for Gorm</t>
        </r>
      </text>
    </comment>
    <comment ref="M37" authorId="3" shapeId="0" xr:uid="{00000000-0006-0000-0B00-00001B000000}">
      <text>
        <r>
          <rPr>
            <sz val="10"/>
            <color indexed="81"/>
            <rFont val="Tahoma"/>
            <family val="2"/>
          </rPr>
          <t>6 vagt for Gorm (syg)
OA.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37" authorId="3" shapeId="0" xr:uid="{00000000-0006-0000-0B00-00001C000000}">
      <text>
        <r>
          <rPr>
            <sz val="10"/>
            <color indexed="81"/>
            <rFont val="Tahoma"/>
            <family val="2"/>
          </rPr>
          <t>6 vagt for Gorm (syg)
OA.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37" authorId="0" shapeId="0" xr:uid="{00000000-0006-0000-0B00-00001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U37" authorId="0" shapeId="0" xr:uid="{00000000-0006-0000-0B00-00001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V37" authorId="0" shapeId="0" xr:uid="{00000000-0006-0000-0B00-00001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8-vagt</t>
        </r>
      </text>
    </comment>
    <comment ref="T39" authorId="0" shapeId="0" xr:uid="{00000000-0006-0000-0B00-00002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U39" authorId="0" shapeId="0" xr:uid="{00000000-0006-0000-0B00-00002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V39" authorId="0" shapeId="0" xr:uid="{00000000-0006-0000-0B00-00002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FINTÆLLING</t>
        </r>
      </text>
    </comment>
    <comment ref="F41" authorId="0" shapeId="0" xr:uid="{00000000-0006-0000-0B00-00002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Vagthavende</t>
        </r>
      </text>
    </comment>
    <comment ref="G41" authorId="0" shapeId="0" xr:uid="{00000000-0006-0000-0B00-00002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Vagthavende</t>
        </r>
      </text>
    </comment>
    <comment ref="U41" authorId="0" shapeId="0" xr:uid="{00000000-0006-0000-0B00-00002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Modtagning af stemmesedler kl. 20</t>
        </r>
      </text>
    </comment>
    <comment ref="V41" authorId="0" shapeId="0" xr:uid="{00000000-0006-0000-0B00-00002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FINTÆLLING</t>
        </r>
      </text>
    </comment>
    <comment ref="P42" authorId="0" shapeId="0" xr:uid="{00000000-0006-0000-0B00-00002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B</t>
        </r>
        <r>
          <rPr>
            <sz val="9"/>
            <color indexed="81"/>
            <rFont val="Tahoma"/>
            <family val="2"/>
          </rPr>
          <t>randøvelse på det Kongelige Bibliotek</t>
        </r>
      </text>
    </comment>
    <comment ref="T42" authorId="0" shapeId="0" xr:uid="{00000000-0006-0000-0B00-00002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 møder på Rådhuset</t>
        </r>
      </text>
    </comment>
    <comment ref="U42" authorId="0" shapeId="0" xr:uid="{00000000-0006-0000-0B00-00002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V42" authorId="0" shapeId="0" xr:uid="{00000000-0006-0000-0B00-00002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FINTÆLLING</t>
        </r>
      </text>
    </comment>
    <comment ref="AC45" authorId="4" shapeId="0" xr:uid="{00000000-0006-0000-0B00-00002B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H-vagt på OA</t>
        </r>
      </text>
    </comment>
    <comment ref="T46" authorId="0" shapeId="0" xr:uid="{00000000-0006-0000-0B00-00002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U46" authorId="0" shapeId="0" xr:uid="{00000000-0006-0000-0B00-00002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V46" authorId="0" shapeId="0" xr:uid="{00000000-0006-0000-0B00-00002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Fintælling</t>
        </r>
      </text>
    </comment>
    <comment ref="F47" authorId="0" shapeId="0" xr:uid="{00000000-0006-0000-0B00-00002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Vagthavende</t>
        </r>
      </text>
    </comment>
    <comment ref="G47" authorId="0" shapeId="0" xr:uid="{00000000-0006-0000-0B00-00003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som Vagthavende</t>
        </r>
      </text>
    </comment>
    <comment ref="T48" authorId="0" shapeId="0" xr:uid="{00000000-0006-0000-0B00-00003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Nattevagt for Kim BT</t>
        </r>
      </text>
    </comment>
    <comment ref="U48" authorId="0" shapeId="0" xr:uid="{00000000-0006-0000-0B00-00003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Nattevagt for Kim BT</t>
        </r>
      </text>
    </comment>
    <comment ref="V48" authorId="0" shapeId="0" xr:uid="{00000000-0006-0000-0B00-00003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Nattevagt for Kim BT</t>
        </r>
      </text>
    </comment>
    <comment ref="AB48" authorId="0" shapeId="0" xr:uid="{00000000-0006-0000-0B00-00003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C48" authorId="0" shapeId="0" xr:uid="{00000000-0006-0000-0B00-00003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D48" authorId="0" shapeId="0" xr:uid="{00000000-0006-0000-0B00-00003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U49" authorId="0" shapeId="0" xr:uid="{00000000-0006-0000-0B00-00003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V50" authorId="0" shapeId="0" xr:uid="{00000000-0006-0000-0B00-00003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FINTÆLLING</t>
        </r>
      </text>
    </comment>
    <comment ref="U51" authorId="0" shapeId="0" xr:uid="{00000000-0006-0000-0B00-00003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Hovedport til valget er slut</t>
        </r>
      </text>
    </comment>
    <comment ref="Q61" authorId="0" shapeId="0" xr:uid="{00000000-0006-0000-0B00-00003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06.30</t>
        </r>
      </text>
    </comment>
    <comment ref="T62" authorId="5" shapeId="0" xr:uid="{00000000-0006-0000-0B00-00003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Projekt</t>
        </r>
      </text>
    </comment>
    <comment ref="C74" authorId="5" shapeId="0" xr:uid="{00000000-0006-0000-0B00-00003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T74" authorId="5" shapeId="0" xr:uid="{00000000-0006-0000-0B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Aflevere eksamensopgave kl. 12 i Herlev</t>
        </r>
      </text>
    </comment>
    <comment ref="U74" authorId="0" shapeId="0" xr:uid="{00000000-0006-0000-0B00-00003E000000}">
      <text>
        <r>
          <rPr>
            <b/>
            <sz val="8"/>
            <color indexed="81"/>
            <rFont val="Tahoma"/>
            <family val="2"/>
          </rPr>
          <t xml:space="preserve">flniel:
</t>
        </r>
        <r>
          <rPr>
            <sz val="10"/>
            <color indexed="81"/>
            <rFont val="Tahoma"/>
            <family val="2"/>
          </rPr>
          <t xml:space="preserve">Modtagning af stemmesedler kl. 20
</t>
        </r>
      </text>
    </comment>
    <comment ref="V74" authorId="0" shapeId="0" xr:uid="{00000000-0006-0000-0B00-00003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Fintælling</t>
        </r>
      </text>
    </comment>
    <comment ref="W74" authorId="0" shapeId="0" xr:uid="{00000000-0006-0000-0B00-00004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Fintælling</t>
        </r>
      </text>
    </comment>
    <comment ref="AA74" authorId="5" shapeId="0" xr:uid="{00000000-0006-0000-0B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på ØRNEVEJ</t>
        </r>
      </text>
    </comment>
    <comment ref="F76" authorId="0" shapeId="0" xr:uid="{00000000-0006-0000-0B00-00004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I76" authorId="5" shapeId="0" xr:uid="{00000000-0006-0000-0B00-00004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Spaniensgade 13-16 + remisevej 16-18</t>
        </r>
      </text>
    </comment>
    <comment ref="M76" authorId="5" shapeId="0" xr:uid="{00000000-0006-0000-0B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0-vagt</t>
        </r>
      </text>
    </comment>
    <comment ref="V76" authorId="0" shapeId="0" xr:uid="{00000000-0006-0000-0B00-00004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OA som G-VAGT</t>
        </r>
      </text>
    </comment>
    <comment ref="AA76" authorId="5" shapeId="0" xr:uid="{00000000-0006-0000-0B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AB76" authorId="5" shapeId="0" xr:uid="{00000000-0006-0000-0B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AC76" authorId="5" shapeId="0" xr:uid="{00000000-0006-0000-0B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AD76" authorId="5" shapeId="0" xr:uid="{00000000-0006-0000-0B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AE76" authorId="5" shapeId="0" xr:uid="{00000000-0006-0000-0B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C86" authorId="1" shapeId="0" xr:uid="{00000000-0006-0000-0B00-00004B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Ørestads Skole kl. 06.00-17.00, i flg. Aftale 
</t>
        </r>
      </text>
    </comment>
    <comment ref="F86" authorId="5" shapeId="0" xr:uid="{00000000-0006-0000-0B00-00004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G86" authorId="5" shapeId="0" xr:uid="{00000000-0006-0000-0B00-00004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H86" authorId="5" shapeId="0" xr:uid="{00000000-0006-0000-0B00-00004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I86" authorId="5" shapeId="0" xr:uid="{00000000-0006-0000-0B00-00004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J86" authorId="5" shapeId="0" xr:uid="{00000000-0006-0000-0B00-00005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T86" authorId="5" shapeId="0" xr:uid="{00000000-0006-0000-0B00-00005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U86" authorId="5" shapeId="0" xr:uid="{00000000-0006-0000-0B00-00005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V86" authorId="5" shapeId="0" xr:uid="{00000000-0006-0000-0B00-00005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W86" authorId="5" shapeId="0" xr:uid="{00000000-0006-0000-0B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X86" authorId="5" shapeId="0" xr:uid="{00000000-0006-0000-0B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AA86" authorId="0" shapeId="0" xr:uid="{00000000-0006-0000-0B00-00005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1- VAGT</t>
        </r>
      </text>
    </comment>
    <comment ref="AB86" authorId="0" shapeId="0" xr:uid="{00000000-0006-0000-0B00-00005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AC86" authorId="0" shapeId="0" xr:uid="{00000000-0006-0000-0B00-00005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AE86" authorId="0" shapeId="0" xr:uid="{00000000-0006-0000-0B00-00005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Ørnevej</t>
        </r>
      </text>
    </comment>
    <comment ref="C87" authorId="5" shapeId="0" xr:uid="{00000000-0006-0000-0B00-00005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F87" authorId="5" shapeId="0" xr:uid="{00000000-0006-0000-0B00-00005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G87" authorId="5" shapeId="0" xr:uid="{00000000-0006-0000-0B00-00005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
</t>
        </r>
        <r>
          <rPr>
            <sz val="11"/>
            <color indexed="81"/>
            <rFont val="Tahoma"/>
            <family val="2"/>
          </rPr>
          <t>Patruljeleder</t>
        </r>
      </text>
    </comment>
    <comment ref="H87" authorId="5" shapeId="0" xr:uid="{00000000-0006-0000-0B00-00005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I87" authorId="5" shapeId="0" xr:uid="{00000000-0006-0000-0B00-00005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J87" authorId="5" shapeId="0" xr:uid="{00000000-0006-0000-0B00-00005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M87" authorId="5" shapeId="0" xr:uid="{00000000-0006-0000-0B00-00006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N87" authorId="5" shapeId="0" xr:uid="{00000000-0006-0000-0B00-00006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O87" authorId="5" shapeId="0" xr:uid="{00000000-0006-0000-0B00-00006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P87" authorId="5" shapeId="0" xr:uid="{00000000-0006-0000-0B00-00006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Q87" authorId="5" shapeId="0" xr:uid="{00000000-0006-0000-0B00-00006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T87" authorId="5" shapeId="0" xr:uid="{00000000-0006-0000-0B00-00006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U87" authorId="5" shapeId="0" xr:uid="{00000000-0006-0000-0B00-00006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V87" authorId="5" shapeId="0" xr:uid="{00000000-0006-0000-0B00-00006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W87" authorId="5" shapeId="0" xr:uid="{00000000-0006-0000-0B00-00006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X87" authorId="5" shapeId="0" xr:uid="{00000000-0006-0000-0B00-00006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H-VAGT</t>
        </r>
      </text>
    </comment>
    <comment ref="AA87" authorId="5" shapeId="0" xr:uid="{00000000-0006-0000-0B00-00006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B87" authorId="5" shapeId="0" xr:uid="{00000000-0006-0000-0B00-00006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C87" authorId="5" shapeId="0" xr:uid="{00000000-0006-0000-0B00-00006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D87" authorId="5" shapeId="0" xr:uid="{00000000-0006-0000-0B00-00006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AE87" authorId="5" shapeId="0" xr:uid="{00000000-0006-0000-0B00-00006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
Møder som 7 - vagt</t>
        </r>
      </text>
    </comment>
    <comment ref="G88" authorId="0" shapeId="0" xr:uid="{00000000-0006-0000-0B00-00006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Remisevej kl. 10</t>
        </r>
      </text>
    </comment>
    <comment ref="M88" authorId="0" shapeId="0" xr:uid="{00000000-0006-0000-0B00-00007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N88" authorId="0" shapeId="0" xr:uid="{00000000-0006-0000-0B00-00007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O88" authorId="0" shapeId="0" xr:uid="{00000000-0006-0000-0B00-00007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P88" authorId="0" shapeId="0" xr:uid="{00000000-0006-0000-0B00-00007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Q88" authorId="0" shapeId="0" xr:uid="{00000000-0006-0000-0B00-00007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i2-vagt</t>
        </r>
      </text>
    </comment>
    <comment ref="AB88" authorId="5" shapeId="0" xr:uid="{00000000-0006-0000-0B00-00007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K2</t>
        </r>
      </text>
    </comment>
    <comment ref="AC88" authorId="5" shapeId="0" xr:uid="{00000000-0006-0000-0B00-00007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K2</t>
        </r>
      </text>
    </comment>
    <comment ref="AD88" authorId="5" shapeId="0" xr:uid="{00000000-0006-0000-0B00-00007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K5</t>
        </r>
      </text>
    </comment>
    <comment ref="P99" authorId="6" shapeId="0" xr:uid="{00000000-0006-0000-0B00-000078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Kontoktudvalg kl 9-10,30</t>
        </r>
      </text>
    </comment>
    <comment ref="U99" authorId="0" shapeId="0" xr:uid="{00000000-0006-0000-0B00-000079000000}">
      <text>
        <r>
          <rPr>
            <b/>
            <sz val="8"/>
            <color indexed="81"/>
            <rFont val="Tahoma"/>
            <family val="2"/>
          </rPr>
          <t xml:space="preserve">flniel:
</t>
        </r>
        <r>
          <rPr>
            <b/>
            <sz val="10"/>
            <color indexed="81"/>
            <rFont val="Tahoma"/>
            <family val="2"/>
          </rPr>
          <t>Brevstemmer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Modtagning af stemmesedler kl. 20
</t>
        </r>
      </text>
    </comment>
    <comment ref="V99" authorId="6" shapeId="0" xr:uid="{00000000-0006-0000-0B00-00007A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Fintælling</t>
        </r>
      </text>
    </comment>
    <comment ref="AC99" authorId="6" shapeId="0" xr:uid="{00000000-0006-0000-0B00-00007B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Møde i TG4 kl 8-10</t>
        </r>
      </text>
    </comment>
    <comment ref="T120" authorId="0" shapeId="0" xr:uid="{00000000-0006-0000-0B00-00007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U120" authorId="0" shapeId="0" xr:uid="{00000000-0006-0000-0B00-00007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M121" authorId="6" shapeId="0" xr:uid="{00000000-0006-0000-0B00-00007E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Er tastet</t>
        </r>
      </text>
    </comment>
    <comment ref="N121" authorId="6" shapeId="0" xr:uid="{00000000-0006-0000-0B00-00007F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Er taste</t>
        </r>
        <r>
          <rPr>
            <sz val="8"/>
            <color indexed="81"/>
            <rFont val="Tahoma"/>
            <family val="2"/>
          </rPr>
          <t>t</t>
        </r>
      </text>
    </comment>
    <comment ref="U121" authorId="5" shapeId="0" xr:uid="{00000000-0006-0000-0B00-00008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VALG…Regning til valg.</t>
        </r>
      </text>
    </comment>
    <comment ref="G123" authorId="5" shapeId="0" xr:uid="{00000000-0006-0000-0B00-00008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TIL LÆGE</t>
        </r>
      </text>
    </comment>
    <comment ref="AE156" authorId="6" shapeId="0" xr:uid="{00000000-0006-0000-0B00-000082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€r tastet</t>
        </r>
      </text>
    </comment>
    <comment ref="C167" authorId="5" shapeId="0" xr:uid="{00000000-0006-0000-0B00-00008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John</t>
        </r>
      </text>
    </comment>
    <comment ref="D167" authorId="5" shapeId="0" xr:uid="{00000000-0006-0000-0B00-00008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Marianne</t>
        </r>
      </text>
    </comment>
    <comment ref="AA167" authorId="5" shapeId="0" xr:uid="{00000000-0006-0000-0B00-00008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Marianne</t>
        </r>
      </text>
    </comment>
    <comment ref="AB167" authorId="0" shapeId="0" xr:uid="{00000000-0006-0000-0B00-00008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C167" authorId="0" shapeId="0" xr:uid="{00000000-0006-0000-0B00-00008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D167" authorId="0" shapeId="0" xr:uid="{00000000-0006-0000-0B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E167" authorId="5" shapeId="0" xr:uid="{00000000-0006-0000-0B00-00008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Marianne</t>
        </r>
      </text>
    </comment>
    <comment ref="AB168" authorId="0" shapeId="0" xr:uid="{00000000-0006-0000-0B00-00008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C168" authorId="0" shapeId="0" xr:uid="{00000000-0006-0000-0B00-00008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D168" authorId="0" shapeId="0" xr:uid="{00000000-0006-0000-0B00-00008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C169" authorId="7" shapeId="0" xr:uid="{00000000-0006-0000-0B00-00008D000000}">
      <text>
        <r>
          <rPr>
            <b/>
            <sz val="10"/>
            <color indexed="81"/>
            <rFont val="Tahoma"/>
            <family val="2"/>
          </rPr>
          <t>O-Vagt</t>
        </r>
      </text>
    </comment>
    <comment ref="V170" authorId="0" shapeId="0" xr:uid="{00000000-0006-0000-0B00-00008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  <comment ref="W170" authorId="0" shapeId="0" xr:uid="{00000000-0006-0000-0B00-00008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  <comment ref="C171" authorId="0" shapeId="0" xr:uid="{00000000-0006-0000-0B00-00009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HNG hos Jørgen kROMANN</t>
        </r>
      </text>
    </comment>
    <comment ref="I171" authorId="0" shapeId="0" xr:uid="{00000000-0006-0000-0B00-00009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Remisevej kl. 16</t>
        </r>
      </text>
    </comment>
    <comment ref="Q171" authorId="0" shapeId="0" xr:uid="{00000000-0006-0000-0B00-00009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HNG hos Jørgen kROMANN</t>
        </r>
      </text>
    </comment>
    <comment ref="U171" authorId="0" shapeId="0" xr:uid="{00000000-0006-0000-0B00-00009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Hovedport kl. 05.45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Modtagning af stemme sedler kl. 20</t>
        </r>
      </text>
    </comment>
    <comment ref="V171" authorId="0" shapeId="0" xr:uid="{00000000-0006-0000-0B00-00009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  <comment ref="AB171" authorId="0" shapeId="0" xr:uid="{00000000-0006-0000-0B00-00009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C171" authorId="0" shapeId="0" xr:uid="{00000000-0006-0000-0B00-00009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D171" authorId="0" shapeId="0" xr:uid="{00000000-0006-0000-0B00-00009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W172" authorId="0" shapeId="0" xr:uid="{00000000-0006-0000-0B00-00009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  <comment ref="AB172" authorId="0" shapeId="0" xr:uid="{00000000-0006-0000-0B00-00009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C172" authorId="0" shapeId="0" xr:uid="{00000000-0006-0000-0B00-00009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D172" authorId="0" shapeId="0" xr:uid="{00000000-0006-0000-0B00-00009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U180" authorId="0" shapeId="0" xr:uid="{00000000-0006-0000-0B00-00009C000000}">
      <text>
        <r>
          <rPr>
            <b/>
            <sz val="8"/>
            <color indexed="81"/>
            <rFont val="Tahoma"/>
            <family val="2"/>
          </rPr>
          <t xml:space="preserve">flniel: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Modtagning af stemmesedler kl. 20
</t>
        </r>
      </text>
    </comment>
    <comment ref="V180" authorId="0" shapeId="0" xr:uid="{00000000-0006-0000-0B00-00009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  <comment ref="AD180" authorId="0" shapeId="0" xr:uid="{00000000-0006-0000-0B00-00009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Hos Dorte og Mikael</t>
        </r>
      </text>
    </comment>
    <comment ref="U181" authorId="0" shapeId="0" xr:uid="{00000000-0006-0000-0B00-00009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Hos Dorte og Mikael</t>
        </r>
      </text>
    </comment>
    <comment ref="V181" authorId="0" shapeId="0" xr:uid="{00000000-0006-0000-0B00-0000A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  <comment ref="X181" authorId="0" shapeId="0" xr:uid="{00000000-0006-0000-0B00-0000A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Dorte og Mikael</t>
        </r>
      </text>
    </comment>
    <comment ref="C182" authorId="0" shapeId="0" xr:uid="{00000000-0006-0000-0B00-0000A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</t>
        </r>
      </text>
    </comment>
    <comment ref="V182" authorId="0" shapeId="0" xr:uid="{00000000-0006-0000-0B00-0000A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Dorte og Mikael</t>
        </r>
      </text>
    </comment>
    <comment ref="F183" authorId="0" shapeId="0" xr:uid="{00000000-0006-0000-0B00-0000A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G183" authorId="0" shapeId="0" xr:uid="{00000000-0006-0000-0B00-0000A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H183" authorId="0" shapeId="0" xr:uid="{00000000-0006-0000-0B00-0000A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I183" authorId="0" shapeId="0" xr:uid="{00000000-0006-0000-0B00-0000A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J183" authorId="0" shapeId="0" xr:uid="{00000000-0006-0000-0B00-0000A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M183" authorId="0" shapeId="0" xr:uid="{00000000-0006-0000-0B00-0000A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N183" authorId="0" shapeId="0" xr:uid="{00000000-0006-0000-0B00-0000A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O183" authorId="0" shapeId="0" xr:uid="{00000000-0006-0000-0B00-0000A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P183" authorId="0" shapeId="0" xr:uid="{00000000-0006-0000-0B00-0000A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Q183" authorId="0" shapeId="0" xr:uid="{00000000-0006-0000-0B00-0000A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T183" authorId="0" shapeId="0" xr:uid="{00000000-0006-0000-0B00-0000A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U183" authorId="0" shapeId="0" xr:uid="{00000000-0006-0000-0B00-0000A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V183" authorId="0" shapeId="0" xr:uid="{00000000-0006-0000-0B00-0000B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W183" authorId="0" shapeId="0" xr:uid="{00000000-0006-0000-0B00-0000B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  <comment ref="X183" authorId="0" shapeId="0" xr:uid="{00000000-0006-0000-0B00-0000B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Hos Dorte og Miakel</t>
        </r>
      </text>
    </comment>
    <comment ref="T184" authorId="0" shapeId="0" xr:uid="{00000000-0006-0000-0B00-0000B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Dorte og Mikael
Møder kl. 7</t>
        </r>
      </text>
    </comment>
    <comment ref="U184" authorId="0" shapeId="0" xr:uid="{00000000-0006-0000-0B00-0000B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Til kl.16-  22.00</t>
        </r>
      </text>
    </comment>
    <comment ref="V184" authorId="0" shapeId="0" xr:uid="{00000000-0006-0000-0B00-0000B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Møder kl. 16 Til kl. 22</t>
        </r>
      </text>
    </comment>
    <comment ref="U202" authorId="0" shapeId="0" xr:uid="{00000000-0006-0000-0B00-0000B6000000}">
      <text>
        <r>
          <rPr>
            <b/>
            <sz val="8"/>
            <color indexed="81"/>
            <rFont val="Tahoma"/>
            <family val="2"/>
          </rPr>
          <t xml:space="preserve">flniel: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Modtagning af stemmesedler kl. 20
</t>
        </r>
      </text>
    </comment>
    <comment ref="V202" authorId="0" shapeId="0" xr:uid="{00000000-0006-0000-0B00-0000B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  <comment ref="W202" authorId="0" shapeId="0" xr:uid="{00000000-0006-0000-0B00-0000B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  <comment ref="AB203" authorId="0" shapeId="0" xr:uid="{00000000-0006-0000-0B00-0000B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C203" authorId="0" shapeId="0" xr:uid="{00000000-0006-0000-0B00-0000B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D203" authorId="0" shapeId="0" xr:uid="{00000000-0006-0000-0B00-0000B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W205" authorId="0" shapeId="0" xr:uid="{00000000-0006-0000-0B00-0000B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  <comment ref="T206" authorId="0" shapeId="0" xr:uid="{00000000-0006-0000-0B00-0000B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U206" authorId="0" shapeId="0" xr:uid="{00000000-0006-0000-0B00-0000B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Valg</t>
        </r>
      </text>
    </comment>
    <comment ref="T209" authorId="0" shapeId="0" xr:uid="{00000000-0006-0000-0B00-0000B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VALG</t>
        </r>
      </text>
    </comment>
    <comment ref="U209" authorId="0" shapeId="0" xr:uid="{00000000-0006-0000-0B00-0000C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VALG</t>
        </r>
      </text>
    </comment>
    <comment ref="V209" authorId="0" shapeId="0" xr:uid="{00000000-0006-0000-0B00-0000C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  <comment ref="AB209" authorId="0" shapeId="0" xr:uid="{00000000-0006-0000-0B00-0000C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C209" authorId="0" shapeId="0" xr:uid="{00000000-0006-0000-0B00-0000C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AD209" authorId="0" shapeId="0" xr:uid="{00000000-0006-0000-0B00-0000C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T210" authorId="0" shapeId="0" xr:uid="{00000000-0006-0000-0B00-0000C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VALG</t>
        </r>
      </text>
    </comment>
    <comment ref="U210" authorId="0" shapeId="0" xr:uid="{00000000-0006-0000-0B00-0000C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VALG</t>
        </r>
      </text>
    </comment>
    <comment ref="V234" authorId="0" shapeId="0" xr:uid="{00000000-0006-0000-0B00-0000C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  <comment ref="V236" authorId="0" shapeId="0" xr:uid="{00000000-0006-0000-0B00-0000C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Fintælling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bovolf</author>
    <author>kipede</author>
    <author>kjjesp</author>
    <author>sthert</author>
    <author>mipede</author>
    <author>marasm</author>
  </authors>
  <commentList>
    <comment ref="D14" authorId="0" shapeId="0" xr:uid="{00000000-0006-0000-0C00-00000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E16" authorId="0" shapeId="0" xr:uid="{00000000-0006-0000-0C00-00000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T17" authorId="1" shapeId="0" xr:uid="{00000000-0006-0000-0C00-000003000000}">
      <text>
        <r>
          <rPr>
            <sz val="10"/>
            <color indexed="81"/>
            <rFont val="Tahoma"/>
            <family val="2"/>
          </rPr>
          <t>10 vagt for Birthe
OA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17" authorId="1" shapeId="0" xr:uid="{00000000-0006-0000-0C00-000004000000}">
      <text>
        <r>
          <rPr>
            <sz val="10"/>
            <color indexed="81"/>
            <rFont val="Tahoma"/>
            <family val="2"/>
          </rPr>
          <t>B2 for Birthe
OA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8" authorId="2" shapeId="0" xr:uid="{00000000-0006-0000-0C00-000005000000}">
      <text>
        <r>
          <rPr>
            <b/>
            <sz val="9"/>
            <color indexed="81"/>
            <rFont val="Tahoma"/>
            <family val="2"/>
          </rPr>
          <t>kipede:</t>
        </r>
        <r>
          <rPr>
            <sz val="9"/>
            <color indexed="81"/>
            <rFont val="Tahoma"/>
            <family val="2"/>
          </rPr>
          <t xml:space="preserve">
skolesupport
</t>
        </r>
      </text>
    </comment>
    <comment ref="L20" authorId="0" shapeId="0" xr:uid="{00000000-0006-0000-0C00-00000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M20" authorId="0" shapeId="0" xr:uid="{00000000-0006-0000-0C00-00000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O20" authorId="0" shapeId="0" xr:uid="{00000000-0006-0000-0C00-00000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Dorte og Mikael</t>
        </r>
      </text>
    </comment>
    <comment ref="T20" authorId="3" shapeId="0" xr:uid="{00000000-0006-0000-0C00-000009000000}">
      <text>
        <r>
          <rPr>
            <b/>
            <sz val="8"/>
            <color indexed="81"/>
            <rFont val="Tahoma"/>
            <family val="2"/>
          </rPr>
          <t>kjjesp:</t>
        </r>
        <r>
          <rPr>
            <sz val="8"/>
            <color indexed="81"/>
            <rFont val="Tahoma"/>
            <family val="2"/>
          </rPr>
          <t xml:space="preserve">
hospital
form.</t>
        </r>
      </text>
    </comment>
    <comment ref="U20" authorId="0" shapeId="0" xr:uid="{00000000-0006-0000-0C00-00000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Betjentvagt går kl. 13</t>
        </r>
      </text>
    </comment>
    <comment ref="W20" authorId="1" shapeId="0" xr:uid="{00000000-0006-0000-0C00-00000B000000}">
      <text>
        <r>
          <rPr>
            <sz val="10"/>
            <color indexed="81"/>
            <rFont val="Tahoma"/>
            <family val="2"/>
          </rPr>
          <t>B2 for Birthe
OA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37" authorId="0" shapeId="0" xr:uid="{00000000-0006-0000-0C00-00000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Brandvagt 7 - 16</t>
        </r>
      </text>
    </comment>
    <comment ref="U37" authorId="1" shapeId="0" xr:uid="{00000000-0006-0000-0C00-00000D000000}">
      <text>
        <r>
          <rPr>
            <sz val="10"/>
            <color indexed="81"/>
            <rFont val="Tahoma"/>
            <family val="2"/>
          </rPr>
          <t>10 vagt for Birthe
OA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39" authorId="0" shapeId="0" xr:uid="{00000000-0006-0000-0C00-00000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4 - vagt</t>
        </r>
      </text>
    </comment>
    <comment ref="R41" authorId="2" shapeId="0" xr:uid="{00000000-0006-0000-0C00-00000F000000}">
      <text>
        <r>
          <rPr>
            <b/>
            <sz val="9"/>
            <color indexed="81"/>
            <rFont val="Tahoma"/>
            <family val="2"/>
          </rPr>
          <t>kipede:</t>
        </r>
        <r>
          <rPr>
            <sz val="9"/>
            <color indexed="81"/>
            <rFont val="Tahoma"/>
            <family val="2"/>
          </rPr>
          <t xml:space="preserve">
skolesupport
</t>
        </r>
      </text>
    </comment>
    <comment ref="T41" authorId="2" shapeId="0" xr:uid="{00000000-0006-0000-0C00-000010000000}">
      <text>
        <r>
          <rPr>
            <b/>
            <sz val="9"/>
            <color indexed="81"/>
            <rFont val="Tahoma"/>
            <family val="2"/>
          </rPr>
          <t>kipede:</t>
        </r>
        <r>
          <rPr>
            <sz val="9"/>
            <color indexed="81"/>
            <rFont val="Tahoma"/>
            <family val="2"/>
          </rPr>
          <t xml:space="preserve">
Fusioterapi kl. 12</t>
        </r>
      </text>
    </comment>
    <comment ref="V41" authorId="1" shapeId="0" xr:uid="{00000000-0006-0000-0C00-000011000000}">
      <text>
        <r>
          <rPr>
            <sz val="11"/>
            <color indexed="81"/>
            <rFont val="Tahoma"/>
            <family val="2"/>
          </rPr>
          <t>10 vagt for Birthe
OA
BV.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2" authorId="0" shapeId="0" xr:uid="{00000000-0006-0000-0C00-00001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Matthæusgade 1</t>
        </r>
      </text>
    </comment>
    <comment ref="K44" authorId="0" shapeId="0" xr:uid="{00000000-0006-0000-0C00-00001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Patruljeleder</t>
        </r>
      </text>
    </comment>
    <comment ref="K45" authorId="4" shapeId="0" xr:uid="{00000000-0006-0000-0C00-00001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Remisevej </t>
        </r>
      </text>
    </comment>
    <comment ref="L45" authorId="4" shapeId="0" xr:uid="{00000000-0006-0000-0C00-00001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Remisevej </t>
        </r>
      </text>
    </comment>
    <comment ref="M45" authorId="4" shapeId="0" xr:uid="{00000000-0006-0000-0C00-00001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Remisevej </t>
        </r>
      </text>
    </comment>
    <comment ref="N45" authorId="4" shapeId="0" xr:uid="{00000000-0006-0000-0C00-00001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Remisevej </t>
        </r>
      </text>
    </comment>
    <comment ref="D46" authorId="0" shapeId="0" xr:uid="{00000000-0006-0000-0C00-00001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E46" authorId="0" shapeId="0" xr:uid="{00000000-0006-0000-0C00-00001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L46" authorId="0" shapeId="0" xr:uid="{00000000-0006-0000-0C00-00001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E47" authorId="0" shapeId="0" xr:uid="{00000000-0006-0000-0C00-00001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K47" authorId="0" shapeId="0" xr:uid="{00000000-0006-0000-0C00-00001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Vagthavende</t>
        </r>
      </text>
    </comment>
    <comment ref="L49" authorId="0" shapeId="0" xr:uid="{00000000-0006-0000-0C00-00001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L51" authorId="0" shapeId="0" xr:uid="{00000000-0006-0000-0C00-00001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E74" authorId="4" shapeId="0" xr:uid="{00000000-0006-0000-0C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ØRNEVEJ</t>
        </r>
      </text>
    </comment>
    <comment ref="H74" authorId="4" shapeId="0" xr:uid="{00000000-0006-0000-0C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L74" authorId="4" shapeId="0" xr:uid="{00000000-0006-0000-0C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M74" authorId="4" shapeId="0" xr:uid="{00000000-0006-0000-0C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N74" authorId="4" shapeId="0" xr:uid="{00000000-0006-0000-0C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O74" authorId="4" shapeId="0" xr:uid="{00000000-0006-0000-0C00-000024000000}">
      <text>
        <r>
          <rPr>
            <b/>
            <sz val="9"/>
            <color indexed="81"/>
            <rFont val="Tahoma"/>
            <family val="2"/>
          </rPr>
          <t>Ørnevej</t>
        </r>
      </text>
    </comment>
    <comment ref="R74" authorId="4" shapeId="0" xr:uid="{00000000-0006-0000-0C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S74" authorId="4" shapeId="0" xr:uid="{00000000-0006-0000-0C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T74" authorId="4" shapeId="0" xr:uid="{00000000-0006-0000-0C00-00002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U74" authorId="4" shapeId="0" xr:uid="{00000000-0006-0000-0C00-00002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V74" authorId="4" shapeId="0" xr:uid="{00000000-0006-0000-0C00-00002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Y74" authorId="4" shapeId="0" xr:uid="{00000000-0006-0000-0C00-00002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AC74" authorId="4" shapeId="0" xr:uid="{00000000-0006-0000-0C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Døgnvagten</t>
        </r>
      </text>
    </comment>
    <comment ref="AF74" authorId="4" shapeId="0" xr:uid="{00000000-0006-0000-0C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Døgnvagten</t>
        </r>
      </text>
    </comment>
    <comment ref="AG74" authorId="4" shapeId="0" xr:uid="{00000000-0006-0000-0C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Døgnvagten</t>
        </r>
      </text>
    </comment>
    <comment ref="E76" authorId="5" shapeId="0" xr:uid="{00000000-0006-0000-0C00-00002E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Lara møder</t>
        </r>
      </text>
    </comment>
    <comment ref="L76" authorId="0" shapeId="0" xr:uid="{00000000-0006-0000-0C00-00002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M76" authorId="0" shapeId="0" xr:uid="{00000000-0006-0000-0C00-00003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N76" authorId="0" shapeId="0" xr:uid="{00000000-0006-0000-0C00-00003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R76" authorId="4" shapeId="0" xr:uid="{00000000-0006-0000-0C00-00003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S76" authorId="4" shapeId="0" xr:uid="{00000000-0006-0000-0C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T76" authorId="4" shapeId="0" xr:uid="{00000000-0006-0000-0C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U76" authorId="4" shapeId="0" xr:uid="{00000000-0006-0000-0C00-00003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V76" authorId="4" shapeId="0" xr:uid="{00000000-0006-0000-0C00-00003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D86" authorId="4" shapeId="0" xr:uid="{00000000-0006-0000-0C00-00003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F86" authorId="4" shapeId="0" xr:uid="{00000000-0006-0000-0C00-00003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G86" authorId="4" shapeId="0" xr:uid="{00000000-0006-0000-0C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H86" authorId="4" shapeId="0" xr:uid="{00000000-0006-0000-0C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K86" authorId="4" shapeId="0" xr:uid="{00000000-0006-0000-0C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Ørnevej</t>
        </r>
      </text>
    </comment>
    <comment ref="R86" authorId="4" shapeId="0" xr:uid="{00000000-0006-0000-0C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 Ørnevej</t>
        </r>
      </text>
    </comment>
    <comment ref="S86" authorId="4" shapeId="0" xr:uid="{00000000-0006-0000-0C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</t>
        </r>
        <r>
          <rPr>
            <sz val="10"/>
            <color indexed="81"/>
            <rFont val="Tahoma"/>
            <family val="2"/>
          </rPr>
          <t>-VAGT</t>
        </r>
      </text>
    </comment>
    <comment ref="T86" authorId="4" shapeId="0" xr:uid="{00000000-0006-0000-0C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</t>
        </r>
        <r>
          <rPr>
            <sz val="10"/>
            <color indexed="81"/>
            <rFont val="Tahoma"/>
            <family val="2"/>
          </rPr>
          <t>-VAGT</t>
        </r>
      </text>
    </comment>
    <comment ref="U86" authorId="4" shapeId="0" xr:uid="{00000000-0006-0000-0C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</t>
        </r>
        <r>
          <rPr>
            <sz val="10"/>
            <color indexed="81"/>
            <rFont val="Tahoma"/>
            <family val="2"/>
          </rPr>
          <t>-VAGT</t>
        </r>
      </text>
    </comment>
    <comment ref="V86" authorId="4" shapeId="0" xr:uid="{00000000-0006-0000-0C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</t>
        </r>
        <r>
          <rPr>
            <sz val="10"/>
            <color indexed="81"/>
            <rFont val="Tahoma"/>
            <family val="2"/>
          </rPr>
          <t>-VAGT
K2 på OA</t>
        </r>
      </text>
    </comment>
    <comment ref="D87" authorId="4" shapeId="0" xr:uid="{00000000-0006-0000-0C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E87" authorId="4" shapeId="0" xr:uid="{00000000-0006-0000-0C00-00004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F87" authorId="4" shapeId="0" xr:uid="{00000000-0006-0000-0C00-00004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G87" authorId="4" shapeId="0" xr:uid="{00000000-0006-0000-0C00-00004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H87" authorId="4" shapeId="0" xr:uid="{00000000-0006-0000-0C00-00004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K87" authorId="4" shapeId="0" xr:uid="{00000000-0006-0000-0C00-00004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L87" authorId="4" shapeId="0" xr:uid="{00000000-0006-0000-0C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M87" authorId="4" shapeId="0" xr:uid="{00000000-0006-0000-0C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N87" authorId="4" shapeId="0" xr:uid="{00000000-0006-0000-0C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O87" authorId="4" shapeId="0" xr:uid="{00000000-0006-0000-0C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R87" authorId="4" shapeId="0" xr:uid="{00000000-0006-0000-0C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D88" authorId="4" shapeId="0" xr:uid="{00000000-0006-0000-0C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E88" authorId="4" shapeId="0" xr:uid="{00000000-0006-0000-0C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F88" authorId="4" shapeId="0" xr:uid="{00000000-0006-0000-0C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G88" authorId="4" shapeId="0" xr:uid="{00000000-0006-0000-0C00-00004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H88" authorId="4" shapeId="0" xr:uid="{00000000-0006-0000-0C00-00005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R88" authorId="4" shapeId="0" xr:uid="{00000000-0006-0000-0C00-00005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4-vagt</t>
        </r>
      </text>
    </comment>
    <comment ref="S88" authorId="4" shapeId="0" xr:uid="{00000000-0006-0000-0C00-00005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4-vagt</t>
        </r>
      </text>
    </comment>
    <comment ref="T88" authorId="4" shapeId="0" xr:uid="{00000000-0006-0000-0C00-00005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K2</t>
        </r>
      </text>
    </comment>
    <comment ref="U88" authorId="4" shapeId="0" xr:uid="{00000000-0006-0000-0C00-00005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4-vagt</t>
        </r>
      </text>
    </comment>
    <comment ref="V88" authorId="4" shapeId="0" xr:uid="{00000000-0006-0000-0C00-00005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som 3-vagt</t>
        </r>
      </text>
    </comment>
    <comment ref="Y88" authorId="4" shapeId="0" xr:uid="{00000000-0006-0000-0C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E99" authorId="0" shapeId="0" xr:uid="{00000000-0006-0000-0C00-00005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N99" authorId="6" shapeId="0" xr:uid="{00000000-0006-0000-0C00-000058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 Kontaktudvalget  Kl. 0900-1030</t>
        </r>
      </text>
    </comment>
    <comment ref="T99" authorId="6" shapeId="0" xr:uid="{00000000-0006-0000-0C00-000059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Møde i Hoved-Med  kl.12-16</t>
        </r>
      </text>
    </comment>
    <comment ref="AC119" authorId="4" shapeId="0" xr:uid="{00000000-0006-0000-0C00-00005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F119" authorId="4" shapeId="0" xr:uid="{00000000-0006-0000-0C00-00005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L120" authorId="4" shapeId="0" xr:uid="{00000000-0006-0000-0C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 kl.10 ekstra vagt.</t>
        </r>
      </text>
    </comment>
    <comment ref="AC120" authorId="4" shapeId="0" xr:uid="{00000000-0006-0000-0C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F120" authorId="4" shapeId="0" xr:uid="{00000000-0006-0000-0C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D140" authorId="0" shapeId="0" xr:uid="{00000000-0006-0000-0C00-00005F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L142" authorId="0" shapeId="0" xr:uid="{00000000-0006-0000-0C00-00006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L143" authorId="0" shapeId="0" xr:uid="{00000000-0006-0000-0C00-00006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D153" authorId="0" shapeId="0" xr:uid="{00000000-0006-0000-0C00-00006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E155" authorId="0" shapeId="0" xr:uid="{00000000-0006-0000-0C00-00006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D156" authorId="6" shapeId="0" xr:uid="{00000000-0006-0000-0C00-000064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Er tastet</t>
        </r>
      </text>
    </comment>
    <comment ref="AF156" authorId="6" shapeId="0" xr:uid="{00000000-0006-0000-0C00-000065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Er tastet</t>
        </r>
      </text>
    </comment>
    <comment ref="L157" authorId="0" shapeId="0" xr:uid="{00000000-0006-0000-0C00-00006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E167" authorId="0" shapeId="0" xr:uid="{00000000-0006-0000-0C00-00006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L168" authorId="0" shapeId="0" xr:uid="{00000000-0006-0000-0C00-00006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K169" authorId="4" shapeId="0" xr:uid="{00000000-0006-0000-0C00-00006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+ K2 på OA.</t>
        </r>
      </text>
    </comment>
    <comment ref="Y169" authorId="0" shapeId="0" xr:uid="{00000000-0006-0000-0C00-00006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kl. 07</t>
        </r>
      </text>
    </comment>
    <comment ref="AC169" authorId="0" shapeId="0" xr:uid="{00000000-0006-0000-0C00-00006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kl. 07</t>
        </r>
      </text>
    </comment>
    <comment ref="AF169" authorId="0" shapeId="0" xr:uid="{00000000-0006-0000-0C00-00006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kl. 07</t>
        </r>
      </text>
    </comment>
    <comment ref="K171" authorId="5" shapeId="0" xr:uid="{00000000-0006-0000-0C00-00006D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OA til Arr. Samt K5 på OA</t>
        </r>
      </text>
    </comment>
    <comment ref="S171" authorId="4" shapeId="0" xr:uid="{00000000-0006-0000-0C00-00006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 OA</t>
        </r>
      </text>
    </comment>
    <comment ref="U171" authorId="4" shapeId="0" xr:uid="{00000000-0006-0000-0C00-00006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 OA</t>
        </r>
      </text>
    </comment>
    <comment ref="E172" authorId="0" shapeId="0" xr:uid="{00000000-0006-0000-0C00-00007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D180" authorId="0" shapeId="0" xr:uid="{00000000-0006-0000-0C00-00007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Dorthe og Mikael</t>
        </r>
      </text>
    </comment>
    <comment ref="E180" authorId="0" shapeId="0" xr:uid="{00000000-0006-0000-0C00-00007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Dorthe og Mikael</t>
        </r>
      </text>
    </comment>
    <comment ref="F180" authorId="0" shapeId="0" xr:uid="{00000000-0006-0000-0C00-00007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Dorthe og Mikael</t>
        </r>
      </text>
    </comment>
    <comment ref="G180" authorId="0" shapeId="0" xr:uid="{00000000-0006-0000-0C00-00007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Dorthe og Mikael</t>
        </r>
      </text>
    </comment>
    <comment ref="H180" authorId="0" shapeId="0" xr:uid="{00000000-0006-0000-0C00-00007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Dorthe og Mikael</t>
        </r>
      </text>
    </comment>
    <comment ref="K180" authorId="0" shapeId="0" xr:uid="{00000000-0006-0000-0C00-00007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Dorthe og Mikael</t>
        </r>
      </text>
    </comment>
    <comment ref="L180" authorId="0" shapeId="0" xr:uid="{00000000-0006-0000-0C00-00007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Dorthe og Mikael</t>
        </r>
      </text>
    </comment>
    <comment ref="M180" authorId="0" shapeId="0" xr:uid="{00000000-0006-0000-0C00-00007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Dorthe og Mikael</t>
        </r>
      </text>
    </comment>
    <comment ref="N180" authorId="0" shapeId="0" xr:uid="{00000000-0006-0000-0C00-00007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Dorthe og Mikael</t>
        </r>
      </text>
    </comment>
    <comment ref="O180" authorId="0" shapeId="0" xr:uid="{00000000-0006-0000-0C00-00007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Møde hos Dorthe og Mikael</t>
        </r>
      </text>
    </comment>
    <comment ref="R180" authorId="0" shapeId="0" xr:uid="{00000000-0006-0000-0C00-00007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hos Mikael og Dorte
6 -9</t>
        </r>
      </text>
    </comment>
    <comment ref="S180" authorId="0" shapeId="0" xr:uid="{00000000-0006-0000-0C00-00007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hos Mikael og Dorte
6 -9</t>
        </r>
      </text>
    </comment>
    <comment ref="T180" authorId="0" shapeId="0" xr:uid="{00000000-0006-0000-0C00-00007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hos Mikael og Dorte
6 -9</t>
        </r>
      </text>
    </comment>
    <comment ref="U180" authorId="0" shapeId="0" xr:uid="{00000000-0006-0000-0C00-00007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Remisevejvej</t>
        </r>
      </text>
    </comment>
    <comment ref="E181" authorId="5" shapeId="0" xr:uid="{00000000-0006-0000-0C00-00007F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Lara K2 for Allan</t>
        </r>
      </text>
    </comment>
    <comment ref="O181" authorId="0" shapeId="0" xr:uid="{00000000-0006-0000-0C00-00008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Remisevej OA</t>
        </r>
      </text>
    </comment>
    <comment ref="R181" authorId="4" shapeId="0" xr:uid="{00000000-0006-0000-0C00-00008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Ørnevej OA.</t>
        </r>
      </text>
    </comment>
    <comment ref="D182" authorId="0" shapeId="0" xr:uid="{00000000-0006-0000-0C00-00008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L182" authorId="0" shapeId="0" xr:uid="{00000000-0006-0000-0C00-00008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 8-1545</t>
        </r>
      </text>
    </comment>
    <comment ref="N182" authorId="0" shapeId="0" xr:uid="{00000000-0006-0000-0C00-00008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Fuglebakken 8-1545</t>
        </r>
      </text>
    </comment>
    <comment ref="U182" authorId="0" shapeId="0" xr:uid="{00000000-0006-0000-0C00-00008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på Fuglebakken</t>
        </r>
      </text>
    </comment>
    <comment ref="V182" authorId="0" shapeId="0" xr:uid="{00000000-0006-0000-0C00-00008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på Remisevej</t>
        </r>
      </text>
    </comment>
    <comment ref="E205" authorId="0" shapeId="0" xr:uid="{00000000-0006-0000-0C00-00008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D209" authorId="0" shapeId="0" xr:uid="{00000000-0006-0000-0C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D229" authorId="0" shapeId="0" xr:uid="{00000000-0006-0000-0C00-000089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E231" authorId="0" shapeId="0" xr:uid="{00000000-0006-0000-0C00-00008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L232" authorId="0" shapeId="0" xr:uid="{00000000-0006-0000-0C00-00008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D249" authorId="0" shapeId="0" xr:uid="{00000000-0006-0000-0C00-00008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L260" authorId="0" shapeId="0" xr:uid="{00000000-0006-0000-0C00-00008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L271" authorId="0" shapeId="0" xr:uid="{00000000-0006-0000-0C00-00008E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sthert</author>
    <author>jilars</author>
    <author>mipede</author>
    <author>bovolf</author>
    <author>marasm</author>
  </authors>
  <commentList>
    <comment ref="O14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Erstatsningsfri</t>
        </r>
      </text>
    </comment>
    <comment ref="P14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Erstatsningsfri</t>
        </r>
      </text>
    </comment>
    <comment ref="Q14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Erstatsningsfri</t>
        </r>
      </text>
    </comment>
    <comment ref="AE14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Valgdepot</t>
        </r>
      </text>
    </comment>
    <comment ref="AF14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Valgdepot</t>
        </r>
      </text>
    </comment>
    <comment ref="AG14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Valgdepot</t>
        </r>
      </text>
    </comment>
    <comment ref="AE15" authorId="0" shapeId="0" xr:uid="{00000000-0006-0000-0D00-00000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Valgdepot</t>
        </r>
      </text>
    </comment>
    <comment ref="AF15" authorId="0" shapeId="0" xr:uid="{00000000-0006-0000-0D00-00000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Valgdepot</t>
        </r>
      </text>
    </comment>
    <comment ref="AG15" authorId="0" shapeId="0" xr:uid="{00000000-0006-0000-0D00-00000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Valgdepot</t>
        </r>
      </text>
    </comment>
    <comment ref="AD17" authorId="0" shapeId="0" xr:uid="{00000000-0006-0000-0D00-00000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Brønshøjvej 17</t>
        </r>
      </text>
    </comment>
    <comment ref="AF17" authorId="1" shapeId="0" xr:uid="{00000000-0006-0000-0D00-00000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J21" authorId="1" shapeId="0" xr:uid="{00000000-0006-0000-0D00-00000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AC21" authorId="0" shapeId="0" xr:uid="{00000000-0006-0000-0D00-00000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Fashion Week</t>
        </r>
      </text>
    </comment>
    <comment ref="Y37" authorId="0" shapeId="0" xr:uid="{00000000-0006-0000-0D00-00000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Matthæusgade 1</t>
        </r>
      </text>
    </comment>
    <comment ref="AF37" authorId="0" shapeId="0" xr:uid="{00000000-0006-0000-0D00-00000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Anders til Patrik</t>
        </r>
      </text>
    </comment>
    <comment ref="J39" authorId="0" shapeId="0" xr:uid="{00000000-0006-0000-0D00-00001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J40" authorId="0" shapeId="0" xr:uid="{00000000-0006-0000-0D00-00001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H46" authorId="0" shapeId="0" xr:uid="{00000000-0006-0000-0D00-00001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I46" authorId="0" shapeId="0" xr:uid="{00000000-0006-0000-0D00-00001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J46" authorId="0" shapeId="0" xr:uid="{00000000-0006-0000-0D00-00001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K46" authorId="0" shapeId="0" xr:uid="{00000000-0006-0000-0D00-00001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AD46" authorId="2" shapeId="0" xr:uid="{00000000-0006-0000-0D00-000016000000}">
      <text>
        <r>
          <rPr>
            <b/>
            <sz val="10"/>
            <color indexed="81"/>
            <rFont val="Tahoma"/>
            <family val="2"/>
          </rPr>
          <t>Modeuge
Omlagt tjeneste</t>
        </r>
      </text>
    </comment>
    <comment ref="AE46" authorId="2" shapeId="0" xr:uid="{00000000-0006-0000-0D00-000017000000}">
      <text>
        <r>
          <rPr>
            <b/>
            <sz val="10"/>
            <color indexed="81"/>
            <rFont val="Tahoma"/>
            <family val="2"/>
          </rPr>
          <t>Modeuge
Omlagt tjeneste</t>
        </r>
      </text>
    </comment>
    <comment ref="AF46" authorId="2" shapeId="0" xr:uid="{00000000-0006-0000-0D00-000018000000}">
      <text>
        <r>
          <rPr>
            <b/>
            <sz val="10"/>
            <color indexed="81"/>
            <rFont val="Tahoma"/>
            <family val="2"/>
          </rPr>
          <t>Modeuge
Omlagt tjeneste</t>
        </r>
      </text>
    </comment>
    <comment ref="AG46" authorId="2" shapeId="0" xr:uid="{00000000-0006-0000-0D00-000019000000}">
      <text>
        <r>
          <rPr>
            <b/>
            <sz val="10"/>
            <color indexed="81"/>
            <rFont val="Tahoma"/>
            <family val="2"/>
          </rPr>
          <t>Modeuge
Omlagt tjeneste</t>
        </r>
      </text>
    </comment>
    <comment ref="J48" authorId="0" shapeId="0" xr:uid="{00000000-0006-0000-0D00-00001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Remisevej</t>
        </r>
      </text>
    </comment>
    <comment ref="AE49" authorId="0" shapeId="0" xr:uid="{00000000-0006-0000-0D00-00001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Møder senere omkring
 kl. 12</t>
        </r>
      </text>
    </comment>
    <comment ref="K51" authorId="0" shapeId="0" xr:uid="{00000000-0006-0000-0D00-00001C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W51" authorId="0" shapeId="0" xr:uid="{00000000-0006-0000-0D00-00001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Jubilæumsfri</t>
        </r>
      </text>
    </comment>
    <comment ref="E74" authorId="1" shapeId="0" xr:uid="{00000000-0006-0000-0D00-00001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H74" authorId="1" shapeId="0" xr:uid="{00000000-0006-0000-0D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SOF</t>
        </r>
      </text>
    </comment>
    <comment ref="I74" authorId="1" shapeId="0" xr:uid="{00000000-0006-0000-0D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SOF</t>
        </r>
      </text>
    </comment>
    <comment ref="J74" authorId="1" shapeId="0" xr:uid="{00000000-0006-0000-0D00-00002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K74" authorId="1" shapeId="0" xr:uid="{00000000-0006-0000-0D00-00002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SOF</t>
        </r>
      </text>
    </comment>
    <comment ref="L74" authorId="1" shapeId="0" xr:uid="{00000000-0006-0000-0D00-00002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KMD+CSC</t>
        </r>
      </text>
    </comment>
    <comment ref="V74" authorId="1" shapeId="0" xr:uid="{00000000-0006-0000-0D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W74" authorId="1" shapeId="0" xr:uid="{00000000-0006-0000-0D00-00002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X74" authorId="1" shapeId="0" xr:uid="{00000000-0006-0000-0D00-00002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Y74" authorId="1" shapeId="0" xr:uid="{00000000-0006-0000-0D00-00002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 KURSUS</t>
        </r>
      </text>
    </comment>
    <comment ref="Z74" authorId="1" shapeId="0" xr:uid="{00000000-0006-0000-0D00-00002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AC74" authorId="1" shapeId="0" xr:uid="{00000000-0006-0000-0D00-00002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Brønshøjvej 0900-1300</t>
        </r>
      </text>
    </comment>
    <comment ref="AD74" authorId="1" shapeId="0" xr:uid="{00000000-0006-0000-0D00-00002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Møder</t>
        </r>
      </text>
    </comment>
    <comment ref="AE74" authorId="1" shapeId="0" xr:uid="{00000000-0006-0000-0D00-00002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AF74" authorId="1" shapeId="0" xr:uid="{00000000-0006-0000-0D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AG74" authorId="1" shapeId="0" xr:uid="{00000000-0006-0000-0D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O75" authorId="1" shapeId="0" xr:uid="{00000000-0006-0000-0D00-00002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P75" authorId="1" shapeId="0" xr:uid="{00000000-0006-0000-0D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Q75" authorId="1" shapeId="0" xr:uid="{00000000-0006-0000-0D00-00003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R75" authorId="1" shapeId="0" xr:uid="{00000000-0006-0000-0D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 + møde på rådhuset 0900-1100</t>
        </r>
      </text>
    </comment>
    <comment ref="S75" authorId="1" shapeId="0" xr:uid="{00000000-0006-0000-0D00-00003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Y75" authorId="1" shapeId="0" xr:uid="{00000000-0006-0000-0D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AD75" authorId="1" shapeId="0" xr:uid="{00000000-0006-0000-0D00-000034000000}">
      <text>
        <r>
          <rPr>
            <b/>
            <sz val="10"/>
            <color indexed="81"/>
            <rFont val="Tahoma"/>
            <family val="2"/>
          </rPr>
          <t>Modeuge</t>
        </r>
      </text>
    </comment>
    <comment ref="AE75" authorId="1" shapeId="0" xr:uid="{00000000-0006-0000-0D00-000035000000}">
      <text>
        <r>
          <rPr>
            <b/>
            <sz val="10"/>
            <color indexed="81"/>
            <rFont val="Tahoma"/>
            <family val="2"/>
          </rPr>
          <t>Modeuge</t>
        </r>
      </text>
    </comment>
    <comment ref="AF75" authorId="1" shapeId="0" xr:uid="{00000000-0006-0000-0D00-000036000000}">
      <text>
        <r>
          <rPr>
            <b/>
            <sz val="10"/>
            <color indexed="81"/>
            <rFont val="Tahoma"/>
            <family val="2"/>
          </rPr>
          <t>Modeuge</t>
        </r>
      </text>
    </comment>
    <comment ref="AG75" authorId="1" shapeId="0" xr:uid="{00000000-0006-0000-0D00-000037000000}">
      <text>
        <r>
          <rPr>
            <b/>
            <sz val="10"/>
            <color indexed="81"/>
            <rFont val="Tahoma"/>
            <family val="2"/>
          </rPr>
          <t>Modeuge</t>
        </r>
      </text>
    </comment>
    <comment ref="H76" authorId="1" shapeId="0" xr:uid="{00000000-0006-0000-0D00-00003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I76" authorId="1" shapeId="0" xr:uid="{00000000-0006-0000-0D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J76" authorId="1" shapeId="0" xr:uid="{00000000-0006-0000-0D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K76" authorId="1" shapeId="0" xr:uid="{00000000-0006-0000-0D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L76" authorId="1" shapeId="0" xr:uid="{00000000-0006-0000-0D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Kursus i KMD+CSC svanevej 12 kl.10</t>
        </r>
      </text>
    </comment>
    <comment ref="AC76" authorId="1" shapeId="0" xr:uid="{00000000-0006-0000-0D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AD76" authorId="1" shapeId="0" xr:uid="{00000000-0006-0000-0D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AE76" authorId="1" shapeId="0" xr:uid="{00000000-0006-0000-0D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AF76" authorId="1" shapeId="0" xr:uid="{00000000-0006-0000-0D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AG76" authorId="1" shapeId="0" xr:uid="{00000000-0006-0000-0D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g-vagt</t>
        </r>
      </text>
    </comment>
    <comment ref="D86" authorId="1" shapeId="0" xr:uid="{00000000-0006-0000-0D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E86" authorId="1" shapeId="0" xr:uid="{00000000-0006-0000-0D00-00004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E-VAGT</t>
        </r>
      </text>
    </comment>
    <comment ref="H86" authorId="1" shapeId="0" xr:uid="{00000000-0006-0000-0D00-00004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I86" authorId="1" shapeId="0" xr:uid="{00000000-0006-0000-0D00-00004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J86" authorId="1" shapeId="0" xr:uid="{00000000-0006-0000-0D00-00004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K86" authorId="1" shapeId="0" xr:uid="{00000000-0006-0000-0D00-00004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L86" authorId="1" shapeId="0" xr:uid="{00000000-0006-0000-0D00-00004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Kursus i KMD+CSC
Svanevej 12 kl.10</t>
        </r>
      </text>
    </comment>
    <comment ref="O86" authorId="1" shapeId="0" xr:uid="{00000000-0006-0000-0D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E-VAGT</t>
        </r>
      </text>
    </comment>
    <comment ref="P86" authorId="1" shapeId="0" xr:uid="{00000000-0006-0000-0D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E-VAGT</t>
        </r>
      </text>
    </comment>
    <comment ref="Q86" authorId="1" shapeId="0" xr:uid="{00000000-0006-0000-0D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E-VAGT</t>
        </r>
      </text>
    </comment>
    <comment ref="R86" authorId="1" shapeId="0" xr:uid="{00000000-0006-0000-0D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E-VAGT</t>
        </r>
      </text>
    </comment>
    <comment ref="S86" authorId="1" shapeId="0" xr:uid="{00000000-0006-0000-0D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Møder som E-VAGT</t>
        </r>
      </text>
    </comment>
    <comment ref="V86" authorId="1" shapeId="0" xr:uid="{00000000-0006-0000-0D00-00004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W86" authorId="1" shapeId="0" xr:uid="{00000000-0006-0000-0D00-00004F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X86" authorId="1" shapeId="0" xr:uid="{00000000-0006-0000-0D00-00005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Y86" authorId="1" shapeId="0" xr:uid="{00000000-0006-0000-0D00-00005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 + lære om konflikt 0800-1200</t>
        </r>
      </text>
    </comment>
    <comment ref="Z86" authorId="1" shapeId="0" xr:uid="{00000000-0006-0000-0D00-00005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AC86" authorId="1" shapeId="0" xr:uid="{00000000-0006-0000-0D00-00005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 - 1300-1540</t>
        </r>
      </text>
    </comment>
    <comment ref="AD86" authorId="1" shapeId="0" xr:uid="{00000000-0006-0000-0D00-00005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AE86" authorId="1" shapeId="0" xr:uid="{00000000-0006-0000-0D00-00005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</t>
        </r>
        <r>
          <rPr>
            <sz val="10"/>
            <color indexed="81"/>
            <rFont val="Tahoma"/>
            <family val="2"/>
          </rPr>
          <t>-vagt</t>
        </r>
      </text>
    </comment>
    <comment ref="AF86" authorId="1" shapeId="0" xr:uid="{00000000-0006-0000-0D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M-VAGT + KURSUS</t>
        </r>
      </text>
    </comment>
    <comment ref="AG86" authorId="1" shapeId="0" xr:uid="{00000000-0006-0000-0D00-00005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M-VAGT</t>
        </r>
      </text>
    </comment>
    <comment ref="D87" authorId="1" shapeId="0" xr:uid="{00000000-0006-0000-0D00-00005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E87" authorId="1" shapeId="0" xr:uid="{00000000-0006-0000-0D00-00005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J87" authorId="0" shapeId="0" xr:uid="{00000000-0006-0000-0D00-00005A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 + møder som kredsvagt</t>
        </r>
      </text>
    </comment>
    <comment ref="L87" authorId="1" shapeId="0" xr:uid="{00000000-0006-0000-0D00-00005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Kursus i KMD+CSC
Svanevej 12 kl.10</t>
        </r>
      </text>
    </comment>
    <comment ref="O87" authorId="1" shapeId="0" xr:uid="{00000000-0006-0000-0D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P87" authorId="1" shapeId="0" xr:uid="{00000000-0006-0000-0D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Q87" authorId="1" shapeId="0" xr:uid="{00000000-0006-0000-0D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R87" authorId="1" shapeId="0" xr:uid="{00000000-0006-0000-0D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S87" authorId="1" shapeId="0" xr:uid="{00000000-0006-0000-0D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V87" authorId="1" shapeId="0" xr:uid="{00000000-0006-0000-0D00-00006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</t>
        </r>
      </text>
    </comment>
    <comment ref="W87" authorId="1" shapeId="0" xr:uid="{00000000-0006-0000-0D00-00006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</t>
        </r>
      </text>
    </comment>
    <comment ref="X87" authorId="1" shapeId="0" xr:uid="{00000000-0006-0000-0D00-00006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</t>
        </r>
      </text>
    </comment>
    <comment ref="Y87" authorId="1" shapeId="0" xr:uid="{00000000-0006-0000-0D00-00006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</t>
        </r>
      </text>
    </comment>
    <comment ref="Z87" authorId="1" shapeId="0" xr:uid="{00000000-0006-0000-0D00-00006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Spaniensgade</t>
        </r>
      </text>
    </comment>
    <comment ref="AC87" authorId="1" shapeId="0" xr:uid="{00000000-0006-0000-0D00-00006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 OA</t>
        </r>
      </text>
    </comment>
    <comment ref="AD87" authorId="1" shapeId="0" xr:uid="{00000000-0006-0000-0D00-00006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 OA</t>
        </r>
      </text>
    </comment>
    <comment ref="D88" authorId="3" shapeId="0" xr:uid="{00000000-0006-0000-0D00-000068000000}">
      <text>
        <r>
          <rPr>
            <b/>
            <sz val="8"/>
            <color indexed="81"/>
            <rFont val="Tahoma"/>
            <family val="2"/>
          </rPr>
          <t>mipede:</t>
        </r>
        <r>
          <rPr>
            <sz val="8"/>
            <color indexed="81"/>
            <rFont val="Tahoma"/>
            <family val="2"/>
          </rPr>
          <t xml:space="preserve">
K-Vagt på OA</t>
        </r>
      </text>
    </comment>
    <comment ref="H88" authorId="1" shapeId="0" xr:uid="{00000000-0006-0000-0D00-00006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I88" authorId="1" shapeId="0" xr:uid="{00000000-0006-0000-0D00-00006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J88" authorId="0" shapeId="0" xr:uid="{00000000-0006-0000-0D00-00006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K88" authorId="1" shapeId="0" xr:uid="{00000000-0006-0000-0D00-00006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L88" authorId="1" shapeId="0" xr:uid="{00000000-0006-0000-0D00-00006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Kursus i KMD+CSC
Svanevej 12 kl.10</t>
        </r>
      </text>
    </comment>
    <comment ref="Q88" authorId="1" shapeId="0" xr:uid="{00000000-0006-0000-0D00-00006E000000}">
      <text>
        <r>
          <rPr>
            <b/>
            <sz val="9"/>
            <color indexed="81"/>
            <rFont val="Tahoma"/>
            <family val="2"/>
          </rPr>
          <t>P vagt
BV</t>
        </r>
      </text>
    </comment>
    <comment ref="R88" authorId="1" shapeId="0" xr:uid="{00000000-0006-0000-0D00-00006F000000}">
      <text>
        <r>
          <rPr>
            <sz val="9"/>
            <color indexed="81"/>
            <rFont val="Tahoma"/>
            <family val="2"/>
          </rPr>
          <t xml:space="preserve">P vagt
BV
</t>
        </r>
      </text>
    </comment>
    <comment ref="S88" authorId="1" shapeId="0" xr:uid="{00000000-0006-0000-0D00-000070000000}">
      <text>
        <r>
          <rPr>
            <sz val="9"/>
            <color indexed="81"/>
            <rFont val="Tahoma"/>
            <family val="2"/>
          </rPr>
          <t xml:space="preserve">P vagt
BV
</t>
        </r>
      </text>
    </comment>
    <comment ref="AE88" authorId="1" shapeId="0" xr:uid="{00000000-0006-0000-0D00-00007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AF88" authorId="1" shapeId="0" xr:uid="{00000000-0006-0000-0D00-00007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J100" authorId="0" shapeId="0" xr:uid="{00000000-0006-0000-0D00-000073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R119" authorId="1" shapeId="0" xr:uid="{00000000-0006-0000-0D00-00007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på rådhuset 0900-1100</t>
        </r>
      </text>
    </comment>
    <comment ref="R120" authorId="1" shapeId="0" xr:uid="{00000000-0006-0000-0D00-00007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på rådhuset 0900-1100</t>
        </r>
      </text>
    </comment>
    <comment ref="Y120" authorId="1" shapeId="0" xr:uid="{00000000-0006-0000-0D00-00007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 0900-1230</t>
        </r>
      </text>
    </comment>
    <comment ref="AF120" authorId="1" shapeId="0" xr:uid="{00000000-0006-0000-0D00-00007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 0900-1230</t>
        </r>
      </text>
    </comment>
    <comment ref="R121" authorId="1" shapeId="0" xr:uid="{00000000-0006-0000-0D00-00007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på rådhuset 0900-1100</t>
        </r>
      </text>
    </comment>
    <comment ref="Y123" authorId="1" shapeId="0" xr:uid="{00000000-0006-0000-0D00-00007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AF123" authorId="1" shapeId="0" xr:uid="{00000000-0006-0000-0D00-00007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R124" authorId="1" shapeId="0" xr:uid="{00000000-0006-0000-0D00-00007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på rådhuset 0900-1100</t>
        </r>
      </text>
    </comment>
    <comment ref="R125" authorId="1" shapeId="0" xr:uid="{00000000-0006-0000-0D00-00007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på rådhuset 0900-1100</t>
        </r>
      </text>
    </comment>
    <comment ref="Y125" authorId="1" shapeId="0" xr:uid="{00000000-0006-0000-0D00-00007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AF125" authorId="1" shapeId="0" xr:uid="{00000000-0006-0000-0D00-00007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R126" authorId="1" shapeId="0" xr:uid="{00000000-0006-0000-0D00-00007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på rådhuset 0900-1100</t>
        </r>
      </text>
    </comment>
    <comment ref="Y126" authorId="1" shapeId="0" xr:uid="{00000000-0006-0000-0D00-00008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AF126" authorId="1" shapeId="0" xr:uid="{00000000-0006-0000-0D00-00008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L127" authorId="1" shapeId="0" xr:uid="{00000000-0006-0000-0D00-00008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Kursus i KMD+CSC
Svanevej 12 kl.10</t>
        </r>
      </text>
    </comment>
    <comment ref="R127" authorId="1" shapeId="0" xr:uid="{00000000-0006-0000-0D00-00008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på rådhuset 0900-1100</t>
        </r>
      </text>
    </comment>
    <comment ref="Y127" authorId="1" shapeId="0" xr:uid="{00000000-0006-0000-0D00-00008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AF127" authorId="1" shapeId="0" xr:uid="{00000000-0006-0000-0D00-00008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Y128" authorId="1" shapeId="0" xr:uid="{00000000-0006-0000-0D00-00008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AF128" authorId="1" shapeId="0" xr:uid="{00000000-0006-0000-0D00-00008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J129" authorId="0" shapeId="0" xr:uid="{00000000-0006-0000-0D00-000088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R129" authorId="1" shapeId="0" xr:uid="{00000000-0006-0000-0D00-00008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på rådhuset 0900-1100</t>
        </r>
      </text>
    </comment>
    <comment ref="Y129" authorId="1" shapeId="0" xr:uid="{00000000-0006-0000-0D00-00008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AC129" authorId="4" shapeId="0" xr:uid="{00000000-0006-0000-0D00-00008B000000}">
      <text>
        <r>
          <rPr>
            <b/>
            <sz val="8"/>
            <color indexed="81"/>
            <rFont val="Tahoma"/>
            <family val="2"/>
          </rPr>
          <t>bovolf: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29" authorId="1" shapeId="0" xr:uid="{00000000-0006-0000-0D00-00008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R130" authorId="1" shapeId="0" xr:uid="{00000000-0006-0000-0D00-00008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Møde på rådhuset 0900-1100</t>
        </r>
      </text>
    </comment>
    <comment ref="Y130" authorId="1" shapeId="0" xr:uid="{00000000-0006-0000-0D00-00008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AF130" authorId="1" shapeId="0" xr:uid="{00000000-0006-0000-0D00-00008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J139" authorId="0" shapeId="0" xr:uid="{00000000-0006-0000-0D00-000090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J141" authorId="0" shapeId="0" xr:uid="{00000000-0006-0000-0D00-00009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D156" authorId="5" shapeId="0" xr:uid="{00000000-0006-0000-0D00-000092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Er tastet</t>
        </r>
      </text>
    </comment>
    <comment ref="E156" authorId="5" shapeId="0" xr:uid="{00000000-0006-0000-0D00-000093000000}">
      <text>
        <r>
          <rPr>
            <b/>
            <sz val="8"/>
            <color indexed="81"/>
            <rFont val="Tahoma"/>
            <family val="2"/>
          </rPr>
          <t>marasm: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Er tastet</t>
        </r>
      </text>
    </comment>
    <comment ref="J156" authorId="0" shapeId="0" xr:uid="{00000000-0006-0000-0D00-00009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W167" authorId="0" shapeId="0" xr:uid="{00000000-0006-0000-0D00-00009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For Marianne</t>
        </r>
      </text>
    </comment>
    <comment ref="X167" authorId="5" shapeId="0" xr:uid="{00000000-0006-0000-0D00-000096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Martin skal bruges her</t>
        </r>
      </text>
    </comment>
    <comment ref="AC167" authorId="5" shapeId="0" xr:uid="{00000000-0006-0000-0D00-000097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Marian skal bruges her</t>
        </r>
      </text>
    </comment>
    <comment ref="AG167" authorId="0" shapeId="0" xr:uid="{00000000-0006-0000-0D00-00009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I stedet for Marianne</t>
        </r>
      </text>
    </comment>
    <comment ref="J171" authorId="1" shapeId="0" xr:uid="{00000000-0006-0000-0D00-00009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 OA</t>
        </r>
      </text>
    </comment>
    <comment ref="Q180" authorId="0" shapeId="0" xr:uid="{00000000-0006-0000-0D00-00009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HNG</t>
        </r>
      </text>
    </comment>
    <comment ref="R180" authorId="0" shapeId="0" xr:uid="{00000000-0006-0000-0D00-00009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S180" authorId="0" shapeId="0" xr:uid="{00000000-0006-0000-0D00-00009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V180" authorId="0" shapeId="0" xr:uid="{00000000-0006-0000-0D00-00009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W180" authorId="0" shapeId="0" xr:uid="{00000000-0006-0000-0D00-00009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X180" authorId="0" shapeId="0" xr:uid="{00000000-0006-0000-0D00-00009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Y180" authorId="0" shapeId="0" xr:uid="{00000000-0006-0000-0D00-0000A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Z180" authorId="0" shapeId="0" xr:uid="{00000000-0006-0000-0D00-0000A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C180" authorId="0" shapeId="0" xr:uid="{00000000-0006-0000-0D00-0000A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D180" authorId="0" shapeId="0" xr:uid="{00000000-0006-0000-0D00-0000A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E180" authorId="0" shapeId="0" xr:uid="{00000000-0006-0000-0D00-0000A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F180" authorId="0" shapeId="0" xr:uid="{00000000-0006-0000-0D00-0000A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AG180" authorId="0" shapeId="0" xr:uid="{00000000-0006-0000-0D00-0000A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J181" authorId="0" shapeId="0" xr:uid="{00000000-0006-0000-0D00-0000A7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  <comment ref="AF181" authorId="0" shapeId="0" xr:uid="{00000000-0006-0000-0D00-0000A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Ikke aftenvagt</t>
        </r>
      </text>
    </comment>
    <comment ref="AG181" authorId="0" shapeId="0" xr:uid="{00000000-0006-0000-0D00-0000A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Ikke aftenvagt</t>
        </r>
      </text>
    </comment>
    <comment ref="J182" authorId="1" shapeId="0" xr:uid="{00000000-0006-0000-0D00-0000A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Fuglebakke</t>
        </r>
      </text>
    </comment>
    <comment ref="V184" authorId="0" shapeId="0" xr:uid="{00000000-0006-0000-0D00-0000A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hos Dorte og Mikael</t>
        </r>
      </text>
    </comment>
    <comment ref="AC205" authorId="5" shapeId="0" xr:uid="{00000000-0006-0000-0D00-0000AC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Julilarfri</t>
        </r>
      </text>
    </comment>
    <comment ref="J245" authorId="0" shapeId="0" xr:uid="{00000000-0006-0000-0D00-0000AD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Førstehjælp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benvil</author>
    <author>kjjesp</author>
    <author>derise</author>
    <author>sthert</author>
    <author>jilars</author>
    <author>marasm</author>
  </authors>
  <commentList>
    <comment ref="AH13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Kun 5?</t>
        </r>
      </text>
    </comment>
    <comment ref="E17" authorId="0" shapeId="0" xr:uid="{00000000-0006-0000-0E00-00000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Griffenfeldsgade</t>
        </r>
      </text>
    </comment>
    <comment ref="S17" authorId="1" shapeId="0" xr:uid="{00000000-0006-0000-0E00-00000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Borgerservice 09:45</t>
        </r>
      </text>
    </comment>
    <comment ref="Z17" authorId="1" shapeId="0" xr:uid="{00000000-0006-0000-0E00-00000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Borgerservice</t>
        </r>
      </text>
    </comment>
    <comment ref="AA17" authorId="1" shapeId="0" xr:uid="{00000000-0006-0000-0E00-00000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Brønshøjvej</t>
        </r>
      </text>
    </comment>
    <comment ref="AB17" authorId="1" shapeId="0" xr:uid="{00000000-0006-0000-0E00-00000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Brønshøjvej</t>
        </r>
      </text>
    </comment>
    <comment ref="AC17" authorId="1" shapeId="0" xr:uid="{00000000-0006-0000-0E00-00000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Brønshøjvej</t>
        </r>
      </text>
    </comment>
    <comment ref="F20" authorId="0" shapeId="0" xr:uid="{00000000-0006-0000-0E00-00000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kl. 06.00 hos Dorte og Mikael</t>
        </r>
      </text>
    </comment>
    <comment ref="O20" authorId="2" shapeId="0" xr:uid="{00000000-0006-0000-0E00-000009000000}">
      <text>
        <r>
          <rPr>
            <b/>
            <sz val="8"/>
            <color indexed="81"/>
            <rFont val="Tahoma"/>
            <family val="2"/>
          </rPr>
          <t>kjjesp:</t>
        </r>
        <r>
          <rPr>
            <sz val="8"/>
            <color indexed="81"/>
            <rFont val="Tahoma"/>
            <family val="2"/>
          </rPr>
          <t xml:space="preserve">
kun aftenvagt
Hospital</t>
        </r>
      </text>
    </comment>
    <comment ref="W40" authorId="0" shapeId="0" xr:uid="{00000000-0006-0000-0E00-00000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3 timer skal være FE</t>
        </r>
      </text>
    </comment>
    <comment ref="Z40" authorId="0" shapeId="0" xr:uid="{00000000-0006-0000-0E00-00000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3 timer FF</t>
        </r>
      </text>
    </comment>
    <comment ref="N42" authorId="0" shapeId="0" xr:uid="{00000000-0006-0000-0E00-00000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K2 - VAGT</t>
        </r>
      </text>
    </comment>
    <comment ref="O42" authorId="0" shapeId="0" xr:uid="{00000000-0006-0000-0E00-00000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K5 - VAGT</t>
        </r>
      </text>
    </comment>
    <comment ref="P42" authorId="0" shapeId="0" xr:uid="{00000000-0006-0000-0E00-00000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K5 - VAGT</t>
        </r>
      </text>
    </comment>
    <comment ref="W44" authorId="3" shapeId="0" xr:uid="{00000000-0006-0000-0E00-00000F000000}">
      <text>
        <r>
          <rPr>
            <b/>
            <sz val="8"/>
            <color indexed="81"/>
            <rFont val="Tahoma"/>
            <family val="2"/>
          </rPr>
          <t>derise:</t>
        </r>
        <r>
          <rPr>
            <sz val="8"/>
            <color indexed="81"/>
            <rFont val="Tahoma"/>
            <family val="2"/>
          </rPr>
          <t xml:space="preserve">
O-vagt</t>
        </r>
      </text>
    </comment>
    <comment ref="E46" authorId="4" shapeId="0" xr:uid="{00000000-0006-0000-0E00-00001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F46" authorId="4" shapeId="0" xr:uid="{00000000-0006-0000-0E00-00001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G46" authorId="4" shapeId="0" xr:uid="{00000000-0006-0000-0E00-00001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H46" authorId="4" shapeId="0" xr:uid="{00000000-0006-0000-0E00-00001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I46" authorId="4" shapeId="0" xr:uid="{00000000-0006-0000-0E00-00001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AA46" authorId="5" shapeId="0" xr:uid="{00000000-0006-0000-0E00-000015000000}">
      <text>
        <r>
          <rPr>
            <b/>
            <sz val="9"/>
            <color indexed="81"/>
            <rFont val="Tahoma"/>
            <family val="2"/>
          </rPr>
          <t>Barn syg</t>
        </r>
      </text>
    </comment>
    <comment ref="AA61" authorId="0" shapeId="0" xr:uid="{00000000-0006-0000-0E00-00001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Anders hospital hele dagen</t>
        </r>
      </text>
    </comment>
    <comment ref="E74" authorId="4" shapeId="0" xr:uid="{00000000-0006-0000-0E00-00001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F74" authorId="4" shapeId="0" xr:uid="{00000000-0006-0000-0E00-00001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G74" authorId="4" shapeId="0" xr:uid="{00000000-0006-0000-0E00-00001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H74" authorId="4" shapeId="0" xr:uid="{00000000-0006-0000-0E00-00001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I74" authorId="4" shapeId="0" xr:uid="{00000000-0006-0000-0E00-00001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</t>
        </r>
      </text>
    </comment>
    <comment ref="L74" authorId="4" shapeId="0" xr:uid="{00000000-0006-0000-0E00-00001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Borgerservice</t>
        </r>
      </text>
    </comment>
    <comment ref="M74" authorId="4" shapeId="0" xr:uid="{00000000-0006-0000-0E00-00001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Borgerservice</t>
        </r>
      </text>
    </comment>
    <comment ref="N74" authorId="4" shapeId="0" xr:uid="{00000000-0006-0000-0E00-00001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Borgerservice</t>
        </r>
      </text>
    </comment>
    <comment ref="O74" authorId="4" shapeId="0" xr:uid="{00000000-0006-0000-0E00-00001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Borgerservice</t>
        </r>
      </text>
    </comment>
    <comment ref="P74" authorId="4" shapeId="0" xr:uid="{00000000-0006-0000-0E00-00002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Borgerservice</t>
        </r>
      </text>
    </comment>
    <comment ref="X74" authorId="0" shapeId="0" xr:uid="{00000000-0006-0000-0E00-00002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ca fire time resten afspadsering</t>
        </r>
      </text>
    </comment>
    <comment ref="F75" authorId="4" shapeId="0" xr:uid="{00000000-0006-0000-0E00-00002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</t>
        </r>
      </text>
    </comment>
    <comment ref="G75" authorId="4" shapeId="0" xr:uid="{00000000-0006-0000-0E00-00002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Spaniensgade</t>
        </r>
      </text>
    </comment>
    <comment ref="H75" authorId="4" shapeId="0" xr:uid="{00000000-0006-0000-0E00-00002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 + Remisevej</t>
        </r>
      </text>
    </comment>
    <comment ref="I75" authorId="4" shapeId="0" xr:uid="{00000000-0006-0000-0E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Remisevej</t>
        </r>
      </text>
    </comment>
    <comment ref="L75" authorId="0" shapeId="0" xr:uid="{00000000-0006-0000-0E00-00002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i Borgerservice
ikke aftenvagt</t>
        </r>
      </text>
    </comment>
    <comment ref="M75" authorId="0" shapeId="0" xr:uid="{00000000-0006-0000-0E00-00002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i Borgerservice
ikke aftenvagt</t>
        </r>
      </text>
    </comment>
    <comment ref="O75" authorId="0" shapeId="0" xr:uid="{00000000-0006-0000-0E00-00002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i Borgerservice
ikke aftenvagt</t>
        </r>
      </text>
    </comment>
    <comment ref="P75" authorId="0" shapeId="0" xr:uid="{00000000-0006-0000-0E00-00002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i Borgerservice
ikke aftenvagt</t>
        </r>
      </text>
    </comment>
    <comment ref="T75" authorId="1" shapeId="0" xr:uid="{00000000-0006-0000-0E00-00002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Borgerservice</t>
        </r>
      </text>
    </comment>
    <comment ref="U75" authorId="1" shapeId="0" xr:uid="{00000000-0006-0000-0E00-00002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Borgerservice</t>
        </r>
      </text>
    </comment>
    <comment ref="V75" authorId="4" shapeId="0" xr:uid="{00000000-0006-0000-0E00-00002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Borgerservice + K2</t>
        </r>
      </text>
    </comment>
    <comment ref="W75" authorId="4" shapeId="0" xr:uid="{00000000-0006-0000-0E00-00002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Borgerservice</t>
        </r>
      </text>
    </comment>
    <comment ref="AA75" authorId="4" shapeId="0" xr:uid="{00000000-0006-0000-0E00-00002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Borgerservice</t>
        </r>
      </text>
    </comment>
    <comment ref="AB75" authorId="4" shapeId="0" xr:uid="{00000000-0006-0000-0E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Borgerservice</t>
        </r>
      </text>
    </comment>
    <comment ref="AC75" authorId="4" shapeId="0" xr:uid="{00000000-0006-0000-0E00-00003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Borgerservice</t>
        </r>
      </text>
    </comment>
    <comment ref="AD75" authorId="4" shapeId="0" xr:uid="{00000000-0006-0000-0E00-00003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Borgerservice</t>
        </r>
      </text>
    </comment>
    <comment ref="S76" authorId="4" shapeId="0" xr:uid="{00000000-0006-0000-0E00-00003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E</t>
        </r>
        <r>
          <rPr>
            <sz val="10"/>
            <color indexed="81"/>
            <rFont val="Tahoma"/>
            <family val="2"/>
          </rPr>
          <t>-VAGT</t>
        </r>
      </text>
    </comment>
    <comment ref="T76" authorId="4" shapeId="0" xr:uid="{00000000-0006-0000-0E00-00003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U76" authorId="4" shapeId="0" xr:uid="{00000000-0006-0000-0E00-00003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E-VAGT</t>
        </r>
      </text>
    </comment>
    <comment ref="V76" authorId="0" shapeId="0" xr:uid="{00000000-0006-0000-0E00-00003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E-VAGT</t>
        </r>
      </text>
    </comment>
    <comment ref="W76" authorId="0" shapeId="0" xr:uid="{00000000-0006-0000-0E00-00003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E-VAGT</t>
        </r>
      </text>
    </comment>
    <comment ref="Z76" authorId="3" shapeId="0" xr:uid="{00000000-0006-0000-0E00-000037000000}">
      <text>
        <r>
          <rPr>
            <b/>
            <sz val="8"/>
            <color indexed="81"/>
            <rFont val="Tahoma"/>
            <family val="2"/>
          </rPr>
          <t>derise:</t>
        </r>
        <r>
          <rPr>
            <sz val="8"/>
            <color indexed="81"/>
            <rFont val="Tahoma"/>
            <family val="2"/>
          </rPr>
          <t xml:space="preserve">
H-vagt på overarb.</t>
        </r>
      </text>
    </comment>
    <comment ref="E86" authorId="4" shapeId="0" xr:uid="{00000000-0006-0000-0E00-00003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</t>
        </r>
      </text>
    </comment>
    <comment ref="F86" authorId="4" shapeId="0" xr:uid="{00000000-0006-0000-0E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</t>
        </r>
      </text>
    </comment>
    <comment ref="G86" authorId="4" shapeId="0" xr:uid="{00000000-0006-0000-0E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</t>
        </r>
      </text>
    </comment>
    <comment ref="H86" authorId="4" shapeId="0" xr:uid="{00000000-0006-0000-0E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 0800-1200 + Matthæusgade</t>
        </r>
      </text>
    </comment>
    <comment ref="I86" authorId="4" shapeId="0" xr:uid="{00000000-0006-0000-0E00-00003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Matthæusgade</t>
        </r>
      </text>
    </comment>
    <comment ref="L86" authorId="4" shapeId="0" xr:uid="{00000000-0006-0000-0E00-00003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M86" authorId="4" shapeId="0" xr:uid="{00000000-0006-0000-0E00-00003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N86" authorId="4" shapeId="0" xr:uid="{00000000-0006-0000-0E00-00003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O86" authorId="4" shapeId="0" xr:uid="{00000000-0006-0000-0E00-00004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P86" authorId="4" shapeId="0" xr:uid="{00000000-0006-0000-0E00-00004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E-VAGT</t>
        </r>
      </text>
    </comment>
    <comment ref="S86" authorId="4" shapeId="0" xr:uid="{00000000-0006-0000-0E00-00004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T86" authorId="4" shapeId="0" xr:uid="{00000000-0006-0000-0E00-00004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U86" authorId="4" shapeId="0" xr:uid="{00000000-0006-0000-0E00-00004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D</t>
        </r>
        <r>
          <rPr>
            <sz val="10"/>
            <color indexed="81"/>
            <rFont val="Tahoma"/>
            <family val="2"/>
          </rPr>
          <t>-VAGT</t>
        </r>
      </text>
    </comment>
    <comment ref="V86" authorId="4" shapeId="0" xr:uid="{00000000-0006-0000-0E00-00004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 hos Dorte og Miakel</t>
        </r>
      </text>
    </comment>
    <comment ref="W86" authorId="4" shapeId="0" xr:uid="{00000000-0006-0000-0E00-00004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 hos Dorte og Miakel</t>
        </r>
      </text>
    </comment>
    <comment ref="E87" authorId="4" shapeId="0" xr:uid="{00000000-0006-0000-0E00-00004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F87" authorId="4" shapeId="0" xr:uid="{00000000-0006-0000-0E00-00004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G87" authorId="4" shapeId="0" xr:uid="{00000000-0006-0000-0E00-00004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H87" authorId="4" shapeId="0" xr:uid="{00000000-0006-0000-0E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Griffen 0945-1230 + Spaniensgade 1300-1800</t>
        </r>
      </text>
    </comment>
    <comment ref="I87" authorId="4" shapeId="0" xr:uid="{00000000-0006-0000-0E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Spaniensgade</t>
        </r>
      </text>
    </comment>
    <comment ref="S87" authorId="1" shapeId="0" xr:uid="{00000000-0006-0000-0E00-00004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T87" authorId="1" shapeId="0" xr:uid="{00000000-0006-0000-0E00-00004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U87" authorId="1" shapeId="0" xr:uid="{00000000-0006-0000-0E00-00004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V87" authorId="1" shapeId="0" xr:uid="{00000000-0006-0000-0E00-00004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W87" authorId="1" shapeId="0" xr:uid="{00000000-0006-0000-0E00-00005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Z87" authorId="0" shapeId="0" xr:uid="{00000000-0006-0000-0E00-00005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P-VAGT</t>
        </r>
      </text>
    </comment>
    <comment ref="AA87" authorId="0" shapeId="0" xr:uid="{00000000-0006-0000-0E00-00005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som Kredsvagt</t>
        </r>
      </text>
    </comment>
    <comment ref="AB87" authorId="0" shapeId="0" xr:uid="{00000000-0006-0000-0E00-00005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som Kredsvagt</t>
        </r>
      </text>
    </comment>
    <comment ref="AC87" authorId="0" shapeId="0" xr:uid="{00000000-0006-0000-0E00-00005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Møder som Kredsvagt</t>
        </r>
      </text>
    </comment>
    <comment ref="AD87" authorId="1" shapeId="0" xr:uid="{00000000-0006-0000-0E00-00005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E-vagt
Møder som Kredsvagt</t>
        </r>
      </text>
    </comment>
    <comment ref="F88" authorId="4" shapeId="0" xr:uid="{00000000-0006-0000-0E00-00005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GL.KØGE LANDEVEJ</t>
        </r>
      </text>
    </comment>
    <comment ref="S88" authorId="1" shapeId="0" xr:uid="{00000000-0006-0000-0E00-00005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T88" authorId="1" shapeId="0" xr:uid="{00000000-0006-0000-0E00-00005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U88" authorId="1" shapeId="0" xr:uid="{00000000-0006-0000-0E00-00005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V88" authorId="1" shapeId="0" xr:uid="{00000000-0006-0000-0E00-00005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W88" authorId="1" shapeId="0" xr:uid="{00000000-0006-0000-0E00-00005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AA88" authorId="4" shapeId="0" xr:uid="{00000000-0006-0000-0E00-00005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P-VAGT</t>
        </r>
      </text>
    </comment>
    <comment ref="AB88" authorId="4" shapeId="0" xr:uid="{00000000-0006-0000-0E00-00005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P-VAGT</t>
        </r>
      </text>
    </comment>
    <comment ref="AC88" authorId="4" shapeId="0" xr:uid="{00000000-0006-0000-0E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P-VAGT</t>
        </r>
      </text>
    </comment>
    <comment ref="AD88" authorId="4" shapeId="0" xr:uid="{00000000-0006-0000-0E00-00005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P-VAGT</t>
        </r>
      </text>
    </comment>
    <comment ref="H123" authorId="4" shapeId="0" xr:uid="{00000000-0006-0000-0E00-000060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H125" authorId="4" shapeId="0" xr:uid="{00000000-0006-0000-0E00-00006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H126" authorId="4" shapeId="0" xr:uid="{00000000-0006-0000-0E00-00006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Olære om konflikter</t>
        </r>
      </text>
    </comment>
    <comment ref="H127" authorId="4" shapeId="0" xr:uid="{00000000-0006-0000-0E00-00006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H128" authorId="4" shapeId="0" xr:uid="{00000000-0006-0000-0E00-00006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H129" authorId="4" shapeId="0" xr:uid="{00000000-0006-0000-0E00-00006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H130" authorId="4" shapeId="0" xr:uid="{00000000-0006-0000-0E00-000066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Lære om konflikter</t>
        </r>
      </text>
    </comment>
    <comment ref="Z142" authorId="6" shapeId="0" xr:uid="{00000000-0006-0000-0E00-000067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Jim Har tastet hele ugen</t>
        </r>
      </text>
    </comment>
    <comment ref="O157" authorId="6" shapeId="0" xr:uid="{00000000-0006-0000-0E00-000068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Jim har tastet</t>
        </r>
      </text>
    </comment>
    <comment ref="AA170" authorId="5" shapeId="0" xr:uid="{00000000-0006-0000-0E00-000069000000}">
      <text>
        <r>
          <rPr>
            <b/>
            <sz val="9"/>
            <color indexed="81"/>
            <rFont val="Tahoma"/>
            <family val="2"/>
          </rPr>
          <t>H-Vagt Spaniensgade</t>
        </r>
      </text>
    </comment>
    <comment ref="AD170" authorId="0" shapeId="0" xr:uid="{00000000-0006-0000-0E00-00006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V171" authorId="0" shapeId="0" xr:uid="{00000000-0006-0000-0E00-00006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 </t>
        </r>
        <r>
          <rPr>
            <sz val="10"/>
            <color indexed="81"/>
            <rFont val="Tahoma"/>
            <family val="2"/>
          </rPr>
          <t>+ L-VAGT på OA</t>
        </r>
      </text>
    </comment>
    <comment ref="W171" authorId="0" shapeId="0" xr:uid="{00000000-0006-0000-0E00-00006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 </t>
        </r>
        <r>
          <rPr>
            <sz val="10"/>
            <color indexed="81"/>
            <rFont val="Tahoma"/>
            <family val="2"/>
          </rPr>
          <t>+ L-VAGT på OA</t>
        </r>
      </text>
    </comment>
    <comment ref="V172" authorId="4" shapeId="0" xr:uid="{00000000-0006-0000-0E00-00006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 hos Dorte og Miakel</t>
        </r>
      </text>
    </comment>
    <comment ref="W172" authorId="4" shapeId="0" xr:uid="{00000000-0006-0000-0E00-00006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 hos Dorte og Miakel</t>
        </r>
      </text>
    </comment>
    <comment ref="E173" authorId="0" shapeId="0" xr:uid="{00000000-0006-0000-0E00-00006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L173" authorId="0" shapeId="0" xr:uid="{00000000-0006-0000-0E00-00007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S173" authorId="0" shapeId="0" xr:uid="{00000000-0006-0000-0E00-00007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V173" authorId="4" shapeId="0" xr:uid="{00000000-0006-0000-0E00-00007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 hos Dorte og Miakel</t>
        </r>
      </text>
    </comment>
    <comment ref="W173" authorId="4" shapeId="0" xr:uid="{00000000-0006-0000-0E00-00007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Møde hos Dorte og Miakel</t>
        </r>
      </text>
    </comment>
    <comment ref="Z173" authorId="0" shapeId="0" xr:uid="{00000000-0006-0000-0E00-00007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S182" authorId="0" shapeId="0" xr:uid="{00000000-0006-0000-0E00-00007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Grundlæggende Vagt</t>
        </r>
      </text>
    </comment>
    <comment ref="Z182" authorId="0" shapeId="0" xr:uid="{00000000-0006-0000-0E00-00007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Grundlæggende Vagt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benvil</author>
    <author>sthert</author>
    <author>marasm</author>
  </authors>
  <commentList>
    <comment ref="V15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V16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E17" authorId="1" shapeId="0" xr:uid="{00000000-0006-0000-0F00-00000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Borgerservice 09:45 Møder 17.30</t>
        </r>
      </text>
    </comment>
    <comment ref="G17" authorId="1" shapeId="0" xr:uid="{00000000-0006-0000-0F00-00000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Griffen 08:45- 15:15</t>
        </r>
      </text>
    </comment>
    <comment ref="V18" authorId="0" shapeId="0" xr:uid="{00000000-0006-0000-0F00-00000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V20" authorId="0" shapeId="0" xr:uid="{00000000-0006-0000-0F00-00000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S21" authorId="0" shapeId="0" xr:uid="{00000000-0006-0000-0F00-00000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Regninger</t>
        </r>
      </text>
    </comment>
    <comment ref="U21" authorId="0" shapeId="0" xr:uid="{00000000-0006-0000-0F00-00000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Regninger</t>
        </r>
      </text>
    </comment>
    <comment ref="V21" authorId="0" shapeId="0" xr:uid="{00000000-0006-0000-0F00-00000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Regninger</t>
        </r>
      </text>
    </comment>
    <comment ref="W21" authorId="0" shapeId="0" xr:uid="{00000000-0006-0000-0F00-00000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Regninger</t>
        </r>
      </text>
    </comment>
    <comment ref="W39" authorId="0" shapeId="0" xr:uid="{00000000-0006-0000-0F00-00000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Hovedbibl. 13 - 19.30</t>
        </r>
      </text>
    </comment>
    <comment ref="V41" authorId="0" shapeId="0" xr:uid="{00000000-0006-0000-0F00-00000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V46" authorId="0" shapeId="0" xr:uid="{00000000-0006-0000-0F00-00000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Svendborggade 5</t>
        </r>
      </text>
    </comment>
    <comment ref="V50" authorId="0" shapeId="0" xr:uid="{00000000-0006-0000-0F00-00000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Vagthavende</t>
        </r>
      </text>
    </comment>
    <comment ref="E61" authorId="0" shapeId="0" xr:uid="{00000000-0006-0000-0F00-00000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Møder 06.30</t>
        </r>
      </text>
    </comment>
    <comment ref="L74" authorId="1" shapeId="0" xr:uid="{00000000-0006-0000-0F00-00001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E-vagt</t>
        </r>
      </text>
    </comment>
    <comment ref="M74" authorId="2" shapeId="0" xr:uid="{00000000-0006-0000-0F00-00001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N74" authorId="2" shapeId="0" xr:uid="{00000000-0006-0000-0F00-00001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O74" authorId="2" shapeId="0" xr:uid="{00000000-0006-0000-0F00-00001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P74" authorId="2" shapeId="0" xr:uid="{00000000-0006-0000-0F00-00001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M-vagt</t>
        </r>
      </text>
    </comment>
    <comment ref="S74" authorId="2" shapeId="0" xr:uid="{00000000-0006-0000-0F00-00001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V74" authorId="0" shapeId="0" xr:uid="{00000000-0006-0000-0F00-00001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AB74" authorId="0" shapeId="0" xr:uid="{00000000-0006-0000-0F00-00001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Brønshøjvej 17</t>
        </r>
        <r>
          <rPr>
            <sz val="9"/>
            <color indexed="81"/>
            <rFont val="Tahoma"/>
            <family val="2"/>
          </rPr>
          <t xml:space="preserve">
 13 - 15</t>
        </r>
      </text>
    </comment>
    <comment ref="AG74" authorId="1" shapeId="0" xr:uid="{00000000-0006-0000-0F00-00001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O-VAGT</t>
        </r>
      </text>
    </comment>
    <comment ref="E75" authorId="1" shapeId="0" xr:uid="{00000000-0006-0000-0F00-00001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Tager sin egen kreds
</t>
        </r>
      </text>
    </comment>
    <comment ref="F75" authorId="1" shapeId="0" xr:uid="{00000000-0006-0000-0F00-00001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Borgerservice + kreds</t>
        </r>
      </text>
    </comment>
    <comment ref="G75" authorId="1" shapeId="0" xr:uid="{00000000-0006-0000-0F00-00001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Borgerservice + kreds</t>
        </r>
      </text>
    </comment>
    <comment ref="H75" authorId="1" shapeId="0" xr:uid="{00000000-0006-0000-0F00-00001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Borgerservice + kreds</t>
        </r>
      </text>
    </comment>
    <comment ref="I75" authorId="1" shapeId="0" xr:uid="{00000000-0006-0000-0F00-00001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Borgerservice + kreds</t>
        </r>
      </text>
    </comment>
    <comment ref="AC75" authorId="2" shapeId="0" xr:uid="{00000000-0006-0000-0F00-00001E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Svanevej
</t>
        </r>
      </text>
    </comment>
    <comment ref="AD75" authorId="1" shapeId="0" xr:uid="{00000000-0006-0000-0F00-00001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L76" authorId="2" shapeId="0" xr:uid="{00000000-0006-0000-0F00-000020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G-VAGT</t>
        </r>
      </text>
    </comment>
    <comment ref="M76" authorId="2" shapeId="0" xr:uid="{00000000-0006-0000-0F00-00002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N76" authorId="2" shapeId="0" xr:uid="{00000000-0006-0000-0F00-00002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O76" authorId="2" shapeId="0" xr:uid="{00000000-0006-0000-0F00-00002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P76" authorId="2" shapeId="0" xr:uid="{00000000-0006-0000-0F00-00002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E-VAGT</t>
        </r>
      </text>
    </comment>
    <comment ref="AG76" authorId="1" shapeId="0" xr:uid="{00000000-0006-0000-0F00-00002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Flytning af skriveborde i 
HNG 5. sal kl. 09.00</t>
        </r>
      </text>
    </comment>
    <comment ref="L86" authorId="1" shapeId="0" xr:uid="{00000000-0006-0000-0F00-00002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D-vagt</t>
        </r>
      </text>
    </comment>
    <comment ref="M86" authorId="1" shapeId="0" xr:uid="{00000000-0006-0000-0F00-00002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D-vagt</t>
        </r>
      </text>
    </comment>
    <comment ref="N86" authorId="1" shapeId="0" xr:uid="{00000000-0006-0000-0F00-00002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D-vagt</t>
        </r>
      </text>
    </comment>
    <comment ref="O86" authorId="1" shapeId="0" xr:uid="{00000000-0006-0000-0F00-00002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D-vagt</t>
        </r>
      </text>
    </comment>
    <comment ref="P86" authorId="1" shapeId="0" xr:uid="{00000000-0006-0000-0F00-00002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D-vagt</t>
        </r>
      </text>
    </comment>
    <comment ref="U86" authorId="0" shapeId="0" xr:uid="{00000000-0006-0000-0F00-00002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Remisevej kl. 13</t>
        </r>
      </text>
    </comment>
    <comment ref="Z86" authorId="1" shapeId="0" xr:uid="{00000000-0006-0000-0F00-00002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AA86" authorId="1" shapeId="0" xr:uid="{00000000-0006-0000-0F00-00002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AB86" authorId="1" shapeId="0" xr:uid="{00000000-0006-0000-0F00-00002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AC86" authorId="1" shapeId="0" xr:uid="{00000000-0006-0000-0F00-00002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AD86" authorId="1" shapeId="0" xr:uid="{00000000-0006-0000-0F00-00003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Kreds 5</t>
        </r>
      </text>
    </comment>
    <comment ref="AG86" authorId="1" shapeId="0" xr:uid="{00000000-0006-0000-0F00-00003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E87" authorId="1" shapeId="0" xr:uid="{00000000-0006-0000-0F00-00003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G-vagt</t>
        </r>
      </text>
    </comment>
    <comment ref="F87" authorId="1" shapeId="0" xr:uid="{00000000-0006-0000-0F00-00003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G-vagt</t>
        </r>
      </text>
    </comment>
    <comment ref="G87" authorId="1" shapeId="0" xr:uid="{00000000-0006-0000-0F00-00003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G-vagt</t>
        </r>
      </text>
    </comment>
    <comment ref="H87" authorId="1" shapeId="0" xr:uid="{00000000-0006-0000-0F00-00003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G-vagt</t>
        </r>
      </text>
    </comment>
    <comment ref="I87" authorId="1" shapeId="0" xr:uid="{00000000-0006-0000-0F00-00003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G-vagt</t>
        </r>
      </text>
    </comment>
    <comment ref="L87" authorId="1" shapeId="0" xr:uid="{00000000-0006-0000-0F00-00003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Oa Valdemarsgade</t>
        </r>
      </text>
    </comment>
    <comment ref="Z87" authorId="1" shapeId="0" xr:uid="{00000000-0006-0000-0F00-00003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G-vagt</t>
        </r>
      </text>
    </comment>
    <comment ref="AA87" authorId="1" shapeId="0" xr:uid="{00000000-0006-0000-0F00-00003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G-vagt</t>
        </r>
      </text>
    </comment>
    <comment ref="AB87" authorId="1" shapeId="0" xr:uid="{00000000-0006-0000-0F00-00003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G-vagt</t>
        </r>
      </text>
    </comment>
    <comment ref="AC87" authorId="1" shapeId="0" xr:uid="{00000000-0006-0000-0F00-00003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G-vagt</t>
        </r>
      </text>
    </comment>
    <comment ref="AD87" authorId="1" shapeId="0" xr:uid="{00000000-0006-0000-0F00-00003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G-vagt</t>
        </r>
      </text>
    </comment>
    <comment ref="G88" authorId="0" shapeId="0" xr:uid="{00000000-0006-0000-0F00-00003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O-VAGT FRA 11.30 OA</t>
        </r>
      </text>
    </comment>
    <comment ref="L88" authorId="1" shapeId="0" xr:uid="{00000000-0006-0000-0F00-00003E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M88" authorId="1" shapeId="0" xr:uid="{00000000-0006-0000-0F00-00003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N88" authorId="1" shapeId="0" xr:uid="{00000000-0006-0000-0F00-00004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O88" authorId="1" shapeId="0" xr:uid="{00000000-0006-0000-0F00-00004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P88" authorId="1" shapeId="0" xr:uid="{00000000-0006-0000-0F00-00004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H-vagt</t>
        </r>
      </text>
    </comment>
    <comment ref="S88" authorId="1" shapeId="0" xr:uid="{00000000-0006-0000-0F00-00004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T88" authorId="1" shapeId="0" xr:uid="{00000000-0006-0000-0F00-00004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U88" authorId="1" shapeId="0" xr:uid="{00000000-0006-0000-0F00-00004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V88" authorId="1" shapeId="0" xr:uid="{00000000-0006-0000-0F00-00004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W88" authorId="1" shapeId="0" xr:uid="{00000000-0006-0000-0F00-00004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4-vagt</t>
        </r>
      </text>
    </comment>
    <comment ref="V99" authorId="0" shapeId="0" xr:uid="{00000000-0006-0000-0F00-00004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X100" authorId="0" shapeId="0" xr:uid="{00000000-0006-0000-0F00-00004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Hovedbibl.08.30 - 17</t>
        </r>
      </text>
    </comment>
    <comment ref="L123" authorId="1" shapeId="0" xr:uid="{00000000-0006-0000-0F00-00004A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Fri, skal på hospitalet</t>
        </r>
      </text>
    </comment>
    <comment ref="P127" authorId="1" shapeId="0" xr:uid="{00000000-0006-0000-0F00-00004B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Til læge</t>
        </r>
      </text>
    </comment>
    <comment ref="V139" authorId="0" shapeId="0" xr:uid="{00000000-0006-0000-0F00-00004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S142" authorId="3" shapeId="0" xr:uid="{00000000-0006-0000-0F00-00004D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Jim har taster hele ugen</t>
        </r>
      </text>
    </comment>
    <comment ref="V153" authorId="0" shapeId="0" xr:uid="{00000000-0006-0000-0F00-00004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W167" authorId="0" shapeId="0" xr:uid="{00000000-0006-0000-0F00-00004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Må ikke snuppes</t>
        </r>
      </text>
    </comment>
    <comment ref="O170" authorId="0" shapeId="0" xr:uid="{00000000-0006-0000-0F00-00005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Dagvagt</t>
        </r>
      </text>
    </comment>
    <comment ref="S170" authorId="0" shapeId="0" xr:uid="{00000000-0006-0000-0F00-00005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 OA</t>
        </r>
      </text>
    </comment>
    <comment ref="V170" authorId="0" shapeId="0" xr:uid="{00000000-0006-0000-0F00-00005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W170" authorId="0" shapeId="0" xr:uid="{00000000-0006-0000-0F00-00005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Må ikke snuppes</t>
        </r>
      </text>
    </comment>
    <comment ref="X170" authorId="3" shapeId="0" xr:uid="{00000000-0006-0000-0F00-000054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Rundvisning kl 12</t>
        </r>
      </text>
    </comment>
    <comment ref="AB170" authorId="0" shapeId="0" xr:uid="{00000000-0006-0000-0F00-00005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Dorthe rundvisning kl. 13</t>
        </r>
      </text>
    </comment>
    <comment ref="AC170" authorId="0" shapeId="0" xr:uid="{00000000-0006-0000-0F00-00005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Dagvagt</t>
        </r>
      </text>
    </comment>
    <comment ref="N172" authorId="0" shapeId="0" xr:uid="{00000000-0006-0000-0F00-00005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S172" authorId="0" shapeId="0" xr:uid="{00000000-0006-0000-0F00-00005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AC172" authorId="0" shapeId="0" xr:uid="{00000000-0006-0000-0F00-00005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AD172" authorId="0" shapeId="0" xr:uid="{00000000-0006-0000-0F00-00005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AG172" authorId="0" shapeId="0" xr:uid="{00000000-0006-0000-0F00-00005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T182" authorId="0" shapeId="0" xr:uid="{00000000-0006-0000-0F00-00005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</t>
        </r>
      </text>
    </comment>
    <comment ref="E183" authorId="0" shapeId="0" xr:uid="{00000000-0006-0000-0F00-00005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Grundlæggende Vagt</t>
        </r>
      </text>
    </comment>
    <comment ref="V197" authorId="0" shapeId="0" xr:uid="{00000000-0006-0000-0F00-00005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V198" authorId="0" shapeId="0" xr:uid="{00000000-0006-0000-0F00-00005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V202" authorId="0" shapeId="0" xr:uid="{00000000-0006-0000-0F00-00006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AG202" authorId="0" shapeId="0" xr:uid="{00000000-0006-0000-0F00-00006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Per møder kl. 16</t>
        </r>
      </text>
    </comment>
    <comment ref="V203" authorId="0" shapeId="0" xr:uid="{00000000-0006-0000-0F00-00006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V204" authorId="0" shapeId="0" xr:uid="{00000000-0006-0000-0F00-00006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L236" authorId="0" shapeId="0" xr:uid="{00000000-0006-0000-0F00-000064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M236" authorId="0" shapeId="0" xr:uid="{00000000-0006-0000-0F00-000065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N236" authorId="0" shapeId="0" xr:uid="{00000000-0006-0000-0F00-000066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Røgdykker</t>
        </r>
      </text>
    </comment>
    <comment ref="V245" authorId="0" shapeId="0" xr:uid="{00000000-0006-0000-0F00-00006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V260" authorId="0" shapeId="0" xr:uid="{00000000-0006-0000-0F00-00006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V261" authorId="0" shapeId="0" xr:uid="{00000000-0006-0000-0F00-00006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V262" authorId="0" shapeId="0" xr:uid="{00000000-0006-0000-0F00-00006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Ledermøde
 kl. 15</t>
        </r>
      </text>
    </comment>
    <comment ref="P266" authorId="3" shapeId="0" xr:uid="{00000000-0006-0000-0F00-00006B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Trækkse 1 time i FE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  <author>bovolf</author>
    <author>sthert</author>
    <author>kjjesp</author>
    <author>erskyg</author>
    <author>benvil</author>
    <author>jilars</author>
    <author>marasm</author>
  </authors>
  <commentList>
    <comment ref="Z13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resten i grøn</t>
        </r>
      </text>
    </comment>
    <comment ref="K14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Måske lidt feriefridage tilbage</t>
        </r>
      </text>
    </comment>
    <comment ref="F15" authorId="1" shapeId="0" xr:uid="{00000000-0006-0000-1000-000003000000}">
      <text>
        <r>
          <rPr>
            <sz val="8"/>
            <color indexed="81"/>
            <rFont val="Tahoma"/>
            <family val="2"/>
          </rPr>
          <t xml:space="preserve">trækkes 2,75 i afspd.
da de mangler i ferieregnskab
BV
</t>
        </r>
      </text>
    </comment>
    <comment ref="I16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Der skal afspadseres 14 timer</t>
        </r>
      </text>
    </comment>
    <comment ref="Z17" authorId="2" shapeId="0" xr:uid="{00000000-0006-0000-1000-00000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Griffenfeld 8.45</t>
        </r>
      </text>
    </comment>
    <comment ref="C18" authorId="0" shapeId="0" xr:uid="{00000000-0006-0000-1000-00000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Skolesupport</t>
        </r>
      </text>
    </comment>
    <comment ref="Y20" authorId="3" shapeId="0" xr:uid="{00000000-0006-0000-1000-000007000000}">
      <text>
        <r>
          <rPr>
            <b/>
            <sz val="8"/>
            <color indexed="81"/>
            <rFont val="Tahoma"/>
            <family val="2"/>
          </rPr>
          <t>kjjesp:</t>
        </r>
        <r>
          <rPr>
            <sz val="8"/>
            <color indexed="81"/>
            <rFont val="Tahoma"/>
            <family val="2"/>
          </rPr>
          <t xml:space="preserve">
læge 9.40
Hosp. 14.00</t>
        </r>
      </text>
    </comment>
    <comment ref="AA20" authorId="3" shapeId="0" xr:uid="{00000000-0006-0000-1000-000008000000}">
      <text>
        <r>
          <rPr>
            <b/>
            <sz val="8"/>
            <color indexed="81"/>
            <rFont val="Tahoma"/>
            <family val="2"/>
          </rPr>
          <t>kjjesp:</t>
        </r>
        <r>
          <rPr>
            <sz val="8"/>
            <color indexed="81"/>
            <rFont val="Tahoma"/>
            <family val="2"/>
          </rPr>
          <t xml:space="preserve">
Hosp kun aftenvagt</t>
        </r>
      </text>
    </comment>
    <comment ref="Z37" authorId="0" shapeId="0" xr:uid="{00000000-0006-0000-1000-00000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E38" authorId="0" shapeId="0" xr:uid="{00000000-0006-0000-1000-00000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AF38" authorId="0" shapeId="0" xr:uid="{00000000-0006-0000-1000-00000B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To feriedage i maj</t>
        </r>
      </text>
    </comment>
    <comment ref="Z39" authorId="0" shapeId="0" xr:uid="{00000000-0006-0000-1000-00000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E40" authorId="0" shapeId="0" xr:uid="{00000000-0006-0000-1000-00000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AF41" authorId="0" shapeId="0" xr:uid="{00000000-0006-0000-1000-00000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Og maj</t>
        </r>
      </text>
    </comment>
    <comment ref="Z43" authorId="0" shapeId="0" xr:uid="{00000000-0006-0000-1000-00000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Z45" authorId="0" shapeId="0" xr:uid="{00000000-0006-0000-1000-00001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E46" authorId="0" shapeId="0" xr:uid="{00000000-0006-0000-1000-00001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W46" authorId="0" shapeId="0" xr:uid="{00000000-0006-0000-1000-00001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Vagthavende</t>
        </r>
      </text>
    </comment>
    <comment ref="X46" authorId="0" shapeId="0" xr:uid="{00000000-0006-0000-1000-00001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Vagthavende</t>
        </r>
      </text>
    </comment>
    <comment ref="Z46" authorId="0" shapeId="0" xr:uid="{00000000-0006-0000-1000-00001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A46" authorId="0" shapeId="0" xr:uid="{00000000-0006-0000-1000-00001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E47" authorId="0" shapeId="0" xr:uid="{00000000-0006-0000-1000-00001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X47" authorId="2" shapeId="0" xr:uid="{00000000-0006-0000-1000-000017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K-VAGT 1200-1500</t>
        </r>
      </text>
    </comment>
    <comment ref="E48" authorId="0" shapeId="0" xr:uid="{00000000-0006-0000-1000-00001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C49" authorId="0" shapeId="0" xr:uid="{00000000-0006-0000-1000-00001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Møde 15.30</t>
        </r>
      </text>
    </comment>
    <comment ref="E49" authorId="0" shapeId="0" xr:uid="{00000000-0006-0000-1000-00001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P49" authorId="4" shapeId="0" xr:uid="{00000000-0006-0000-1000-00001B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11-vagt på OA</t>
        </r>
      </text>
    </comment>
    <comment ref="Q49" authorId="4" shapeId="0" xr:uid="{00000000-0006-0000-1000-00001C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11-vagt på OA</t>
        </r>
      </text>
    </comment>
    <comment ref="E50" authorId="0" shapeId="0" xr:uid="{00000000-0006-0000-1000-00001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T50" authorId="0" shapeId="0" xr:uid="{00000000-0006-0000-1000-00001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3 blå timer</t>
        </r>
      </text>
    </comment>
    <comment ref="E51" authorId="0" shapeId="0" xr:uid="{00000000-0006-0000-1000-00001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Z61" authorId="0" shapeId="0" xr:uid="{00000000-0006-0000-1000-00002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C74" authorId="5" shapeId="0" xr:uid="{00000000-0006-0000-1000-000021000000}">
      <text>
        <r>
          <rPr>
            <b/>
            <sz val="9"/>
            <color indexed="81"/>
            <rFont val="Tahoma"/>
            <family val="2"/>
          </rPr>
          <t>benvil:
Møder som 4-vagt</t>
        </r>
      </text>
    </comment>
    <comment ref="D74" authorId="5" shapeId="0" xr:uid="{00000000-0006-0000-1000-00002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E74" authorId="5" shapeId="0" xr:uid="{00000000-0006-0000-1000-00002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F74" authorId="5" shapeId="0" xr:uid="{00000000-0006-0000-1000-000024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Sof</t>
        </r>
      </text>
    </comment>
    <comment ref="L74" authorId="2" shapeId="0" xr:uid="{00000000-0006-0000-1000-00002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K-VAGT</t>
        </r>
      </text>
    </comment>
    <comment ref="M74" authorId="2" shapeId="0" xr:uid="{00000000-0006-0000-1000-00002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K-VAGT</t>
        </r>
      </text>
    </comment>
    <comment ref="P74" authorId="5" shapeId="0" xr:uid="{00000000-0006-0000-1000-00002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D-vagt</t>
        </r>
      </text>
    </comment>
    <comment ref="Q74" authorId="5" shapeId="0" xr:uid="{00000000-0006-0000-1000-000028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D-vagt</t>
        </r>
      </text>
    </comment>
    <comment ref="R74" authorId="5" shapeId="0" xr:uid="{00000000-0006-0000-1000-000029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D-vagt</t>
        </r>
      </text>
    </comment>
    <comment ref="X74" authorId="2" shapeId="0" xr:uid="{00000000-0006-0000-1000-00002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Y74" authorId="2" shapeId="0" xr:uid="{00000000-0006-0000-1000-00002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4-vagt</t>
        </r>
      </text>
    </comment>
    <comment ref="Z74" authorId="2" shapeId="0" xr:uid="{00000000-0006-0000-1000-00002C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AA74" authorId="2" shapeId="0" xr:uid="{00000000-0006-0000-1000-00002D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D-vagt</t>
        </r>
      </text>
    </comment>
    <comment ref="AD74" authorId="2" shapeId="0" xr:uid="{00000000-0006-0000-1000-00002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AE74" authorId="2" shapeId="0" xr:uid="{00000000-0006-0000-1000-00002F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I75" authorId="6" shapeId="0" xr:uid="{00000000-0006-0000-1000-000030000000}">
      <text>
        <r>
          <rPr>
            <b/>
            <sz val="8"/>
            <color indexed="81"/>
            <rFont val="Tahoma"/>
            <family val="2"/>
          </rPr>
          <t>jilars: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Patruljeleder på OA</t>
        </r>
      </text>
    </comment>
    <comment ref="J75" authorId="2" shapeId="0" xr:uid="{00000000-0006-0000-1000-000031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</t>
        </r>
      </text>
    </comment>
    <comment ref="K75" authorId="2" shapeId="0" xr:uid="{00000000-0006-0000-1000-000032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</t>
        </r>
      </text>
    </comment>
    <comment ref="L75" authorId="2" shapeId="0" xr:uid="{00000000-0006-0000-1000-000033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</t>
        </r>
      </text>
    </comment>
    <comment ref="M75" authorId="2" shapeId="0" xr:uid="{00000000-0006-0000-1000-00003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Matthæusgade</t>
        </r>
      </text>
    </comment>
    <comment ref="P75" authorId="5" shapeId="0" xr:uid="{00000000-0006-0000-1000-000035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O-vagt + kreds</t>
        </r>
      </text>
    </comment>
    <comment ref="Q75" authorId="5" shapeId="0" xr:uid="{00000000-0006-0000-1000-000036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O-vagt + kreds</t>
        </r>
      </text>
    </comment>
    <comment ref="R75" authorId="5" shapeId="0" xr:uid="{00000000-0006-0000-1000-000037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O-vagt + kreds</t>
        </r>
      </text>
    </comment>
    <comment ref="X75" authorId="2" shapeId="0" xr:uid="{00000000-0006-0000-1000-000038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Y75" authorId="2" shapeId="0" xr:uid="{00000000-0006-0000-1000-000039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Z75" authorId="2" shapeId="0" xr:uid="{00000000-0006-0000-1000-00003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AA75" authorId="2" shapeId="0" xr:uid="{00000000-0006-0000-1000-00003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N-VAGT</t>
        </r>
      </text>
    </comment>
    <comment ref="AD75" authorId="5" shapeId="0" xr:uid="{00000000-0006-0000-1000-00003C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N</t>
        </r>
        <r>
          <rPr>
            <sz val="12"/>
            <color indexed="81"/>
            <rFont val="Tahoma"/>
            <family val="2"/>
          </rPr>
          <t>-vagt</t>
        </r>
      </text>
    </comment>
    <comment ref="AE75" authorId="5" shapeId="0" xr:uid="{00000000-0006-0000-1000-00003D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N</t>
        </r>
        <r>
          <rPr>
            <sz val="12"/>
            <color indexed="81"/>
            <rFont val="Tahoma"/>
            <family val="2"/>
          </rPr>
          <t>-vagt</t>
        </r>
      </text>
    </comment>
    <comment ref="E76" authorId="0" shapeId="0" xr:uid="{00000000-0006-0000-1000-00003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F76" authorId="0" shapeId="0" xr:uid="{00000000-0006-0000-1000-00003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K76" authorId="5" shapeId="0" xr:uid="{00000000-0006-0000-1000-00004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Valdemarsgade</t>
        </r>
      </text>
    </comment>
    <comment ref="X76" authorId="5" shapeId="0" xr:uid="{00000000-0006-0000-1000-00004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O-vagt</t>
        </r>
      </text>
    </comment>
    <comment ref="Y76" authorId="5" shapeId="0" xr:uid="{00000000-0006-0000-1000-00004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O-vagt</t>
        </r>
      </text>
    </comment>
    <comment ref="Z76" authorId="5" shapeId="0" xr:uid="{00000000-0006-0000-1000-00004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O-vagt</t>
        </r>
      </text>
    </comment>
    <comment ref="AH76" authorId="0" shapeId="0" xr:uid="{00000000-0006-0000-1000-00004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Overføre ferie</t>
        </r>
      </text>
    </comment>
    <comment ref="AI76" authorId="0" shapeId="0" xr:uid="{00000000-0006-0000-1000-00004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Overføre ferie</t>
        </r>
      </text>
    </comment>
    <comment ref="C86" authorId="0" shapeId="0" xr:uid="{00000000-0006-0000-1000-00004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D86" authorId="0" shapeId="0" xr:uid="{00000000-0006-0000-1000-00004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E86" authorId="0" shapeId="0" xr:uid="{00000000-0006-0000-1000-00004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F86" authorId="0" shapeId="0" xr:uid="{00000000-0006-0000-1000-00004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I86" authorId="2" shapeId="0" xr:uid="{00000000-0006-0000-1000-00004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J86" authorId="2" shapeId="0" xr:uid="{00000000-0006-0000-1000-00004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K86" authorId="2" shapeId="0" xr:uid="{00000000-0006-0000-1000-00004C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L86" authorId="2" shapeId="0" xr:uid="{00000000-0006-0000-1000-00004D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M86" authorId="2" shapeId="0" xr:uid="{00000000-0006-0000-1000-00004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H-VAGT</t>
        </r>
      </text>
    </comment>
    <comment ref="P86" authorId="5" shapeId="0" xr:uid="{00000000-0006-0000-1000-00004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K-vagt</t>
        </r>
      </text>
    </comment>
    <comment ref="Q86" authorId="5" shapeId="0" xr:uid="{00000000-0006-0000-1000-00005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K-vagt</t>
        </r>
      </text>
    </comment>
    <comment ref="R86" authorId="5" shapeId="0" xr:uid="{00000000-0006-0000-1000-00005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K-vagt</t>
        </r>
      </text>
    </comment>
    <comment ref="X86" authorId="2" shapeId="0" xr:uid="{00000000-0006-0000-1000-00005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Y86" authorId="2" shapeId="0" xr:uid="{00000000-0006-0000-1000-000053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Z86" authorId="2" shapeId="0" xr:uid="{00000000-0006-0000-1000-000054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AA86" authorId="2" shapeId="0" xr:uid="{00000000-0006-0000-1000-000055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AD86" authorId="6" shapeId="0" xr:uid="{00000000-0006-0000-1000-000056000000}">
      <text>
        <r>
          <rPr>
            <b/>
            <sz val="9"/>
            <color indexed="81"/>
            <rFont val="Tahoma"/>
            <family val="2"/>
          </rPr>
          <t>jilars: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kl. 08:30 - 10:30</t>
        </r>
      </text>
    </comment>
    <comment ref="I87" authorId="2" shapeId="0" xr:uid="{00000000-0006-0000-1000-000057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P.VAGT </t>
        </r>
      </text>
    </comment>
    <comment ref="J87" authorId="2" shapeId="0" xr:uid="{00000000-0006-0000-1000-000058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P.VAGT </t>
        </r>
      </text>
    </comment>
    <comment ref="K87" authorId="2" shapeId="0" xr:uid="{00000000-0006-0000-1000-000059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P.VAGT </t>
        </r>
      </text>
    </comment>
    <comment ref="L87" authorId="2" shapeId="0" xr:uid="{00000000-0006-0000-1000-00005A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P.VAGT </t>
        </r>
      </text>
    </comment>
    <comment ref="M87" authorId="2" shapeId="0" xr:uid="{00000000-0006-0000-1000-00005B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P.VAGT </t>
        </r>
      </text>
    </comment>
    <comment ref="Z87" authorId="0" shapeId="0" xr:uid="{00000000-0006-0000-1000-00005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 + K5</t>
        </r>
      </text>
    </comment>
    <comment ref="AA87" authorId="1" shapeId="0" xr:uid="{00000000-0006-0000-1000-00005D000000}">
      <text>
        <r>
          <rPr>
            <sz val="10"/>
            <color indexed="81"/>
            <rFont val="Tahoma"/>
            <family val="2"/>
          </rPr>
          <t>O vagt på OA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87" authorId="2" shapeId="0" xr:uid="{00000000-0006-0000-1000-00005E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K-VAGT + K"</t>
        </r>
      </text>
    </comment>
    <comment ref="AF87" authorId="5" shapeId="0" xr:uid="{00000000-0006-0000-1000-00005F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D-vagt</t>
        </r>
      </text>
    </comment>
    <comment ref="X88" authorId="5" shapeId="0" xr:uid="{00000000-0006-0000-1000-000060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K-vagt Læge 1200-1500</t>
        </r>
      </text>
    </comment>
    <comment ref="Y88" authorId="5" shapeId="0" xr:uid="{00000000-0006-0000-1000-000061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K-vagt</t>
        </r>
      </text>
    </comment>
    <comment ref="Z88" authorId="5" shapeId="0" xr:uid="{00000000-0006-0000-1000-000062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K-vagt</t>
        </r>
      </text>
    </comment>
    <comment ref="AA88" authorId="5" shapeId="0" xr:uid="{00000000-0006-0000-1000-000063000000}">
      <text>
        <r>
          <rPr>
            <b/>
            <sz val="9"/>
            <color indexed="81"/>
            <rFont val="Tahoma"/>
            <family val="2"/>
          </rPr>
          <t>benvil: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K-vagt</t>
        </r>
      </text>
    </comment>
    <comment ref="AD88" authorId="2" shapeId="0" xr:uid="{00000000-0006-0000-1000-000064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AE88" authorId="2" shapeId="0" xr:uid="{00000000-0006-0000-1000-000065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AF88" authorId="2" shapeId="0" xr:uid="{00000000-0006-0000-1000-000066000000}">
      <text>
        <r>
          <rPr>
            <b/>
            <sz val="8"/>
            <color indexed="81"/>
            <rFont val="Tahoma"/>
            <family val="2"/>
          </rPr>
          <t>sthert: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4-vagt</t>
        </r>
      </text>
    </comment>
    <comment ref="D99" authorId="7" shapeId="0" xr:uid="{00000000-0006-0000-1000-000067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Går kl 13,30</t>
        </r>
      </text>
    </comment>
    <comment ref="Z99" authorId="0" shapeId="0" xr:uid="{00000000-0006-0000-1000-00006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E101" authorId="0" shapeId="0" xr:uid="{00000000-0006-0000-1000-00006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Z119" authorId="0" shapeId="0" xr:uid="{00000000-0006-0000-1000-00006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AD121" authorId="0" shapeId="0" xr:uid="{00000000-0006-0000-1000-00006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Husk at det måske skal være FF dage</t>
        </r>
      </text>
    </comment>
    <comment ref="Z122" authorId="0" shapeId="0" xr:uid="{00000000-0006-0000-1000-00006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Z124" authorId="0" shapeId="0" xr:uid="{00000000-0006-0000-1000-00006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Z126" authorId="0" shapeId="0" xr:uid="{00000000-0006-0000-1000-00006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I130" authorId="0" shapeId="0" xr:uid="{00000000-0006-0000-1000-00006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Frank ved godt at han bliver trukket i løn</t>
        </r>
      </text>
    </comment>
    <comment ref="Z130" authorId="0" shapeId="0" xr:uid="{00000000-0006-0000-1000-00007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E140" authorId="0" shapeId="0" xr:uid="{00000000-0006-0000-1000-00007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Z142" authorId="0" shapeId="0" xr:uid="{00000000-0006-0000-1000-00007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E144" authorId="0" shapeId="0" xr:uid="{00000000-0006-0000-1000-00007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L144" authorId="0" shapeId="0" xr:uid="{00000000-0006-0000-1000-00007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Måske er det FFdage</t>
        </r>
      </text>
    </comment>
    <comment ref="Z145" authorId="0" shapeId="0" xr:uid="{00000000-0006-0000-1000-00007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P153" authorId="0" shapeId="0" xr:uid="{00000000-0006-0000-1000-00007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 indberettet</t>
        </r>
      </text>
    </comment>
    <comment ref="AD153" authorId="0" shapeId="0" xr:uid="{00000000-0006-0000-1000-00007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Er indberettet</t>
        </r>
      </text>
    </comment>
    <comment ref="K154" authorId="7" shapeId="0" xr:uid="{00000000-0006-0000-1000-000078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Jim har tastet</t>
        </r>
      </text>
    </comment>
    <comment ref="X154" authorId="7" shapeId="0" xr:uid="{00000000-0006-0000-1000-000079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Jim har tastet alle dagene</t>
        </r>
      </text>
    </comment>
    <comment ref="E156" authorId="0" shapeId="0" xr:uid="{00000000-0006-0000-1000-00007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E157" authorId="0" shapeId="0" xr:uid="{00000000-0006-0000-1000-00007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N167" authorId="0" shapeId="0" xr:uid="{00000000-0006-0000-1000-00007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Martin har en rundvisning kl. 14</t>
        </r>
      </text>
    </comment>
    <comment ref="P167" authorId="7" shapeId="0" xr:uid="{00000000-0006-0000-1000-00007D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Martin er både Kristoffer og Marianne</t>
        </r>
      </text>
    </comment>
    <comment ref="Q167" authorId="7" shapeId="0" xr:uid="{00000000-0006-0000-1000-00007E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Martin er både Kristoffer og Marianne</t>
        </r>
      </text>
    </comment>
    <comment ref="R167" authorId="7" shapeId="0" xr:uid="{00000000-0006-0000-1000-00007F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Martin er både Kristoffer og Marianne</t>
        </r>
      </text>
    </comment>
    <comment ref="L168" authorId="0" shapeId="0" xr:uid="{00000000-0006-0000-1000-00008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2,5 time som afspadsering</t>
        </r>
      </text>
    </comment>
    <comment ref="AF168" authorId="0" shapeId="0" xr:uid="{00000000-0006-0000-1000-000081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To feriedage i maj</t>
        </r>
      </text>
    </comment>
    <comment ref="AF169" authorId="0" shapeId="0" xr:uid="{00000000-0006-0000-1000-000082000000}">
      <text>
        <r>
          <rPr>
            <b/>
            <sz val="8"/>
            <color indexed="81"/>
            <rFont val="Tahoma"/>
            <family val="2"/>
          </rPr>
          <t>flniel:</t>
        </r>
        <r>
          <rPr>
            <sz val="8"/>
            <color indexed="81"/>
            <rFont val="Tahoma"/>
            <family val="2"/>
          </rPr>
          <t xml:space="preserve">
Maj med</t>
        </r>
      </text>
    </comment>
    <comment ref="I170" authorId="0" shapeId="0" xr:uid="{00000000-0006-0000-1000-00008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J170" authorId="0" shapeId="0" xr:uid="{00000000-0006-0000-1000-00008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K170" authorId="0" shapeId="0" xr:uid="{00000000-0006-0000-1000-00008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L170" authorId="0" shapeId="0" xr:uid="{00000000-0006-0000-1000-00008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M170" authorId="0" shapeId="0" xr:uid="{00000000-0006-0000-1000-00008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E171" authorId="0" shapeId="0" xr:uid="{00000000-0006-0000-1000-00008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J171" authorId="6" shapeId="0" xr:uid="{00000000-0006-0000-1000-000089000000}">
      <text>
        <r>
          <rPr>
            <b/>
            <sz val="8"/>
            <color indexed="81"/>
            <rFont val="Tahoma"/>
            <family val="2"/>
          </rPr>
          <t>jilars: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Patruljeleder på OA</t>
        </r>
      </text>
    </comment>
    <comment ref="K171" authorId="2" shapeId="0" xr:uid="{00000000-0006-0000-1000-00008A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Gl. Køgelandevej 0815-1545</t>
        </r>
      </text>
    </comment>
    <comment ref="P171" authorId="2" shapeId="0" xr:uid="{00000000-0006-0000-1000-00008B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+ Fuglebakken 0730 oa.</t>
        </r>
      </text>
    </comment>
    <comment ref="R171" authorId="4" shapeId="0" xr:uid="{00000000-0006-0000-1000-00008C000000}">
      <text>
        <r>
          <rPr>
            <b/>
            <sz val="8"/>
            <color indexed="81"/>
            <rFont val="Tahoma"/>
            <family val="2"/>
          </rPr>
          <t>erskyg: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 xml:space="preserve">11-vagt på OA
23.00 - 07.15
</t>
        </r>
      </text>
    </comment>
    <comment ref="C172" authorId="0" shapeId="0" xr:uid="{00000000-0006-0000-1000-00008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D172" authorId="0" shapeId="0" xr:uid="{00000000-0006-0000-1000-00008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E172" authorId="0" shapeId="0" xr:uid="{00000000-0006-0000-1000-00008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F172" authorId="0" shapeId="0" xr:uid="{00000000-0006-0000-1000-00009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I172" authorId="0" shapeId="0" xr:uid="{00000000-0006-0000-1000-00009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J172" authorId="0" shapeId="0" xr:uid="{00000000-0006-0000-1000-00009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K172" authorId="0" shapeId="0" xr:uid="{00000000-0006-0000-1000-00009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L172" authorId="0" shapeId="0" xr:uid="{00000000-0006-0000-1000-00009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M172" authorId="0" shapeId="0" xr:uid="{00000000-0006-0000-1000-00009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X172" authorId="0" shapeId="0" xr:uid="{00000000-0006-0000-1000-000096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Y172" authorId="0" shapeId="0" xr:uid="{00000000-0006-0000-1000-00009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Z172" authorId="0" shapeId="0" xr:uid="{00000000-0006-0000-1000-00009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AA172" authorId="0" shapeId="0" xr:uid="{00000000-0006-0000-1000-00009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AD172" authorId="0" shapeId="0" xr:uid="{00000000-0006-0000-1000-00009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AE172" authorId="0" shapeId="0" xr:uid="{00000000-0006-0000-1000-00009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AF172" authorId="0" shapeId="0" xr:uid="{00000000-0006-0000-1000-00009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Dorte og Mikael</t>
        </r>
      </text>
    </comment>
    <comment ref="C180" authorId="0" shapeId="0" xr:uid="{00000000-0006-0000-1000-00009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</t>
        </r>
      </text>
    </comment>
    <comment ref="E181" authorId="0" shapeId="0" xr:uid="{00000000-0006-0000-1000-00009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L181" authorId="6" shapeId="0" xr:uid="{00000000-0006-0000-1000-00009F000000}">
      <text>
        <r>
          <rPr>
            <b/>
            <sz val="8"/>
            <color indexed="81"/>
            <rFont val="Tahoma"/>
            <family val="2"/>
          </rPr>
          <t>jilars: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Patruljeleder</t>
        </r>
      </text>
    </comment>
    <comment ref="M181" authorId="6" shapeId="0" xr:uid="{00000000-0006-0000-1000-0000A0000000}">
      <text>
        <r>
          <rPr>
            <b/>
            <sz val="8"/>
            <color indexed="81"/>
            <rFont val="Tahoma"/>
            <family val="2"/>
          </rPr>
          <t>jilars: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Patruljeleder</t>
        </r>
      </text>
    </comment>
    <comment ref="Q181" authorId="2" shapeId="0" xr:uid="{00000000-0006-0000-1000-0000A1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kl.0730</t>
        </r>
      </text>
    </comment>
    <comment ref="R181" authorId="2" shapeId="0" xr:uid="{00000000-0006-0000-1000-0000A2000000}">
      <text>
        <r>
          <rPr>
            <b/>
            <sz val="9"/>
            <color indexed="81"/>
            <rFont val="Tahoma"/>
            <family val="2"/>
          </rPr>
          <t>sthert: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Fuglebakken kl.0730</t>
        </r>
      </text>
    </comment>
    <comment ref="AF181" authorId="0" shapeId="0" xr:uid="{00000000-0006-0000-1000-0000A3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Patruljeleder</t>
        </r>
      </text>
    </comment>
    <comment ref="Z182" authorId="0" shapeId="0" xr:uid="{00000000-0006-0000-1000-0000A4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Z183" authorId="0" shapeId="0" xr:uid="{00000000-0006-0000-1000-0000A5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9</t>
        </r>
      </text>
    </comment>
    <comment ref="AD183" authorId="7" shapeId="0" xr:uid="{00000000-0006-0000-1000-0000A6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Husk at tal med Flemming om du skal forsætte.</t>
        </r>
      </text>
    </comment>
    <comment ref="C184" authorId="0" shapeId="0" xr:uid="{00000000-0006-0000-1000-0000A7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I184" authorId="0" shapeId="0" xr:uid="{00000000-0006-0000-1000-0000A8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P184" authorId="0" shapeId="0" xr:uid="{00000000-0006-0000-1000-0000A9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X184" authorId="0" shapeId="0" xr:uid="{00000000-0006-0000-1000-0000AA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Z184" authorId="0" shapeId="0" xr:uid="{00000000-0006-0000-1000-0000AB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AD184" authorId="0" shapeId="0" xr:uid="{00000000-0006-0000-1000-0000AC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Fuglebakken</t>
        </r>
      </text>
    </comment>
    <comment ref="I204" authorId="0" shapeId="0" xr:uid="{00000000-0006-0000-1000-0000AD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Husk at tjekke om der timer nok</t>
        </r>
      </text>
    </comment>
    <comment ref="E206" authorId="0" shapeId="0" xr:uid="{00000000-0006-0000-1000-0000AE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X206" authorId="0" shapeId="0" xr:uid="{00000000-0006-0000-1000-0000AF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Husk blå hvis der ikke er nok</t>
        </r>
      </text>
    </comment>
    <comment ref="E207" authorId="0" shapeId="0" xr:uid="{00000000-0006-0000-1000-0000B0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E209" authorId="0" shapeId="0" xr:uid="{00000000-0006-0000-1000-0000B1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Temadag i Snapstinget
 kl. 14</t>
        </r>
      </text>
    </comment>
    <comment ref="AF235" authorId="0" shapeId="0" xr:uid="{00000000-0006-0000-1000-0000B2000000}">
      <text>
        <r>
          <rPr>
            <b/>
            <sz val="9"/>
            <color indexed="81"/>
            <rFont val="Tahoma"/>
            <family val="2"/>
          </rPr>
          <t>flniel:</t>
        </r>
        <r>
          <rPr>
            <sz val="9"/>
            <color indexed="81"/>
            <rFont val="Tahoma"/>
            <family val="2"/>
          </rPr>
          <t xml:space="preserve">
Resten overføres</t>
        </r>
      </text>
    </comment>
    <comment ref="R264" authorId="7" shapeId="0" xr:uid="{00000000-0006-0000-1000-0000B300000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Skal trække 6,5 time i FF og 1 Time I afs.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flniel</author>
  </authors>
  <commentList>
    <comment ref="A182" authorId="0" shapeId="0" xr:uid="{00000000-0006-0000-1500-000001000000}">
      <text>
        <r>
          <rPr>
            <b/>
            <sz val="8"/>
            <color indexed="81"/>
            <rFont val="Tahoma"/>
            <family val="2"/>
          </rPr>
          <t>Indeholdt hjemmeværnspenge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<sst xmlns="http://schemas.openxmlformats.org/spreadsheetml/2006/main" count="37991" uniqueCount="1245">
  <si>
    <t>Vagterleder</t>
  </si>
  <si>
    <t>Plankode 8502</t>
  </si>
  <si>
    <t>Mandag</t>
  </si>
  <si>
    <t>Tirsdag</t>
  </si>
  <si>
    <t>Onsdag</t>
  </si>
  <si>
    <t>Torsdag</t>
  </si>
  <si>
    <t>Fredag</t>
  </si>
  <si>
    <t>Lørdag</t>
  </si>
  <si>
    <t>Søndag</t>
  </si>
  <si>
    <t>Timer ugentligt</t>
  </si>
  <si>
    <t>Bemærkninger</t>
  </si>
  <si>
    <t>0800 - 1545</t>
  </si>
  <si>
    <t>0800 - 1400</t>
  </si>
  <si>
    <t>Jørgen Pyrmer</t>
  </si>
  <si>
    <t>Vagter for turnusformænd</t>
  </si>
  <si>
    <t>Plankode 8546</t>
  </si>
  <si>
    <t>Fri</t>
  </si>
  <si>
    <t>0815 - 1615</t>
  </si>
  <si>
    <t>2300 - 0700</t>
  </si>
  <si>
    <t>1900 - 0700</t>
  </si>
  <si>
    <t>Erik S. Andersen</t>
  </si>
  <si>
    <t>Jørgen M. Rasmussen</t>
  </si>
  <si>
    <t>0700 - 1500</t>
  </si>
  <si>
    <t>Dennis H. Rise</t>
  </si>
  <si>
    <t>1500 - 2300</t>
  </si>
  <si>
    <t>0700 - 1900</t>
  </si>
  <si>
    <t>Flemming Nielsen</t>
  </si>
  <si>
    <t>Bjarne Wagner-Larsen</t>
  </si>
  <si>
    <t xml:space="preserve"> </t>
  </si>
  <si>
    <t>Bo V. Jacobsen</t>
  </si>
  <si>
    <t>Timer i alt</t>
  </si>
  <si>
    <t>Formændsafløserne</t>
  </si>
  <si>
    <t>Plankode 8500</t>
  </si>
  <si>
    <t>0815 - 1600</t>
  </si>
  <si>
    <t>0815 - 1415</t>
  </si>
  <si>
    <t>Jesper Simonsen</t>
  </si>
  <si>
    <t>Michael B. Pedersen</t>
  </si>
  <si>
    <t>Per Larsen</t>
  </si>
  <si>
    <t xml:space="preserve">Vagter for turnus Rådhuset  </t>
  </si>
  <si>
    <t>Plankode 8516</t>
  </si>
  <si>
    <t>Hold 1</t>
  </si>
  <si>
    <t>0900 - 1715</t>
  </si>
  <si>
    <t>PA 0815 - 1615</t>
  </si>
  <si>
    <r>
      <t>1</t>
    </r>
    <r>
      <rPr>
        <sz val="10"/>
        <rFont val="Arial"/>
        <family val="2"/>
      </rPr>
      <t xml:space="preserve">                   Anders B. Hintze</t>
    </r>
  </si>
  <si>
    <t>PB 0815 - 1615</t>
  </si>
  <si>
    <t>2300 - 0600</t>
  </si>
  <si>
    <t>1900 - 0600</t>
  </si>
  <si>
    <t>PC 0900 - 1715</t>
  </si>
  <si>
    <r>
      <t xml:space="preserve">6 </t>
    </r>
    <r>
      <rPr>
        <sz val="10"/>
        <rFont val="Arial"/>
        <family val="2"/>
      </rPr>
      <t xml:space="preserve">                 Betina Knøsgaard</t>
    </r>
  </si>
  <si>
    <t>Dagvagt</t>
  </si>
  <si>
    <t>(Disp)</t>
  </si>
  <si>
    <r>
      <t>11</t>
    </r>
    <r>
      <rPr>
        <sz val="10"/>
        <rFont val="Arial"/>
        <family val="2"/>
      </rPr>
      <t xml:space="preserve">        Mariane E. Mortensen</t>
    </r>
  </si>
  <si>
    <t>Hold 2</t>
  </si>
  <si>
    <r>
      <t xml:space="preserve">2  </t>
    </r>
    <r>
      <rPr>
        <sz val="10"/>
        <rFont val="Arial"/>
        <family val="2"/>
      </rPr>
      <t xml:space="preserve">                      Henrik Dencker</t>
    </r>
  </si>
  <si>
    <r>
      <t>7</t>
    </r>
    <r>
      <rPr>
        <sz val="10"/>
        <rFont val="Arial"/>
        <family val="2"/>
      </rPr>
      <t xml:space="preserve">                              Jim Hansen</t>
    </r>
  </si>
  <si>
    <t>Aften 1600-2300 ( 0700-1900)</t>
  </si>
  <si>
    <t>Aften 1500-2300 ( 0830-1530)</t>
  </si>
  <si>
    <r>
      <t xml:space="preserve">12   </t>
    </r>
    <r>
      <rPr>
        <sz val="10"/>
        <rFont val="Arial"/>
        <family val="2"/>
      </rPr>
      <t xml:space="preserve">                Kim B.T Hansen</t>
    </r>
  </si>
  <si>
    <t>Nat 2300 - 0600 (1900 - 0600</t>
  </si>
  <si>
    <t>Hold 3</t>
  </si>
  <si>
    <t>Nat 2300 - 0700 (1900 - 0700)</t>
  </si>
  <si>
    <r>
      <t>3</t>
    </r>
    <r>
      <rPr>
        <sz val="10"/>
        <rFont val="Arial"/>
        <family val="2"/>
      </rPr>
      <t xml:space="preserve">          Mikael M. Martensen</t>
    </r>
  </si>
  <si>
    <r>
      <t xml:space="preserve">8                    </t>
    </r>
    <r>
      <rPr>
        <sz val="10"/>
        <rFont val="Arial"/>
        <family val="2"/>
      </rPr>
      <t>Steen Hertin</t>
    </r>
  </si>
  <si>
    <r>
      <t xml:space="preserve">13       </t>
    </r>
    <r>
      <rPr>
        <sz val="10"/>
        <rFont val="Arial"/>
        <family val="2"/>
      </rPr>
      <t>Anders C. Henriksen</t>
    </r>
  </si>
  <si>
    <t>Hold 4</t>
  </si>
  <si>
    <t>1600 - 2300</t>
  </si>
  <si>
    <r>
      <t xml:space="preserve">4                  </t>
    </r>
    <r>
      <rPr>
        <sz val="10"/>
        <rFont val="Arial"/>
        <family val="2"/>
      </rPr>
      <t>Kurt Foldberg</t>
    </r>
  </si>
  <si>
    <t>0830 - 1530</t>
  </si>
  <si>
    <r>
      <t>9</t>
    </r>
    <r>
      <rPr>
        <sz val="10"/>
        <rFont val="Arial"/>
        <family val="2"/>
      </rPr>
      <t xml:space="preserve">                            Per A. Olsen</t>
    </r>
  </si>
  <si>
    <r>
      <t xml:space="preserve">14 </t>
    </r>
    <r>
      <rPr>
        <sz val="10"/>
        <rFont val="Arial"/>
        <family val="2"/>
      </rPr>
      <t xml:space="preserve">               Henning Haaning</t>
    </r>
  </si>
  <si>
    <t>Hold 5</t>
  </si>
  <si>
    <r>
      <t>5</t>
    </r>
    <r>
      <rPr>
        <sz val="10"/>
        <rFont val="Arial"/>
        <family val="2"/>
      </rPr>
      <t xml:space="preserve">               Jannie M-Andersen</t>
    </r>
  </si>
  <si>
    <r>
      <t>10</t>
    </r>
    <r>
      <rPr>
        <sz val="10"/>
        <rFont val="Arial"/>
        <family val="2"/>
      </rPr>
      <t xml:space="preserve">                       Jim H. Larsen</t>
    </r>
  </si>
  <si>
    <r>
      <t xml:space="preserve">15              </t>
    </r>
    <r>
      <rPr>
        <sz val="10"/>
        <rFont val="Arial"/>
        <family val="2"/>
      </rPr>
      <t>Erik M. Nielsen</t>
    </r>
  </si>
  <si>
    <t xml:space="preserve">Vagter for Bernstoffsgade &amp; H.N.G.  </t>
  </si>
  <si>
    <t>Plankode 8511</t>
  </si>
  <si>
    <t xml:space="preserve">H  vagt </t>
  </si>
  <si>
    <t>0600 - 1300</t>
  </si>
  <si>
    <t>I   vagt</t>
  </si>
  <si>
    <t>1300 - 2000</t>
  </si>
  <si>
    <t>1300 - 1900</t>
  </si>
  <si>
    <t>K  vagt</t>
  </si>
  <si>
    <t>0850 - 1520</t>
  </si>
  <si>
    <t>0850 - 1420</t>
  </si>
  <si>
    <t>0600 - 1315</t>
  </si>
  <si>
    <t xml:space="preserve">Vagter for Njalsgade og Bryggens Gård  </t>
  </si>
  <si>
    <t>Plankode 8512</t>
  </si>
  <si>
    <t>L  vagt Bryggen</t>
  </si>
  <si>
    <t>0600 - 1430</t>
  </si>
  <si>
    <t>0600 - 1330</t>
  </si>
  <si>
    <t>Med pause</t>
  </si>
  <si>
    <t>M vagt Bryggen</t>
  </si>
  <si>
    <t>1430 - 2100</t>
  </si>
  <si>
    <t>1330 - 2030</t>
  </si>
  <si>
    <t>N vagt (Bibliotek)</t>
  </si>
  <si>
    <t>1200 - 1930</t>
  </si>
  <si>
    <t>1200 - 1630</t>
  </si>
  <si>
    <t>0830 - 1515</t>
  </si>
  <si>
    <t>0930 - 1600</t>
  </si>
  <si>
    <t>Med pause u/afløsning</t>
  </si>
  <si>
    <t>O vagt Njalsgade</t>
  </si>
  <si>
    <t>P vagt Njalsgade</t>
  </si>
  <si>
    <t>R vagt Afløse mm.</t>
  </si>
  <si>
    <t xml:space="preserve">Vagter for Ottiliahus  </t>
  </si>
  <si>
    <t>Plankode 8552</t>
  </si>
  <si>
    <t xml:space="preserve">S  vagt </t>
  </si>
  <si>
    <t>T   vagt</t>
  </si>
  <si>
    <t>1330 - 2100</t>
  </si>
  <si>
    <t>U  vagt</t>
  </si>
  <si>
    <t>0800 - 1530</t>
  </si>
  <si>
    <t>0800 - 1500</t>
  </si>
  <si>
    <t>Fast portner A</t>
  </si>
  <si>
    <t>Arne Berthold</t>
  </si>
  <si>
    <t>Fast portner B</t>
  </si>
  <si>
    <t>Plankode 8519</t>
  </si>
  <si>
    <t>0700 - 1430</t>
  </si>
  <si>
    <t>0700 - 1300</t>
  </si>
  <si>
    <t>Anders Villadsen</t>
  </si>
  <si>
    <t>Kontoret + fester</t>
  </si>
  <si>
    <t>Marianne Rasmussen</t>
  </si>
  <si>
    <t>Ulla B. Olsen</t>
  </si>
  <si>
    <t>Bent Zumbach</t>
  </si>
  <si>
    <t>Stuen</t>
  </si>
  <si>
    <t>Plankode 8515</t>
  </si>
  <si>
    <t>0600 - 1345</t>
  </si>
  <si>
    <t>0600 - 1200</t>
  </si>
  <si>
    <t>Knud O. Jørgensen</t>
  </si>
  <si>
    <t>Afløserne</t>
  </si>
  <si>
    <t>Plankode 8517</t>
  </si>
  <si>
    <t>0600 - 1400</t>
  </si>
  <si>
    <t>Kristoffer Ruth</t>
  </si>
  <si>
    <t>Ferie Afløserne</t>
  </si>
  <si>
    <t>Karl Weidich</t>
  </si>
  <si>
    <t>Dean Poulsen</t>
  </si>
  <si>
    <t>Maria Christensen</t>
  </si>
  <si>
    <t>Christian Bjørkved</t>
  </si>
  <si>
    <t>Maria S. Kjarval</t>
  </si>
  <si>
    <t>I alt</t>
  </si>
  <si>
    <t>Timer på hverdage</t>
  </si>
  <si>
    <t>Timer på helligdage</t>
  </si>
  <si>
    <t>Timer pr. år</t>
  </si>
  <si>
    <t>BR møder på et år</t>
  </si>
  <si>
    <t>Arrangementer på et år</t>
  </si>
  <si>
    <t>Ekstra p.g.a. trusler m.v. ca. 3 mand i tolv timer pr. gang.</t>
  </si>
  <si>
    <t>Grand total</t>
  </si>
  <si>
    <t>svarer til ca. 63 medarbejdere</t>
  </si>
  <si>
    <t>Plankode 8521</t>
  </si>
  <si>
    <t>0745 - 1530</t>
  </si>
  <si>
    <t>0745- 1345</t>
  </si>
  <si>
    <t>372 Jørgen Pyrmer</t>
  </si>
  <si>
    <t>Stedfortræder</t>
  </si>
  <si>
    <t>807 Flemming Nielsen</t>
  </si>
  <si>
    <t>Ugentligt</t>
  </si>
  <si>
    <t>Månedligt</t>
  </si>
  <si>
    <t>Årligt</t>
  </si>
  <si>
    <r>
      <t>4:</t>
    </r>
    <r>
      <rPr>
        <sz val="9"/>
        <rFont val="Arial"/>
        <family val="2"/>
      </rPr>
      <t xml:space="preserve"> 2230- 0645</t>
    </r>
  </si>
  <si>
    <r>
      <t>B:</t>
    </r>
    <r>
      <rPr>
        <sz val="9"/>
        <rFont val="Arial"/>
        <family val="2"/>
      </rPr>
      <t xml:space="preserve"> 1830 - 0645</t>
    </r>
  </si>
  <si>
    <r>
      <t>1:</t>
    </r>
    <r>
      <rPr>
        <sz val="9"/>
        <rFont val="Arial"/>
        <family val="2"/>
      </rPr>
      <t xml:space="preserve"> Vagthavende kl. 0630 - 1445</t>
    </r>
  </si>
  <si>
    <t>Timeopgørelse</t>
  </si>
  <si>
    <r>
      <t xml:space="preserve">I  </t>
    </r>
    <r>
      <rPr>
        <sz val="10"/>
        <rFont val="Arial"/>
        <family val="2"/>
      </rPr>
      <t>902 Erik Andersen</t>
    </r>
  </si>
  <si>
    <r>
      <t>2:</t>
    </r>
    <r>
      <rPr>
        <sz val="9"/>
        <rFont val="Arial"/>
        <family val="2"/>
      </rPr>
      <t xml:space="preserve"> Vagthavende kl. 1430 - 2230</t>
    </r>
  </si>
  <si>
    <t>Timer i 2./3. skift</t>
  </si>
  <si>
    <t>FRI</t>
  </si>
  <si>
    <r>
      <t>3:</t>
    </r>
    <r>
      <rPr>
        <sz val="9"/>
        <rFont val="Arial"/>
        <family val="2"/>
      </rPr>
      <t xml:space="preserve"> Patruljeleder kl. 1630 - 2345</t>
    </r>
  </si>
  <si>
    <t>Uge 1</t>
  </si>
  <si>
    <r>
      <t xml:space="preserve">II </t>
    </r>
    <r>
      <rPr>
        <sz val="10"/>
        <rFont val="Arial"/>
        <family val="2"/>
      </rPr>
      <t>886 Per Larsen</t>
    </r>
  </si>
  <si>
    <r>
      <t>4</t>
    </r>
    <r>
      <rPr>
        <sz val="9"/>
        <rFont val="Arial"/>
        <family val="2"/>
      </rPr>
      <t>: Vagthavende kl. 2230 - 0645</t>
    </r>
  </si>
  <si>
    <t>Uge 2</t>
  </si>
  <si>
    <r>
      <t>1:</t>
    </r>
    <r>
      <rPr>
        <sz val="9"/>
        <rFont val="Arial"/>
        <family val="2"/>
      </rPr>
      <t xml:space="preserve"> 0630 - 1445</t>
    </r>
  </si>
  <si>
    <r>
      <t>A</t>
    </r>
    <r>
      <rPr>
        <sz val="9"/>
        <rFont val="Arial"/>
        <family val="2"/>
      </rPr>
      <t xml:space="preserve">: Vagthavende kl. 0630 - 1845  </t>
    </r>
  </si>
  <si>
    <t>Uge 3</t>
  </si>
  <si>
    <r>
      <t>III</t>
    </r>
    <r>
      <rPr>
        <sz val="9"/>
        <rFont val="Arial"/>
        <family val="2"/>
      </rPr>
      <t xml:space="preserve"> 654 Bo Volfing Jacobsen</t>
    </r>
  </si>
  <si>
    <r>
      <t>B:</t>
    </r>
    <r>
      <rPr>
        <sz val="9"/>
        <rFont val="Arial"/>
        <family val="2"/>
      </rPr>
      <t xml:space="preserve"> Vagthavende kl. 1830 - 0645 </t>
    </r>
  </si>
  <si>
    <t>Uge 4</t>
  </si>
  <si>
    <r>
      <t>2:</t>
    </r>
    <r>
      <rPr>
        <sz val="9"/>
        <rFont val="Arial"/>
        <family val="2"/>
      </rPr>
      <t xml:space="preserve"> 1430 - 2230</t>
    </r>
  </si>
  <si>
    <r>
      <t>A:</t>
    </r>
    <r>
      <rPr>
        <sz val="9"/>
        <rFont val="Arial"/>
        <family val="2"/>
      </rPr>
      <t xml:space="preserve"> 0630 - 1845</t>
    </r>
  </si>
  <si>
    <t>Uge 5</t>
  </si>
  <si>
    <r>
      <t xml:space="preserve">IV  </t>
    </r>
    <r>
      <rPr>
        <sz val="10"/>
        <rFont val="Arial"/>
        <family val="2"/>
      </rPr>
      <t>664 Dennis Rise</t>
    </r>
  </si>
  <si>
    <t>Uge 6</t>
  </si>
  <si>
    <t>Total</t>
  </si>
  <si>
    <r>
      <t>V</t>
    </r>
    <r>
      <rPr>
        <sz val="10"/>
        <rFont val="Arial"/>
        <family val="2"/>
      </rPr>
      <t xml:space="preserve">  669 Jørgen Rasmussen.</t>
    </r>
  </si>
  <si>
    <r>
      <t>3:</t>
    </r>
    <r>
      <rPr>
        <sz val="9"/>
        <rFont val="Arial"/>
        <family val="2"/>
      </rPr>
      <t xml:space="preserve"> 1630 - 2345</t>
    </r>
  </si>
  <si>
    <t>Rondering / alarmudrykning</t>
  </si>
  <si>
    <t>Normtid</t>
  </si>
  <si>
    <t>37 timer x 6 uger =</t>
  </si>
  <si>
    <t>timer</t>
  </si>
  <si>
    <r>
      <t xml:space="preserve">VI </t>
    </r>
    <r>
      <rPr>
        <sz val="10"/>
        <rFont val="Arial"/>
        <family val="2"/>
      </rPr>
      <t>890 Michael Bo Pedersen</t>
    </r>
  </si>
  <si>
    <t xml:space="preserve">2. / 3. Skifts timer =  </t>
  </si>
  <si>
    <t>:37 timer</t>
  </si>
  <si>
    <t>357 Jesper Simonsen</t>
  </si>
  <si>
    <t xml:space="preserve">timer x 3 (grundet 37/3 reglen) = </t>
  </si>
  <si>
    <t>358 Per Olsen</t>
  </si>
  <si>
    <t>383 Kjeld Julius Jespersen</t>
  </si>
  <si>
    <t>timer - godtskrivelse på</t>
  </si>
  <si>
    <t>timer =</t>
  </si>
  <si>
    <t>(Skal arbejde)</t>
  </si>
  <si>
    <t>reel tid - normtid</t>
  </si>
  <si>
    <t xml:space="preserve">Turnusvagter Rådhuset  </t>
  </si>
  <si>
    <t>Uge      Plankode 8516</t>
  </si>
  <si>
    <t>Dag tjeneste</t>
  </si>
  <si>
    <r>
      <t>11</t>
    </r>
    <r>
      <rPr>
        <sz val="10"/>
        <rFont val="Arial"/>
        <family val="2"/>
      </rPr>
      <t xml:space="preserve"> 2300 - 0715</t>
    </r>
  </si>
  <si>
    <r>
      <t>B3</t>
    </r>
    <r>
      <rPr>
        <sz val="10"/>
        <color indexed="9"/>
        <rFont val="Arial"/>
        <family val="2"/>
      </rPr>
      <t xml:space="preserve"> 1900 - 0715</t>
    </r>
  </si>
  <si>
    <t>Timer i 2./3. Skift</t>
  </si>
  <si>
    <r>
      <t xml:space="preserve">1 </t>
    </r>
    <r>
      <rPr>
        <sz val="10"/>
        <rFont val="Arial"/>
        <family val="2"/>
      </rPr>
      <t>0700 - 1400 + helligdage kl. 0700-1400</t>
    </r>
  </si>
  <si>
    <r>
      <t>Uge 1</t>
    </r>
    <r>
      <rPr>
        <sz val="10"/>
        <rFont val="Arial"/>
        <family val="2"/>
      </rPr>
      <t xml:space="preserve"> </t>
    </r>
  </si>
  <si>
    <r>
      <t>2</t>
    </r>
    <r>
      <rPr>
        <sz val="10"/>
        <rFont val="Arial"/>
        <family val="2"/>
      </rPr>
      <t>udgået</t>
    </r>
  </si>
  <si>
    <r>
      <t>9</t>
    </r>
    <r>
      <rPr>
        <sz val="9"/>
        <rFont val="Arial"/>
        <family val="2"/>
      </rPr>
      <t xml:space="preserve"> 2300 - 0600</t>
    </r>
  </si>
  <si>
    <r>
      <t>B1</t>
    </r>
    <r>
      <rPr>
        <sz val="10"/>
        <color indexed="9"/>
        <rFont val="Arial"/>
        <family val="2"/>
      </rPr>
      <t>1900 - 0600</t>
    </r>
  </si>
  <si>
    <r>
      <t>3</t>
    </r>
    <r>
      <rPr>
        <sz val="10"/>
        <rFont val="Arial"/>
        <family val="2"/>
      </rPr>
      <t xml:space="preserve"> 0730 - 1530 + helligdage kl. 0730-1530</t>
    </r>
  </si>
  <si>
    <r>
      <t xml:space="preserve">6 </t>
    </r>
    <r>
      <rPr>
        <sz val="10"/>
        <rFont val="Arial"/>
        <family val="2"/>
      </rPr>
      <t xml:space="preserve">                Betina Knøsgaard</t>
    </r>
  </si>
  <si>
    <t xml:space="preserve">Uge 6 </t>
  </si>
  <si>
    <r>
      <t>4</t>
    </r>
    <r>
      <rPr>
        <sz val="10"/>
        <rFont val="Arial"/>
        <family val="2"/>
      </rPr>
      <t xml:space="preserve"> 0930 - 1730</t>
    </r>
  </si>
  <si>
    <r>
      <t>10</t>
    </r>
    <r>
      <rPr>
        <sz val="9"/>
        <rFont val="Arial"/>
        <family val="2"/>
      </rPr>
      <t xml:space="preserve"> 2300 - 0700</t>
    </r>
  </si>
  <si>
    <r>
      <t>B2</t>
    </r>
    <r>
      <rPr>
        <sz val="10"/>
        <color indexed="9"/>
        <rFont val="Arial"/>
        <family val="2"/>
      </rPr>
      <t>1900 - 0700</t>
    </r>
  </si>
  <si>
    <r>
      <t>11</t>
    </r>
    <r>
      <rPr>
        <sz val="10"/>
        <rFont val="Arial"/>
        <family val="2"/>
      </rPr>
      <t xml:space="preserve">            Mariane Hillebrand</t>
    </r>
  </si>
  <si>
    <r>
      <t>Uge 11</t>
    </r>
    <r>
      <rPr>
        <sz val="10"/>
        <rFont val="Arial"/>
        <family val="2"/>
      </rPr>
      <t xml:space="preserve">            </t>
    </r>
  </si>
  <si>
    <r>
      <t>A1</t>
    </r>
    <r>
      <rPr>
        <sz val="10"/>
        <rFont val="Arial"/>
        <family val="2"/>
      </rPr>
      <t xml:space="preserve"> 0845 - 1745 Lørdag (Hovedporten), Niels Hemmingsens Gade</t>
    </r>
  </si>
  <si>
    <r>
      <t>2</t>
    </r>
    <r>
      <rPr>
        <sz val="10"/>
        <rFont val="Arial"/>
        <family val="2"/>
      </rPr>
      <t xml:space="preserve">                     Jørn Rasmussen</t>
    </r>
  </si>
  <si>
    <r>
      <t>Uge 2</t>
    </r>
    <r>
      <rPr>
        <sz val="10"/>
        <rFont val="Arial"/>
        <family val="2"/>
      </rPr>
      <t xml:space="preserve">                             </t>
    </r>
  </si>
  <si>
    <t>Uge 7</t>
  </si>
  <si>
    <t>Uge 8</t>
  </si>
  <si>
    <r>
      <t>A2</t>
    </r>
    <r>
      <rPr>
        <sz val="10"/>
        <rFont val="Arial"/>
        <family val="2"/>
      </rPr>
      <t xml:space="preserve"> 0700 - 1900 Lør-, søndage</t>
    </r>
  </si>
  <si>
    <r>
      <t xml:space="preserve">7 </t>
    </r>
    <r>
      <rPr>
        <sz val="10"/>
        <rFont val="Arial"/>
        <family val="2"/>
      </rPr>
      <t xml:space="preserve">             Kim B.T. Pedersen</t>
    </r>
  </si>
  <si>
    <t>Uge 9</t>
  </si>
  <si>
    <r>
      <t>A3</t>
    </r>
    <r>
      <rPr>
        <sz val="10"/>
        <rFont val="Arial"/>
        <family val="2"/>
      </rPr>
      <t xml:space="preserve"> 0700 - 1915</t>
    </r>
  </si>
  <si>
    <r>
      <t xml:space="preserve">A3 </t>
    </r>
    <r>
      <rPr>
        <sz val="10"/>
        <rFont val="Arial"/>
        <family val="2"/>
      </rPr>
      <t>0700 - 1915</t>
    </r>
  </si>
  <si>
    <t>Uge 10</t>
  </si>
  <si>
    <r>
      <t>A3</t>
    </r>
    <r>
      <rPr>
        <sz val="10"/>
        <rFont val="Arial"/>
        <family val="2"/>
      </rPr>
      <t xml:space="preserve"> 0700 - 1915 Lør-, søndage</t>
    </r>
  </si>
  <si>
    <r>
      <t>12</t>
    </r>
    <r>
      <rPr>
        <sz val="10"/>
        <rFont val="Arial"/>
        <family val="2"/>
      </rPr>
      <t xml:space="preserve">                  Kristoffer Ruth</t>
    </r>
  </si>
  <si>
    <r>
      <t>Uge 12</t>
    </r>
    <r>
      <rPr>
        <sz val="10"/>
        <rFont val="Arial"/>
        <family val="2"/>
      </rPr>
      <t xml:space="preserve">                  </t>
    </r>
  </si>
  <si>
    <t>Uge 11</t>
  </si>
  <si>
    <r>
      <t>8</t>
    </r>
    <r>
      <rPr>
        <sz val="10"/>
        <rFont val="Arial"/>
        <family val="2"/>
      </rPr>
      <t xml:space="preserve"> 1600 - 2300</t>
    </r>
  </si>
  <si>
    <r>
      <t>8</t>
    </r>
    <r>
      <rPr>
        <sz val="10"/>
        <rFont val="Arial"/>
        <family val="2"/>
      </rPr>
      <t xml:space="preserve"> 1600 - 2230</t>
    </r>
  </si>
  <si>
    <r>
      <t xml:space="preserve">A2 </t>
    </r>
    <r>
      <rPr>
        <sz val="10"/>
        <rFont val="Arial"/>
        <family val="2"/>
      </rPr>
      <t>0700 - 1900</t>
    </r>
  </si>
  <si>
    <t>Uge 12</t>
  </si>
  <si>
    <t>Aften tjeneste</t>
  </si>
  <si>
    <r>
      <t>Uge 3</t>
    </r>
    <r>
      <rPr>
        <sz val="10"/>
        <rFont val="Arial"/>
        <family val="2"/>
      </rPr>
      <t xml:space="preserve"> </t>
    </r>
  </si>
  <si>
    <t>Uge 13</t>
  </si>
  <si>
    <r>
      <t xml:space="preserve">5 </t>
    </r>
    <r>
      <rPr>
        <sz val="10"/>
        <rFont val="Arial"/>
        <family val="2"/>
      </rPr>
      <t>1600 - 2330</t>
    </r>
  </si>
  <si>
    <r>
      <t>6</t>
    </r>
    <r>
      <rPr>
        <sz val="10"/>
        <rFont val="Arial"/>
        <family val="2"/>
      </rPr>
      <t xml:space="preserve"> 1600 - 2300</t>
    </r>
  </si>
  <si>
    <r>
      <t>A1</t>
    </r>
    <r>
      <rPr>
        <sz val="10"/>
        <rFont val="Arial"/>
        <family val="2"/>
      </rPr>
      <t xml:space="preserve"> 0845 - 1745</t>
    </r>
  </si>
  <si>
    <t>Uge 14</t>
  </si>
  <si>
    <r>
      <t>6</t>
    </r>
    <r>
      <rPr>
        <sz val="10"/>
        <rFont val="Arial"/>
        <family val="2"/>
      </rPr>
      <t xml:space="preserve"> Aften 1600-2300 </t>
    </r>
  </si>
  <si>
    <r>
      <t xml:space="preserve">8                   </t>
    </r>
    <r>
      <rPr>
        <sz val="10"/>
        <rFont val="Arial"/>
        <family val="2"/>
      </rPr>
      <t>Steen Hertin</t>
    </r>
  </si>
  <si>
    <t>Uge 15</t>
  </si>
  <si>
    <r>
      <t>7</t>
    </r>
    <r>
      <rPr>
        <sz val="10"/>
        <color indexed="9"/>
        <rFont val="Arial"/>
        <family val="2"/>
      </rPr>
      <t xml:space="preserve"> Aften 1515 -2315</t>
    </r>
  </si>
  <si>
    <r>
      <t>7</t>
    </r>
    <r>
      <rPr>
        <sz val="10"/>
        <color indexed="9"/>
        <rFont val="Arial"/>
        <family val="2"/>
      </rPr>
      <t xml:space="preserve"> 1515 - 2315</t>
    </r>
  </si>
  <si>
    <r>
      <t>8</t>
    </r>
    <r>
      <rPr>
        <sz val="10"/>
        <rFont val="Arial"/>
        <family val="2"/>
      </rPr>
      <t xml:space="preserve"> Aften 1600-2300 / fre. 1600 - 2230</t>
    </r>
  </si>
  <si>
    <r>
      <t xml:space="preserve">13 </t>
    </r>
    <r>
      <rPr>
        <sz val="10"/>
        <rFont val="Arial"/>
        <family val="2"/>
      </rPr>
      <t xml:space="preserve">      Maria Christensen</t>
    </r>
  </si>
  <si>
    <t>37 timer x 15 uger =</t>
  </si>
  <si>
    <t>Nat tjeneste</t>
  </si>
  <si>
    <r>
      <t xml:space="preserve">4                  </t>
    </r>
    <r>
      <rPr>
        <sz val="10"/>
        <rFont val="Arial"/>
        <family val="2"/>
      </rPr>
      <t>Bo Lundvall</t>
    </r>
  </si>
  <si>
    <r>
      <t>9</t>
    </r>
    <r>
      <rPr>
        <sz val="10"/>
        <rFont val="Arial"/>
        <family val="2"/>
      </rPr>
      <t xml:space="preserve"> Nat 2300 - 0600 </t>
    </r>
  </si>
  <si>
    <r>
      <t>10</t>
    </r>
    <r>
      <rPr>
        <sz val="10"/>
        <rFont val="Arial"/>
        <family val="2"/>
      </rPr>
      <t xml:space="preserve"> Nat 2300 - 0700 </t>
    </r>
  </si>
  <si>
    <r>
      <t>9</t>
    </r>
    <r>
      <rPr>
        <sz val="10"/>
        <rFont val="Arial"/>
        <family val="2"/>
      </rPr>
      <t xml:space="preserve">                   Daniel Ben jakler</t>
    </r>
  </si>
  <si>
    <r>
      <t>11</t>
    </r>
    <r>
      <rPr>
        <sz val="10"/>
        <rFont val="Arial"/>
        <family val="2"/>
      </rPr>
      <t xml:space="preserve"> Nat 2300 - 0715</t>
    </r>
  </si>
  <si>
    <r>
      <t>4</t>
    </r>
    <r>
      <rPr>
        <sz val="9"/>
        <rFont val="Arial"/>
        <family val="2"/>
      </rPr>
      <t xml:space="preserve"> 0930 - 1730</t>
    </r>
  </si>
  <si>
    <r>
      <t>14</t>
    </r>
    <r>
      <rPr>
        <sz val="10"/>
        <rFont val="Arial"/>
        <family val="2"/>
      </rPr>
      <t xml:space="preserve">               Sonny Thomsen</t>
    </r>
  </si>
  <si>
    <r>
      <t>Uge 14</t>
    </r>
    <r>
      <rPr>
        <sz val="10"/>
        <rFont val="Arial"/>
        <family val="2"/>
      </rPr>
      <t xml:space="preserve"> </t>
    </r>
  </si>
  <si>
    <r>
      <t>B1</t>
    </r>
    <r>
      <rPr>
        <sz val="10"/>
        <rFont val="Arial"/>
        <family val="2"/>
      </rPr>
      <t xml:space="preserve"> Nat 1900 - 0600  Lør-, søndage</t>
    </r>
  </si>
  <si>
    <r>
      <t>1</t>
    </r>
    <r>
      <rPr>
        <sz val="10"/>
        <rFont val="Arial"/>
        <family val="2"/>
      </rPr>
      <t xml:space="preserve"> 0700 - 1400</t>
    </r>
  </si>
  <si>
    <r>
      <t>Uge 5</t>
    </r>
    <r>
      <rPr>
        <sz val="10"/>
        <rFont val="Arial"/>
        <family val="2"/>
      </rPr>
      <t xml:space="preserve">               </t>
    </r>
  </si>
  <si>
    <r>
      <t>B2</t>
    </r>
    <r>
      <rPr>
        <sz val="10"/>
        <rFont val="Arial"/>
        <family val="2"/>
      </rPr>
      <t xml:space="preserve"> Nat 1900 - 0700  Lør-, søndage </t>
    </r>
  </si>
  <si>
    <r>
      <t>5</t>
    </r>
    <r>
      <rPr>
        <sz val="10"/>
        <rFont val="Arial"/>
        <family val="2"/>
      </rPr>
      <t xml:space="preserve"> 1600 - 2330</t>
    </r>
  </si>
  <si>
    <r>
      <t>Uge 10</t>
    </r>
    <r>
      <rPr>
        <sz val="10"/>
        <rFont val="Arial"/>
        <family val="2"/>
      </rPr>
      <t xml:space="preserve"> </t>
    </r>
  </si>
  <si>
    <r>
      <t>B3</t>
    </r>
    <r>
      <rPr>
        <sz val="10"/>
        <rFont val="Arial"/>
        <family val="2"/>
      </rPr>
      <t xml:space="preserve"> Nat 1900 - 0715  Lør-, søndage</t>
    </r>
  </si>
  <si>
    <r>
      <t>3</t>
    </r>
    <r>
      <rPr>
        <sz val="10"/>
        <rFont val="Arial"/>
        <family val="2"/>
      </rPr>
      <t xml:space="preserve"> 0730 - 1530</t>
    </r>
  </si>
  <si>
    <t xml:space="preserve">Uge 15 </t>
  </si>
  <si>
    <t xml:space="preserve">Turnusvagter Rådhuset i ugerækkefølge </t>
  </si>
  <si>
    <r>
      <t>2</t>
    </r>
    <r>
      <rPr>
        <sz val="10"/>
        <rFont val="Arial"/>
        <family val="2"/>
      </rPr>
      <t xml:space="preserve">                    Jørn Rasmussen</t>
    </r>
  </si>
  <si>
    <r>
      <t xml:space="preserve">9  </t>
    </r>
    <r>
      <rPr>
        <sz val="10"/>
        <rFont val="Arial"/>
        <family val="2"/>
      </rPr>
      <t xml:space="preserve">                Daniel Ben Jakler</t>
    </r>
  </si>
  <si>
    <t>Fast I-vagt (Informationen)</t>
  </si>
  <si>
    <t>Plankode 8520</t>
  </si>
  <si>
    <t>0700-1445</t>
  </si>
  <si>
    <t>0700-1300</t>
  </si>
  <si>
    <t>Afl. Fast A-portner, P-plads</t>
  </si>
  <si>
    <t>B &amp; U.</t>
  </si>
  <si>
    <t>0745-1530</t>
  </si>
  <si>
    <t>0745-1345</t>
  </si>
  <si>
    <t>Ulla Belsager Olsen</t>
  </si>
  <si>
    <t>Fast Buffer</t>
  </si>
  <si>
    <t>Plankode 8514</t>
  </si>
  <si>
    <t>0800 - 1600</t>
  </si>
  <si>
    <t>0800 - 1300</t>
  </si>
  <si>
    <t>Vagter for Bryggens Gård  (Nedlagt 31/3 - 2005)</t>
  </si>
  <si>
    <t>timer *</t>
  </si>
  <si>
    <t>uger =</t>
  </si>
  <si>
    <t>Timer</t>
  </si>
  <si>
    <t xml:space="preserve"> 0600 - 1400</t>
  </si>
  <si>
    <r>
      <t xml:space="preserve"> </t>
    </r>
    <r>
      <rPr>
        <sz val="10"/>
        <rFont val="Arial"/>
        <family val="2"/>
      </rPr>
      <t>0600 - 1300</t>
    </r>
  </si>
  <si>
    <t>Åbne Njalsgade kl. 600 - 630</t>
  </si>
  <si>
    <t>2. / 3. Skifts timer:</t>
  </si>
  <si>
    <t xml:space="preserve"> 1400 - 2030</t>
  </si>
  <si>
    <t xml:space="preserve"> 1300 - 1915</t>
  </si>
  <si>
    <t>Lukke Bryggen &amp; Njalsgade</t>
  </si>
  <si>
    <t>: 37 =</t>
  </si>
  <si>
    <t>0,88 x 3 (grundet 37/3 reglen) = 2,64 timer</t>
  </si>
  <si>
    <t>74 timer - 2,64 = 71,36 (skal arbejde)</t>
  </si>
  <si>
    <t>71,25 timer - 71,36 timer = - ,11</t>
  </si>
  <si>
    <t>37 timer x 3 uger = 111 timer</t>
  </si>
  <si>
    <t>2. / 3. Skifts timer = 34</t>
  </si>
  <si>
    <t>1200 - 1900</t>
  </si>
  <si>
    <t>1200 - 1800</t>
  </si>
  <si>
    <t>34 : 37 timer = 0,92  timer</t>
  </si>
  <si>
    <t>Udgået</t>
  </si>
  <si>
    <t>0,92 timer x 3 (grundet 37/3 reglen) = 2,76 timer</t>
  </si>
  <si>
    <t>111 timer - godtskrivelse på 2,76 timer = 108,24 timer</t>
  </si>
  <si>
    <r>
      <t>108 timer - 108,24 timer = -0,24</t>
    </r>
    <r>
      <rPr>
        <u/>
        <sz val="10"/>
        <rFont val="Arial"/>
        <family val="2"/>
      </rPr>
      <t xml:space="preserve"> time</t>
    </r>
  </si>
  <si>
    <t>Buffergruppen</t>
  </si>
  <si>
    <t>Vagter for Kredse</t>
  </si>
  <si>
    <t>Uge      Plankode 8513</t>
  </si>
  <si>
    <r>
      <t>K2 1600</t>
    </r>
    <r>
      <rPr>
        <sz val="9"/>
        <rFont val="Arial"/>
        <family val="2"/>
      </rPr>
      <t xml:space="preserve"> - 0030</t>
    </r>
  </si>
  <si>
    <r>
      <t>K1</t>
    </r>
    <r>
      <rPr>
        <sz val="9"/>
        <rFont val="Arial"/>
        <family val="2"/>
      </rPr>
      <t xml:space="preserve"> 0800 - 1615</t>
    </r>
  </si>
  <si>
    <r>
      <t>K2</t>
    </r>
    <r>
      <rPr>
        <sz val="9"/>
        <rFont val="Arial"/>
        <family val="2"/>
      </rPr>
      <t xml:space="preserve"> 1600 - 0030</t>
    </r>
  </si>
  <si>
    <r>
      <t>KA</t>
    </r>
    <r>
      <rPr>
        <sz val="9"/>
        <rFont val="Arial"/>
        <family val="2"/>
      </rPr>
      <t xml:space="preserve"> 1100 - 2200</t>
    </r>
  </si>
  <si>
    <t>x 3 (grundet 37/3 reglen) =</t>
  </si>
  <si>
    <t>time (godtskrivelse)</t>
  </si>
  <si>
    <r>
      <t>K4</t>
    </r>
    <r>
      <rPr>
        <sz val="9"/>
        <rFont val="Arial"/>
        <family val="2"/>
      </rPr>
      <t xml:space="preserve"> 1500 - 0030</t>
    </r>
  </si>
  <si>
    <t>Godtskrivelse =</t>
  </si>
  <si>
    <t xml:space="preserve"> (Skal arbejde)</t>
  </si>
  <si>
    <t>Vagtplanstimer</t>
  </si>
  <si>
    <t>Minus godtskrivelse</t>
  </si>
  <si>
    <t>=</t>
  </si>
  <si>
    <t>Vagter for Den Hvide Kødby</t>
  </si>
  <si>
    <r>
      <t>H1</t>
    </r>
    <r>
      <rPr>
        <sz val="9"/>
        <rFont val="Arial"/>
        <family val="2"/>
      </rPr>
      <t xml:space="preserve"> 1800 - 0600</t>
    </r>
  </si>
  <si>
    <r>
      <t>HB</t>
    </r>
    <r>
      <rPr>
        <sz val="9"/>
        <rFont val="Arial"/>
        <family val="2"/>
      </rPr>
      <t xml:space="preserve"> 2400 - 1200</t>
    </r>
  </si>
  <si>
    <r>
      <t>HD</t>
    </r>
    <r>
      <rPr>
        <sz val="9"/>
        <rFont val="Arial"/>
        <family val="2"/>
      </rPr>
      <t xml:space="preserve"> 2200 - 0600</t>
    </r>
  </si>
  <si>
    <t>1      Uge 1</t>
  </si>
  <si>
    <t>2      Uge 2</t>
  </si>
  <si>
    <r>
      <t>HA</t>
    </r>
    <r>
      <rPr>
        <sz val="9"/>
        <rFont val="Arial"/>
        <family val="2"/>
      </rPr>
      <t xml:space="preserve"> 1200 - 2400</t>
    </r>
  </si>
  <si>
    <r>
      <t>HC</t>
    </r>
    <r>
      <rPr>
        <sz val="9"/>
        <rFont val="Arial"/>
        <family val="2"/>
      </rPr>
      <t xml:space="preserve"> 1200 - 2200</t>
    </r>
  </si>
  <si>
    <t>3      Uge 3</t>
  </si>
  <si>
    <r>
      <t>H2</t>
    </r>
    <r>
      <rPr>
        <sz val="10"/>
        <rFont val="Arial"/>
        <family val="2"/>
      </rPr>
      <t xml:space="preserve"> 0900 - 1545</t>
    </r>
  </si>
  <si>
    <r>
      <t>H3</t>
    </r>
    <r>
      <rPr>
        <sz val="10"/>
        <rFont val="Arial"/>
        <family val="2"/>
      </rPr>
      <t xml:space="preserve"> 0800 - 1545</t>
    </r>
  </si>
  <si>
    <r>
      <t>H4</t>
    </r>
    <r>
      <rPr>
        <sz val="10"/>
        <rFont val="Arial"/>
        <family val="2"/>
      </rPr>
      <t xml:space="preserve"> 0800 - 1530</t>
    </r>
  </si>
  <si>
    <t>4      Uge 4</t>
  </si>
  <si>
    <t>Bollevagter til helligdage</t>
  </si>
  <si>
    <t>Snit pr. måned</t>
  </si>
  <si>
    <t>BR møder på år</t>
  </si>
  <si>
    <t>AR på år</t>
  </si>
  <si>
    <t>svarer til ca. 47 medarbejdere</t>
  </si>
  <si>
    <t>Rådhusservice</t>
  </si>
  <si>
    <t xml:space="preserve">Plankode  </t>
  </si>
  <si>
    <t>0730 - 1515</t>
  </si>
  <si>
    <t>0730 - 1330</t>
  </si>
  <si>
    <t>320 Mikael M. Andersen</t>
  </si>
  <si>
    <t>168 Kurt N. V. Hansen</t>
  </si>
  <si>
    <t>643 Bjarne Wagner-Larsen</t>
  </si>
  <si>
    <t>309 Birthe Pedersen</t>
  </si>
  <si>
    <t>360 Anders Henriksen</t>
  </si>
  <si>
    <t xml:space="preserve">323 Inge Hansen </t>
  </si>
  <si>
    <t>364 Henning Haaning</t>
  </si>
  <si>
    <t>614 Arne Berthold</t>
  </si>
  <si>
    <t>Birgith Melsted Jensen</t>
  </si>
  <si>
    <t>Majbritt Jensen</t>
  </si>
  <si>
    <t>Ruth Nissen</t>
  </si>
  <si>
    <t>Vagtkode i lønsystem</t>
  </si>
  <si>
    <t>I27</t>
  </si>
  <si>
    <t>I26</t>
  </si>
  <si>
    <t>A77</t>
  </si>
  <si>
    <t>A60</t>
  </si>
  <si>
    <t>F04</t>
  </si>
  <si>
    <t>BW 1</t>
  </si>
  <si>
    <t>BW1</t>
  </si>
  <si>
    <t>Tur</t>
  </si>
  <si>
    <t>F01</t>
  </si>
  <si>
    <t>F02</t>
  </si>
  <si>
    <t>AW 1</t>
  </si>
  <si>
    <r>
      <t>3:</t>
    </r>
    <r>
      <rPr>
        <sz val="9"/>
        <rFont val="Arial"/>
        <family val="2"/>
      </rPr>
      <t xml:space="preserve"> 1630-2345</t>
    </r>
  </si>
  <si>
    <r>
      <t>VI</t>
    </r>
    <r>
      <rPr>
        <sz val="10"/>
        <rFont val="Arial"/>
        <family val="2"/>
      </rPr>
      <t xml:space="preserve">  890 Michael Bo Pedersen</t>
    </r>
  </si>
  <si>
    <t>F03</t>
  </si>
  <si>
    <t>Type i vagtplanssystem</t>
  </si>
  <si>
    <t>011</t>
  </si>
  <si>
    <t>B3W</t>
  </si>
  <si>
    <t>009</t>
  </si>
  <si>
    <t>B1W</t>
  </si>
  <si>
    <t>010</t>
  </si>
  <si>
    <t>B2W</t>
  </si>
  <si>
    <r>
      <t>2</t>
    </r>
    <r>
      <rPr>
        <sz val="10"/>
        <rFont val="Arial"/>
        <family val="2"/>
      </rPr>
      <t xml:space="preserve">                             Tina Hansen</t>
    </r>
  </si>
  <si>
    <t>A3W</t>
  </si>
  <si>
    <t>008</t>
  </si>
  <si>
    <t>X08</t>
  </si>
  <si>
    <t>A2W</t>
  </si>
  <si>
    <t>006</t>
  </si>
  <si>
    <t>A1W</t>
  </si>
  <si>
    <t>007</t>
  </si>
  <si>
    <t>004</t>
  </si>
  <si>
    <t>001</t>
  </si>
  <si>
    <t>005</t>
  </si>
  <si>
    <t>003</t>
  </si>
  <si>
    <t>Sekvens rækkefølge</t>
  </si>
  <si>
    <r>
      <t>I1</t>
    </r>
    <r>
      <rPr>
        <sz val="10"/>
        <rFont val="Arial"/>
        <family val="2"/>
      </rPr>
      <t xml:space="preserve"> 0700-1445</t>
    </r>
  </si>
  <si>
    <r>
      <t>I1</t>
    </r>
    <r>
      <rPr>
        <sz val="10"/>
        <rFont val="Arial"/>
        <family val="2"/>
      </rPr>
      <t xml:space="preserve"> 0700-1300</t>
    </r>
  </si>
  <si>
    <t>I17</t>
  </si>
  <si>
    <t>I16</t>
  </si>
  <si>
    <r>
      <t>I2</t>
    </r>
    <r>
      <rPr>
        <sz val="10"/>
        <rFont val="Arial"/>
        <family val="2"/>
      </rPr>
      <t xml:space="preserve"> 0745-1530</t>
    </r>
  </si>
  <si>
    <r>
      <t>I2</t>
    </r>
    <r>
      <rPr>
        <sz val="10"/>
        <rFont val="Arial"/>
        <family val="2"/>
      </rPr>
      <t xml:space="preserve"> 0745-1345</t>
    </r>
  </si>
  <si>
    <t>TR8</t>
  </si>
  <si>
    <t>TR5</t>
  </si>
  <si>
    <t xml:space="preserve">Vagter for Bryggens Gård  </t>
  </si>
  <si>
    <t>L80</t>
  </si>
  <si>
    <t>L70</t>
  </si>
  <si>
    <t>M65</t>
  </si>
  <si>
    <t>M62</t>
  </si>
  <si>
    <t>S75</t>
  </si>
  <si>
    <t>S70</t>
  </si>
  <si>
    <t>T70</t>
  </si>
  <si>
    <t>T60</t>
  </si>
  <si>
    <t>U75</t>
  </si>
  <si>
    <t>U70</t>
  </si>
  <si>
    <t>B77</t>
  </si>
  <si>
    <t>B60</t>
  </si>
  <si>
    <t>910 John Rasmussen</t>
  </si>
  <si>
    <t>Plankode 8505</t>
  </si>
  <si>
    <t xml:space="preserve">  </t>
  </si>
  <si>
    <t>JR 1</t>
  </si>
  <si>
    <t xml:space="preserve">JR1 </t>
  </si>
  <si>
    <t>JR 2</t>
  </si>
  <si>
    <t>0830 - 1600</t>
  </si>
  <si>
    <t>0900 - 1600</t>
  </si>
  <si>
    <t>Kreds turnus</t>
  </si>
  <si>
    <t>Uge       Plankode 8513</t>
  </si>
  <si>
    <r>
      <t>K1</t>
    </r>
    <r>
      <rPr>
        <sz val="9"/>
        <rFont val="Arial"/>
        <family val="2"/>
      </rPr>
      <t xml:space="preserve"> 0730 - 1600 </t>
    </r>
  </si>
  <si>
    <t>1    K1 vagt</t>
  </si>
  <si>
    <t>K10</t>
  </si>
  <si>
    <r>
      <t>K2</t>
    </r>
    <r>
      <rPr>
        <sz val="9"/>
        <rFont val="Arial"/>
        <family val="2"/>
      </rPr>
      <t xml:space="preserve"> 1700 - 2359</t>
    </r>
  </si>
  <si>
    <r>
      <t>KA</t>
    </r>
    <r>
      <rPr>
        <sz val="9"/>
        <rFont val="Arial"/>
        <family val="2"/>
      </rPr>
      <t xml:space="preserve"> 1100 - 2300</t>
    </r>
  </si>
  <si>
    <t>Kreds, AP m.v.</t>
  </si>
  <si>
    <t>2    K2 vagt</t>
  </si>
  <si>
    <t>Også på helligdage.</t>
  </si>
  <si>
    <t>K20</t>
  </si>
  <si>
    <t>KAW</t>
  </si>
  <si>
    <t>3    K3 vagt</t>
  </si>
  <si>
    <t>tur</t>
  </si>
  <si>
    <r>
      <t>K4</t>
    </r>
    <r>
      <rPr>
        <sz val="9"/>
        <rFont val="Arial"/>
        <family val="2"/>
      </rPr>
      <t xml:space="preserve"> 1630 - 0015 </t>
    </r>
  </si>
  <si>
    <t>4    K4 vagt</t>
  </si>
  <si>
    <t>K40</t>
  </si>
  <si>
    <t>5 Ikke iværksat</t>
  </si>
  <si>
    <t>K50</t>
  </si>
  <si>
    <t>6 Ikke iværksat</t>
  </si>
  <si>
    <t>7 Ikke iværksat</t>
  </si>
  <si>
    <t>svarer til ca. 49 medarbejdere</t>
  </si>
  <si>
    <r>
      <t>3:</t>
    </r>
    <r>
      <rPr>
        <sz val="9"/>
        <rFont val="Arial"/>
        <family val="2"/>
      </rPr>
      <t xml:space="preserve"> 1530 - 2245</t>
    </r>
  </si>
  <si>
    <r>
      <t>K1 0800</t>
    </r>
    <r>
      <rPr>
        <sz val="9"/>
        <rFont val="Arial"/>
        <family val="2"/>
      </rPr>
      <t xml:space="preserve"> - 1545</t>
    </r>
  </si>
  <si>
    <r>
      <t>K1 0800</t>
    </r>
    <r>
      <rPr>
        <sz val="9"/>
        <rFont val="Arial"/>
        <family val="2"/>
      </rPr>
      <t xml:space="preserve"> - 1400</t>
    </r>
  </si>
  <si>
    <r>
      <t xml:space="preserve">K2 </t>
    </r>
    <r>
      <rPr>
        <sz val="9"/>
        <rFont val="Arial"/>
        <family val="2"/>
      </rPr>
      <t>1500- 0015</t>
    </r>
  </si>
  <si>
    <r>
      <t xml:space="preserve">K5 </t>
    </r>
    <r>
      <rPr>
        <sz val="9"/>
        <rFont val="Arial"/>
        <family val="2"/>
      </rPr>
      <t>1500- 0015</t>
    </r>
  </si>
  <si>
    <r>
      <t xml:space="preserve">K5 </t>
    </r>
    <r>
      <rPr>
        <sz val="9"/>
        <rFont val="Arial"/>
        <family val="2"/>
      </rPr>
      <t>1400- 0015</t>
    </r>
  </si>
  <si>
    <r>
      <t>KA</t>
    </r>
    <r>
      <rPr>
        <sz val="9"/>
        <rFont val="Arial"/>
        <family val="2"/>
      </rPr>
      <t xml:space="preserve"> 1000 - 2030</t>
    </r>
  </si>
  <si>
    <r>
      <t>KA</t>
    </r>
    <r>
      <rPr>
        <sz val="9"/>
        <rFont val="Arial"/>
        <family val="2"/>
      </rPr>
      <t xml:space="preserve"> 1100 - 2130</t>
    </r>
  </si>
  <si>
    <t>Farvekoder</t>
  </si>
  <si>
    <t>Afspadsering</t>
  </si>
  <si>
    <t>Syg</t>
  </si>
  <si>
    <t>Ekstravagt på overtid</t>
  </si>
  <si>
    <t>Ferie</t>
  </si>
  <si>
    <t>Feriefridag</t>
  </si>
  <si>
    <t>Omsorgsdag</t>
  </si>
  <si>
    <t>Kursus</t>
  </si>
  <si>
    <t>Senior dag</t>
  </si>
  <si>
    <r>
      <t>F</t>
    </r>
    <r>
      <rPr>
        <sz val="9"/>
        <rFont val="Arial"/>
        <family val="2"/>
      </rPr>
      <t>: Turnusfri</t>
    </r>
  </si>
  <si>
    <r>
      <t>Orlov</t>
    </r>
    <r>
      <rPr>
        <sz val="9"/>
        <rFont val="Arial"/>
        <family val="2"/>
      </rPr>
      <t>: Grøn m/streg</t>
    </r>
  </si>
  <si>
    <r>
      <t>Barsel</t>
    </r>
    <r>
      <rPr>
        <sz val="9"/>
        <rFont val="Arial"/>
        <family val="2"/>
      </rPr>
      <t xml:space="preserve">: Rød m/streg </t>
    </r>
  </si>
  <si>
    <r>
      <t>l</t>
    </r>
    <r>
      <rPr>
        <sz val="9"/>
        <rFont val="Arial"/>
        <family val="2"/>
      </rPr>
      <t>: Daglig tjeneste</t>
    </r>
  </si>
  <si>
    <t xml:space="preserve">      :Omlægning af vagt (Planafvigelse)</t>
  </si>
  <si>
    <t>Barns 1. Sygedag</t>
  </si>
  <si>
    <r>
      <t>TJ:</t>
    </r>
    <r>
      <rPr>
        <sz val="9"/>
        <rFont val="Arial"/>
        <family val="2"/>
      </rPr>
      <t xml:space="preserve"> Tjenestefri </t>
    </r>
  </si>
  <si>
    <t>Oplæring</t>
  </si>
  <si>
    <t>Afdeling 4200 Afsnit 4340</t>
  </si>
  <si>
    <t>Kredse</t>
  </si>
  <si>
    <t>Plankode 8518</t>
  </si>
  <si>
    <t>K3 0830-1540</t>
  </si>
  <si>
    <t>K3 0830-1545</t>
  </si>
  <si>
    <t>K3 0900-1830</t>
  </si>
  <si>
    <t>K3 0830-1415</t>
  </si>
  <si>
    <r>
      <t>K2</t>
    </r>
    <r>
      <rPr>
        <sz val="10"/>
        <rFont val="Arial"/>
        <family val="2"/>
      </rPr>
      <t xml:space="preserve"> 1500 – 0015</t>
    </r>
  </si>
  <si>
    <r>
      <t>K5</t>
    </r>
    <r>
      <rPr>
        <sz val="10"/>
        <rFont val="Arial"/>
        <family val="2"/>
      </rPr>
      <t xml:space="preserve"> 1500 – 0015</t>
    </r>
  </si>
  <si>
    <t>1500-0015</t>
  </si>
  <si>
    <r>
      <t>K5</t>
    </r>
    <r>
      <rPr>
        <sz val="10"/>
        <rFont val="Arial"/>
        <family val="2"/>
      </rPr>
      <t xml:space="preserve"> 1400 – 0015</t>
    </r>
  </si>
  <si>
    <r>
      <t>KA</t>
    </r>
    <r>
      <rPr>
        <sz val="10"/>
        <rFont val="Arial"/>
        <family val="2"/>
      </rPr>
      <t xml:space="preserve"> 1000 – 2030</t>
    </r>
  </si>
  <si>
    <r>
      <t>KA</t>
    </r>
    <r>
      <rPr>
        <sz val="10"/>
        <rFont val="Arial"/>
        <family val="2"/>
      </rPr>
      <t xml:space="preserve"> 1100 – 2130</t>
    </r>
  </si>
  <si>
    <t>Navn</t>
  </si>
  <si>
    <t>Rest      FE</t>
  </si>
  <si>
    <t>Rest    FF</t>
  </si>
  <si>
    <t>993 Steen Hertin</t>
  </si>
  <si>
    <t>K2</t>
  </si>
  <si>
    <t>K5</t>
  </si>
  <si>
    <t>KA</t>
  </si>
  <si>
    <t>F</t>
  </si>
  <si>
    <t>K3</t>
  </si>
  <si>
    <t>405 Camilla Benvil</t>
  </si>
  <si>
    <t>410 Karina Schiöpffe</t>
  </si>
  <si>
    <t>Ny turnus</t>
  </si>
  <si>
    <r>
      <rPr>
        <b/>
        <sz val="10"/>
        <rFont val="Arial"/>
        <family val="2"/>
      </rPr>
      <t>K3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0830-1545</t>
    </r>
  </si>
  <si>
    <t>0830-1545</t>
  </si>
  <si>
    <r>
      <rPr>
        <b/>
        <sz val="10"/>
        <rFont val="Arial"/>
        <family val="2"/>
      </rPr>
      <t>K3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0900-1830</t>
    </r>
  </si>
  <si>
    <r>
      <rPr>
        <b/>
        <sz val="10"/>
        <rFont val="Arial"/>
        <family val="2"/>
      </rPr>
      <t>K3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0830-1415</t>
    </r>
  </si>
  <si>
    <r>
      <rPr>
        <b/>
        <sz val="10"/>
        <rFont val="Arial"/>
        <family val="2"/>
      </rPr>
      <t>K4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0830-1545</t>
    </r>
  </si>
  <si>
    <r>
      <rPr>
        <b/>
        <sz val="10"/>
        <rFont val="Arial"/>
        <family val="2"/>
      </rPr>
      <t>K4</t>
    </r>
    <r>
      <rPr>
        <sz val="9"/>
        <rFont val="Arial"/>
        <family val="2"/>
      </rPr>
      <t xml:space="preserve"> 0900-1830</t>
    </r>
  </si>
  <si>
    <r>
      <t>K4</t>
    </r>
    <r>
      <rPr>
        <sz val="9"/>
        <rFont val="Arial"/>
        <family val="2"/>
      </rPr>
      <t xml:space="preserve"> 0830-1415</t>
    </r>
    <r>
      <rPr>
        <sz val="10"/>
        <rFont val="Arial"/>
        <family val="2"/>
      </rPr>
      <t xml:space="preserve"> </t>
    </r>
  </si>
  <si>
    <r>
      <rPr>
        <b/>
        <sz val="10"/>
        <rFont val="Arial"/>
        <family val="2"/>
      </rPr>
      <t>K5</t>
    </r>
    <r>
      <rPr>
        <sz val="9"/>
        <rFont val="Arial"/>
        <family val="2"/>
      </rPr>
      <t xml:space="preserve"> 1630-2345</t>
    </r>
  </si>
  <si>
    <r>
      <rPr>
        <b/>
        <sz val="10"/>
        <rFont val="Arial"/>
        <family val="2"/>
      </rPr>
      <t>K5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1630-2345</t>
    </r>
    <r>
      <rPr>
        <sz val="10"/>
        <rFont val="Arial"/>
        <family val="2"/>
      </rPr>
      <t xml:space="preserve"> </t>
    </r>
  </si>
  <si>
    <r>
      <rPr>
        <b/>
        <sz val="10"/>
        <rFont val="Arial"/>
        <family val="2"/>
      </rPr>
      <t>K5</t>
    </r>
    <r>
      <rPr>
        <b/>
        <sz val="9"/>
        <rFont val="Arial"/>
        <family val="2"/>
      </rPr>
      <t xml:space="preserve"> </t>
    </r>
    <r>
      <rPr>
        <sz val="9"/>
        <rFont val="Arial"/>
        <family val="2"/>
      </rPr>
      <t>1630-2345</t>
    </r>
  </si>
  <si>
    <r>
      <t xml:space="preserve">K2 </t>
    </r>
    <r>
      <rPr>
        <sz val="10"/>
        <rFont val="Arial"/>
        <family val="2"/>
      </rPr>
      <t>1500 – 0015</t>
    </r>
  </si>
  <si>
    <t>1630-2345</t>
  </si>
  <si>
    <r>
      <t xml:space="preserve">K2 </t>
    </r>
    <r>
      <rPr>
        <sz val="10"/>
        <rFont val="Arial"/>
        <family val="2"/>
      </rPr>
      <t>1400 – 0015</t>
    </r>
  </si>
  <si>
    <t>436 Jakob Nørgård Madsen</t>
  </si>
  <si>
    <t>K4</t>
  </si>
  <si>
    <t>380 Ali Capcan</t>
  </si>
  <si>
    <t xml:space="preserve">433 Simon Botfeldt </t>
  </si>
  <si>
    <t>Afdeling 4420 afsnit 4420</t>
  </si>
  <si>
    <t xml:space="preserve"> 0600-1345</t>
  </si>
  <si>
    <t xml:space="preserve"> 0600-1200</t>
  </si>
  <si>
    <t>0700 - 1445</t>
  </si>
  <si>
    <t>416 Dorte Ramassi</t>
  </si>
  <si>
    <t>l</t>
  </si>
  <si>
    <t>Afdeling 4410 afsnit 4410</t>
  </si>
  <si>
    <t xml:space="preserve">Plankoder </t>
  </si>
  <si>
    <t>984 Jannie M.-Andersen</t>
  </si>
  <si>
    <r>
      <t>P1</t>
    </r>
    <r>
      <rPr>
        <sz val="10"/>
        <rFont val="Arial"/>
        <family val="2"/>
      </rPr>
      <t xml:space="preserve"> 0700 - 1445</t>
    </r>
  </si>
  <si>
    <r>
      <t>PF1</t>
    </r>
    <r>
      <rPr>
        <sz val="10"/>
        <rFont val="Arial"/>
        <family val="2"/>
      </rPr>
      <t xml:space="preserve"> 0700 - 1300</t>
    </r>
  </si>
  <si>
    <t>434 Marco Minerba</t>
  </si>
  <si>
    <r>
      <t>P2</t>
    </r>
    <r>
      <rPr>
        <sz val="10"/>
        <rFont val="Arial"/>
        <family val="2"/>
      </rPr>
      <t xml:space="preserve"> 0730 - 1500</t>
    </r>
  </si>
  <si>
    <r>
      <t>PF2</t>
    </r>
    <r>
      <rPr>
        <sz val="10"/>
        <rFont val="Arial"/>
        <family val="2"/>
      </rPr>
      <t xml:space="preserve"> 0730 - 1430</t>
    </r>
  </si>
  <si>
    <t>409 Martin Holse</t>
  </si>
  <si>
    <r>
      <t xml:space="preserve">P3 </t>
    </r>
    <r>
      <rPr>
        <sz val="10"/>
        <rFont val="Arial"/>
        <family val="2"/>
      </rPr>
      <t>0900 - 1630</t>
    </r>
  </si>
  <si>
    <r>
      <t xml:space="preserve">PF3 </t>
    </r>
    <r>
      <rPr>
        <sz val="10"/>
        <rFont val="Arial"/>
        <family val="2"/>
      </rPr>
      <t>0900 - 1600</t>
    </r>
  </si>
  <si>
    <t>Nye tider for alle tre</t>
  </si>
  <si>
    <t>Buffer gruppen</t>
  </si>
  <si>
    <t>Plan</t>
  </si>
  <si>
    <t>Normal daglig tjeneste</t>
  </si>
  <si>
    <t xml:space="preserve">PT: Postafdeligen  </t>
  </si>
  <si>
    <t>413 Jørgen Gydesen</t>
  </si>
  <si>
    <t>A1</t>
  </si>
  <si>
    <t>A2</t>
  </si>
  <si>
    <t>424 Martin Hvorslev</t>
  </si>
  <si>
    <t>I</t>
  </si>
  <si>
    <t>431 Jimmy Hildebrandt</t>
  </si>
  <si>
    <t>I2</t>
  </si>
  <si>
    <t>N</t>
  </si>
  <si>
    <t>K</t>
  </si>
  <si>
    <t>L</t>
  </si>
  <si>
    <t>N)</t>
  </si>
  <si>
    <t>435 Per Olsson</t>
  </si>
  <si>
    <t>B1</t>
  </si>
  <si>
    <t>P</t>
  </si>
  <si>
    <t xml:space="preserve">Dorthe Højbak </t>
  </si>
  <si>
    <t>Kim Aabroe</t>
  </si>
  <si>
    <t>E</t>
  </si>
  <si>
    <t>I1</t>
  </si>
  <si>
    <t>399 Henrik Nittebjerg</t>
  </si>
  <si>
    <t>i2</t>
  </si>
  <si>
    <t>Pratik og vikarer</t>
  </si>
  <si>
    <t>Mark Kruse</t>
  </si>
  <si>
    <t>Lara Andersen</t>
  </si>
  <si>
    <t>Christian Rednic</t>
  </si>
  <si>
    <t>B2</t>
  </si>
  <si>
    <t>P3</t>
  </si>
  <si>
    <t>Isabella</t>
  </si>
  <si>
    <t>Erhverspraktikant Mikkel</t>
  </si>
  <si>
    <t>Erhverspraktikant Oliver</t>
  </si>
  <si>
    <t>Administrations og Arrangementsafdelingen</t>
  </si>
  <si>
    <t>0600 - 1115</t>
  </si>
  <si>
    <t>0600  - 1200</t>
  </si>
  <si>
    <t>Forskudt vagt</t>
  </si>
  <si>
    <r>
      <t xml:space="preserve">19: </t>
    </r>
    <r>
      <rPr>
        <sz val="10"/>
        <rFont val="Arial"/>
        <family val="2"/>
      </rPr>
      <t>kl. 11 - 1845</t>
    </r>
  </si>
  <si>
    <r>
      <t xml:space="preserve">19: </t>
    </r>
    <r>
      <rPr>
        <sz val="10"/>
        <rFont val="Arial"/>
        <family val="2"/>
      </rPr>
      <t>kl. 11 - 17</t>
    </r>
  </si>
  <si>
    <t>Henning Christiansen</t>
  </si>
  <si>
    <t>Judith Østergaard</t>
  </si>
  <si>
    <t>986 Ulla B. Olsen</t>
  </si>
  <si>
    <t>886 Per Larsen</t>
  </si>
  <si>
    <t>l)</t>
  </si>
  <si>
    <t>908 Kenny  Hautop</t>
  </si>
  <si>
    <t>414 Steffen Grube</t>
  </si>
  <si>
    <t>327 Johnny Hansen</t>
  </si>
  <si>
    <t>502 Ruth Nissen</t>
  </si>
  <si>
    <t>504 Maya Villadsen</t>
  </si>
  <si>
    <t>Ludmilla Stidl</t>
  </si>
  <si>
    <t>Postservice</t>
  </si>
  <si>
    <t>0745 - 1345</t>
  </si>
  <si>
    <t>3702 Lige uger</t>
  </si>
  <si>
    <r>
      <t xml:space="preserve">2 </t>
    </r>
    <r>
      <rPr>
        <sz val="10"/>
        <rFont val="Arial"/>
        <family val="2"/>
      </rPr>
      <t>0600 - 1300</t>
    </r>
  </si>
  <si>
    <t>3702 Ulige uger</t>
  </si>
  <si>
    <r>
      <t>1</t>
    </r>
    <r>
      <rPr>
        <sz val="10"/>
        <rFont val="Arial"/>
        <family val="2"/>
      </rPr>
      <t xml:space="preserve"> 0600 - 1500</t>
    </r>
  </si>
  <si>
    <r>
      <t>1</t>
    </r>
    <r>
      <rPr>
        <sz val="10"/>
        <rFont val="Arial"/>
        <family val="2"/>
      </rPr>
      <t xml:space="preserve"> 0700 - 1500</t>
    </r>
  </si>
  <si>
    <r>
      <t xml:space="preserve">1 </t>
    </r>
    <r>
      <rPr>
        <sz val="10"/>
        <rFont val="Arial"/>
        <family val="2"/>
      </rPr>
      <t>0700 - 1500</t>
    </r>
  </si>
  <si>
    <r>
      <t xml:space="preserve">1 </t>
    </r>
    <r>
      <rPr>
        <sz val="10"/>
        <rFont val="Arial"/>
        <family val="2"/>
      </rPr>
      <t>0700 - 1300</t>
    </r>
  </si>
  <si>
    <t>Afdeling/afsnit 4410/4410</t>
  </si>
  <si>
    <t>388 Ricco Nielsen</t>
  </si>
  <si>
    <t>371 Henrik Dencker</t>
  </si>
  <si>
    <t>401 Karsten Nielsen</t>
  </si>
  <si>
    <t>Postruter</t>
  </si>
  <si>
    <t>P2</t>
  </si>
  <si>
    <t>P1</t>
  </si>
  <si>
    <t>Skanning</t>
  </si>
  <si>
    <t>3350 A</t>
  </si>
  <si>
    <t>0815 - 1530</t>
  </si>
  <si>
    <t>0815 - 1515</t>
  </si>
  <si>
    <t>Afdeling/afsnit 4410/4411</t>
  </si>
  <si>
    <t>404 Claus Lahn</t>
  </si>
  <si>
    <t>3350A</t>
  </si>
  <si>
    <t>Berit Bavnbæk</t>
  </si>
  <si>
    <t xml:space="preserve">419 Karina Petersen </t>
  </si>
  <si>
    <t>851 Preben Jans</t>
  </si>
  <si>
    <t>429 Ann Rudolf Nielsen</t>
  </si>
  <si>
    <t>Afdeling/afsnit 4420/4420</t>
  </si>
  <si>
    <t>Afdeling/afsnit 4250/4210</t>
  </si>
  <si>
    <t>Karsten Hallander</t>
  </si>
  <si>
    <t>Søren Christensen</t>
  </si>
  <si>
    <t>Frank Hansen</t>
  </si>
  <si>
    <t>Preben K. Nielsen</t>
  </si>
  <si>
    <t>Michael  Skytte</t>
  </si>
  <si>
    <t>Per Rasmussen</t>
  </si>
  <si>
    <t>Allan Christensen</t>
  </si>
  <si>
    <t>Dagny Torres</t>
  </si>
  <si>
    <t>Lars B.G. Christoffersen</t>
  </si>
  <si>
    <t>Ole Kristiansen</t>
  </si>
  <si>
    <t>Jan Tranberg</t>
  </si>
  <si>
    <t>Jozef Holecz</t>
  </si>
  <si>
    <t>Søren Ejdorf</t>
  </si>
  <si>
    <t>Hans Rørbæk</t>
  </si>
  <si>
    <r>
      <t>1</t>
    </r>
    <r>
      <rPr>
        <sz val="11"/>
        <rFont val="Arial"/>
        <family val="2"/>
      </rPr>
      <t>: Vagthavende kl. 0630 - 1445</t>
    </r>
  </si>
  <si>
    <r>
      <t>2</t>
    </r>
    <r>
      <rPr>
        <sz val="11"/>
        <rFont val="Arial"/>
        <family val="2"/>
      </rPr>
      <t>: Vagthavende kl. 1430 - 2230</t>
    </r>
  </si>
  <si>
    <r>
      <t>3</t>
    </r>
    <r>
      <rPr>
        <sz val="11"/>
        <rFont val="Arial"/>
        <family val="2"/>
      </rPr>
      <t>: Patruljeleder kl. 1530 - 2245</t>
    </r>
  </si>
  <si>
    <r>
      <t>4</t>
    </r>
    <r>
      <rPr>
        <sz val="11"/>
        <rFont val="Arial"/>
        <family val="2"/>
      </rPr>
      <t>: Vagthavende kl. 2230 - 0645</t>
    </r>
  </si>
  <si>
    <r>
      <t>A</t>
    </r>
    <r>
      <rPr>
        <sz val="11"/>
        <rFont val="Arial"/>
        <family val="2"/>
      </rPr>
      <t>: Vagthavende kl. 0630 - 1845 (lør-, søndage)</t>
    </r>
  </si>
  <si>
    <r>
      <t>B</t>
    </r>
    <r>
      <rPr>
        <sz val="11"/>
        <rFont val="Arial"/>
        <family val="2"/>
      </rPr>
      <t>: Vagthavende kl. 1830 - 0645 (lør-, søndage)</t>
    </r>
  </si>
  <si>
    <r>
      <t>l:</t>
    </r>
    <r>
      <rPr>
        <sz val="11"/>
        <rFont val="Arial"/>
        <family val="2"/>
      </rPr>
      <t xml:space="preserve"> Man. - tor. Kl. 0815 - 1600, fre.Kl 0815 - 1415 </t>
    </r>
  </si>
  <si>
    <t>Nøgle uge nr.:</t>
  </si>
  <si>
    <t>Turnusformænd</t>
  </si>
  <si>
    <r>
      <t xml:space="preserve">I  </t>
    </r>
    <r>
      <rPr>
        <sz val="9"/>
        <rFont val="Arial"/>
        <family val="2"/>
      </rPr>
      <t>902 Erik Andersen</t>
    </r>
  </si>
  <si>
    <t>B</t>
  </si>
  <si>
    <t>A</t>
  </si>
  <si>
    <r>
      <t xml:space="preserve">II  </t>
    </r>
    <r>
      <rPr>
        <sz val="9"/>
        <rFont val="Arial"/>
        <family val="2"/>
      </rPr>
      <t>358 Per Olsen</t>
    </r>
  </si>
  <si>
    <r>
      <t xml:space="preserve">IV  </t>
    </r>
    <r>
      <rPr>
        <sz val="9"/>
        <rFont val="Arial"/>
        <family val="2"/>
      </rPr>
      <t>664 Dennis Rise</t>
    </r>
  </si>
  <si>
    <r>
      <t>V</t>
    </r>
    <r>
      <rPr>
        <sz val="9"/>
        <rFont val="Arial"/>
        <family val="2"/>
      </rPr>
      <t xml:space="preserve"> 357 Jesper Simonsen</t>
    </r>
  </si>
  <si>
    <r>
      <t xml:space="preserve">VI </t>
    </r>
    <r>
      <rPr>
        <sz val="9"/>
        <rFont val="Arial"/>
        <family val="2"/>
      </rPr>
      <t>890 Michael Bo Pedersen</t>
    </r>
  </si>
  <si>
    <t>Formændsafløsere</t>
  </si>
  <si>
    <t>%</t>
  </si>
  <si>
    <t>992 Jim H. Larsen</t>
  </si>
  <si>
    <t>Vagter for turnus Rådhuset Plankode 8516</t>
  </si>
  <si>
    <r>
      <t xml:space="preserve">1  </t>
    </r>
    <r>
      <rPr>
        <sz val="10"/>
        <rFont val="Arial"/>
        <family val="2"/>
      </rPr>
      <t>0700 - 1400 Også på helligdage</t>
    </r>
  </si>
  <si>
    <r>
      <t xml:space="preserve">3 </t>
    </r>
    <r>
      <rPr>
        <sz val="10"/>
        <rFont val="Arial"/>
        <family val="2"/>
      </rPr>
      <t xml:space="preserve"> 0730 - 1530 Også på helligdage</t>
    </r>
  </si>
  <si>
    <r>
      <t xml:space="preserve">4 </t>
    </r>
    <r>
      <rPr>
        <sz val="10"/>
        <rFont val="Arial"/>
        <family val="2"/>
      </rPr>
      <t xml:space="preserve"> 0930 - 1730</t>
    </r>
    <r>
      <rPr>
        <sz val="9"/>
        <rFont val="Arial"/>
        <family val="2"/>
      </rPr>
      <t xml:space="preserve"> (8-16 på H.dage)</t>
    </r>
  </si>
  <si>
    <r>
      <t xml:space="preserve">5 </t>
    </r>
    <r>
      <rPr>
        <sz val="10"/>
        <rFont val="Arial"/>
        <family val="2"/>
      </rPr>
      <t xml:space="preserve"> 1430 - 2200 (-helligdage)</t>
    </r>
  </si>
  <si>
    <r>
      <t xml:space="preserve">6  </t>
    </r>
    <r>
      <rPr>
        <sz val="10"/>
        <rFont val="Arial"/>
        <family val="2"/>
      </rPr>
      <t>Aften</t>
    </r>
    <r>
      <rPr>
        <b/>
        <sz val="10"/>
        <rFont val="Arial"/>
        <family val="2"/>
      </rPr>
      <t xml:space="preserve"> </t>
    </r>
    <r>
      <rPr>
        <sz val="10"/>
        <rFont val="Arial"/>
        <family val="2"/>
      </rPr>
      <t xml:space="preserve">1600 - 2300 </t>
    </r>
  </si>
  <si>
    <r>
      <t xml:space="preserve">7 </t>
    </r>
    <r>
      <rPr>
        <sz val="10"/>
        <rFont val="Arial"/>
        <family val="2"/>
      </rPr>
      <t xml:space="preserve"> Aften 1515 - 2315</t>
    </r>
  </si>
  <si>
    <r>
      <t xml:space="preserve">8 </t>
    </r>
    <r>
      <rPr>
        <sz val="10"/>
        <rFont val="Arial"/>
        <family val="2"/>
      </rPr>
      <t xml:space="preserve"> Aften 1600-2300 /fredag 1600-2230</t>
    </r>
  </si>
  <si>
    <r>
      <t xml:space="preserve">9 </t>
    </r>
    <r>
      <rPr>
        <sz val="10"/>
        <rFont val="Arial"/>
        <family val="2"/>
      </rPr>
      <t xml:space="preserve"> Nat 2300 - 0600  </t>
    </r>
  </si>
  <si>
    <r>
      <t xml:space="preserve">10 </t>
    </r>
    <r>
      <rPr>
        <sz val="10"/>
        <rFont val="Arial"/>
        <family val="2"/>
      </rPr>
      <t xml:space="preserve"> Nat 2300 - 0700</t>
    </r>
  </si>
  <si>
    <r>
      <t xml:space="preserve">11 </t>
    </r>
    <r>
      <rPr>
        <sz val="10"/>
        <rFont val="Arial"/>
        <family val="2"/>
      </rPr>
      <t xml:space="preserve"> Nat 2300 - 0715</t>
    </r>
  </si>
  <si>
    <r>
      <t>A1</t>
    </r>
    <r>
      <rPr>
        <sz val="10"/>
        <rFont val="Arial"/>
        <family val="2"/>
      </rPr>
      <t xml:space="preserve"> Dag 0845 - 1745 Lørdag </t>
    </r>
  </si>
  <si>
    <r>
      <t>A2</t>
    </r>
    <r>
      <rPr>
        <sz val="10"/>
        <rFont val="Arial"/>
        <family val="2"/>
      </rPr>
      <t xml:space="preserve"> Dag 0700 - 1900 Lørdag &amp; søndag</t>
    </r>
  </si>
  <si>
    <r>
      <t>A3</t>
    </r>
    <r>
      <rPr>
        <sz val="10"/>
        <rFont val="Arial"/>
        <family val="2"/>
      </rPr>
      <t xml:space="preserve"> Dag 0700 - 1915 Lørdag &amp; søndag</t>
    </r>
  </si>
  <si>
    <r>
      <t>B1</t>
    </r>
    <r>
      <rPr>
        <sz val="10"/>
        <rFont val="Arial"/>
        <family val="2"/>
      </rPr>
      <t xml:space="preserve"> Nat 1900 - 0600  Lørdag &amp; søndag</t>
    </r>
  </si>
  <si>
    <r>
      <t>B2</t>
    </r>
    <r>
      <rPr>
        <sz val="10"/>
        <rFont val="Arial"/>
        <family val="2"/>
      </rPr>
      <t xml:space="preserve"> Nat 1900 - 0700  Lørdag &amp; søndag </t>
    </r>
  </si>
  <si>
    <r>
      <t>B3</t>
    </r>
    <r>
      <rPr>
        <sz val="10"/>
        <rFont val="Arial"/>
        <family val="2"/>
      </rPr>
      <t xml:space="preserve"> Nat 1900 - 0715  Lørdag &amp; søndag</t>
    </r>
  </si>
  <si>
    <t>969 Anders Hintze</t>
  </si>
  <si>
    <t>B3</t>
  </si>
  <si>
    <t>418 Haydee Larsen</t>
  </si>
  <si>
    <t>420 Carsten Dahl</t>
  </si>
  <si>
    <t>A3</t>
  </si>
  <si>
    <t>7)</t>
  </si>
  <si>
    <t>402 Ole Albertsen</t>
  </si>
  <si>
    <t>8)</t>
  </si>
  <si>
    <t>308 Kim B. T. Pedersen</t>
  </si>
  <si>
    <t>408 Carsten Brynald</t>
  </si>
  <si>
    <t>860 Jørn Rasmussen</t>
  </si>
  <si>
    <t>386 Birthe Andersen Nexø</t>
  </si>
  <si>
    <t>961 Sonny Ingerslev</t>
  </si>
  <si>
    <t>393 Thomas Holm</t>
  </si>
  <si>
    <t>411  Niels C. Frederiksen</t>
  </si>
  <si>
    <t>387 Bo Iversen</t>
  </si>
  <si>
    <t>421 Niels Bo Jensen</t>
  </si>
  <si>
    <t xml:space="preserve"> 394 Gorm Wilhjelm</t>
  </si>
  <si>
    <t>313 Erik M. Nielsen</t>
  </si>
  <si>
    <t>Informationen</t>
  </si>
  <si>
    <t>i1 Plankode 8520</t>
  </si>
  <si>
    <t>i2 Plankode 8521</t>
  </si>
  <si>
    <t>824 Anders Villadsen</t>
  </si>
  <si>
    <t>i1</t>
  </si>
  <si>
    <t>i1)</t>
  </si>
  <si>
    <t>370 Kristoffer Sahlholdt</t>
  </si>
  <si>
    <t>K1</t>
  </si>
  <si>
    <t>D</t>
  </si>
  <si>
    <t>H</t>
  </si>
  <si>
    <t>G</t>
  </si>
  <si>
    <t>Oplysningskontoret</t>
  </si>
  <si>
    <t>Plankode 8506</t>
  </si>
  <si>
    <t>0800-1600</t>
  </si>
  <si>
    <t>0900-1400</t>
  </si>
  <si>
    <t>0900-1600</t>
  </si>
  <si>
    <t>0800-1500</t>
  </si>
  <si>
    <t>316 Marianne Rasmussen</t>
  </si>
  <si>
    <t>4)</t>
  </si>
  <si>
    <t>FOA</t>
  </si>
  <si>
    <t>Socialcenter København</t>
  </si>
  <si>
    <t>Plankode</t>
  </si>
  <si>
    <t>Griffen</t>
  </si>
  <si>
    <t>C</t>
  </si>
  <si>
    <t>815-1540</t>
  </si>
  <si>
    <t>900-1845</t>
  </si>
  <si>
    <t>815-1315</t>
  </si>
  <si>
    <t>Ørnevej</t>
  </si>
  <si>
    <t>Brønshøjvej</t>
  </si>
  <si>
    <t>Remisevej</t>
  </si>
  <si>
    <t>Spaniensgade</t>
  </si>
  <si>
    <t>Valdemarsgade</t>
  </si>
  <si>
    <t>Matthæusgade</t>
  </si>
  <si>
    <t>M</t>
  </si>
  <si>
    <t>Svanevej</t>
  </si>
  <si>
    <t>Gl. Køge landevej</t>
  </si>
  <si>
    <t>O</t>
  </si>
  <si>
    <t>Svendborggade</t>
  </si>
  <si>
    <t>439 Erik H. Hansen</t>
  </si>
  <si>
    <t>691 Flemming Dam</t>
  </si>
  <si>
    <t>438 Frank H. Christensen</t>
  </si>
  <si>
    <t xml:space="preserve">395 Lars Lionett </t>
  </si>
  <si>
    <t>396 Wojciech Jagielski</t>
  </si>
  <si>
    <t>437 Henrik Rasmussen</t>
  </si>
  <si>
    <t xml:space="preserve">839 Johnny Karlsson </t>
  </si>
  <si>
    <t>940 Helle B. Kristensen</t>
  </si>
  <si>
    <t>427 Allan Pedersen</t>
  </si>
  <si>
    <t>682 Carl-Erik Holm</t>
  </si>
  <si>
    <t>322 Henning Larsen</t>
  </si>
  <si>
    <t>982 Frank Falkenskov</t>
  </si>
  <si>
    <r>
      <t>3</t>
    </r>
    <r>
      <rPr>
        <sz val="11"/>
        <rFont val="Arial"/>
        <family val="2"/>
      </rPr>
      <t>: Patruljeleder kl. 1630 - 2345</t>
    </r>
  </si>
  <si>
    <t>Plankode 8513</t>
  </si>
  <si>
    <t>1400-0015</t>
  </si>
  <si>
    <t>Simon Botfeldt</t>
  </si>
  <si>
    <t>4336 Jakob Nørgård Madsen</t>
  </si>
  <si>
    <t xml:space="preserve">395 Lars Lionette </t>
  </si>
  <si>
    <t>L)</t>
  </si>
  <si>
    <t>O)</t>
  </si>
  <si>
    <t>Isabella Janovic</t>
  </si>
  <si>
    <t>Thomas Dion Lembke</t>
  </si>
  <si>
    <t>9)</t>
  </si>
  <si>
    <t>P1)</t>
  </si>
  <si>
    <t>407 Preben Elfenbein</t>
  </si>
  <si>
    <t>10)</t>
  </si>
  <si>
    <t>i2)</t>
  </si>
  <si>
    <r>
      <t>K1</t>
    </r>
    <r>
      <rPr>
        <sz val="10"/>
        <rFont val="Arial"/>
        <family val="2"/>
      </rPr>
      <t xml:space="preserve"> 0800 – 1545</t>
    </r>
  </si>
  <si>
    <r>
      <t>K1</t>
    </r>
    <r>
      <rPr>
        <sz val="10"/>
        <rFont val="Arial"/>
        <family val="2"/>
      </rPr>
      <t xml:space="preserve"> 0800 – 1400</t>
    </r>
  </si>
  <si>
    <t>k5</t>
  </si>
  <si>
    <t>G)</t>
  </si>
  <si>
    <t>KS</t>
  </si>
  <si>
    <t>Afdeling 4310 afsnit 4314</t>
  </si>
  <si>
    <t>Camilla Domine</t>
  </si>
  <si>
    <t>844 Kim Almind</t>
  </si>
  <si>
    <t>Ea Nielsen</t>
  </si>
  <si>
    <t>I)</t>
  </si>
  <si>
    <t>Henrik Brochdorff Himmelstrup.</t>
  </si>
  <si>
    <t>HNG</t>
  </si>
  <si>
    <t>398 Jørgen Kromann</t>
  </si>
  <si>
    <t>607 Kaj Bindslev</t>
  </si>
  <si>
    <t>869 Claus Pedersen</t>
  </si>
  <si>
    <t>954 Benny Jørgensen</t>
  </si>
  <si>
    <t>440 Jan Buch Ørum-Pedersen</t>
  </si>
  <si>
    <t>Martin Svanebjerg</t>
  </si>
  <si>
    <t>Michael Hansen</t>
  </si>
  <si>
    <t>2)</t>
  </si>
  <si>
    <t>B3)</t>
  </si>
  <si>
    <t>D)</t>
  </si>
  <si>
    <t>M)</t>
  </si>
  <si>
    <t>Afdeling 4310/4314</t>
  </si>
  <si>
    <t>Kim Almind</t>
  </si>
  <si>
    <t>K5)</t>
  </si>
  <si>
    <t>Magnus Johansen</t>
  </si>
  <si>
    <t>Afdeling 4420 afsnit 4420/afdeling 4310 afsnit 4314</t>
  </si>
  <si>
    <t>Kåre Jørgensen</t>
  </si>
  <si>
    <t>1)</t>
  </si>
  <si>
    <t>K2)</t>
  </si>
  <si>
    <t xml:space="preserve">441 Dorthe Højbak </t>
  </si>
  <si>
    <t>6)</t>
  </si>
  <si>
    <t>442 Kim Aabroe</t>
  </si>
  <si>
    <t>P2)</t>
  </si>
  <si>
    <r>
      <t xml:space="preserve">KA </t>
    </r>
    <r>
      <rPr>
        <sz val="10"/>
        <rFont val="Arial"/>
        <family val="2"/>
      </rPr>
      <t>1100-2030</t>
    </r>
  </si>
  <si>
    <t>E )</t>
  </si>
  <si>
    <t>3)</t>
  </si>
  <si>
    <t>Morten Helbrink</t>
  </si>
  <si>
    <t>Oskar</t>
  </si>
  <si>
    <r>
      <t>K1</t>
    </r>
    <r>
      <rPr>
        <sz val="10"/>
        <rFont val="Arial"/>
        <family val="2"/>
      </rPr>
      <t xml:space="preserve"> 0830 – 1545</t>
    </r>
  </si>
  <si>
    <r>
      <t>K1</t>
    </r>
    <r>
      <rPr>
        <sz val="10"/>
        <rFont val="Arial"/>
        <family val="2"/>
      </rPr>
      <t xml:space="preserve"> 0900 – 1830</t>
    </r>
  </si>
  <si>
    <r>
      <t>K1</t>
    </r>
    <r>
      <rPr>
        <sz val="10"/>
        <rFont val="Arial"/>
        <family val="2"/>
      </rPr>
      <t xml:space="preserve"> 0830 – 1415</t>
    </r>
  </si>
  <si>
    <t>KA)</t>
  </si>
  <si>
    <t>d</t>
  </si>
  <si>
    <t>K4)</t>
  </si>
  <si>
    <t>Torben Dyrn</t>
  </si>
  <si>
    <t>Praktik og vikarer</t>
  </si>
  <si>
    <t>Dimitrios Kostis</t>
  </si>
  <si>
    <t xml:space="preserve">Süleyman Hayal </t>
  </si>
  <si>
    <t>TJ</t>
  </si>
  <si>
    <t>Christian Mark Sørensen</t>
  </si>
  <si>
    <t>P3)</t>
  </si>
  <si>
    <t>Søren Hyrup Olsen</t>
  </si>
  <si>
    <t>Tine O. Lorensen</t>
  </si>
  <si>
    <t>Bettina Larsen</t>
  </si>
  <si>
    <t>)</t>
  </si>
  <si>
    <t>B2)</t>
  </si>
  <si>
    <t>K1)</t>
  </si>
  <si>
    <t>4</t>
  </si>
  <si>
    <t xml:space="preserve">    )</t>
  </si>
  <si>
    <t>Christian K. Hansen</t>
  </si>
  <si>
    <t>Lukasz Biziewski</t>
  </si>
  <si>
    <t>Søren Edorf</t>
  </si>
  <si>
    <t>Rundviser</t>
  </si>
  <si>
    <t>0800-1400</t>
  </si>
  <si>
    <t>R1</t>
  </si>
  <si>
    <t>R2</t>
  </si>
  <si>
    <t>R3</t>
  </si>
  <si>
    <t>F)</t>
  </si>
  <si>
    <t>H)</t>
  </si>
  <si>
    <t>P)</t>
  </si>
  <si>
    <t>k2</t>
  </si>
  <si>
    <r>
      <t>K</t>
    </r>
    <r>
      <rPr>
        <strike/>
        <sz val="9"/>
        <rFont val="Arial"/>
        <family val="2"/>
      </rPr>
      <t>5</t>
    </r>
  </si>
  <si>
    <t>Praktikelev Asger K. Hansen</t>
  </si>
  <si>
    <t>(I</t>
  </si>
  <si>
    <t>(H)</t>
  </si>
  <si>
    <t>(H</t>
  </si>
  <si>
    <r>
      <t xml:space="preserve">KA </t>
    </r>
    <r>
      <rPr>
        <sz val="10"/>
        <rFont val="Arial"/>
        <family val="2"/>
      </rPr>
      <t>1100-2130</t>
    </r>
  </si>
  <si>
    <r>
      <t xml:space="preserve">K2 </t>
    </r>
    <r>
      <rPr>
        <sz val="10"/>
        <rFont val="Arial"/>
        <family val="2"/>
      </rPr>
      <t>1630-2345</t>
    </r>
  </si>
  <si>
    <t>Lone Thomsen</t>
  </si>
  <si>
    <t>Pratik, vikarer og Løntilskud</t>
  </si>
  <si>
    <t xml:space="preserve">Elisabeth Auner Bedsted </t>
  </si>
  <si>
    <t>B)</t>
  </si>
  <si>
    <t>A2)</t>
  </si>
  <si>
    <t>C)</t>
  </si>
  <si>
    <t>Grace B. Andersen</t>
  </si>
  <si>
    <t>Carsten Eriksen</t>
  </si>
  <si>
    <r>
      <t xml:space="preserve">1 </t>
    </r>
    <r>
      <rPr>
        <sz val="10"/>
        <rFont val="Arial"/>
        <family val="2"/>
      </rPr>
      <t>0600 - 1330</t>
    </r>
  </si>
  <si>
    <r>
      <t xml:space="preserve">1 </t>
    </r>
    <r>
      <rPr>
        <sz val="10"/>
        <rFont val="Arial"/>
        <family val="2"/>
      </rPr>
      <t>0600 - 1300</t>
    </r>
  </si>
  <si>
    <t>Lukasz Bizewski</t>
  </si>
  <si>
    <t>Trine O. Lorensen</t>
  </si>
  <si>
    <r>
      <t>3</t>
    </r>
    <r>
      <rPr>
        <sz val="11"/>
        <rFont val="Arial"/>
        <family val="2"/>
      </rPr>
      <t>: Patruljeleder kl. 1530-2245</t>
    </r>
  </si>
  <si>
    <t>11)</t>
  </si>
  <si>
    <t>443 Mark Kruse</t>
  </si>
  <si>
    <t>A3)</t>
  </si>
  <si>
    <t>Thomas Jørgensen</t>
  </si>
  <si>
    <t>1</t>
  </si>
  <si>
    <t>Lukazs Bizewski</t>
  </si>
  <si>
    <t>Trine Vind</t>
  </si>
  <si>
    <t>Timepriser i Rådhusservice 2011</t>
  </si>
  <si>
    <t>Timepris</t>
  </si>
  <si>
    <t>Teknisk
 service</t>
  </si>
  <si>
    <r>
      <t>Normal timepris</t>
    </r>
    <r>
      <rPr>
        <sz val="14"/>
        <rFont val="Arial"/>
        <family val="2"/>
      </rPr>
      <t xml:space="preserve"> ved arrangementer mv.   Kl. 0600 - 1700 på hverdage</t>
    </r>
  </si>
  <si>
    <r>
      <t>Overarbejde 50 % timer</t>
    </r>
    <r>
      <rPr>
        <sz val="14"/>
        <rFont val="Arial"/>
        <family val="2"/>
      </rPr>
      <t xml:space="preserve"> ved arrangementer mv.</t>
    </r>
  </si>
  <si>
    <r>
      <t>Overarbejde 100 % timer</t>
    </r>
    <r>
      <rPr>
        <sz val="14"/>
        <rFont val="Arial"/>
        <family val="2"/>
      </rPr>
      <t xml:space="preserve"> ved arrangementer mv.</t>
    </r>
  </si>
  <si>
    <t>Socialcentre UDLEJNING af Betjente.</t>
  </si>
  <si>
    <t>Servering</t>
  </si>
  <si>
    <t>Borgmestre chauførrer, omvisninger og ved ad hoc opgaver.</t>
  </si>
  <si>
    <r>
      <t xml:space="preserve">Rundering: </t>
    </r>
    <r>
      <rPr>
        <sz val="14"/>
        <rFont val="Arial"/>
        <family val="2"/>
      </rPr>
      <t xml:space="preserve">Lukkertrækningens tidsforbrug på rundering incl. kørselstid. </t>
    </r>
  </si>
  <si>
    <t>Kr.450</t>
  </si>
  <si>
    <t>Skolesupport</t>
  </si>
  <si>
    <t>Kr.600</t>
  </si>
  <si>
    <t>Afdækning pr. m2 (løbende meter) med armeret plast inkl. tape o.s.v.</t>
  </si>
  <si>
    <t>Afdækning pr. m2 (løbende meter) kanalplade inkl. tape o.s.v.</t>
  </si>
  <si>
    <t>Udlejning af personale til kantinen</t>
  </si>
  <si>
    <t>Postgang pr. time</t>
  </si>
  <si>
    <t>Post Ad hoc opgaver</t>
  </si>
  <si>
    <t>Frankering pr. brev</t>
  </si>
  <si>
    <t>Leje af et helt Dueslag pr. dag.</t>
  </si>
  <si>
    <t>Skanning pr. time</t>
  </si>
  <si>
    <t xml:space="preserve">Rådhusnøgler pr. stk. </t>
  </si>
  <si>
    <t>ID kort + adgangsbrikker</t>
  </si>
  <si>
    <t>MUS 2012 i Rådhusservice</t>
  </si>
  <si>
    <t>Lederne i Rådhusvagten</t>
  </si>
  <si>
    <t>Vagt og Information</t>
  </si>
  <si>
    <t>Postservice, Skanning og HNG</t>
  </si>
  <si>
    <t>Indkalder</t>
  </si>
  <si>
    <t>Samtale med</t>
  </si>
  <si>
    <t>Afholdt den</t>
  </si>
  <si>
    <t>Bo Volfing Jacobsen</t>
  </si>
  <si>
    <t>Claus Lahn</t>
  </si>
  <si>
    <t>Dennis Rise</t>
  </si>
  <si>
    <t>10 - 05 - 12</t>
  </si>
  <si>
    <t>Henrik Dencker</t>
  </si>
  <si>
    <t>12/8-12</t>
  </si>
  <si>
    <t>Karsten Pøhl Nielsen</t>
  </si>
  <si>
    <t>Erik Andersen</t>
  </si>
  <si>
    <t>Michael Bo Pedersen</t>
  </si>
  <si>
    <t>Per Olsen</t>
  </si>
  <si>
    <t>Berit E. Bavnbæk</t>
  </si>
  <si>
    <t>Kjeld Julius Jespersen</t>
  </si>
  <si>
    <t>Jim H. Larsen</t>
  </si>
  <si>
    <t>419 Karina Petersen</t>
  </si>
  <si>
    <t>Administration og arrangements afd.</t>
  </si>
  <si>
    <t>386 Birthe Hjort Nexø</t>
  </si>
  <si>
    <t>961 Sonny Thomsen</t>
  </si>
  <si>
    <t>Mikael M. Andersen</t>
  </si>
  <si>
    <t>394 Gorm Wilhjelm</t>
  </si>
  <si>
    <t>Johnny V. Hansen</t>
  </si>
  <si>
    <t>GRUS Alle</t>
  </si>
  <si>
    <t>370 Kristoffer Ruth Sahlholdt</t>
  </si>
  <si>
    <t>410Karina Schiöpffe</t>
  </si>
  <si>
    <t>GRUS alle</t>
  </si>
  <si>
    <t>Oplysningen</t>
  </si>
  <si>
    <t xml:space="preserve">        Simon Botfeldt </t>
  </si>
  <si>
    <t>Frank Leitved</t>
  </si>
  <si>
    <t>Jacob Nørgård Madsen</t>
  </si>
  <si>
    <t>John Rasmussen</t>
  </si>
  <si>
    <t>400 Hava Coscun</t>
  </si>
  <si>
    <t>Peter Madsen</t>
  </si>
  <si>
    <t>Marco Minerba</t>
  </si>
  <si>
    <t xml:space="preserve">KM tal på bilerne </t>
  </si>
  <si>
    <r>
      <t xml:space="preserve">Bil 1  </t>
    </r>
    <r>
      <rPr>
        <sz val="10"/>
        <rFont val="Arial"/>
        <family val="2"/>
      </rPr>
      <t xml:space="preserve">      Mercedes Diesel   RX 90 790</t>
    </r>
  </si>
  <si>
    <r>
      <t xml:space="preserve">Bil 6 </t>
    </r>
    <r>
      <rPr>
        <sz val="10"/>
        <rFont val="Arial"/>
        <family val="2"/>
      </rPr>
      <t xml:space="preserve">  VW Caddy Diesel   VY 90 494</t>
    </r>
  </si>
  <si>
    <r>
      <t xml:space="preserve">Bil 7 </t>
    </r>
    <r>
      <rPr>
        <sz val="10"/>
        <rFont val="Arial"/>
        <family val="2"/>
      </rPr>
      <t xml:space="preserve"> Opel Zafira    Diesel   VZ 88 679</t>
    </r>
  </si>
  <si>
    <t xml:space="preserve">Leaset ved KTK. </t>
  </si>
  <si>
    <t>Start 7. april 2008</t>
  </si>
  <si>
    <t>Frikøbt</t>
  </si>
  <si>
    <t>Slut 7-04-13</t>
  </si>
  <si>
    <t>Samlet</t>
  </si>
  <si>
    <t>Diesel</t>
  </si>
  <si>
    <t>Kørt km pr. måned</t>
  </si>
  <si>
    <t>Kr pr. KM</t>
  </si>
  <si>
    <t xml:space="preserve">Mdl. 4520,- </t>
  </si>
  <si>
    <t>Vask mm.</t>
  </si>
  <si>
    <t>Kr.</t>
  </si>
  <si>
    <t>Max 35.000 km pr. år</t>
  </si>
  <si>
    <t>Juli</t>
  </si>
  <si>
    <t>August</t>
  </si>
  <si>
    <t>September</t>
  </si>
  <si>
    <t>Oktober</t>
  </si>
  <si>
    <t>November</t>
  </si>
  <si>
    <t>December</t>
  </si>
  <si>
    <t>Januar</t>
  </si>
  <si>
    <t>Februar</t>
  </si>
  <si>
    <t>Marts</t>
  </si>
  <si>
    <t>April</t>
  </si>
  <si>
    <t>Maj</t>
  </si>
  <si>
    <t>Juni</t>
  </si>
  <si>
    <r>
      <t xml:space="preserve">Bil 1  </t>
    </r>
    <r>
      <rPr>
        <sz val="10"/>
        <rFont val="Arial"/>
        <family val="2"/>
      </rPr>
      <t xml:space="preserve">     Transporter AW 93 794</t>
    </r>
  </si>
  <si>
    <t>Lånebil Brændstof</t>
  </si>
  <si>
    <t>Brændstof i alt</t>
  </si>
  <si>
    <t>Brænsdtof kortnr.</t>
  </si>
  <si>
    <t>3612025 001</t>
  </si>
  <si>
    <t>6102289  742</t>
  </si>
  <si>
    <t>6102289  743</t>
  </si>
  <si>
    <r>
      <t xml:space="preserve">Bil 1  </t>
    </r>
    <r>
      <rPr>
        <sz val="10"/>
        <rFont val="Arial"/>
        <family val="2"/>
      </rPr>
      <t xml:space="preserve">     Transporter Diesel AW 93 794</t>
    </r>
  </si>
  <si>
    <r>
      <t xml:space="preserve">Bil 2 </t>
    </r>
    <r>
      <rPr>
        <sz val="10"/>
        <rFont val="Arial"/>
        <family val="2"/>
      </rPr>
      <t xml:space="preserve">  VW Caddy Diesel   VY 90 494</t>
    </r>
  </si>
  <si>
    <r>
      <t xml:space="preserve">Bil 3 </t>
    </r>
    <r>
      <rPr>
        <sz val="10"/>
        <rFont val="Arial"/>
        <family val="2"/>
      </rPr>
      <t xml:space="preserve"> Opel Zafira    Diesel   VZ 88 679</t>
    </r>
  </si>
  <si>
    <r>
      <rPr>
        <b/>
        <sz val="10"/>
        <rFont val="Arial"/>
        <family val="2"/>
      </rPr>
      <t>Bil 4</t>
    </r>
    <r>
      <rPr>
        <sz val="10"/>
        <rFont val="Arial"/>
        <family val="2"/>
      </rPr>
      <t xml:space="preserve"> Fiat Scodu Benzin TJ 95002</t>
    </r>
  </si>
  <si>
    <t>Statistik for Rådhusvagten år 2013</t>
  </si>
  <si>
    <t>+ overtid (Ekstra vagt)</t>
  </si>
  <si>
    <t>+ Udlejningstimer</t>
  </si>
  <si>
    <t>+ B &amp; U</t>
  </si>
  <si>
    <t>- ferietimer</t>
  </si>
  <si>
    <t>- ferie fridags timer</t>
  </si>
  <si>
    <t>- sygetimer</t>
  </si>
  <si>
    <t>- Barns 1. Sygedag</t>
  </si>
  <si>
    <t>- afspadseringstimer</t>
  </si>
  <si>
    <t>- orlov</t>
  </si>
  <si>
    <t>- kursustimer</t>
  </si>
  <si>
    <t>- omsorgsdage (timer)</t>
  </si>
  <si>
    <t>Faktiske timer</t>
  </si>
  <si>
    <t>Års gennemsnit</t>
  </si>
  <si>
    <t>Overtid i % af faktiske timer</t>
  </si>
  <si>
    <t>Sygefravær i % af faktiske timer</t>
  </si>
  <si>
    <t>Barns 1. sygedag i % af fak. Timer</t>
  </si>
  <si>
    <t>Sygefravær i alt</t>
  </si>
  <si>
    <t>Sygefravær pr. kvartal</t>
  </si>
  <si>
    <t>Personaleafd. Tal</t>
  </si>
  <si>
    <t>Kursustimer i % af faktiske timer</t>
  </si>
  <si>
    <t>Afspadsering i % af fktiske timer</t>
  </si>
  <si>
    <t>Ferietimer i % af faktiske timer</t>
  </si>
  <si>
    <t xml:space="preserve">Fravær i alt i % </t>
  </si>
  <si>
    <t>Personaleomsætning</t>
  </si>
  <si>
    <t>Personale total</t>
  </si>
  <si>
    <t>Tilgang</t>
  </si>
  <si>
    <t>Afgang</t>
  </si>
  <si>
    <t>I procent</t>
  </si>
  <si>
    <t>I kavrtallet</t>
  </si>
  <si>
    <t>Runderings hændelser 2009</t>
  </si>
  <si>
    <t>Hændelses fordeling</t>
  </si>
  <si>
    <t>Kaffemaskiner &amp; Kogeplader slukket</t>
  </si>
  <si>
    <t>Lys (Lamper) slukket</t>
  </si>
  <si>
    <t>Vinduer lukket</t>
  </si>
  <si>
    <t>Låst dør</t>
  </si>
  <si>
    <t>Andet, levende lys</t>
  </si>
  <si>
    <t>Videre rapporteringer 2009</t>
  </si>
  <si>
    <t>Videre rapporteringer</t>
  </si>
  <si>
    <t>CTS alarmer</t>
  </si>
  <si>
    <t>Maskinmester</t>
  </si>
  <si>
    <t>Miljøkontrollen &amp; skadedyr</t>
  </si>
  <si>
    <t>Chaufførvagten</t>
  </si>
  <si>
    <t>Andet</t>
  </si>
  <si>
    <t>År 2013 priser for Rådhusvagten</t>
  </si>
  <si>
    <t>Ydelser</t>
  </si>
  <si>
    <t>Faste kunder note 1</t>
  </si>
  <si>
    <t>Faste kunder note 2</t>
  </si>
  <si>
    <t>Faste kontrakter i alt</t>
  </si>
  <si>
    <t xml:space="preserve">B &amp; U </t>
  </si>
  <si>
    <t>Udlejning</t>
  </si>
  <si>
    <t>Kørsel til andre opgaver</t>
  </si>
  <si>
    <t>Arrangementer + BR møder</t>
  </si>
  <si>
    <t>Rådhusnøgler + ID kort og brik</t>
  </si>
  <si>
    <t>indtægt 2012</t>
  </si>
  <si>
    <t>Omvisning</t>
  </si>
  <si>
    <t>Omvisninger Oplysningen</t>
  </si>
  <si>
    <t>Skolekørsel</t>
  </si>
  <si>
    <t>Alarm kørsel Kødbyen</t>
  </si>
  <si>
    <t>Valg</t>
  </si>
  <si>
    <t>Ad hoc i alt</t>
  </si>
  <si>
    <t>1201030 Refusion</t>
  </si>
  <si>
    <t>Indtægter i alt</t>
  </si>
  <si>
    <t>Lønudgifter</t>
  </si>
  <si>
    <t>Arbejdstøj/uniform</t>
  </si>
  <si>
    <t>Overførelse til Kejd</t>
  </si>
  <si>
    <t>Udgifter til Rengøring</t>
  </si>
  <si>
    <t>Udgifter til afdelingen(se liste Per)</t>
  </si>
  <si>
    <t>Resultat</t>
  </si>
  <si>
    <t>Statistik for Administration og arrangementsafdelingene år 2013</t>
  </si>
  <si>
    <t xml:space="preserve">+ Udlejningstimer </t>
  </si>
  <si>
    <t>Budget</t>
  </si>
  <si>
    <t>Administrationen (lønudgifter)</t>
  </si>
  <si>
    <t>Fast til Linnedstuen (Lønudgifter)</t>
  </si>
  <si>
    <t>Faste ydelser i alt</t>
  </si>
  <si>
    <t>Ad hoc opgaver (grønne sedler)</t>
  </si>
  <si>
    <t>Vinafregning</t>
  </si>
  <si>
    <t>Kantinehjælp</t>
  </si>
  <si>
    <t>Indtægt linnedstuen</t>
  </si>
  <si>
    <t xml:space="preserve">Diverse udgifter </t>
  </si>
  <si>
    <t>Statistik for Skanning og Postservice år 2013</t>
  </si>
  <si>
    <t>År 2009 priser for Skanning og Postservice</t>
  </si>
  <si>
    <t>Note 1: Kontrakt og intern betalingsordning</t>
  </si>
  <si>
    <t>Årlig pris</t>
  </si>
  <si>
    <t>Note 2  Faste Postaftaler JF Postaftaleliste</t>
  </si>
  <si>
    <t>Claus Lahn KFF+20% ½mand</t>
  </si>
  <si>
    <t>Adresse</t>
  </si>
  <si>
    <t>Bemærkning</t>
  </si>
  <si>
    <t xml:space="preserve">Årlig pris  </t>
  </si>
  <si>
    <t>TMF Preben Jans + 20%</t>
  </si>
  <si>
    <t>ØKF (Karsten Pøhl Nielsen aftale) inkl. skanning</t>
  </si>
  <si>
    <t>Berit Bavnbævn KFF + 20%</t>
  </si>
  <si>
    <t>ØKF Karsten Pøhl + 20 %</t>
  </si>
  <si>
    <t>Se post</t>
  </si>
  <si>
    <t xml:space="preserve">Øvrige </t>
  </si>
  <si>
    <t>Se Postkontrakter 2013 (Per)</t>
  </si>
  <si>
    <t>BUF (Karina Petersen)</t>
  </si>
  <si>
    <t>SUF</t>
  </si>
  <si>
    <t>BUF områder</t>
  </si>
  <si>
    <t>Koncern Service</t>
  </si>
  <si>
    <t>Faste kontrakter</t>
  </si>
  <si>
    <t>Frankering (stort beløb)</t>
  </si>
  <si>
    <t>Indtægt pakkepost</t>
  </si>
  <si>
    <t>Kørsel / Ad hoc opgaver</t>
  </si>
  <si>
    <t>Indscanning</t>
  </si>
  <si>
    <t>Lønudgift</t>
  </si>
  <si>
    <t>Tilbage betaling skanning</t>
  </si>
  <si>
    <t>Diesel og diverse</t>
  </si>
  <si>
    <t>Rengøringsudgifter</t>
  </si>
  <si>
    <t>Leasing af biler hos TMF (2 stk)</t>
  </si>
  <si>
    <t>Post Danmark (afhentning)</t>
  </si>
  <si>
    <t>Udgifter til afdelingen(Se liste Per)</t>
  </si>
  <si>
    <t>Leasing frankeringsmaskiner</t>
  </si>
  <si>
    <t>Udgifter frankering (lille beløb)</t>
  </si>
  <si>
    <t>Statistik for Teknikafdelingen år 2013</t>
  </si>
  <si>
    <t>År 2009 priser for Teknikafdelingen</t>
  </si>
  <si>
    <t>Budget indtægt</t>
  </si>
  <si>
    <t>Ad Hoc opgaver</t>
  </si>
  <si>
    <t>Lokale udlejning</t>
  </si>
  <si>
    <t>Udgifter</t>
  </si>
  <si>
    <t>Overførlse til Kejd</t>
  </si>
  <si>
    <t>Gæster</t>
  </si>
  <si>
    <t>Statistik for Rådhusvagten år 2012</t>
  </si>
  <si>
    <t>År 2012 priser for Rådhusvagten</t>
  </si>
  <si>
    <t>Note 1: Fordeling  af intern betalingsordning</t>
  </si>
  <si>
    <t xml:space="preserve">Note 2  Kontrakt kunder fast rundering </t>
  </si>
  <si>
    <t>Rådhuset</t>
  </si>
  <si>
    <t>Org. Nr.</t>
  </si>
  <si>
    <t>Bygningsnr.</t>
  </si>
  <si>
    <t>V og I dato</t>
  </si>
  <si>
    <t>Fortsat</t>
  </si>
  <si>
    <t>ØK-KBS- Nørre Søgade 35</t>
  </si>
  <si>
    <t>Brønshøjvej 17 - 19, SOF</t>
  </si>
  <si>
    <t>747a</t>
  </si>
  <si>
    <t>Brønshøjvej 17 - 19, Sundhed</t>
  </si>
  <si>
    <t>KFF</t>
  </si>
  <si>
    <t>747b</t>
  </si>
  <si>
    <t>Brønshøjvej 17 - 19, Tandlæge</t>
  </si>
  <si>
    <t>Fordeling</t>
  </si>
  <si>
    <t>43,37 %</t>
  </si>
  <si>
    <t>Jemtelandgade 3 KKU</t>
  </si>
  <si>
    <t>BUF-Gasværksvej 22 (skole)</t>
  </si>
  <si>
    <t>18,16%</t>
  </si>
  <si>
    <t>Jemtelandgade 3 Kvarterløft</t>
  </si>
  <si>
    <t>64715</t>
  </si>
  <si>
    <t>Røde Mellemvej 52</t>
  </si>
  <si>
    <t>38,47 %</t>
  </si>
  <si>
    <t>Jemtelandgade 3 bibliotek</t>
  </si>
  <si>
    <t>37567</t>
  </si>
  <si>
    <t>Studsgårdsgade 55</t>
  </si>
  <si>
    <t>Spaniensgade 25</t>
  </si>
  <si>
    <t>1-2-12 til 31-7-12BUF skolesupport</t>
  </si>
  <si>
    <t xml:space="preserve">Remisevej 19 </t>
  </si>
  <si>
    <t>Amagerbrogade 150</t>
  </si>
  <si>
    <t>Miljøkontrollen (tlf. eksp.)</t>
  </si>
  <si>
    <t>Hvide Kødby</t>
  </si>
  <si>
    <t>BIF-Baldersgade 24</t>
  </si>
  <si>
    <t>Griffenfeldsgade 44</t>
  </si>
  <si>
    <t>740a</t>
  </si>
  <si>
    <t>BIF-Baldersgade 3B, 1. + 3. sal</t>
  </si>
  <si>
    <t>Kapelvej 47</t>
  </si>
  <si>
    <t>724 a</t>
  </si>
  <si>
    <t>Stormgade 18 (BUF)</t>
  </si>
  <si>
    <t>Bernstorffshus</t>
  </si>
  <si>
    <t>Enghavevej</t>
  </si>
  <si>
    <t>Vester Voldgade 87, 3. sal</t>
  </si>
  <si>
    <t>BUF-Linde Alle 40-44</t>
  </si>
  <si>
    <t>Rådhuspladsen 77, 1. sal</t>
  </si>
  <si>
    <t>BUF-Linde Alle 40-44(Dagpleje)</t>
  </si>
  <si>
    <t>Ottiliavej 1</t>
  </si>
  <si>
    <t>Den hvide kødby (vagtkørsel)</t>
  </si>
  <si>
    <t>18.553 pr. måned (Per sender regning hver måned)</t>
  </si>
  <si>
    <t>Hans Nansens Gård</t>
  </si>
  <si>
    <t>Hornemanns Vænge 9</t>
  </si>
  <si>
    <t>4881 pr. måned(Per sender regning hver måned</t>
  </si>
  <si>
    <t>BIF</t>
  </si>
  <si>
    <t>SOF-Nørre Voldgade 15, 1. sal</t>
  </si>
  <si>
    <t>637 m2 af 28,19</t>
  </si>
  <si>
    <t>BUF</t>
  </si>
  <si>
    <t>SOF-Nørre Voldgade 15, 1.2.4.5.sal</t>
  </si>
  <si>
    <t>1890 m2 af 28,19</t>
  </si>
  <si>
    <t>TMF</t>
  </si>
  <si>
    <t>SOF-Nørre Voldgade 15, 5. sal</t>
  </si>
  <si>
    <t>58 m2 af 28,19</t>
  </si>
  <si>
    <t>SOF</t>
  </si>
  <si>
    <t>SOF-Linne Gade 16, i port 2</t>
  </si>
  <si>
    <t>130 m2 af 28,19</t>
  </si>
  <si>
    <t>ØKF</t>
  </si>
  <si>
    <t>BUF-Nørre Voldgade 15, 3.5. sal</t>
  </si>
  <si>
    <t>60% af 938 m2 af 28,19</t>
  </si>
  <si>
    <t>BR</t>
  </si>
  <si>
    <t>BUF-Frederiksborggade 15, 3.5. sal</t>
  </si>
  <si>
    <t>40% af 938 m2 af 28,19</t>
  </si>
  <si>
    <t>Posteres</t>
  </si>
  <si>
    <t>KFF biblioteker</t>
  </si>
  <si>
    <t>Forsættes i højre side</t>
  </si>
  <si>
    <t>Omvisninger</t>
  </si>
  <si>
    <t>Statistik for Administration og arrangementsafdelingene år 2012</t>
  </si>
  <si>
    <t>For kantinen (Meyer)</t>
  </si>
  <si>
    <t>Statistik for Skanning og Postservice år 2012</t>
  </si>
  <si>
    <t>Se Postkontrakter 2012 (Per)</t>
  </si>
  <si>
    <t>TMF Preben Elfenbein + 20%</t>
  </si>
  <si>
    <t>Leje af biler hos Avis</t>
  </si>
  <si>
    <t>Statistik for Teknikafdelingen år 2012</t>
  </si>
  <si>
    <t>Statistik for Rådhusvagten år 2011</t>
  </si>
  <si>
    <t>År 2011 priser for Rådhusvagten</t>
  </si>
  <si>
    <t>70.717 for helt år</t>
  </si>
  <si>
    <t>57.480 for helt år</t>
  </si>
  <si>
    <t>H.C.A Boulevard 25. 3 sal</t>
  </si>
  <si>
    <t>28.743 for helt år</t>
  </si>
  <si>
    <t>40912 for helt år</t>
  </si>
  <si>
    <t>Stormgade 18 kld, stue, 1.sal (BUF)</t>
  </si>
  <si>
    <t>17.850 pr. måned (Per sender regning hver måned)</t>
  </si>
  <si>
    <t>Ingen stigning i 2011</t>
  </si>
  <si>
    <t>4790 pr. måned(Per sender regning hver måned</t>
  </si>
  <si>
    <t>2% stigning i 2011</t>
  </si>
  <si>
    <r>
      <t> 23.452</t>
    </r>
    <r>
      <rPr>
        <sz val="8"/>
        <color indexed="12"/>
        <rFont val="Arial"/>
        <family val="2"/>
      </rPr>
      <t> </t>
    </r>
    <r>
      <rPr>
        <sz val="8"/>
        <rFont val="Arial"/>
        <family val="2"/>
      </rPr>
      <t xml:space="preserve"> </t>
    </r>
  </si>
  <si>
    <t>Statistik for Administration og arrangementsafdelingene år 2011</t>
  </si>
  <si>
    <t>Vinkælder (½ årsværk)</t>
  </si>
  <si>
    <t>Statistik for Skanning og Postservice år 2011</t>
  </si>
  <si>
    <t>Claus Lahn KFF+20%</t>
  </si>
  <si>
    <t>Se Postkontrakter 2011 (Per)</t>
  </si>
  <si>
    <t>Frankering</t>
  </si>
  <si>
    <t>Udgifter (mest porto)</t>
  </si>
  <si>
    <t>Statistik for Teknikafdelingen år 2011</t>
  </si>
  <si>
    <t>Bryllupper</t>
  </si>
  <si>
    <t>Alm. Bryllupper</t>
  </si>
  <si>
    <t>Andre bryllupper på huset</t>
  </si>
  <si>
    <t xml:space="preserve"> i alt</t>
  </si>
  <si>
    <t>Statistik for Rådhusvagten år 2010</t>
  </si>
  <si>
    <t>År 2010 priser for Rådhusvagten</t>
  </si>
  <si>
    <t>Brønshøjvej 17 - 19, FAF</t>
  </si>
  <si>
    <t>Vester Voldgade 87, 1+2. sal</t>
  </si>
  <si>
    <t>Islands Brygge 37</t>
  </si>
  <si>
    <t>54100(16)</t>
  </si>
  <si>
    <t>Kejd leje af betjent</t>
  </si>
  <si>
    <t>Njalsgade 13 - 15</t>
  </si>
  <si>
    <t>724 b</t>
  </si>
  <si>
    <t>Stormgade 18 kld, 2.sal (ØKF)</t>
  </si>
  <si>
    <t>Slut 30-6-2010</t>
  </si>
  <si>
    <t>H.C.A Boulevard 2. +3 sal</t>
  </si>
  <si>
    <t>Nørrevoldgade 15</t>
  </si>
  <si>
    <t>Baldersgade 24</t>
  </si>
  <si>
    <t>Baldersgade 3B, 1. + 3. sal</t>
  </si>
  <si>
    <t>Ottiliavej</t>
  </si>
  <si>
    <t>Rådhusnøgler + ID kort</t>
  </si>
  <si>
    <t>Statistik for Administration og arrangementsafdelingene år 2010</t>
  </si>
  <si>
    <t>Statistik for Skanning og Postservice år 2010</t>
  </si>
  <si>
    <t>Claus Lahn KFF</t>
  </si>
  <si>
    <t>Overlag på 20 % ??</t>
  </si>
  <si>
    <t>TMF Preben Jans KFF</t>
  </si>
  <si>
    <t>TMF skal betale</t>
  </si>
  <si>
    <t xml:space="preserve">Berit Bavnbævn KFF </t>
  </si>
  <si>
    <t>Se Postkontrakter 2009 (Werner)</t>
  </si>
  <si>
    <t>Start 1/4-2007</t>
  </si>
  <si>
    <t>Start</t>
  </si>
  <si>
    <t>Statistik for Teknikafdelingen år 2010</t>
  </si>
  <si>
    <t>Balanced Scorecard for Rådhusservice 2009</t>
  </si>
  <si>
    <t>Aktivitet</t>
  </si>
  <si>
    <t>Måling</t>
  </si>
  <si>
    <t>Succes kriterium</t>
  </si>
  <si>
    <t>Ansvarlig</t>
  </si>
  <si>
    <t xml:space="preserve">Planlagt </t>
  </si>
  <si>
    <t xml:space="preserve">Realiseret </t>
  </si>
  <si>
    <t>1. kvartal</t>
  </si>
  <si>
    <t>2. kvartal</t>
  </si>
  <si>
    <t>3. kvartal</t>
  </si>
  <si>
    <t>4 kvartal</t>
  </si>
  <si>
    <t>ARR. &amp; ADM afd.</t>
  </si>
  <si>
    <t>Svigt af leverancer</t>
  </si>
  <si>
    <t>Antal svigt af leverancer af mad mv.</t>
  </si>
  <si>
    <t>Under 5 pr. kvartal</t>
  </si>
  <si>
    <t>Kritisk aktivitet</t>
  </si>
  <si>
    <t>Kunder    OMR 0021</t>
  </si>
  <si>
    <t>Klager</t>
  </si>
  <si>
    <t>Antal skriftlige klager</t>
  </si>
  <si>
    <t>Kvartalsopgørelse       ≤ 1</t>
  </si>
  <si>
    <t>JP</t>
  </si>
  <si>
    <t>Rådhusvagten</t>
  </si>
  <si>
    <t>Kundetilfredshed</t>
  </si>
  <si>
    <t xml:space="preserve">Kundernes gennemsnitlige tilfredshed ved spørgeskemaundersøgelsen. </t>
  </si>
  <si>
    <t>Minimum 4 på en skala fra 1-5</t>
  </si>
  <si>
    <t>Kunder    OMR 0020</t>
  </si>
  <si>
    <t>Fl</t>
  </si>
  <si>
    <t>ARR &amp; ADM afd.</t>
  </si>
  <si>
    <t>FL</t>
  </si>
  <si>
    <t xml:space="preserve">Kunder    OMR 0022                 </t>
  </si>
  <si>
    <t>CL</t>
  </si>
  <si>
    <t xml:space="preserve">Kunder    OMR 0023 </t>
  </si>
  <si>
    <t>KH</t>
  </si>
  <si>
    <t>Teknisk service</t>
  </si>
  <si>
    <t>Hvem kan hvad</t>
  </si>
  <si>
    <t>V.V. siden</t>
  </si>
  <si>
    <t>Tivolisiden</t>
  </si>
  <si>
    <t>Annekser</t>
  </si>
  <si>
    <t>Bernstoffsgade</t>
  </si>
  <si>
    <t>Nørresøgade</t>
  </si>
  <si>
    <t>PL</t>
  </si>
  <si>
    <t>STUDSEN</t>
  </si>
  <si>
    <t>RØDEMELLEM</t>
  </si>
  <si>
    <t>JEMTE</t>
  </si>
  <si>
    <t>GRIFFEN</t>
  </si>
  <si>
    <t>x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</si>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</sst>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(&quot;kr&quot;* #,##0.00_);_(&quot;kr&quot;* \(#,##0.00\);_(&quot;kr&quot;* &quot;-&quot;??_);_(@_)"/>
    <numFmt numFmtId="165" formatCode="_(* #,##0.00_);_(* \(#,##0.00\);_(* &quot;-&quot;??_);_(@_)"/>
    <numFmt numFmtId="166" formatCode="_(&quot;kr&quot;\ * #,##0_);_(&quot;kr&quot;\ * \(#,##0\);_(&quot;kr&quot;\ * &quot;-&quot;_);_(@_)"/>
    <numFmt numFmtId="167" formatCode="_(* #,##0_);_(* \(#,##0\);_(* &quot;-&quot;_);_(@_)"/>
    <numFmt numFmtId="168" formatCode="_(&quot;kr&quot;\ * #,##0.00_);_(&quot;kr&quot;\ * \(#,##0.00\);_(&quot;kr&quot;\ * &quot;-&quot;??_);_(@_)"/>
    <numFmt numFmtId="169" formatCode="mm/yy"/>
    <numFmt numFmtId="170" formatCode="0.0"/>
    <numFmt numFmtId="171" formatCode="#,##0.0"/>
    <numFmt numFmtId="172" formatCode="_(&quot;kr &quot;* #,##0.00_);_(&quot;kr &quot;* \(#,##0.00\);_(&quot;kr &quot;* \-??_);_(@_)"/>
    <numFmt numFmtId="173" formatCode="&quot;kr &quot;#,##0_);[Red]&quot;(kr &quot;#,##0\)"/>
    <numFmt numFmtId="174" formatCode="dd/mm/yy;@"/>
    <numFmt numFmtId="175" formatCode="_(* #,##0.00_);_(* \(#,##0.00\);_(* \-??_);_(@_)"/>
    <numFmt numFmtId="176" formatCode="_(* #,##0_);_(* \(#,##0\);_(* \-_);_(@_)"/>
    <numFmt numFmtId="177" formatCode="&quot;kr&quot;\ #,##0"/>
    <numFmt numFmtId="178" formatCode="_ * #,##0_ ;_ * \-#,##0_ ;_ * &quot;-&quot;??_ ;_ @_ "/>
  </numFmts>
  <fonts count="83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9"/>
      <color indexed="9"/>
      <name val="Arial"/>
      <family val="2"/>
    </font>
    <font>
      <u/>
      <sz val="10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sz val="9"/>
      <color indexed="8"/>
      <name val="Arial"/>
      <family val="2"/>
    </font>
    <font>
      <b/>
      <sz val="18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b/>
      <sz val="8"/>
      <name val="Arial"/>
      <family val="2"/>
    </font>
    <font>
      <b/>
      <sz val="10"/>
      <color indexed="25"/>
      <name val="Arial"/>
      <family val="2"/>
    </font>
    <font>
      <sz val="10"/>
      <color indexed="12"/>
      <name val="Arial"/>
      <family val="2"/>
    </font>
    <font>
      <sz val="12"/>
      <color indexed="8"/>
      <name val="Times New Roman"/>
      <family val="1"/>
    </font>
    <font>
      <b/>
      <sz val="10"/>
      <color indexed="48"/>
      <name val="Arial"/>
      <family val="2"/>
    </font>
    <font>
      <b/>
      <sz val="10"/>
      <color indexed="10"/>
      <name val="Arial"/>
      <family val="2"/>
    </font>
    <font>
      <sz val="8"/>
      <color indexed="8"/>
      <name val="Arial"/>
      <family val="2"/>
    </font>
    <font>
      <sz val="10"/>
      <color indexed="13"/>
      <name val="Arial"/>
      <family val="2"/>
    </font>
    <font>
      <sz val="8"/>
      <color indexed="13"/>
      <name val="Arial"/>
      <family val="2"/>
    </font>
    <font>
      <sz val="8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8"/>
      <name val="Arial"/>
      <family val="2"/>
    </font>
    <font>
      <b/>
      <sz val="10"/>
      <color indexed="61"/>
      <name val="Arial"/>
      <family val="2"/>
    </font>
    <font>
      <sz val="8"/>
      <color indexed="12"/>
      <name val="Arial"/>
      <family val="2"/>
    </font>
    <font>
      <sz val="12"/>
      <name val="Arial"/>
      <family val="2"/>
    </font>
    <font>
      <sz val="16"/>
      <name val="Arial"/>
      <family val="2"/>
    </font>
    <font>
      <sz val="12"/>
      <color indexed="10"/>
      <name val="Arial"/>
      <family val="2"/>
    </font>
    <font>
      <sz val="10"/>
      <color rgb="FFFF0000"/>
      <name val="Arial"/>
      <family val="2"/>
    </font>
    <font>
      <sz val="11"/>
      <name val="Times New Roman"/>
      <family val="1"/>
    </font>
    <font>
      <sz val="8"/>
      <color rgb="FFFF000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indexed="81"/>
      <name val="Tahoma"/>
      <family val="2"/>
    </font>
    <font>
      <sz val="11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sz val="9"/>
      <color theme="1"/>
      <name val="Arial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sz val="10"/>
      <color theme="5" tint="-0.249977111117893"/>
      <name val="Arial"/>
      <family val="2"/>
    </font>
    <font>
      <sz val="10"/>
      <color theme="0"/>
      <name val="Arial"/>
      <family val="2"/>
    </font>
    <font>
      <sz val="9"/>
      <color indexed="81"/>
      <name val="Tahoma"/>
      <family val="2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sz val="11"/>
      <color rgb="FF1F497D"/>
      <name val="Calibri"/>
      <family val="2"/>
    </font>
    <font>
      <strike/>
      <sz val="9"/>
      <name val="Arial"/>
      <family val="2"/>
    </font>
    <font>
      <sz val="12"/>
      <color theme="3"/>
      <name val="Times New Roman"/>
      <family val="1"/>
    </font>
    <font>
      <sz val="10"/>
      <color theme="3"/>
      <name val="Arial"/>
      <family val="2"/>
    </font>
    <font>
      <sz val="10"/>
      <color theme="4" tint="-0.249977111117893"/>
      <name val="Arial"/>
      <family val="2"/>
    </font>
  </fonts>
  <fills count="9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46"/>
        <bgColor indexed="24"/>
      </patternFill>
    </fill>
    <fill>
      <patternFill patternType="solid">
        <fgColor indexed="53"/>
        <bgColor indexed="52"/>
      </patternFill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8"/>
        <bgColor indexed="58"/>
      </patternFill>
    </fill>
    <fill>
      <patternFill patternType="solid">
        <fgColor indexed="51"/>
        <bgColor indexed="13"/>
      </patternFill>
    </fill>
    <fill>
      <patternFill patternType="solid">
        <fgColor indexed="23"/>
        <bgColor indexed="55"/>
      </patternFill>
    </fill>
    <fill>
      <patternFill patternType="solid">
        <fgColor indexed="54"/>
        <bgColor indexed="23"/>
      </patternFill>
    </fill>
    <fill>
      <patternFill patternType="solid">
        <fgColor indexed="14"/>
        <bgColor indexed="33"/>
      </patternFill>
    </fill>
    <fill>
      <patternFill patternType="solid">
        <fgColor indexed="50"/>
        <bgColor indexed="51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26"/>
      </patternFill>
    </fill>
    <fill>
      <patternFill patternType="solid">
        <fgColor indexed="40"/>
        <bgColor indexed="49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26"/>
      </patternFill>
    </fill>
    <fill>
      <patternFill patternType="solid">
        <fgColor indexed="52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48"/>
        <bgColor indexed="30"/>
      </patternFill>
    </fill>
    <fill>
      <patternFill patternType="solid">
        <fgColor indexed="45"/>
        <bgColor indexed="29"/>
      </patternFill>
    </fill>
    <fill>
      <patternFill patternType="solid">
        <fgColor indexed="47"/>
        <bgColor indexed="22"/>
      </patternFill>
    </fill>
    <fill>
      <patternFill patternType="solid">
        <fgColor indexed="55"/>
        <bgColor indexed="23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F4D97"/>
        <bgColor indexed="64"/>
      </patternFill>
    </fill>
    <fill>
      <patternFill patternType="solid">
        <fgColor rgb="FFA91B9F"/>
        <bgColor indexed="64"/>
      </patternFill>
    </fill>
    <fill>
      <patternFill patternType="solid">
        <fgColor rgb="FFB311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53FA"/>
        <bgColor indexed="64"/>
      </patternFill>
    </fill>
  </fills>
  <borders count="17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</borders>
  <cellStyleXfs count="4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8" fillId="0" borderId="0" applyNumberFormat="0" applyFill="0" applyBorder="0" applyAlignment="0" applyProtection="0"/>
    <xf numFmtId="0" fontId="2" fillId="16" borderId="1" applyNumberFormat="0" applyFont="0" applyAlignment="0" applyProtection="0"/>
    <xf numFmtId="0" fontId="39" fillId="17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7" borderId="2" applyNumberFormat="0" applyAlignment="0" applyProtection="0"/>
    <xf numFmtId="0" fontId="43" fillId="18" borderId="3" applyNumberFormat="0" applyAlignment="0" applyProtection="0"/>
    <xf numFmtId="0" fontId="37" fillId="19" borderId="0" applyNumberFormat="0" applyBorder="0" applyAlignment="0" applyProtection="0"/>
    <xf numFmtId="0" fontId="37" fillId="20" borderId="0" applyNumberFormat="0" applyBorder="0" applyAlignment="0" applyProtection="0"/>
    <xf numFmtId="0" fontId="37" fillId="21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22" borderId="0" applyNumberFormat="0" applyBorder="0" applyAlignment="0" applyProtection="0"/>
    <xf numFmtId="0" fontId="44" fillId="23" borderId="0" applyNumberFormat="0" applyBorder="0" applyAlignment="0" applyProtection="0"/>
    <xf numFmtId="0" fontId="2" fillId="0" borderId="0"/>
    <xf numFmtId="0" fontId="2" fillId="0" borderId="0"/>
    <xf numFmtId="0" fontId="45" fillId="17" borderId="4" applyNumberFormat="0" applyAlignment="0" applyProtection="0"/>
    <xf numFmtId="0" fontId="46" fillId="0" borderId="5" applyNumberFormat="0" applyFill="0" applyAlignment="0" applyProtection="0"/>
    <xf numFmtId="0" fontId="47" fillId="0" borderId="6" applyNumberFormat="0" applyFill="0" applyAlignment="0" applyProtection="0"/>
    <xf numFmtId="0" fontId="48" fillId="0" borderId="7" applyNumberFormat="0" applyFill="0" applyAlignment="0" applyProtection="0"/>
    <xf numFmtId="0" fontId="48" fillId="0" borderId="0" applyNumberFormat="0" applyFill="0" applyBorder="0" applyAlignment="0" applyProtection="0"/>
    <xf numFmtId="0" fontId="49" fillId="0" borderId="8" applyNumberFormat="0" applyFill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3" borderId="0" applyNumberFormat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1" fillId="0" borderId="0"/>
  </cellStyleXfs>
  <cellXfs count="1713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0" borderId="12" xfId="0" applyBorder="1"/>
    <xf numFmtId="0" fontId="5" fillId="0" borderId="13" xfId="0" applyFont="1" applyBorder="1" applyAlignment="1">
      <alignment horizontal="left"/>
    </xf>
    <xf numFmtId="0" fontId="3" fillId="0" borderId="14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0" fillId="0" borderId="17" xfId="0" applyBorder="1"/>
    <xf numFmtId="0" fontId="5" fillId="0" borderId="18" xfId="0" applyFont="1" applyBorder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5" fillId="0" borderId="23" xfId="0" applyFont="1" applyBorder="1" applyAlignment="1">
      <alignment horizontal="left"/>
    </xf>
    <xf numFmtId="0" fontId="3" fillId="0" borderId="24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26" xfId="0" applyBorder="1"/>
    <xf numFmtId="0" fontId="5" fillId="0" borderId="27" xfId="0" applyFont="1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left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6" fillId="0" borderId="23" xfId="0" applyFont="1" applyBorder="1" applyAlignment="1">
      <alignment horizontal="left"/>
    </xf>
    <xf numFmtId="0" fontId="0" fillId="0" borderId="14" xfId="0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8" xfId="0" applyFont="1" applyBorder="1" applyAlignment="1">
      <alignment horizontal="left"/>
    </xf>
    <xf numFmtId="0" fontId="0" fillId="0" borderId="10" xfId="0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0" fillId="25" borderId="11" xfId="0" applyFill="1" applyBorder="1" applyAlignment="1">
      <alignment horizontal="center"/>
    </xf>
    <xf numFmtId="0" fontId="0" fillId="25" borderId="11" xfId="0" applyFill="1" applyBorder="1"/>
    <xf numFmtId="0" fontId="0" fillId="0" borderId="11" xfId="0" applyBorder="1"/>
    <xf numFmtId="0" fontId="0" fillId="0" borderId="13" xfId="0" applyBorder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/>
    <xf numFmtId="0" fontId="0" fillId="0" borderId="11" xfId="0" applyBorder="1" applyAlignment="1">
      <alignment horizontal="left"/>
    </xf>
    <xf numFmtId="0" fontId="0" fillId="0" borderId="31" xfId="0" applyBorder="1"/>
    <xf numFmtId="0" fontId="0" fillId="0" borderId="30" xfId="0" applyBorder="1"/>
    <xf numFmtId="0" fontId="0" fillId="0" borderId="33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center"/>
    </xf>
    <xf numFmtId="0" fontId="0" fillId="0" borderId="36" xfId="0" applyBorder="1"/>
    <xf numFmtId="0" fontId="3" fillId="0" borderId="0" xfId="0" applyFont="1" applyAlignment="1" applyProtection="1">
      <alignment horizontal="left"/>
      <protection locked="0"/>
    </xf>
    <xf numFmtId="0" fontId="3" fillId="0" borderId="37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5" fillId="0" borderId="39" xfId="0" applyFont="1" applyBorder="1" applyAlignment="1">
      <alignment horizontal="center"/>
    </xf>
    <xf numFmtId="0" fontId="0" fillId="0" borderId="39" xfId="0" applyBorder="1"/>
    <xf numFmtId="0" fontId="5" fillId="0" borderId="40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0" fontId="6" fillId="0" borderId="22" xfId="0" applyFont="1" applyBorder="1" applyAlignment="1">
      <alignment horizontal="left"/>
    </xf>
    <xf numFmtId="0" fontId="5" fillId="0" borderId="0" xfId="0" applyFont="1"/>
    <xf numFmtId="0" fontId="0" fillId="24" borderId="36" xfId="0" applyFill="1" applyBorder="1" applyAlignment="1">
      <alignment horizontal="center"/>
    </xf>
    <xf numFmtId="0" fontId="6" fillId="0" borderId="36" xfId="0" applyFont="1" applyBorder="1" applyAlignment="1">
      <alignment horizontal="left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24" borderId="14" xfId="0" applyFill="1" applyBorder="1" applyAlignment="1">
      <alignment horizontal="left"/>
    </xf>
    <xf numFmtId="0" fontId="0" fillId="26" borderId="15" xfId="0" applyFill="1" applyBorder="1" applyAlignment="1">
      <alignment horizontal="center"/>
    </xf>
    <xf numFmtId="0" fontId="0" fillId="27" borderId="11" xfId="0" applyFill="1" applyBorder="1" applyAlignment="1">
      <alignment horizontal="center"/>
    </xf>
    <xf numFmtId="0" fontId="6" fillId="27" borderId="11" xfId="0" applyFont="1" applyFill="1" applyBorder="1" applyAlignment="1">
      <alignment horizontal="center"/>
    </xf>
    <xf numFmtId="0" fontId="6" fillId="27" borderId="31" xfId="0" applyFont="1" applyFill="1" applyBorder="1" applyAlignment="1">
      <alignment horizontal="center"/>
    </xf>
    <xf numFmtId="0" fontId="0" fillId="28" borderId="0" xfId="0" applyFill="1"/>
    <xf numFmtId="0" fontId="3" fillId="0" borderId="32" xfId="0" applyFont="1" applyBorder="1" applyAlignment="1">
      <alignment horizontal="left"/>
    </xf>
    <xf numFmtId="0" fontId="0" fillId="26" borderId="41" xfId="0" applyFill="1" applyBorder="1" applyAlignment="1">
      <alignment horizontal="center"/>
    </xf>
    <xf numFmtId="0" fontId="0" fillId="27" borderId="30" xfId="0" applyFill="1" applyBorder="1" applyAlignment="1">
      <alignment horizontal="center"/>
    </xf>
    <xf numFmtId="0" fontId="6" fillId="27" borderId="20" xfId="0" applyFont="1" applyFill="1" applyBorder="1" applyAlignment="1">
      <alignment horizontal="center"/>
    </xf>
    <xf numFmtId="0" fontId="6" fillId="27" borderId="21" xfId="0" applyFont="1" applyFill="1" applyBorder="1" applyAlignment="1">
      <alignment horizontal="center"/>
    </xf>
    <xf numFmtId="0" fontId="6" fillId="0" borderId="42" xfId="0" applyFont="1" applyBorder="1" applyAlignment="1">
      <alignment horizontal="left"/>
    </xf>
    <xf numFmtId="0" fontId="0" fillId="29" borderId="0" xfId="0" applyFill="1"/>
    <xf numFmtId="0" fontId="0" fillId="0" borderId="10" xfId="0" applyBorder="1" applyAlignment="1">
      <alignment horizontal="left"/>
    </xf>
    <xf numFmtId="0" fontId="6" fillId="25" borderId="11" xfId="0" applyFont="1" applyFill="1" applyBorder="1" applyAlignment="1">
      <alignment horizontal="center"/>
    </xf>
    <xf numFmtId="0" fontId="6" fillId="25" borderId="31" xfId="0" applyFont="1" applyFill="1" applyBorder="1" applyAlignment="1">
      <alignment horizontal="center"/>
    </xf>
    <xf numFmtId="0" fontId="0" fillId="26" borderId="0" xfId="0" applyFill="1"/>
    <xf numFmtId="0" fontId="6" fillId="25" borderId="20" xfId="0" applyFont="1" applyFill="1" applyBorder="1" applyAlignment="1">
      <alignment horizontal="center"/>
    </xf>
    <xf numFmtId="0" fontId="6" fillId="25" borderId="21" xfId="0" applyFont="1" applyFill="1" applyBorder="1" applyAlignment="1">
      <alignment horizontal="center"/>
    </xf>
    <xf numFmtId="0" fontId="0" fillId="30" borderId="0" xfId="0" applyFill="1"/>
    <xf numFmtId="0" fontId="0" fillId="24" borderId="10" xfId="0" applyFill="1" applyBorder="1" applyAlignment="1">
      <alignment horizontal="left"/>
    </xf>
    <xf numFmtId="0" fontId="3" fillId="0" borderId="19" xfId="0" applyFont="1" applyBorder="1" applyAlignment="1">
      <alignment horizontal="left"/>
    </xf>
    <xf numFmtId="0" fontId="7" fillId="31" borderId="0" xfId="0" applyFont="1" applyFill="1"/>
    <xf numFmtId="0" fontId="0" fillId="0" borderId="14" xfId="0" applyBorder="1" applyAlignment="1">
      <alignment horizontal="left"/>
    </xf>
    <xf numFmtId="0" fontId="0" fillId="24" borderId="0" xfId="0" applyFill="1"/>
    <xf numFmtId="0" fontId="0" fillId="25" borderId="0" xfId="0" applyFill="1"/>
    <xf numFmtId="0" fontId="0" fillId="29" borderId="11" xfId="0" applyFill="1" applyBorder="1" applyAlignment="1">
      <alignment horizontal="center"/>
    </xf>
    <xf numFmtId="0" fontId="0" fillId="27" borderId="0" xfId="0" applyFill="1"/>
    <xf numFmtId="0" fontId="0" fillId="29" borderId="20" xfId="0" applyFill="1" applyBorder="1" applyAlignment="1">
      <alignment horizontal="center"/>
    </xf>
    <xf numFmtId="0" fontId="0" fillId="30" borderId="11" xfId="0" applyFill="1" applyBorder="1" applyAlignment="1">
      <alignment horizontal="center"/>
    </xf>
    <xf numFmtId="0" fontId="0" fillId="30" borderId="30" xfId="0" applyFill="1" applyBorder="1" applyAlignment="1">
      <alignment horizontal="center"/>
    </xf>
    <xf numFmtId="0" fontId="7" fillId="31" borderId="15" xfId="0" applyFont="1" applyFill="1" applyBorder="1" applyAlignment="1">
      <alignment horizontal="center"/>
    </xf>
    <xf numFmtId="0" fontId="7" fillId="31" borderId="16" xfId="0" applyFont="1" applyFill="1" applyBorder="1"/>
    <xf numFmtId="0" fontId="7" fillId="31" borderId="30" xfId="0" applyFont="1" applyFill="1" applyBorder="1" applyAlignment="1">
      <alignment horizontal="center"/>
    </xf>
    <xf numFmtId="0" fontId="7" fillId="31" borderId="35" xfId="0" applyFont="1" applyFill="1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6" fillId="24" borderId="31" xfId="0" applyFont="1" applyFill="1" applyBorder="1" applyAlignment="1">
      <alignment horizontal="center"/>
    </xf>
    <xf numFmtId="0" fontId="3" fillId="0" borderId="43" xfId="0" applyFont="1" applyBorder="1"/>
    <xf numFmtId="0" fontId="0" fillId="24" borderId="20" xfId="0" applyFill="1" applyBorder="1" applyAlignment="1">
      <alignment horizontal="center"/>
    </xf>
    <xf numFmtId="0" fontId="6" fillId="24" borderId="21" xfId="0" applyFont="1" applyFill="1" applyBorder="1" applyAlignment="1">
      <alignment horizontal="center"/>
    </xf>
    <xf numFmtId="0" fontId="0" fillId="28" borderId="11" xfId="0" applyFill="1" applyBorder="1" applyAlignment="1">
      <alignment horizontal="center"/>
    </xf>
    <xf numFmtId="0" fontId="3" fillId="0" borderId="19" xfId="0" applyFont="1" applyBorder="1"/>
    <xf numFmtId="0" fontId="0" fillId="28" borderId="30" xfId="0" applyFill="1" applyBorder="1" applyAlignment="1">
      <alignment horizontal="center"/>
    </xf>
    <xf numFmtId="0" fontId="0" fillId="26" borderId="20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5" fillId="0" borderId="31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0" fillId="0" borderId="44" xfId="0" applyBorder="1" applyAlignment="1">
      <alignment horizontal="left"/>
    </xf>
    <xf numFmtId="0" fontId="0" fillId="0" borderId="17" xfId="0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0" fillId="0" borderId="41" xfId="0" applyBorder="1" applyAlignment="1">
      <alignment horizontal="center"/>
    </xf>
    <xf numFmtId="0" fontId="6" fillId="0" borderId="41" xfId="0" applyFont="1" applyBorder="1" applyAlignment="1">
      <alignment horizontal="center"/>
    </xf>
    <xf numFmtId="0" fontId="5" fillId="0" borderId="4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24" xfId="0" applyBorder="1" applyAlignment="1">
      <alignment horizontal="center"/>
    </xf>
    <xf numFmtId="0" fontId="0" fillId="0" borderId="20" xfId="0" applyBorder="1"/>
    <xf numFmtId="0" fontId="6" fillId="0" borderId="0" xfId="0" applyFont="1" applyAlignment="1">
      <alignment horizontal="center"/>
    </xf>
    <xf numFmtId="0" fontId="6" fillId="0" borderId="30" xfId="0" applyFont="1" applyBorder="1" applyAlignment="1">
      <alignment horizontal="center"/>
    </xf>
    <xf numFmtId="0" fontId="0" fillId="24" borderId="35" xfId="0" applyFill="1" applyBorder="1" applyAlignment="1">
      <alignment horizontal="center"/>
    </xf>
    <xf numFmtId="0" fontId="6" fillId="0" borderId="34" xfId="0" applyFont="1" applyBorder="1" applyAlignment="1">
      <alignment horizontal="left"/>
    </xf>
    <xf numFmtId="0" fontId="0" fillId="0" borderId="43" xfId="0" applyBorder="1" applyAlignment="1">
      <alignment horizontal="center"/>
    </xf>
    <xf numFmtId="0" fontId="0" fillId="0" borderId="52" xfId="0" applyBorder="1" applyAlignment="1">
      <alignment horizontal="center"/>
    </xf>
    <xf numFmtId="0" fontId="6" fillId="0" borderId="52" xfId="0" applyFont="1" applyBorder="1" applyAlignment="1">
      <alignment horizontal="left"/>
    </xf>
    <xf numFmtId="0" fontId="3" fillId="0" borderId="43" xfId="0" applyFont="1" applyBorder="1" applyAlignment="1">
      <alignment horizontal="left"/>
    </xf>
    <xf numFmtId="0" fontId="0" fillId="0" borderId="53" xfId="0" applyBorder="1" applyAlignment="1">
      <alignment horizontal="center"/>
    </xf>
    <xf numFmtId="0" fontId="0" fillId="24" borderId="30" xfId="0" applyFill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54" xfId="0" applyFont="1" applyBorder="1" applyAlignment="1">
      <alignment horizontal="center"/>
    </xf>
    <xf numFmtId="0" fontId="5" fillId="0" borderId="40" xfId="0" applyFont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6" xfId="0" applyBorder="1"/>
    <xf numFmtId="0" fontId="0" fillId="24" borderId="15" xfId="0" applyFill="1" applyBorder="1" applyAlignment="1">
      <alignment horizontal="center"/>
    </xf>
    <xf numFmtId="0" fontId="0" fillId="0" borderId="44" xfId="0" applyBorder="1"/>
    <xf numFmtId="2" fontId="0" fillId="0" borderId="46" xfId="0" applyNumberFormat="1" applyBorder="1"/>
    <xf numFmtId="0" fontId="0" fillId="0" borderId="47" xfId="0" applyBorder="1"/>
    <xf numFmtId="0" fontId="0" fillId="0" borderId="56" xfId="0" applyBorder="1"/>
    <xf numFmtId="2" fontId="0" fillId="24" borderId="57" xfId="0" applyNumberFormat="1" applyFill="1" applyBorder="1"/>
    <xf numFmtId="2" fontId="0" fillId="0" borderId="0" xfId="0" applyNumberFormat="1"/>
    <xf numFmtId="2" fontId="0" fillId="0" borderId="56" xfId="0" applyNumberFormat="1" applyBorder="1"/>
    <xf numFmtId="0" fontId="5" fillId="0" borderId="42" xfId="0" applyFont="1" applyBorder="1" applyAlignment="1">
      <alignment horizontal="left"/>
    </xf>
    <xf numFmtId="0" fontId="3" fillId="0" borderId="29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5" fillId="0" borderId="30" xfId="0" applyFont="1" applyBorder="1" applyAlignment="1">
      <alignment horizontal="center"/>
    </xf>
    <xf numFmtId="0" fontId="5" fillId="0" borderId="34" xfId="0" applyFont="1" applyBorder="1" applyAlignment="1">
      <alignment horizontal="left"/>
    </xf>
    <xf numFmtId="0" fontId="7" fillId="32" borderId="15" xfId="0" applyFont="1" applyFill="1" applyBorder="1" applyAlignment="1">
      <alignment horizontal="center"/>
    </xf>
    <xf numFmtId="0" fontId="5" fillId="0" borderId="0" xfId="0" applyFont="1" applyAlignment="1">
      <alignment horizontal="left"/>
    </xf>
    <xf numFmtId="2" fontId="0" fillId="0" borderId="46" xfId="0" applyNumberFormat="1" applyBorder="1" applyAlignment="1">
      <alignment horizontal="center"/>
    </xf>
    <xf numFmtId="0" fontId="6" fillId="0" borderId="11" xfId="0" applyFont="1" applyBorder="1"/>
    <xf numFmtId="0" fontId="0" fillId="0" borderId="58" xfId="0" applyBorder="1" applyAlignment="1">
      <alignment horizontal="center"/>
    </xf>
    <xf numFmtId="0" fontId="6" fillId="0" borderId="46" xfId="0" applyFont="1" applyBorder="1" applyAlignment="1">
      <alignment horizontal="center"/>
    </xf>
    <xf numFmtId="0" fontId="6" fillId="0" borderId="59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8" fillId="0" borderId="28" xfId="0" applyFont="1" applyBorder="1" applyAlignment="1">
      <alignment horizontal="left"/>
    </xf>
    <xf numFmtId="0" fontId="5" fillId="24" borderId="60" xfId="0" applyFont="1" applyFill="1" applyBorder="1"/>
    <xf numFmtId="0" fontId="3" fillId="0" borderId="61" xfId="0" applyFont="1" applyBorder="1"/>
    <xf numFmtId="0" fontId="6" fillId="0" borderId="49" xfId="0" applyFont="1" applyBorder="1" applyAlignment="1">
      <alignment horizontal="center"/>
    </xf>
    <xf numFmtId="0" fontId="6" fillId="0" borderId="52" xfId="0" applyFont="1" applyBorder="1" applyAlignment="1">
      <alignment horizontal="center"/>
    </xf>
    <xf numFmtId="0" fontId="5" fillId="24" borderId="42" xfId="0" applyFont="1" applyFill="1" applyBorder="1" applyAlignment="1">
      <alignment horizontal="left"/>
    </xf>
    <xf numFmtId="0" fontId="3" fillId="0" borderId="61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24" borderId="51" xfId="0" applyFont="1" applyFill="1" applyBorder="1" applyAlignment="1">
      <alignment horizontal="left"/>
    </xf>
    <xf numFmtId="0" fontId="5" fillId="24" borderId="13" xfId="0" applyFont="1" applyFill="1" applyBorder="1" applyAlignment="1">
      <alignment horizontal="left"/>
    </xf>
    <xf numFmtId="0" fontId="3" fillId="0" borderId="58" xfId="0" applyFont="1" applyBorder="1"/>
    <xf numFmtId="0" fontId="6" fillId="0" borderId="46" xfId="0" applyFont="1" applyBorder="1"/>
    <xf numFmtId="0" fontId="5" fillId="24" borderId="59" xfId="0" applyFont="1" applyFill="1" applyBorder="1" applyAlignment="1">
      <alignment horizontal="left"/>
    </xf>
    <xf numFmtId="0" fontId="6" fillId="0" borderId="49" xfId="0" applyFont="1" applyBorder="1"/>
    <xf numFmtId="0" fontId="5" fillId="0" borderId="11" xfId="0" applyFont="1" applyBorder="1"/>
    <xf numFmtId="0" fontId="5" fillId="0" borderId="58" xfId="0" applyFont="1" applyBorder="1"/>
    <xf numFmtId="0" fontId="0" fillId="0" borderId="59" xfId="0" applyBorder="1"/>
    <xf numFmtId="0" fontId="6" fillId="0" borderId="11" xfId="0" applyFont="1" applyBorder="1" applyAlignment="1">
      <alignment horizontal="left"/>
    </xf>
    <xf numFmtId="0" fontId="6" fillId="0" borderId="46" xfId="0" applyFont="1" applyBorder="1" applyAlignment="1">
      <alignment horizontal="left"/>
    </xf>
    <xf numFmtId="0" fontId="6" fillId="0" borderId="30" xfId="0" applyFont="1" applyBorder="1"/>
    <xf numFmtId="0" fontId="6" fillId="0" borderId="30" xfId="0" applyFont="1" applyBorder="1" applyAlignment="1">
      <alignment horizontal="left"/>
    </xf>
    <xf numFmtId="0" fontId="0" fillId="0" borderId="62" xfId="0" applyBorder="1" applyAlignment="1">
      <alignment horizontal="center"/>
    </xf>
    <xf numFmtId="0" fontId="6" fillId="24" borderId="62" xfId="0" applyFont="1" applyFill="1" applyBorder="1" applyAlignment="1">
      <alignment horizontal="center"/>
    </xf>
    <xf numFmtId="0" fontId="0" fillId="0" borderId="62" xfId="0" applyBorder="1"/>
    <xf numFmtId="0" fontId="3" fillId="0" borderId="49" xfId="0" applyFont="1" applyBorder="1" applyAlignment="1">
      <alignment horizontal="center"/>
    </xf>
    <xf numFmtId="0" fontId="6" fillId="0" borderId="51" xfId="0" applyFont="1" applyBorder="1" applyAlignment="1">
      <alignment horizontal="left"/>
    </xf>
    <xf numFmtId="0" fontId="3" fillId="0" borderId="28" xfId="0" applyFont="1" applyBorder="1" applyAlignment="1">
      <alignment horizontal="center"/>
    </xf>
    <xf numFmtId="0" fontId="6" fillId="0" borderId="62" xfId="0" applyFont="1" applyBorder="1" applyAlignment="1">
      <alignment horizontal="center"/>
    </xf>
    <xf numFmtId="0" fontId="6" fillId="0" borderId="62" xfId="0" applyFont="1" applyBorder="1" applyAlignment="1">
      <alignment horizontal="left"/>
    </xf>
    <xf numFmtId="0" fontId="7" fillId="32" borderId="46" xfId="0" applyFont="1" applyFill="1" applyBorder="1" applyAlignment="1">
      <alignment horizontal="center"/>
    </xf>
    <xf numFmtId="0" fontId="3" fillId="0" borderId="24" xfId="0" applyFont="1" applyBorder="1" applyAlignment="1">
      <alignment horizontal="left"/>
    </xf>
    <xf numFmtId="0" fontId="5" fillId="0" borderId="63" xfId="0" applyFont="1" applyBorder="1" applyAlignment="1">
      <alignment horizontal="center"/>
    </xf>
    <xf numFmtId="0" fontId="0" fillId="0" borderId="25" xfId="0" applyBorder="1"/>
    <xf numFmtId="0" fontId="5" fillId="0" borderId="60" xfId="0" applyFont="1" applyBorder="1" applyAlignment="1">
      <alignment horizontal="left"/>
    </xf>
    <xf numFmtId="0" fontId="0" fillId="0" borderId="24" xfId="0" applyBorder="1" applyAlignment="1">
      <alignment horizontal="left"/>
    </xf>
    <xf numFmtId="0" fontId="3" fillId="33" borderId="25" xfId="0" applyFont="1" applyFill="1" applyBorder="1" applyAlignment="1">
      <alignment horizontal="center"/>
    </xf>
    <xf numFmtId="0" fontId="9" fillId="34" borderId="25" xfId="0" applyFont="1" applyFill="1" applyBorder="1"/>
    <xf numFmtId="0" fontId="0" fillId="0" borderId="27" xfId="0" applyBorder="1"/>
    <xf numFmtId="0" fontId="0" fillId="0" borderId="64" xfId="0" applyBorder="1" applyAlignment="1">
      <alignment horizontal="left"/>
    </xf>
    <xf numFmtId="0" fontId="6" fillId="0" borderId="43" xfId="0" applyFont="1" applyBorder="1" applyAlignment="1">
      <alignment horizontal="right"/>
    </xf>
    <xf numFmtId="49" fontId="3" fillId="33" borderId="41" xfId="0" applyNumberFormat="1" applyFont="1" applyFill="1" applyBorder="1" applyAlignment="1">
      <alignment horizontal="center"/>
    </xf>
    <xf numFmtId="0" fontId="9" fillId="34" borderId="41" xfId="0" applyFont="1" applyFill="1" applyBorder="1" applyAlignment="1">
      <alignment horizontal="center"/>
    </xf>
    <xf numFmtId="0" fontId="0" fillId="0" borderId="52" xfId="0" applyBorder="1"/>
    <xf numFmtId="0" fontId="0" fillId="0" borderId="65" xfId="0" applyBorder="1" applyAlignment="1">
      <alignment horizontal="left"/>
    </xf>
    <xf numFmtId="0" fontId="0" fillId="33" borderId="20" xfId="0" applyFill="1" applyBorder="1" applyAlignment="1">
      <alignment horizontal="center"/>
    </xf>
    <xf numFmtId="0" fontId="10" fillId="34" borderId="20" xfId="0" applyFont="1" applyFill="1" applyBorder="1" applyAlignment="1">
      <alignment horizontal="center"/>
    </xf>
    <xf numFmtId="0" fontId="3" fillId="0" borderId="66" xfId="0" applyFont="1" applyBorder="1" applyAlignment="1">
      <alignment horizontal="left"/>
    </xf>
    <xf numFmtId="0" fontId="5" fillId="25" borderId="25" xfId="0" applyFont="1" applyFill="1" applyBorder="1" applyAlignment="1">
      <alignment horizontal="center"/>
    </xf>
    <xf numFmtId="0" fontId="9" fillId="35" borderId="25" xfId="0" applyFont="1" applyFill="1" applyBorder="1"/>
    <xf numFmtId="0" fontId="9" fillId="35" borderId="63" xfId="0" applyFont="1" applyFill="1" applyBorder="1"/>
    <xf numFmtId="49" fontId="5" fillId="25" borderId="41" xfId="0" applyNumberFormat="1" applyFont="1" applyFill="1" applyBorder="1" applyAlignment="1">
      <alignment horizontal="center"/>
    </xf>
    <xf numFmtId="0" fontId="9" fillId="35" borderId="41" xfId="0" applyFont="1" applyFill="1" applyBorder="1" applyAlignment="1">
      <alignment horizontal="center"/>
    </xf>
    <xf numFmtId="0" fontId="0" fillId="0" borderId="41" xfId="0" applyBorder="1"/>
    <xf numFmtId="0" fontId="10" fillId="35" borderId="20" xfId="0" applyFont="1" applyFill="1" applyBorder="1" applyAlignment="1">
      <alignment horizontal="center"/>
    </xf>
    <xf numFmtId="0" fontId="10" fillId="35" borderId="67" xfId="0" applyFont="1" applyFill="1" applyBorder="1" applyAlignment="1">
      <alignment horizontal="center"/>
    </xf>
    <xf numFmtId="0" fontId="5" fillId="36" borderId="25" xfId="0" applyFont="1" applyFill="1" applyBorder="1" applyAlignment="1">
      <alignment horizontal="center"/>
    </xf>
    <xf numFmtId="49" fontId="5" fillId="36" borderId="41" xfId="0" applyNumberFormat="1" applyFont="1" applyFill="1" applyBorder="1" applyAlignment="1">
      <alignment horizontal="center"/>
    </xf>
    <xf numFmtId="0" fontId="9" fillId="35" borderId="68" xfId="0" applyFont="1" applyFill="1" applyBorder="1" applyAlignment="1">
      <alignment horizontal="center"/>
    </xf>
    <xf numFmtId="0" fontId="6" fillId="36" borderId="20" xfId="0" applyFont="1" applyFill="1" applyBorder="1" applyAlignment="1">
      <alignment horizontal="center"/>
    </xf>
    <xf numFmtId="0" fontId="6" fillId="0" borderId="69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6" fillId="0" borderId="67" xfId="0" applyFont="1" applyBorder="1" applyAlignment="1">
      <alignment horizontal="center"/>
    </xf>
    <xf numFmtId="0" fontId="0" fillId="0" borderId="63" xfId="0" applyBorder="1"/>
    <xf numFmtId="0" fontId="0" fillId="0" borderId="68" xfId="0" applyBorder="1"/>
    <xf numFmtId="0" fontId="0" fillId="0" borderId="67" xfId="0" applyBorder="1"/>
    <xf numFmtId="0" fontId="3" fillId="37" borderId="25" xfId="0" applyFont="1" applyFill="1" applyBorder="1" applyAlignment="1">
      <alignment horizontal="center"/>
    </xf>
    <xf numFmtId="0" fontId="3" fillId="37" borderId="63" xfId="0" applyFont="1" applyFill="1" applyBorder="1" applyAlignment="1">
      <alignment horizontal="center"/>
    </xf>
    <xf numFmtId="0" fontId="3" fillId="0" borderId="64" xfId="0" applyFont="1" applyBorder="1" applyAlignment="1">
      <alignment horizontal="left"/>
    </xf>
    <xf numFmtId="0" fontId="3" fillId="37" borderId="41" xfId="0" applyFont="1" applyFill="1" applyBorder="1" applyAlignment="1">
      <alignment horizontal="center"/>
    </xf>
    <xf numFmtId="0" fontId="3" fillId="0" borderId="65" xfId="0" applyFont="1" applyBorder="1" applyAlignment="1">
      <alignment horizontal="left"/>
    </xf>
    <xf numFmtId="0" fontId="0" fillId="37" borderId="20" xfId="0" applyFill="1" applyBorder="1" applyAlignment="1">
      <alignment horizontal="center"/>
    </xf>
    <xf numFmtId="0" fontId="0" fillId="37" borderId="67" xfId="0" applyFill="1" applyBorder="1" applyAlignment="1">
      <alignment horizontal="center"/>
    </xf>
    <xf numFmtId="0" fontId="3" fillId="38" borderId="25" xfId="0" applyFont="1" applyFill="1" applyBorder="1" applyAlignment="1">
      <alignment horizontal="center"/>
    </xf>
    <xf numFmtId="49" fontId="3" fillId="38" borderId="41" xfId="0" applyNumberFormat="1" applyFont="1" applyFill="1" applyBorder="1" applyAlignment="1">
      <alignment horizontal="center"/>
    </xf>
    <xf numFmtId="0" fontId="0" fillId="38" borderId="20" xfId="0" applyFill="1" applyBorder="1" applyAlignment="1">
      <alignment horizontal="center"/>
    </xf>
    <xf numFmtId="0" fontId="3" fillId="24" borderId="25" xfId="0" applyFont="1" applyFill="1" applyBorder="1" applyAlignment="1">
      <alignment horizontal="center"/>
    </xf>
    <xf numFmtId="0" fontId="0" fillId="0" borderId="25" xfId="0" applyBorder="1" applyAlignment="1">
      <alignment horizontal="center"/>
    </xf>
    <xf numFmtId="49" fontId="3" fillId="24" borderId="41" xfId="0" applyNumberFormat="1" applyFont="1" applyFill="1" applyBorder="1" applyAlignment="1">
      <alignment horizontal="center"/>
    </xf>
    <xf numFmtId="0" fontId="3" fillId="37" borderId="68" xfId="0" applyFont="1" applyFill="1" applyBorder="1" applyAlignment="1">
      <alignment horizontal="center"/>
    </xf>
    <xf numFmtId="0" fontId="0" fillId="24" borderId="41" xfId="0" applyFill="1" applyBorder="1" applyAlignment="1">
      <alignment horizontal="center"/>
    </xf>
    <xf numFmtId="0" fontId="0" fillId="37" borderId="41" xfId="0" applyFill="1" applyBorder="1" applyAlignment="1">
      <alignment horizontal="center"/>
    </xf>
    <xf numFmtId="0" fontId="9" fillId="31" borderId="41" xfId="0" applyFont="1" applyFill="1" applyBorder="1" applyAlignment="1">
      <alignment horizontal="center"/>
    </xf>
    <xf numFmtId="0" fontId="3" fillId="0" borderId="63" xfId="0" applyFont="1" applyBorder="1" applyAlignment="1">
      <alignment horizontal="center"/>
    </xf>
    <xf numFmtId="49" fontId="9" fillId="31" borderId="41" xfId="0" applyNumberFormat="1" applyFont="1" applyFill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68" xfId="0" applyFont="1" applyBorder="1" applyAlignment="1">
      <alignment horizontal="center"/>
    </xf>
    <xf numFmtId="0" fontId="7" fillId="31" borderId="41" xfId="0" applyFont="1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3" fillId="0" borderId="65" xfId="0" applyFont="1" applyBorder="1"/>
    <xf numFmtId="0" fontId="5" fillId="39" borderId="25" xfId="0" applyFont="1" applyFill="1" applyBorder="1" applyAlignment="1">
      <alignment horizontal="center"/>
    </xf>
    <xf numFmtId="0" fontId="0" fillId="0" borderId="25" xfId="0" applyBorder="1" applyAlignment="1">
      <alignment horizontal="left"/>
    </xf>
    <xf numFmtId="49" fontId="5" fillId="39" borderId="41" xfId="0" applyNumberFormat="1" applyFont="1" applyFill="1" applyBorder="1" applyAlignment="1">
      <alignment horizontal="center"/>
    </xf>
    <xf numFmtId="0" fontId="0" fillId="0" borderId="41" xfId="0" applyBorder="1" applyAlignment="1">
      <alignment horizontal="left"/>
    </xf>
    <xf numFmtId="0" fontId="6" fillId="39" borderId="20" xfId="0" applyFont="1" applyFill="1" applyBorder="1" applyAlignment="1">
      <alignment horizontal="center"/>
    </xf>
    <xf numFmtId="0" fontId="3" fillId="40" borderId="25" xfId="0" applyFont="1" applyFill="1" applyBorder="1" applyAlignment="1">
      <alignment horizontal="center"/>
    </xf>
    <xf numFmtId="0" fontId="3" fillId="0" borderId="69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49" fontId="3" fillId="40" borderId="41" xfId="0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40" borderId="20" xfId="0" applyFill="1" applyBorder="1" applyAlignment="1">
      <alignment horizontal="center"/>
    </xf>
    <xf numFmtId="0" fontId="3" fillId="41" borderId="63" xfId="0" applyFont="1" applyFill="1" applyBorder="1" applyAlignment="1">
      <alignment horizontal="center"/>
    </xf>
    <xf numFmtId="49" fontId="3" fillId="41" borderId="68" xfId="0" applyNumberFormat="1" applyFont="1" applyFill="1" applyBorder="1" applyAlignment="1">
      <alignment horizontal="center"/>
    </xf>
    <xf numFmtId="0" fontId="0" fillId="41" borderId="20" xfId="0" applyFill="1" applyBorder="1" applyAlignment="1">
      <alignment horizontal="center"/>
    </xf>
    <xf numFmtId="0" fontId="3" fillId="0" borderId="66" xfId="0" applyFont="1" applyBorder="1"/>
    <xf numFmtId="0" fontId="3" fillId="42" borderId="63" xfId="0" applyFont="1" applyFill="1" applyBorder="1" applyAlignment="1">
      <alignment horizontal="center"/>
    </xf>
    <xf numFmtId="0" fontId="3" fillId="42" borderId="25" xfId="0" applyFont="1" applyFill="1" applyBorder="1" applyAlignment="1">
      <alignment horizontal="center"/>
    </xf>
    <xf numFmtId="49" fontId="3" fillId="42" borderId="68" xfId="0" applyNumberFormat="1" applyFont="1" applyFill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42" borderId="20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28" xfId="0" applyBorder="1" applyAlignment="1">
      <alignment horizontal="left"/>
    </xf>
    <xf numFmtId="0" fontId="9" fillId="34" borderId="11" xfId="0" applyFont="1" applyFill="1" applyBorder="1"/>
    <xf numFmtId="0" fontId="9" fillId="34" borderId="13" xfId="0" applyFont="1" applyFill="1" applyBorder="1"/>
    <xf numFmtId="0" fontId="10" fillId="34" borderId="30" xfId="0" applyFont="1" applyFill="1" applyBorder="1" applyAlignment="1">
      <alignment horizontal="center"/>
    </xf>
    <xf numFmtId="0" fontId="10" fillId="34" borderId="34" xfId="0" applyFont="1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34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5" fillId="0" borderId="46" xfId="0" applyFont="1" applyBorder="1" applyAlignment="1">
      <alignment horizontal="center"/>
    </xf>
    <xf numFmtId="0" fontId="0" fillId="0" borderId="61" xfId="0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5" fillId="0" borderId="71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6" fillId="0" borderId="40" xfId="0" applyFont="1" applyBorder="1" applyAlignment="1">
      <alignment horizontal="left"/>
    </xf>
    <xf numFmtId="0" fontId="3" fillId="29" borderId="11" xfId="0" applyFont="1" applyFill="1" applyBorder="1" applyAlignment="1">
      <alignment horizontal="left"/>
    </xf>
    <xf numFmtId="0" fontId="3" fillId="0" borderId="58" xfId="0" applyFont="1" applyBorder="1" applyAlignment="1">
      <alignment horizontal="center"/>
    </xf>
    <xf numFmtId="0" fontId="6" fillId="29" borderId="46" xfId="0" applyFont="1" applyFill="1" applyBorder="1" applyAlignment="1">
      <alignment horizontal="center"/>
    </xf>
    <xf numFmtId="0" fontId="3" fillId="29" borderId="49" xfId="0" applyFont="1" applyFill="1" applyBorder="1" applyAlignment="1">
      <alignment horizontal="center"/>
    </xf>
    <xf numFmtId="0" fontId="0" fillId="29" borderId="46" xfId="0" applyFill="1" applyBorder="1" applyAlignment="1">
      <alignment horizontal="center"/>
    </xf>
    <xf numFmtId="0" fontId="3" fillId="29" borderId="30" xfId="0" applyFont="1" applyFill="1" applyBorder="1" applyAlignment="1">
      <alignment horizontal="center"/>
    </xf>
    <xf numFmtId="0" fontId="0" fillId="24" borderId="62" xfId="0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58" xfId="0" applyFont="1" applyBorder="1" applyAlignment="1">
      <alignment horizontal="left"/>
    </xf>
    <xf numFmtId="0" fontId="3" fillId="0" borderId="61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3" fillId="0" borderId="72" xfId="0" applyFont="1" applyBorder="1" applyAlignment="1">
      <alignment horizontal="center"/>
    </xf>
    <xf numFmtId="0" fontId="0" fillId="43" borderId="28" xfId="0" applyFill="1" applyBorder="1" applyAlignment="1" applyProtection="1">
      <alignment horizontal="center"/>
      <protection locked="0"/>
    </xf>
    <xf numFmtId="0" fontId="0" fillId="43" borderId="48" xfId="0" applyFill="1" applyBorder="1" applyAlignment="1" applyProtection="1">
      <alignment horizontal="center"/>
      <protection locked="0"/>
    </xf>
    <xf numFmtId="0" fontId="0" fillId="0" borderId="46" xfId="0" applyBorder="1" applyAlignment="1">
      <alignment horizontal="left"/>
    </xf>
    <xf numFmtId="0" fontId="0" fillId="43" borderId="32" xfId="0" applyFill="1" applyBorder="1" applyAlignment="1" applyProtection="1">
      <alignment horizontal="center"/>
      <protection locked="0"/>
    </xf>
    <xf numFmtId="2" fontId="0" fillId="0" borderId="30" xfId="0" applyNumberFormat="1" applyBorder="1" applyAlignment="1">
      <alignment horizontal="left"/>
    </xf>
    <xf numFmtId="2" fontId="6" fillId="0" borderId="30" xfId="0" applyNumberFormat="1" applyFont="1" applyBorder="1" applyAlignment="1">
      <alignment horizontal="left"/>
    </xf>
    <xf numFmtId="2" fontId="6" fillId="0" borderId="34" xfId="0" applyNumberFormat="1" applyFont="1" applyBorder="1" applyAlignment="1">
      <alignment horizontal="left"/>
    </xf>
    <xf numFmtId="2" fontId="0" fillId="0" borderId="62" xfId="0" applyNumberFormat="1" applyBorder="1" applyAlignment="1">
      <alignment horizontal="center"/>
    </xf>
    <xf numFmtId="2" fontId="0" fillId="24" borderId="62" xfId="0" applyNumberForma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73" xfId="0" applyFont="1" applyBorder="1" applyAlignment="1">
      <alignment horizontal="left"/>
    </xf>
    <xf numFmtId="0" fontId="0" fillId="0" borderId="10" xfId="0" applyBorder="1"/>
    <xf numFmtId="0" fontId="0" fillId="0" borderId="58" xfId="0" applyBorder="1"/>
    <xf numFmtId="2" fontId="0" fillId="0" borderId="15" xfId="0" applyNumberFormat="1" applyBorder="1" applyAlignment="1">
      <alignment horizontal="center"/>
    </xf>
    <xf numFmtId="0" fontId="0" fillId="0" borderId="29" xfId="0" applyBorder="1"/>
    <xf numFmtId="0" fontId="0" fillId="0" borderId="28" xfId="0" applyBorder="1"/>
    <xf numFmtId="2" fontId="0" fillId="0" borderId="13" xfId="0" applyNumberFormat="1" applyBorder="1"/>
    <xf numFmtId="0" fontId="0" fillId="0" borderId="45" xfId="0" applyBorder="1"/>
    <xf numFmtId="2" fontId="0" fillId="0" borderId="59" xfId="0" applyNumberFormat="1" applyBorder="1"/>
    <xf numFmtId="0" fontId="0" fillId="0" borderId="32" xfId="0" applyBorder="1"/>
    <xf numFmtId="2" fontId="0" fillId="24" borderId="34" xfId="0" applyNumberFormat="1" applyFill="1" applyBorder="1"/>
    <xf numFmtId="0" fontId="0" fillId="0" borderId="19" xfId="0" applyBorder="1" applyAlignment="1">
      <alignment horizontal="left"/>
    </xf>
    <xf numFmtId="0" fontId="5" fillId="0" borderId="59" xfId="0" applyFont="1" applyBorder="1" applyAlignment="1">
      <alignment horizontal="left"/>
    </xf>
    <xf numFmtId="0" fontId="0" fillId="0" borderId="24" xfId="0" applyBorder="1"/>
    <xf numFmtId="0" fontId="0" fillId="0" borderId="60" xfId="0" applyBorder="1"/>
    <xf numFmtId="0" fontId="3" fillId="0" borderId="46" xfId="0" applyFont="1" applyBorder="1"/>
    <xf numFmtId="0" fontId="6" fillId="0" borderId="22" xfId="0" applyFont="1" applyBorder="1" applyAlignment="1">
      <alignment horizontal="center"/>
    </xf>
    <xf numFmtId="0" fontId="5" fillId="24" borderId="23" xfId="0" applyFont="1" applyFill="1" applyBorder="1" applyAlignment="1">
      <alignment horizontal="left"/>
    </xf>
    <xf numFmtId="0" fontId="0" fillId="0" borderId="59" xfId="0" applyBorder="1" applyAlignment="1">
      <alignment horizontal="center"/>
    </xf>
    <xf numFmtId="0" fontId="6" fillId="0" borderId="12" xfId="0" applyFont="1" applyBorder="1"/>
    <xf numFmtId="0" fontId="5" fillId="0" borderId="46" xfId="0" applyFont="1" applyBorder="1"/>
    <xf numFmtId="0" fontId="8" fillId="0" borderId="10" xfId="0" applyFont="1" applyBorder="1" applyAlignment="1">
      <alignment horizontal="left"/>
    </xf>
    <xf numFmtId="0" fontId="6" fillId="0" borderId="31" xfId="0" applyFont="1" applyBorder="1"/>
    <xf numFmtId="0" fontId="0" fillId="24" borderId="34" xfId="0" applyFill="1" applyBorder="1" applyAlignment="1">
      <alignment horizontal="center"/>
    </xf>
    <xf numFmtId="0" fontId="6" fillId="0" borderId="33" xfId="0" applyFont="1" applyBorder="1"/>
    <xf numFmtId="0" fontId="6" fillId="0" borderId="35" xfId="0" applyFont="1" applyBorder="1" applyAlignment="1">
      <alignment horizontal="left"/>
    </xf>
    <xf numFmtId="0" fontId="6" fillId="24" borderId="36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6" fillId="0" borderId="17" xfId="0" applyFont="1" applyBorder="1"/>
    <xf numFmtId="2" fontId="0" fillId="0" borderId="0" xfId="0" applyNumberFormat="1" applyAlignment="1">
      <alignment horizontal="right"/>
    </xf>
    <xf numFmtId="0" fontId="6" fillId="0" borderId="36" xfId="0" applyFont="1" applyBorder="1" applyAlignment="1">
      <alignment horizontal="center"/>
    </xf>
    <xf numFmtId="2" fontId="0" fillId="24" borderId="55" xfId="0" applyNumberFormat="1" applyFill="1" applyBorder="1"/>
    <xf numFmtId="0" fontId="0" fillId="0" borderId="37" xfId="0" applyBorder="1"/>
    <xf numFmtId="0" fontId="0" fillId="0" borderId="74" xfId="0" applyBorder="1"/>
    <xf numFmtId="0" fontId="6" fillId="0" borderId="0" xfId="0" applyFont="1"/>
    <xf numFmtId="0" fontId="0" fillId="24" borderId="24" xfId="0" applyFill="1" applyBorder="1" applyAlignment="1">
      <alignment horizontal="left"/>
    </xf>
    <xf numFmtId="0" fontId="0" fillId="24" borderId="64" xfId="0" applyFill="1" applyBorder="1" applyAlignment="1">
      <alignment horizontal="left"/>
    </xf>
    <xf numFmtId="0" fontId="0" fillId="0" borderId="53" xfId="0" applyBorder="1"/>
    <xf numFmtId="0" fontId="0" fillId="0" borderId="18" xfId="0" applyBorder="1" applyAlignment="1">
      <alignment horizontal="center"/>
    </xf>
    <xf numFmtId="0" fontId="3" fillId="40" borderId="44" xfId="0" applyFont="1" applyFill="1" applyBorder="1"/>
    <xf numFmtId="0" fontId="0" fillId="40" borderId="47" xfId="0" applyFill="1" applyBorder="1"/>
    <xf numFmtId="0" fontId="6" fillId="40" borderId="47" xfId="0" applyFont="1" applyFill="1" applyBorder="1"/>
    <xf numFmtId="0" fontId="3" fillId="26" borderId="44" xfId="0" applyFont="1" applyFill="1" applyBorder="1"/>
    <xf numFmtId="0" fontId="0" fillId="26" borderId="47" xfId="0" applyFill="1" applyBorder="1"/>
    <xf numFmtId="0" fontId="3" fillId="42" borderId="44" xfId="0" applyFont="1" applyFill="1" applyBorder="1" applyAlignment="1">
      <alignment horizontal="left"/>
    </xf>
    <xf numFmtId="0" fontId="0" fillId="42" borderId="47" xfId="0" applyFill="1" applyBorder="1"/>
    <xf numFmtId="0" fontId="3" fillId="39" borderId="44" xfId="0" applyFont="1" applyFill="1" applyBorder="1"/>
    <xf numFmtId="0" fontId="0" fillId="39" borderId="47" xfId="0" applyFill="1" applyBorder="1"/>
    <xf numFmtId="0" fontId="3" fillId="43" borderId="0" xfId="0" applyFont="1" applyFill="1"/>
    <xf numFmtId="0" fontId="0" fillId="43" borderId="0" xfId="0" applyFill="1"/>
    <xf numFmtId="0" fontId="6" fillId="0" borderId="25" xfId="0" applyFont="1" applyBorder="1" applyAlignment="1">
      <alignment horizontal="center"/>
    </xf>
    <xf numFmtId="0" fontId="6" fillId="0" borderId="63" xfId="0" applyFont="1" applyBorder="1" applyAlignment="1">
      <alignment horizontal="center"/>
    </xf>
    <xf numFmtId="0" fontId="3" fillId="37" borderId="44" xfId="0" applyFont="1" applyFill="1" applyBorder="1"/>
    <xf numFmtId="0" fontId="0" fillId="37" borderId="47" xfId="0" applyFill="1" applyBorder="1"/>
    <xf numFmtId="0" fontId="3" fillId="41" borderId="75" xfId="0" applyFont="1" applyFill="1" applyBorder="1" applyAlignment="1">
      <alignment horizontal="left"/>
    </xf>
    <xf numFmtId="0" fontId="0" fillId="41" borderId="50" xfId="0" applyFill="1" applyBorder="1"/>
    <xf numFmtId="0" fontId="3" fillId="24" borderId="75" xfId="0" applyFont="1" applyFill="1" applyBorder="1"/>
    <xf numFmtId="0" fontId="0" fillId="24" borderId="50" xfId="0" applyFill="1" applyBorder="1"/>
    <xf numFmtId="0" fontId="9" fillId="31" borderId="75" xfId="0" applyFont="1" applyFill="1" applyBorder="1"/>
    <xf numFmtId="0" fontId="7" fillId="31" borderId="50" xfId="0" applyFont="1" applyFill="1" applyBorder="1"/>
    <xf numFmtId="0" fontId="0" fillId="31" borderId="50" xfId="0" applyFill="1" applyBorder="1"/>
    <xf numFmtId="0" fontId="3" fillId="38" borderId="44" xfId="0" applyFont="1" applyFill="1" applyBorder="1"/>
    <xf numFmtId="0" fontId="0" fillId="38" borderId="47" xfId="0" applyFill="1" applyBorder="1"/>
    <xf numFmtId="0" fontId="6" fillId="0" borderId="68" xfId="0" applyFont="1" applyBorder="1" applyAlignment="1">
      <alignment horizontal="center"/>
    </xf>
    <xf numFmtId="0" fontId="3" fillId="25" borderId="44" xfId="0" applyFont="1" applyFill="1" applyBorder="1"/>
    <xf numFmtId="0" fontId="0" fillId="25" borderId="76" xfId="0" applyFill="1" applyBorder="1"/>
    <xf numFmtId="0" fontId="3" fillId="36" borderId="44" xfId="0" applyFont="1" applyFill="1" applyBorder="1"/>
    <xf numFmtId="0" fontId="0" fillId="36" borderId="76" xfId="0" applyFill="1" applyBorder="1"/>
    <xf numFmtId="0" fontId="3" fillId="33" borderId="44" xfId="0" applyFont="1" applyFill="1" applyBorder="1"/>
    <xf numFmtId="0" fontId="0" fillId="33" borderId="76" xfId="0" applyFill="1" applyBorder="1"/>
    <xf numFmtId="0" fontId="6" fillId="39" borderId="41" xfId="0" applyFont="1" applyFill="1" applyBorder="1" applyAlignment="1">
      <alignment horizontal="center"/>
    </xf>
    <xf numFmtId="0" fontId="3" fillId="35" borderId="44" xfId="0" applyFont="1" applyFill="1" applyBorder="1"/>
    <xf numFmtId="0" fontId="0" fillId="35" borderId="47" xfId="0" applyFill="1" applyBorder="1"/>
    <xf numFmtId="0" fontId="0" fillId="35" borderId="76" xfId="0" applyFill="1" applyBorder="1"/>
    <xf numFmtId="0" fontId="0" fillId="0" borderId="68" xfId="0" applyBorder="1" applyAlignment="1">
      <alignment horizontal="center"/>
    </xf>
    <xf numFmtId="2" fontId="0" fillId="0" borderId="0" xfId="0" applyNumberFormat="1" applyAlignment="1">
      <alignment horizontal="left"/>
    </xf>
    <xf numFmtId="0" fontId="3" fillId="34" borderId="44" xfId="0" applyFont="1" applyFill="1" applyBorder="1"/>
    <xf numFmtId="0" fontId="0" fillId="34" borderId="47" xfId="0" applyFill="1" applyBorder="1"/>
    <xf numFmtId="0" fontId="0" fillId="34" borderId="76" xfId="0" applyFill="1" applyBorder="1"/>
    <xf numFmtId="49" fontId="3" fillId="0" borderId="0" xfId="0" applyNumberFormat="1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3" fillId="0" borderId="11" xfId="0" applyFont="1" applyBorder="1" applyAlignment="1">
      <alignment horizontal="left"/>
    </xf>
    <xf numFmtId="169" fontId="6" fillId="0" borderId="11" xfId="0" applyNumberFormat="1" applyFont="1" applyBorder="1" applyAlignment="1">
      <alignment horizontal="center"/>
    </xf>
    <xf numFmtId="170" fontId="0" fillId="0" borderId="0" xfId="0" applyNumberFormat="1"/>
    <xf numFmtId="2" fontId="0" fillId="28" borderId="0" xfId="0" applyNumberFormat="1" applyFill="1"/>
    <xf numFmtId="0" fontId="3" fillId="0" borderId="7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53" xfId="0" applyBorder="1" applyAlignment="1">
      <alignment horizontal="left"/>
    </xf>
    <xf numFmtId="0" fontId="3" fillId="0" borderId="72" xfId="0" applyFont="1" applyBorder="1" applyAlignment="1">
      <alignment horizontal="left"/>
    </xf>
    <xf numFmtId="0" fontId="0" fillId="0" borderId="26" xfId="0" applyBorder="1" applyAlignment="1">
      <alignment horizontal="center"/>
    </xf>
    <xf numFmtId="0" fontId="6" fillId="0" borderId="27" xfId="0" applyFont="1" applyBorder="1" applyAlignment="1">
      <alignment horizontal="left"/>
    </xf>
    <xf numFmtId="0" fontId="6" fillId="0" borderId="24" xfId="0" applyFont="1" applyBorder="1" applyAlignment="1">
      <alignment horizontal="left"/>
    </xf>
    <xf numFmtId="0" fontId="5" fillId="0" borderId="19" xfId="0" applyFont="1" applyBorder="1" applyAlignment="1">
      <alignment horizontal="left"/>
    </xf>
    <xf numFmtId="170" fontId="0" fillId="0" borderId="16" xfId="0" applyNumberFormat="1" applyBorder="1"/>
    <xf numFmtId="0" fontId="0" fillId="0" borderId="61" xfId="0" applyBorder="1"/>
    <xf numFmtId="0" fontId="0" fillId="0" borderId="51" xfId="0" applyBorder="1" applyAlignment="1">
      <alignment horizontal="center"/>
    </xf>
    <xf numFmtId="0" fontId="6" fillId="0" borderId="10" xfId="0" applyFont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6" fillId="40" borderId="30" xfId="0" applyFont="1" applyFill="1" applyBorder="1" applyAlignment="1">
      <alignment horizontal="center"/>
    </xf>
    <xf numFmtId="0" fontId="6" fillId="24" borderId="24" xfId="0" applyFont="1" applyFill="1" applyBorder="1" applyAlignment="1">
      <alignment horizontal="left"/>
    </xf>
    <xf numFmtId="0" fontId="6" fillId="24" borderId="11" xfId="0" applyFont="1" applyFill="1" applyBorder="1" applyAlignment="1">
      <alignment horizontal="center"/>
    </xf>
    <xf numFmtId="0" fontId="6" fillId="24" borderId="12" xfId="0" applyFont="1" applyFill="1" applyBorder="1"/>
    <xf numFmtId="0" fontId="6" fillId="24" borderId="13" xfId="0" applyFont="1" applyFill="1" applyBorder="1" applyAlignment="1">
      <alignment horizontal="left"/>
    </xf>
    <xf numFmtId="0" fontId="5" fillId="24" borderId="19" xfId="0" applyFont="1" applyFill="1" applyBorder="1" applyAlignment="1">
      <alignment horizontal="left"/>
    </xf>
    <xf numFmtId="0" fontId="6" fillId="24" borderId="30" xfId="0" applyFont="1" applyFill="1" applyBorder="1" applyAlignment="1">
      <alignment horizontal="center"/>
    </xf>
    <xf numFmtId="0" fontId="6" fillId="24" borderId="23" xfId="0" applyFont="1" applyFill="1" applyBorder="1" applyAlignment="1">
      <alignment horizontal="left"/>
    </xf>
    <xf numFmtId="0" fontId="5" fillId="24" borderId="11" xfId="0" applyFont="1" applyFill="1" applyBorder="1" applyAlignment="1">
      <alignment horizontal="center"/>
    </xf>
    <xf numFmtId="2" fontId="0" fillId="29" borderId="0" xfId="0" applyNumberFormat="1" applyFill="1"/>
    <xf numFmtId="0" fontId="0" fillId="0" borderId="28" xfId="0" applyBorder="1" applyAlignment="1" applyProtection="1">
      <alignment horizontal="center"/>
      <protection locked="0"/>
    </xf>
    <xf numFmtId="0" fontId="12" fillId="0" borderId="29" xfId="0" applyFont="1" applyBorder="1" applyAlignment="1">
      <alignment horizontal="left"/>
    </xf>
    <xf numFmtId="0" fontId="0" fillId="0" borderId="15" xfId="0" applyBorder="1" applyAlignment="1" applyProtection="1">
      <alignment horizontal="center"/>
      <protection locked="0"/>
    </xf>
    <xf numFmtId="0" fontId="3" fillId="0" borderId="15" xfId="0" applyFont="1" applyBorder="1" applyAlignment="1">
      <alignment horizontal="center"/>
    </xf>
    <xf numFmtId="0" fontId="3" fillId="0" borderId="78" xfId="0" applyFont="1" applyBorder="1" applyAlignment="1">
      <alignment horizontal="center"/>
    </xf>
    <xf numFmtId="0" fontId="0" fillId="0" borderId="29" xfId="0" applyBorder="1" applyAlignment="1">
      <alignment horizontal="left"/>
    </xf>
    <xf numFmtId="0" fontId="0" fillId="0" borderId="46" xfId="0" applyBorder="1" applyAlignment="1" applyProtection="1">
      <alignment horizontal="center"/>
      <protection locked="0"/>
    </xf>
    <xf numFmtId="0" fontId="5" fillId="44" borderId="44" xfId="0" applyFont="1" applyFill="1" applyBorder="1" applyAlignment="1">
      <alignment horizontal="left"/>
    </xf>
    <xf numFmtId="0" fontId="5" fillId="25" borderId="44" xfId="0" applyFont="1" applyFill="1" applyBorder="1"/>
    <xf numFmtId="0" fontId="6" fillId="25" borderId="47" xfId="0" applyFont="1" applyFill="1" applyBorder="1"/>
    <xf numFmtId="0" fontId="5" fillId="29" borderId="44" xfId="0" applyFont="1" applyFill="1" applyBorder="1" applyAlignment="1">
      <alignment horizontal="left"/>
    </xf>
    <xf numFmtId="0" fontId="5" fillId="29" borderId="47" xfId="0" applyFont="1" applyFill="1" applyBorder="1" applyAlignment="1">
      <alignment horizontal="left"/>
    </xf>
    <xf numFmtId="0" fontId="6" fillId="29" borderId="47" xfId="0" applyFont="1" applyFill="1" applyBorder="1"/>
    <xf numFmtId="0" fontId="6" fillId="29" borderId="76" xfId="0" applyFont="1" applyFill="1" applyBorder="1"/>
    <xf numFmtId="0" fontId="5" fillId="37" borderId="44" xfId="0" applyFont="1" applyFill="1" applyBorder="1" applyAlignment="1">
      <alignment horizontal="left"/>
    </xf>
    <xf numFmtId="0" fontId="5" fillId="37" borderId="47" xfId="0" applyFont="1" applyFill="1" applyBorder="1" applyAlignment="1">
      <alignment horizontal="left"/>
    </xf>
    <xf numFmtId="0" fontId="5" fillId="45" borderId="44" xfId="0" applyFont="1" applyFill="1" applyBorder="1" applyAlignment="1">
      <alignment horizontal="left"/>
    </xf>
    <xf numFmtId="0" fontId="0" fillId="45" borderId="47" xfId="0" applyFill="1" applyBorder="1"/>
    <xf numFmtId="0" fontId="6" fillId="45" borderId="47" xfId="0" applyFont="1" applyFill="1" applyBorder="1"/>
    <xf numFmtId="0" fontId="6" fillId="45" borderId="76" xfId="0" applyFont="1" applyFill="1" applyBorder="1"/>
    <xf numFmtId="0" fontId="5" fillId="24" borderId="44" xfId="0" applyFont="1" applyFill="1" applyBorder="1"/>
    <xf numFmtId="0" fontId="0" fillId="24" borderId="47" xfId="0" applyFill="1" applyBorder="1"/>
    <xf numFmtId="0" fontId="6" fillId="24" borderId="47" xfId="0" applyFont="1" applyFill="1" applyBorder="1"/>
    <xf numFmtId="0" fontId="5" fillId="40" borderId="44" xfId="0" applyFont="1" applyFill="1" applyBorder="1" applyAlignment="1">
      <alignment horizontal="left"/>
    </xf>
    <xf numFmtId="0" fontId="0" fillId="40" borderId="76" xfId="0" applyFill="1" applyBorder="1"/>
    <xf numFmtId="0" fontId="3" fillId="46" borderId="0" xfId="0" applyFont="1" applyFill="1"/>
    <xf numFmtId="0" fontId="0" fillId="46" borderId="50" xfId="0" applyFill="1" applyBorder="1"/>
    <xf numFmtId="0" fontId="6" fillId="46" borderId="50" xfId="0" applyFont="1" applyFill="1" applyBorder="1"/>
    <xf numFmtId="0" fontId="6" fillId="46" borderId="79" xfId="0" applyFont="1" applyFill="1" applyBorder="1"/>
    <xf numFmtId="0" fontId="5" fillId="0" borderId="75" xfId="0" applyFont="1" applyBorder="1"/>
    <xf numFmtId="0" fontId="6" fillId="0" borderId="50" xfId="0" applyFont="1" applyBorder="1"/>
    <xf numFmtId="0" fontId="6" fillId="0" borderId="79" xfId="0" applyFont="1" applyBorder="1"/>
    <xf numFmtId="0" fontId="5" fillId="39" borderId="46" xfId="0" applyFont="1" applyFill="1" applyBorder="1" applyAlignment="1">
      <alignment horizontal="left"/>
    </xf>
    <xf numFmtId="0" fontId="5" fillId="47" borderId="44" xfId="0" applyFont="1" applyFill="1" applyBorder="1"/>
    <xf numFmtId="0" fontId="6" fillId="47" borderId="47" xfId="0" applyFont="1" applyFill="1" applyBorder="1"/>
    <xf numFmtId="0" fontId="6" fillId="47" borderId="16" xfId="0" applyFont="1" applyFill="1" applyBorder="1"/>
    <xf numFmtId="0" fontId="6" fillId="47" borderId="78" xfId="0" applyFont="1" applyFill="1" applyBorder="1"/>
    <xf numFmtId="0" fontId="5" fillId="0" borderId="17" xfId="0" applyFont="1" applyBorder="1"/>
    <xf numFmtId="0" fontId="6" fillId="0" borderId="16" xfId="0" applyFont="1" applyBorder="1"/>
    <xf numFmtId="0" fontId="6" fillId="0" borderId="16" xfId="0" applyFont="1" applyBorder="1" applyAlignment="1">
      <alignment horizontal="left"/>
    </xf>
    <xf numFmtId="0" fontId="6" fillId="0" borderId="44" xfId="0" applyFont="1" applyBorder="1" applyAlignment="1">
      <alignment horizontal="left"/>
    </xf>
    <xf numFmtId="0" fontId="6" fillId="0" borderId="47" xfId="0" applyFont="1" applyBorder="1" applyAlignment="1">
      <alignment horizontal="left"/>
    </xf>
    <xf numFmtId="0" fontId="5" fillId="26" borderId="15" xfId="0" applyFont="1" applyFill="1" applyBorder="1" applyAlignment="1">
      <alignment horizontal="left"/>
    </xf>
    <xf numFmtId="0" fontId="5" fillId="26" borderId="16" xfId="0" applyFont="1" applyFill="1" applyBorder="1"/>
    <xf numFmtId="0" fontId="0" fillId="26" borderId="16" xfId="0" applyFill="1" applyBorder="1"/>
    <xf numFmtId="0" fontId="6" fillId="26" borderId="16" xfId="0" applyFont="1" applyFill="1" applyBorder="1"/>
    <xf numFmtId="0" fontId="6" fillId="26" borderId="78" xfId="0" applyFont="1" applyFill="1" applyBorder="1"/>
    <xf numFmtId="0" fontId="6" fillId="0" borderId="47" xfId="0" applyFont="1" applyBorder="1"/>
    <xf numFmtId="0" fontId="6" fillId="0" borderId="76" xfId="0" applyFont="1" applyBorder="1"/>
    <xf numFmtId="0" fontId="6" fillId="48" borderId="44" xfId="0" applyFont="1" applyFill="1" applyBorder="1"/>
    <xf numFmtId="0" fontId="6" fillId="48" borderId="47" xfId="0" applyFont="1" applyFill="1" applyBorder="1"/>
    <xf numFmtId="0" fontId="6" fillId="48" borderId="76" xfId="0" applyFont="1" applyFill="1" applyBorder="1"/>
    <xf numFmtId="0" fontId="13" fillId="0" borderId="44" xfId="0" applyFont="1" applyBorder="1"/>
    <xf numFmtId="0" fontId="0" fillId="0" borderId="76" xfId="0" applyBorder="1"/>
    <xf numFmtId="0" fontId="0" fillId="0" borderId="80" xfId="0" applyBorder="1"/>
    <xf numFmtId="0" fontId="13" fillId="0" borderId="47" xfId="0" applyFont="1" applyBorder="1"/>
    <xf numFmtId="0" fontId="13" fillId="0" borderId="75" xfId="0" applyFont="1" applyBorder="1"/>
    <xf numFmtId="0" fontId="0" fillId="0" borderId="79" xfId="0" applyBorder="1"/>
    <xf numFmtId="0" fontId="13" fillId="0" borderId="17" xfId="0" applyFont="1" applyBorder="1"/>
    <xf numFmtId="0" fontId="3" fillId="0" borderId="44" xfId="0" applyFont="1" applyBorder="1"/>
    <xf numFmtId="0" fontId="13" fillId="0" borderId="0" xfId="0" applyFont="1"/>
    <xf numFmtId="0" fontId="15" fillId="0" borderId="0" xfId="0" applyFont="1"/>
    <xf numFmtId="0" fontId="8" fillId="37" borderId="28" xfId="0" applyFont="1" applyFill="1" applyBorder="1" applyAlignment="1">
      <alignment horizontal="center" wrapText="1"/>
    </xf>
    <xf numFmtId="0" fontId="8" fillId="45" borderId="13" xfId="0" applyFont="1" applyFill="1" applyBorder="1" applyAlignment="1">
      <alignment horizontal="center" wrapText="1"/>
    </xf>
    <xf numFmtId="0" fontId="0" fillId="43" borderId="46" xfId="0" applyFill="1" applyBorder="1" applyAlignment="1" applyProtection="1">
      <alignment horizontal="center"/>
      <protection locked="0"/>
    </xf>
    <xf numFmtId="0" fontId="0" fillId="43" borderId="46" xfId="0" applyFill="1" applyBorder="1" applyProtection="1">
      <protection locked="0"/>
    </xf>
    <xf numFmtId="0" fontId="0" fillId="0" borderId="46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3" fillId="24" borderId="44" xfId="0" applyFont="1" applyFill="1" applyBorder="1"/>
    <xf numFmtId="0" fontId="0" fillId="24" borderId="46" xfId="0" applyFill="1" applyBorder="1" applyAlignment="1">
      <alignment horizontal="center" vertical="center"/>
    </xf>
    <xf numFmtId="0" fontId="0" fillId="24" borderId="44" xfId="0" applyFill="1" applyBorder="1" applyAlignment="1">
      <alignment horizontal="center" vertical="center"/>
    </xf>
    <xf numFmtId="0" fontId="8" fillId="24" borderId="58" xfId="0" applyFont="1" applyFill="1" applyBorder="1" applyAlignment="1">
      <alignment horizontal="center" vertical="center"/>
    </xf>
    <xf numFmtId="0" fontId="8" fillId="24" borderId="59" xfId="0" applyFont="1" applyFill="1" applyBorder="1" applyAlignment="1">
      <alignment horizontal="center" vertical="center"/>
    </xf>
    <xf numFmtId="0" fontId="0" fillId="43" borderId="15" xfId="0" applyFill="1" applyBorder="1" applyAlignment="1" applyProtection="1">
      <alignment horizontal="center"/>
      <protection locked="0"/>
    </xf>
    <xf numFmtId="0" fontId="5" fillId="0" borderId="15" xfId="0" applyFont="1" applyBorder="1"/>
    <xf numFmtId="0" fontId="8" fillId="0" borderId="53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3" fillId="24" borderId="46" xfId="0" applyFont="1" applyFill="1" applyBorder="1" applyAlignment="1" applyProtection="1">
      <alignment horizontal="left"/>
      <protection locked="0"/>
    </xf>
    <xf numFmtId="0" fontId="3" fillId="24" borderId="46" xfId="0" applyFont="1" applyFill="1" applyBorder="1"/>
    <xf numFmtId="0" fontId="8" fillId="0" borderId="81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0" fillId="43" borderId="0" xfId="0" applyFill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0" borderId="69" xfId="0" applyBorder="1" applyAlignment="1">
      <alignment horizontal="left"/>
    </xf>
    <xf numFmtId="0" fontId="0" fillId="0" borderId="69" xfId="0" applyBorder="1"/>
    <xf numFmtId="0" fontId="3" fillId="0" borderId="26" xfId="0" applyFont="1" applyBorder="1"/>
    <xf numFmtId="0" fontId="3" fillId="0" borderId="26" xfId="0" applyFont="1" applyBorder="1" applyAlignment="1">
      <alignment horizontal="left"/>
    </xf>
    <xf numFmtId="0" fontId="3" fillId="0" borderId="31" xfId="0" applyFont="1" applyBorder="1" applyAlignment="1">
      <alignment horizontal="left"/>
    </xf>
    <xf numFmtId="0" fontId="0" fillId="0" borderId="82" xfId="0" applyBorder="1"/>
    <xf numFmtId="0" fontId="3" fillId="0" borderId="48" xfId="0" applyFont="1" applyBorder="1"/>
    <xf numFmtId="0" fontId="3" fillId="0" borderId="75" xfId="0" applyFont="1" applyBorder="1"/>
    <xf numFmtId="0" fontId="13" fillId="0" borderId="50" xfId="0" applyFont="1" applyBorder="1"/>
    <xf numFmtId="0" fontId="3" fillId="0" borderId="50" xfId="0" applyFont="1" applyBorder="1"/>
    <xf numFmtId="0" fontId="0" fillId="0" borderId="83" xfId="0" applyBorder="1"/>
    <xf numFmtId="0" fontId="3" fillId="0" borderId="45" xfId="0" applyFont="1" applyBorder="1"/>
    <xf numFmtId="0" fontId="3" fillId="0" borderId="52" xfId="0" applyFont="1" applyBorder="1"/>
    <xf numFmtId="0" fontId="0" fillId="0" borderId="84" xfId="0" applyBorder="1"/>
    <xf numFmtId="0" fontId="3" fillId="0" borderId="32" xfId="0" applyFont="1" applyBorder="1"/>
    <xf numFmtId="0" fontId="0" fillId="0" borderId="81" xfId="0" applyBorder="1"/>
    <xf numFmtId="0" fontId="3" fillId="0" borderId="35" xfId="0" applyFont="1" applyBorder="1"/>
    <xf numFmtId="0" fontId="13" fillId="0" borderId="33" xfId="0" applyFont="1" applyBorder="1"/>
    <xf numFmtId="0" fontId="0" fillId="0" borderId="85" xfId="0" applyBorder="1"/>
    <xf numFmtId="0" fontId="16" fillId="0" borderId="0" xfId="0" applyFont="1" applyAlignment="1">
      <alignment horizontal="left"/>
    </xf>
    <xf numFmtId="0" fontId="6" fillId="0" borderId="0" xfId="0" applyFont="1" applyAlignment="1">
      <alignment horizontal="center" vertical="center"/>
    </xf>
    <xf numFmtId="0" fontId="0" fillId="0" borderId="49" xfId="0" applyBorder="1" applyAlignment="1" applyProtection="1">
      <alignment horizontal="center"/>
      <protection locked="0"/>
    </xf>
    <xf numFmtId="0" fontId="0" fillId="24" borderId="28" xfId="0" applyFill="1" applyBorder="1" applyAlignment="1" applyProtection="1">
      <alignment horizontal="center"/>
      <protection locked="0"/>
    </xf>
    <xf numFmtId="0" fontId="0" fillId="43" borderId="58" xfId="0" applyFill="1" applyBorder="1" applyAlignment="1" applyProtection="1">
      <alignment horizontal="center"/>
      <protection locked="0"/>
    </xf>
    <xf numFmtId="0" fontId="0" fillId="0" borderId="46" xfId="0" applyBorder="1" applyAlignment="1">
      <alignment horizontal="left" vertical="center"/>
    </xf>
    <xf numFmtId="0" fontId="0" fillId="43" borderId="29" xfId="0" applyFill="1" applyBorder="1" applyAlignment="1" applyProtection="1">
      <alignment horizontal="center"/>
      <protection locked="0"/>
    </xf>
    <xf numFmtId="0" fontId="0" fillId="0" borderId="30" xfId="0" applyBorder="1" applyAlignment="1">
      <alignment horizontal="left"/>
    </xf>
    <xf numFmtId="0" fontId="0" fillId="24" borderId="53" xfId="0" applyFill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left"/>
      <protection locked="0"/>
    </xf>
    <xf numFmtId="0" fontId="3" fillId="0" borderId="77" xfId="0" applyFont="1" applyBorder="1" applyAlignment="1">
      <alignment horizontal="left"/>
    </xf>
    <xf numFmtId="0" fontId="0" fillId="0" borderId="77" xfId="0" applyBorder="1"/>
    <xf numFmtId="0" fontId="5" fillId="0" borderId="77" xfId="0" applyFont="1" applyBorder="1" applyAlignment="1">
      <alignment horizontal="center"/>
    </xf>
    <xf numFmtId="0" fontId="0" fillId="0" borderId="77" xfId="0" applyBorder="1" applyAlignment="1">
      <alignment horizontal="center"/>
    </xf>
    <xf numFmtId="0" fontId="5" fillId="0" borderId="69" xfId="0" applyFont="1" applyBorder="1"/>
    <xf numFmtId="49" fontId="0" fillId="0" borderId="0" xfId="0" applyNumberFormat="1"/>
    <xf numFmtId="0" fontId="3" fillId="0" borderId="46" xfId="0" applyFont="1" applyBorder="1" applyAlignment="1" applyProtection="1">
      <alignment horizontal="center"/>
      <protection locked="0"/>
    </xf>
    <xf numFmtId="49" fontId="6" fillId="0" borderId="46" xfId="0" applyNumberFormat="1" applyFont="1" applyBorder="1" applyAlignment="1">
      <alignment horizontal="center" vertical="center"/>
    </xf>
    <xf numFmtId="0" fontId="3" fillId="43" borderId="0" xfId="0" applyFont="1" applyFill="1" applyAlignment="1" applyProtection="1">
      <alignment horizontal="center"/>
      <protection locked="0"/>
    </xf>
    <xf numFmtId="49" fontId="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31" xfId="0" applyFont="1" applyBorder="1"/>
    <xf numFmtId="0" fontId="5" fillId="0" borderId="77" xfId="0" applyFont="1" applyBorder="1"/>
    <xf numFmtId="0" fontId="6" fillId="0" borderId="69" xfId="0" applyFont="1" applyBorder="1"/>
    <xf numFmtId="0" fontId="6" fillId="0" borderId="60" xfId="0" applyFont="1" applyBorder="1"/>
    <xf numFmtId="0" fontId="6" fillId="0" borderId="44" xfId="0" applyFont="1" applyBorder="1"/>
    <xf numFmtId="0" fontId="6" fillId="0" borderId="80" xfId="0" applyFont="1" applyBorder="1"/>
    <xf numFmtId="0" fontId="3" fillId="0" borderId="44" xfId="0" applyFont="1" applyBorder="1" applyAlignment="1">
      <alignment horizontal="left"/>
    </xf>
    <xf numFmtId="0" fontId="0" fillId="0" borderId="76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4" xfId="0" applyBorder="1" applyAlignment="1">
      <alignment horizontal="left" vertical="center"/>
    </xf>
    <xf numFmtId="0" fontId="0" fillId="0" borderId="47" xfId="0" applyBorder="1" applyAlignment="1">
      <alignment vertical="center"/>
    </xf>
    <xf numFmtId="0" fontId="0" fillId="0" borderId="47" xfId="0" applyBorder="1" applyAlignment="1">
      <alignment horizontal="left" vertical="center"/>
    </xf>
    <xf numFmtId="0" fontId="0" fillId="0" borderId="80" xfId="0" applyBorder="1" applyAlignment="1">
      <alignment vertical="center"/>
    </xf>
    <xf numFmtId="0" fontId="3" fillId="0" borderId="35" xfId="0" applyFont="1" applyBorder="1" applyAlignment="1">
      <alignment horizontal="left"/>
    </xf>
    <xf numFmtId="0" fontId="0" fillId="0" borderId="81" xfId="0" applyBorder="1" applyAlignment="1">
      <alignment horizontal="left"/>
    </xf>
    <xf numFmtId="0" fontId="0" fillId="0" borderId="35" xfId="0" applyBorder="1"/>
    <xf numFmtId="0" fontId="0" fillId="0" borderId="33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3" fillId="43" borderId="46" xfId="0" applyFont="1" applyFill="1" applyBorder="1" applyAlignment="1">
      <alignment horizontal="center"/>
    </xf>
    <xf numFmtId="0" fontId="3" fillId="43" borderId="0" xfId="0" applyFont="1" applyFill="1" applyAlignment="1">
      <alignment horizontal="center"/>
    </xf>
    <xf numFmtId="0" fontId="3" fillId="0" borderId="47" xfId="0" applyFont="1" applyBorder="1"/>
    <xf numFmtId="0" fontId="3" fillId="0" borderId="76" xfId="0" applyFont="1" applyBorder="1" applyAlignment="1">
      <alignment horizontal="left"/>
    </xf>
    <xf numFmtId="0" fontId="3" fillId="0" borderId="75" xfId="0" applyFont="1" applyBorder="1" applyAlignment="1">
      <alignment horizontal="left"/>
    </xf>
    <xf numFmtId="0" fontId="0" fillId="0" borderId="79" xfId="0" applyBorder="1" applyAlignment="1">
      <alignment horizontal="left"/>
    </xf>
    <xf numFmtId="0" fontId="0" fillId="0" borderId="50" xfId="0" applyBorder="1" applyAlignment="1">
      <alignment horizontal="left"/>
    </xf>
    <xf numFmtId="171" fontId="8" fillId="0" borderId="35" xfId="0" applyNumberFormat="1" applyFont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75" xfId="0" applyBorder="1" applyAlignment="1">
      <alignment horizontal="left"/>
    </xf>
    <xf numFmtId="0" fontId="5" fillId="0" borderId="46" xfId="0" applyFont="1" applyBorder="1" applyAlignment="1">
      <alignment horizontal="left"/>
    </xf>
    <xf numFmtId="0" fontId="6" fillId="0" borderId="79" xfId="0" applyFont="1" applyBorder="1" applyAlignment="1">
      <alignment horizontal="left"/>
    </xf>
    <xf numFmtId="0" fontId="6" fillId="0" borderId="50" xfId="0" applyFont="1" applyBorder="1" applyAlignment="1">
      <alignment horizontal="left"/>
    </xf>
    <xf numFmtId="0" fontId="6" fillId="0" borderId="76" xfId="0" applyFont="1" applyBorder="1" applyAlignment="1">
      <alignment horizontal="left"/>
    </xf>
    <xf numFmtId="0" fontId="5" fillId="0" borderId="44" xfId="0" applyFont="1" applyBorder="1" applyAlignment="1">
      <alignment horizontal="left"/>
    </xf>
    <xf numFmtId="0" fontId="6" fillId="0" borderId="68" xfId="0" applyFont="1" applyBorder="1"/>
    <xf numFmtId="0" fontId="17" fillId="0" borderId="46" xfId="0" applyFont="1" applyBorder="1" applyAlignment="1" applyProtection="1">
      <alignment horizontal="center"/>
      <protection locked="0"/>
    </xf>
    <xf numFmtId="0" fontId="0" fillId="43" borderId="44" xfId="0" applyFill="1" applyBorder="1" applyAlignment="1" applyProtection="1">
      <alignment horizontal="center"/>
      <protection locked="0"/>
    </xf>
    <xf numFmtId="0" fontId="5" fillId="0" borderId="17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3" fillId="0" borderId="49" xfId="0" applyFont="1" applyBorder="1" applyAlignment="1" applyProtection="1">
      <alignment horizontal="center"/>
      <protection locked="0"/>
    </xf>
    <xf numFmtId="0" fontId="8" fillId="37" borderId="72" xfId="0" applyFont="1" applyFill="1" applyBorder="1" applyAlignment="1">
      <alignment horizontal="center" wrapText="1"/>
    </xf>
    <xf numFmtId="0" fontId="8" fillId="45" borderId="27" xfId="0" applyFont="1" applyFill="1" applyBorder="1" applyAlignment="1">
      <alignment horizontal="center" wrapText="1"/>
    </xf>
    <xf numFmtId="0" fontId="18" fillId="0" borderId="46" xfId="0" applyFont="1" applyBorder="1" applyAlignment="1" applyProtection="1">
      <alignment horizontal="center"/>
      <protection locked="0"/>
    </xf>
    <xf numFmtId="0" fontId="8" fillId="0" borderId="61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20" fillId="0" borderId="0" xfId="0" applyFont="1"/>
    <xf numFmtId="0" fontId="8" fillId="0" borderId="0" xfId="0" applyFont="1" applyAlignment="1">
      <alignment horizontal="center" wrapText="1"/>
    </xf>
    <xf numFmtId="0" fontId="8" fillId="0" borderId="46" xfId="0" applyFont="1" applyBorder="1" applyAlignment="1">
      <alignment horizontal="center"/>
    </xf>
    <xf numFmtId="0" fontId="0" fillId="0" borderId="78" xfId="0" applyBorder="1"/>
    <xf numFmtId="0" fontId="3" fillId="0" borderId="16" xfId="0" applyFont="1" applyBorder="1" applyAlignment="1">
      <alignment horizontal="left"/>
    </xf>
    <xf numFmtId="0" fontId="3" fillId="0" borderId="17" xfId="0" applyFont="1" applyBorder="1" applyAlignment="1">
      <alignment horizontal="left"/>
    </xf>
    <xf numFmtId="0" fontId="0" fillId="0" borderId="86" xfId="0" applyBorder="1"/>
    <xf numFmtId="0" fontId="3" fillId="0" borderId="45" xfId="0" applyFont="1" applyBorder="1" applyAlignment="1">
      <alignment horizontal="center"/>
    </xf>
    <xf numFmtId="49" fontId="0" fillId="0" borderId="44" xfId="0" applyNumberFormat="1" applyBorder="1"/>
    <xf numFmtId="0" fontId="0" fillId="0" borderId="17" xfId="0" applyBorder="1" applyAlignment="1">
      <alignment horizontal="left"/>
    </xf>
    <xf numFmtId="0" fontId="0" fillId="0" borderId="78" xfId="0" applyBorder="1" applyAlignment="1">
      <alignment horizontal="left"/>
    </xf>
    <xf numFmtId="49" fontId="0" fillId="0" borderId="16" xfId="0" applyNumberFormat="1" applyBorder="1"/>
    <xf numFmtId="0" fontId="3" fillId="0" borderId="32" xfId="0" applyFont="1" applyBorder="1" applyAlignment="1">
      <alignment horizontal="center"/>
    </xf>
    <xf numFmtId="49" fontId="0" fillId="0" borderId="35" xfId="0" applyNumberFormat="1" applyBorder="1"/>
    <xf numFmtId="0" fontId="12" fillId="0" borderId="46" xfId="0" applyFont="1" applyBorder="1" applyAlignment="1">
      <alignment horizontal="left"/>
    </xf>
    <xf numFmtId="0" fontId="0" fillId="43" borderId="49" xfId="0" applyFill="1" applyBorder="1" applyAlignment="1" applyProtection="1">
      <alignment horizontal="center"/>
      <protection locked="0"/>
    </xf>
    <xf numFmtId="0" fontId="12" fillId="0" borderId="0" xfId="0" applyFont="1" applyAlignment="1">
      <alignment horizontal="left"/>
    </xf>
    <xf numFmtId="0" fontId="0" fillId="0" borderId="21" xfId="0" applyBorder="1"/>
    <xf numFmtId="0" fontId="0" fillId="0" borderId="22" xfId="0" applyBorder="1"/>
    <xf numFmtId="0" fontId="3" fillId="0" borderId="22" xfId="0" applyFont="1" applyBorder="1" applyAlignment="1">
      <alignment horizontal="left"/>
    </xf>
    <xf numFmtId="0" fontId="0" fillId="0" borderId="87" xfId="0" applyBorder="1"/>
    <xf numFmtId="0" fontId="3" fillId="0" borderId="15" xfId="0" applyFont="1" applyBorder="1" applyAlignment="1" applyProtection="1">
      <alignment horizontal="left"/>
      <protection locked="0"/>
    </xf>
    <xf numFmtId="0" fontId="0" fillId="43" borderId="46" xfId="0" applyFill="1" applyBorder="1" applyAlignment="1">
      <alignment horizontal="center"/>
    </xf>
    <xf numFmtId="0" fontId="0" fillId="24" borderId="46" xfId="0" applyFill="1" applyBorder="1" applyAlignment="1" applyProtection="1">
      <alignment horizontal="center"/>
      <protection locked="0"/>
    </xf>
    <xf numFmtId="0" fontId="3" fillId="24" borderId="49" xfId="0" applyFont="1" applyFill="1" applyBorder="1"/>
    <xf numFmtId="0" fontId="0" fillId="24" borderId="49" xfId="0" applyFill="1" applyBorder="1" applyAlignment="1">
      <alignment horizontal="center" vertical="center"/>
    </xf>
    <xf numFmtId="0" fontId="0" fillId="24" borderId="75" xfId="0" applyFill="1" applyBorder="1" applyAlignment="1">
      <alignment horizontal="center" vertical="center"/>
    </xf>
    <xf numFmtId="0" fontId="8" fillId="24" borderId="61" xfId="0" applyFont="1" applyFill="1" applyBorder="1" applyAlignment="1">
      <alignment horizontal="center" vertical="center"/>
    </xf>
    <xf numFmtId="0" fontId="8" fillId="24" borderId="51" xfId="0" applyFont="1" applyFill="1" applyBorder="1" applyAlignment="1">
      <alignment horizontal="center" vertical="center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center"/>
    </xf>
    <xf numFmtId="0" fontId="3" fillId="0" borderId="44" xfId="0" applyFont="1" applyBorder="1" applyAlignment="1" applyProtection="1">
      <alignment horizontal="center"/>
      <protection locked="0"/>
    </xf>
    <xf numFmtId="0" fontId="0" fillId="0" borderId="46" xfId="0" applyBorder="1" applyAlignment="1" applyProtection="1">
      <alignment horizontal="left"/>
      <protection locked="0"/>
    </xf>
    <xf numFmtId="0" fontId="8" fillId="0" borderId="58" xfId="0" applyFont="1" applyBorder="1" applyAlignment="1">
      <alignment horizontal="center" vertical="center" wrapText="1"/>
    </xf>
    <xf numFmtId="0" fontId="8" fillId="0" borderId="59" xfId="0" applyFont="1" applyBorder="1" applyAlignment="1">
      <alignment horizontal="center" vertical="center" wrapText="1"/>
    </xf>
    <xf numFmtId="0" fontId="23" fillId="0" borderId="0" xfId="0" applyFont="1" applyAlignment="1">
      <alignment horizontal="center"/>
    </xf>
    <xf numFmtId="0" fontId="19" fillId="49" borderId="44" xfId="0" applyFont="1" applyFill="1" applyBorder="1" applyAlignment="1">
      <alignment wrapText="1"/>
    </xf>
    <xf numFmtId="0" fontId="19" fillId="49" borderId="89" xfId="0" applyFont="1" applyFill="1" applyBorder="1" applyAlignment="1">
      <alignment horizontal="center" wrapText="1"/>
    </xf>
    <xf numFmtId="0" fontId="19" fillId="49" borderId="10" xfId="0" applyFont="1" applyFill="1" applyBorder="1" applyAlignment="1">
      <alignment horizontal="left" wrapText="1"/>
    </xf>
    <xf numFmtId="0" fontId="19" fillId="0" borderId="0" xfId="0" applyFont="1"/>
    <xf numFmtId="0" fontId="19" fillId="0" borderId="17" xfId="0" applyFont="1" applyBorder="1" applyAlignment="1">
      <alignment wrapText="1"/>
    </xf>
    <xf numFmtId="172" fontId="19" fillId="0" borderId="90" xfId="0" applyNumberFormat="1" applyFont="1" applyBorder="1" applyAlignment="1">
      <alignment horizontal="right" wrapText="1"/>
    </xf>
    <xf numFmtId="172" fontId="19" fillId="0" borderId="14" xfId="0" applyNumberFormat="1" applyFont="1" applyBorder="1" applyAlignment="1">
      <alignment horizontal="right" wrapText="1"/>
    </xf>
    <xf numFmtId="173" fontId="19" fillId="0" borderId="0" xfId="0" applyNumberFormat="1" applyFont="1" applyAlignment="1">
      <alignment horizontal="center"/>
    </xf>
    <xf numFmtId="0" fontId="19" fillId="0" borderId="44" xfId="0" applyFont="1" applyBorder="1" applyAlignment="1">
      <alignment wrapText="1"/>
    </xf>
    <xf numFmtId="172" fontId="19" fillId="0" borderId="91" xfId="0" applyNumberFormat="1" applyFont="1" applyBorder="1" applyAlignment="1">
      <alignment horizontal="right" wrapText="1"/>
    </xf>
    <xf numFmtId="0" fontId="19" fillId="0" borderId="0" xfId="0" applyFont="1" applyAlignment="1">
      <alignment horizontal="center"/>
    </xf>
    <xf numFmtId="0" fontId="19" fillId="24" borderId="91" xfId="0" applyFont="1" applyFill="1" applyBorder="1"/>
    <xf numFmtId="173" fontId="19" fillId="0" borderId="91" xfId="0" applyNumberFormat="1" applyFont="1" applyBorder="1" applyAlignment="1">
      <alignment horizontal="center"/>
    </xf>
    <xf numFmtId="0" fontId="19" fillId="39" borderId="44" xfId="0" applyFont="1" applyFill="1" applyBorder="1" applyAlignment="1">
      <alignment wrapText="1"/>
    </xf>
    <xf numFmtId="172" fontId="19" fillId="39" borderId="91" xfId="0" applyNumberFormat="1" applyFont="1" applyFill="1" applyBorder="1" applyAlignment="1">
      <alignment horizontal="right" wrapText="1"/>
    </xf>
    <xf numFmtId="0" fontId="19" fillId="0" borderId="91" xfId="0" applyFont="1" applyBorder="1" applyAlignment="1">
      <alignment horizontal="center"/>
    </xf>
    <xf numFmtId="0" fontId="24" fillId="39" borderId="44" xfId="0" applyFont="1" applyFill="1" applyBorder="1" applyAlignment="1">
      <alignment wrapText="1"/>
    </xf>
    <xf numFmtId="0" fontId="19" fillId="0" borderId="92" xfId="0" applyFont="1" applyBorder="1" applyAlignment="1">
      <alignment horizontal="center"/>
    </xf>
    <xf numFmtId="0" fontId="24" fillId="47" borderId="44" xfId="0" applyFont="1" applyFill="1" applyBorder="1" applyAlignment="1">
      <alignment wrapText="1"/>
    </xf>
    <xf numFmtId="172" fontId="19" fillId="47" borderId="91" xfId="0" applyNumberFormat="1" applyFont="1" applyFill="1" applyBorder="1" applyAlignment="1">
      <alignment horizontal="right"/>
    </xf>
    <xf numFmtId="0" fontId="24" fillId="40" borderId="44" xfId="0" applyFont="1" applyFill="1" applyBorder="1"/>
    <xf numFmtId="172" fontId="19" fillId="40" borderId="91" xfId="0" applyNumberFormat="1" applyFont="1" applyFill="1" applyBorder="1" applyAlignment="1">
      <alignment horizontal="right" wrapText="1"/>
    </xf>
    <xf numFmtId="0" fontId="24" fillId="38" borderId="44" xfId="0" applyFont="1" applyFill="1" applyBorder="1"/>
    <xf numFmtId="172" fontId="19" fillId="38" borderId="91" xfId="0" applyNumberFormat="1" applyFont="1" applyFill="1" applyBorder="1" applyAlignment="1">
      <alignment horizontal="right" wrapText="1"/>
    </xf>
    <xf numFmtId="172" fontId="19" fillId="38" borderId="92" xfId="0" applyNumberFormat="1" applyFont="1" applyFill="1" applyBorder="1" applyAlignment="1">
      <alignment horizontal="right" wrapText="1"/>
    </xf>
    <xf numFmtId="174" fontId="0" fillId="0" borderId="0" xfId="0" applyNumberFormat="1"/>
    <xf numFmtId="0" fontId="25" fillId="0" borderId="0" xfId="0" applyFont="1"/>
    <xf numFmtId="0" fontId="0" fillId="24" borderId="46" xfId="0" applyFill="1" applyBorder="1" applyAlignment="1">
      <alignment horizontal="center"/>
    </xf>
    <xf numFmtId="0" fontId="0" fillId="24" borderId="49" xfId="0" applyFill="1" applyBorder="1" applyAlignment="1">
      <alignment horizontal="center"/>
    </xf>
    <xf numFmtId="0" fontId="0" fillId="0" borderId="88" xfId="0" applyBorder="1"/>
    <xf numFmtId="3" fontId="0" fillId="0" borderId="0" xfId="0" applyNumberFormat="1"/>
    <xf numFmtId="0" fontId="8" fillId="0" borderId="0" xfId="0" applyFont="1"/>
    <xf numFmtId="0" fontId="8" fillId="0" borderId="46" xfId="0" applyFont="1" applyBorder="1"/>
    <xf numFmtId="0" fontId="8" fillId="0" borderId="76" xfId="0" applyFont="1" applyBorder="1" applyAlignment="1">
      <alignment horizontal="center"/>
    </xf>
    <xf numFmtId="49" fontId="8" fillId="0" borderId="46" xfId="0" applyNumberFormat="1" applyFont="1" applyBorder="1"/>
    <xf numFmtId="2" fontId="8" fillId="0" borderId="46" xfId="0" applyNumberFormat="1" applyFont="1" applyBorder="1"/>
    <xf numFmtId="2" fontId="8" fillId="0" borderId="76" xfId="0" applyNumberFormat="1" applyFont="1" applyBorder="1"/>
    <xf numFmtId="2" fontId="8" fillId="0" borderId="46" xfId="0" applyNumberFormat="1" applyFont="1" applyBorder="1" applyAlignment="1">
      <alignment horizontal="right"/>
    </xf>
    <xf numFmtId="49" fontId="8" fillId="0" borderId="30" xfId="0" applyNumberFormat="1" applyFont="1" applyBorder="1"/>
    <xf numFmtId="2" fontId="8" fillId="0" borderId="30" xfId="0" applyNumberFormat="1" applyFont="1" applyBorder="1"/>
    <xf numFmtId="2" fontId="8" fillId="0" borderId="81" xfId="0" applyNumberFormat="1" applyFont="1" applyBorder="1"/>
    <xf numFmtId="2" fontId="8" fillId="0" borderId="49" xfId="0" applyNumberFormat="1" applyFont="1" applyBorder="1"/>
    <xf numFmtId="49" fontId="8" fillId="0" borderId="20" xfId="0" applyNumberFormat="1" applyFont="1" applyBorder="1"/>
    <xf numFmtId="2" fontId="8" fillId="0" borderId="20" xfId="0" applyNumberFormat="1" applyFont="1" applyBorder="1"/>
    <xf numFmtId="2" fontId="8" fillId="0" borderId="22" xfId="0" applyNumberFormat="1" applyFont="1" applyBorder="1"/>
    <xf numFmtId="2" fontId="8" fillId="0" borderId="55" xfId="0" applyNumberFormat="1" applyFont="1" applyBorder="1"/>
    <xf numFmtId="49" fontId="8" fillId="0" borderId="0" xfId="0" applyNumberFormat="1" applyFont="1"/>
    <xf numFmtId="2" fontId="8" fillId="0" borderId="0" xfId="0" applyNumberFormat="1" applyFont="1"/>
    <xf numFmtId="0" fontId="8" fillId="29" borderId="0" xfId="0" applyFont="1" applyFill="1"/>
    <xf numFmtId="2" fontId="8" fillId="29" borderId="46" xfId="0" applyNumberFormat="1" applyFont="1" applyFill="1" applyBorder="1"/>
    <xf numFmtId="49" fontId="8" fillId="0" borderId="49" xfId="0" applyNumberFormat="1" applyFont="1" applyBorder="1"/>
    <xf numFmtId="2" fontId="8" fillId="29" borderId="49" xfId="0" applyNumberFormat="1" applyFont="1" applyFill="1" applyBorder="1"/>
    <xf numFmtId="49" fontId="8" fillId="0" borderId="54" xfId="0" applyNumberFormat="1" applyFont="1" applyBorder="1"/>
    <xf numFmtId="2" fontId="8" fillId="0" borderId="38" xfId="0" applyNumberFormat="1" applyFont="1" applyBorder="1"/>
    <xf numFmtId="2" fontId="8" fillId="0" borderId="40" xfId="0" applyNumberFormat="1" applyFont="1" applyBorder="1"/>
    <xf numFmtId="2" fontId="8" fillId="48" borderId="15" xfId="0" applyNumberFormat="1" applyFont="1" applyFill="1" applyBorder="1"/>
    <xf numFmtId="2" fontId="8" fillId="29" borderId="15" xfId="0" applyNumberFormat="1" applyFont="1" applyFill="1" applyBorder="1"/>
    <xf numFmtId="2" fontId="8" fillId="40" borderId="46" xfId="0" applyNumberFormat="1" applyFont="1" applyFill="1" applyBorder="1"/>
    <xf numFmtId="49" fontId="26" fillId="47" borderId="46" xfId="0" applyNumberFormat="1" applyFont="1" applyFill="1" applyBorder="1"/>
    <xf numFmtId="2" fontId="26" fillId="47" borderId="46" xfId="0" applyNumberFormat="1" applyFont="1" applyFill="1" applyBorder="1"/>
    <xf numFmtId="2" fontId="26" fillId="29" borderId="55" xfId="0" applyNumberFormat="1" applyFont="1" applyFill="1" applyBorder="1"/>
    <xf numFmtId="49" fontId="26" fillId="0" borderId="0" xfId="0" applyNumberFormat="1" applyFont="1"/>
    <xf numFmtId="1" fontId="8" fillId="0" borderId="46" xfId="0" applyNumberFormat="1" applyFont="1" applyBorder="1" applyAlignment="1">
      <alignment horizontal="center"/>
    </xf>
    <xf numFmtId="175" fontId="8" fillId="0" borderId="46" xfId="0" applyNumberFormat="1" applyFont="1" applyBorder="1" applyAlignment="1">
      <alignment horizontal="center"/>
    </xf>
    <xf numFmtId="1" fontId="8" fillId="0" borderId="0" xfId="0" applyNumberFormat="1" applyFont="1"/>
    <xf numFmtId="1" fontId="8" fillId="40" borderId="46" xfId="0" applyNumberFormat="1" applyFont="1" applyFill="1" applyBorder="1"/>
    <xf numFmtId="0" fontId="20" fillId="45" borderId="0" xfId="0" applyFont="1" applyFill="1"/>
    <xf numFmtId="0" fontId="0" fillId="45" borderId="0" xfId="0" applyFill="1"/>
    <xf numFmtId="0" fontId="3" fillId="45" borderId="0" xfId="0" applyFont="1" applyFill="1"/>
    <xf numFmtId="0" fontId="3" fillId="0" borderId="28" xfId="0" applyFont="1" applyBorder="1"/>
    <xf numFmtId="0" fontId="8" fillId="0" borderId="11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1" fontId="8" fillId="0" borderId="15" xfId="0" applyNumberFormat="1" applyFont="1" applyBorder="1" applyAlignment="1">
      <alignment horizontal="center"/>
    </xf>
    <xf numFmtId="1" fontId="8" fillId="0" borderId="18" xfId="0" applyNumberFormat="1" applyFont="1" applyBorder="1" applyAlignment="1">
      <alignment horizontal="center"/>
    </xf>
    <xf numFmtId="1" fontId="0" fillId="0" borderId="46" xfId="0" applyNumberFormat="1" applyBorder="1" applyAlignment="1">
      <alignment horizontal="center"/>
    </xf>
    <xf numFmtId="1" fontId="0" fillId="0" borderId="49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8" fillId="0" borderId="23" xfId="0" applyNumberFormat="1" applyFont="1" applyBorder="1" applyAlignment="1">
      <alignment horizontal="center"/>
    </xf>
    <xf numFmtId="4" fontId="3" fillId="0" borderId="76" xfId="0" applyNumberFormat="1" applyFont="1" applyBorder="1"/>
    <xf numFmtId="0" fontId="3" fillId="0" borderId="76" xfId="0" applyFont="1" applyBorder="1"/>
    <xf numFmtId="3" fontId="0" fillId="0" borderId="76" xfId="0" applyNumberFormat="1" applyBorder="1"/>
    <xf numFmtId="0" fontId="0" fillId="0" borderId="76" xfId="0" applyBorder="1" applyAlignment="1">
      <alignment horizontal="center"/>
    </xf>
    <xf numFmtId="3" fontId="27" fillId="0" borderId="15" xfId="0" applyNumberFormat="1" applyFont="1" applyBorder="1" applyAlignment="1">
      <alignment horizontal="center"/>
    </xf>
    <xf numFmtId="0" fontId="0" fillId="0" borderId="71" xfId="0" applyBorder="1"/>
    <xf numFmtId="3" fontId="3" fillId="0" borderId="54" xfId="0" applyNumberFormat="1" applyFont="1" applyBorder="1"/>
    <xf numFmtId="3" fontId="3" fillId="0" borderId="0" xfId="0" applyNumberFormat="1" applyFont="1"/>
    <xf numFmtId="14" fontId="0" fillId="0" borderId="44" xfId="0" applyNumberFormat="1" applyBorder="1"/>
    <xf numFmtId="3" fontId="0" fillId="0" borderId="15" xfId="0" applyNumberFormat="1" applyBorder="1"/>
    <xf numFmtId="3" fontId="26" fillId="0" borderId="0" xfId="0" applyNumberFormat="1" applyFont="1"/>
    <xf numFmtId="1" fontId="0" fillId="0" borderId="0" xfId="0" applyNumberFormat="1"/>
    <xf numFmtId="3" fontId="0" fillId="0" borderId="46" xfId="0" applyNumberFormat="1" applyBorder="1"/>
    <xf numFmtId="3" fontId="8" fillId="0" borderId="0" xfId="0" applyNumberFormat="1" applyFont="1"/>
    <xf numFmtId="0" fontId="0" fillId="0" borderId="44" xfId="0" applyBorder="1" applyAlignment="1">
      <alignment horizontal="right"/>
    </xf>
    <xf numFmtId="0" fontId="21" fillId="0" borderId="46" xfId="0" applyFont="1" applyBorder="1" applyAlignment="1">
      <alignment horizontal="center"/>
    </xf>
    <xf numFmtId="0" fontId="21" fillId="0" borderId="44" xfId="0" applyFont="1" applyBorder="1"/>
    <xf numFmtId="14" fontId="21" fillId="0" borderId="44" xfId="0" applyNumberFormat="1" applyFont="1" applyBorder="1"/>
    <xf numFmtId="0" fontId="21" fillId="0" borderId="76" xfId="0" applyFont="1" applyBorder="1"/>
    <xf numFmtId="3" fontId="21" fillId="0" borderId="76" xfId="0" applyNumberFormat="1" applyFont="1" applyBorder="1"/>
    <xf numFmtId="49" fontId="0" fillId="0" borderId="46" xfId="0" applyNumberFormat="1" applyBorder="1"/>
    <xf numFmtId="0" fontId="0" fillId="24" borderId="44" xfId="0" applyFill="1" applyBorder="1"/>
    <xf numFmtId="14" fontId="0" fillId="24" borderId="44" xfId="0" applyNumberFormat="1" applyFill="1" applyBorder="1"/>
    <xf numFmtId="0" fontId="0" fillId="24" borderId="76" xfId="0" applyFill="1" applyBorder="1"/>
    <xf numFmtId="3" fontId="0" fillId="24" borderId="49" xfId="0" applyNumberFormat="1" applyFill="1" applyBorder="1"/>
    <xf numFmtId="3" fontId="21" fillId="0" borderId="0" xfId="0" applyNumberFormat="1" applyFont="1"/>
    <xf numFmtId="0" fontId="17" fillId="0" borderId="46" xfId="0" applyFont="1" applyBorder="1" applyAlignment="1">
      <alignment horizontal="center"/>
    </xf>
    <xf numFmtId="0" fontId="0" fillId="0" borderId="75" xfId="0" applyBorder="1"/>
    <xf numFmtId="14" fontId="0" fillId="0" borderId="75" xfId="0" applyNumberFormat="1" applyBorder="1"/>
    <xf numFmtId="3" fontId="0" fillId="0" borderId="79" xfId="0" applyNumberFormat="1" applyBorder="1"/>
    <xf numFmtId="3" fontId="0" fillId="0" borderId="49" xfId="0" applyNumberFormat="1" applyBorder="1"/>
    <xf numFmtId="0" fontId="0" fillId="0" borderId="75" xfId="0" applyBorder="1" applyAlignment="1">
      <alignment horizontal="right"/>
    </xf>
    <xf numFmtId="0" fontId="28" fillId="0" borderId="79" xfId="0" applyFont="1" applyBorder="1"/>
    <xf numFmtId="14" fontId="21" fillId="0" borderId="75" xfId="0" applyNumberFormat="1" applyFont="1" applyBorder="1"/>
    <xf numFmtId="0" fontId="21" fillId="0" borderId="79" xfId="0" applyFont="1" applyBorder="1"/>
    <xf numFmtId="3" fontId="21" fillId="0" borderId="49" xfId="0" applyNumberFormat="1" applyFont="1" applyBorder="1"/>
    <xf numFmtId="0" fontId="28" fillId="0" borderId="75" xfId="0" applyFont="1" applyBorder="1"/>
    <xf numFmtId="3" fontId="28" fillId="0" borderId="79" xfId="0" applyNumberFormat="1" applyFont="1" applyBorder="1"/>
    <xf numFmtId="3" fontId="6" fillId="0" borderId="0" xfId="0" applyNumberFormat="1" applyFont="1"/>
    <xf numFmtId="0" fontId="28" fillId="0" borderId="46" xfId="0" applyFont="1" applyBorder="1" applyAlignment="1">
      <alignment horizontal="center"/>
    </xf>
    <xf numFmtId="0" fontId="28" fillId="0" borderId="75" xfId="0" applyFont="1" applyBorder="1" applyAlignment="1">
      <alignment horizontal="right"/>
    </xf>
    <xf numFmtId="0" fontId="21" fillId="0" borderId="76" xfId="0" applyFont="1" applyBorder="1" applyAlignment="1">
      <alignment horizontal="left"/>
    </xf>
    <xf numFmtId="3" fontId="28" fillId="0" borderId="76" xfId="0" applyNumberFormat="1" applyFont="1" applyBorder="1"/>
    <xf numFmtId="0" fontId="28" fillId="0" borderId="76" xfId="0" applyFont="1" applyBorder="1"/>
    <xf numFmtId="0" fontId="29" fillId="0" borderId="0" xfId="0" applyFont="1" applyAlignment="1">
      <alignment horizontal="left" indent="1"/>
    </xf>
    <xf numFmtId="37" fontId="6" fillId="0" borderId="46" xfId="0" applyNumberFormat="1" applyFont="1" applyBorder="1" applyAlignment="1">
      <alignment horizontal="right"/>
    </xf>
    <xf numFmtId="3" fontId="27" fillId="0" borderId="54" xfId="0" applyNumberFormat="1" applyFont="1" applyBorder="1"/>
    <xf numFmtId="4" fontId="0" fillId="0" borderId="78" xfId="0" applyNumberFormat="1" applyBorder="1"/>
    <xf numFmtId="3" fontId="3" fillId="0" borderId="15" xfId="0" applyNumberFormat="1" applyFont="1" applyBorder="1"/>
    <xf numFmtId="2" fontId="26" fillId="0" borderId="0" xfId="0" applyNumberFormat="1" applyFont="1"/>
    <xf numFmtId="37" fontId="0" fillId="0" borderId="0" xfId="0" applyNumberFormat="1"/>
    <xf numFmtId="49" fontId="26" fillId="0" borderId="46" xfId="0" applyNumberFormat="1" applyFont="1" applyBorder="1"/>
    <xf numFmtId="3" fontId="8" fillId="0" borderId="46" xfId="0" applyNumberFormat="1" applyFont="1" applyBorder="1"/>
    <xf numFmtId="176" fontId="8" fillId="0" borderId="46" xfId="0" applyNumberFormat="1" applyFont="1" applyBorder="1"/>
    <xf numFmtId="3" fontId="8" fillId="0" borderId="49" xfId="0" applyNumberFormat="1" applyFont="1" applyBorder="1"/>
    <xf numFmtId="176" fontId="8" fillId="0" borderId="49" xfId="0" applyNumberFormat="1" applyFont="1" applyBorder="1"/>
    <xf numFmtId="49" fontId="26" fillId="39" borderId="54" xfId="0" applyNumberFormat="1" applyFont="1" applyFill="1" applyBorder="1"/>
    <xf numFmtId="3" fontId="26" fillId="39" borderId="38" xfId="0" applyNumberFormat="1" applyFont="1" applyFill="1" applyBorder="1"/>
    <xf numFmtId="3" fontId="26" fillId="39" borderId="40" xfId="0" applyNumberFormat="1" applyFont="1" applyFill="1" applyBorder="1"/>
    <xf numFmtId="0" fontId="8" fillId="0" borderId="15" xfId="0" applyFont="1" applyBorder="1"/>
    <xf numFmtId="176" fontId="8" fillId="0" borderId="15" xfId="0" applyNumberFormat="1" applyFont="1" applyBorder="1"/>
    <xf numFmtId="176" fontId="8" fillId="0" borderId="78" xfId="0" applyNumberFormat="1" applyFont="1" applyBorder="1"/>
    <xf numFmtId="176" fontId="8" fillId="0" borderId="76" xfId="0" applyNumberFormat="1" applyFont="1" applyBorder="1"/>
    <xf numFmtId="0" fontId="8" fillId="0" borderId="68" xfId="0" applyFont="1" applyBorder="1"/>
    <xf numFmtId="176" fontId="8" fillId="0" borderId="41" xfId="0" applyNumberFormat="1" applyFont="1" applyBorder="1"/>
    <xf numFmtId="3" fontId="8" fillId="0" borderId="41" xfId="0" applyNumberFormat="1" applyFont="1" applyBorder="1"/>
    <xf numFmtId="0" fontId="26" fillId="39" borderId="88" xfId="0" applyFont="1" applyFill="1" applyBorder="1"/>
    <xf numFmtId="176" fontId="26" fillId="39" borderId="20" xfId="0" applyNumberFormat="1" applyFont="1" applyFill="1" applyBorder="1"/>
    <xf numFmtId="0" fontId="26" fillId="39" borderId="49" xfId="0" applyFont="1" applyFill="1" applyBorder="1"/>
    <xf numFmtId="3" fontId="26" fillId="39" borderId="49" xfId="0" applyNumberFormat="1" applyFont="1" applyFill="1" applyBorder="1"/>
    <xf numFmtId="0" fontId="26" fillId="0" borderId="49" xfId="0" applyFont="1" applyBorder="1"/>
    <xf numFmtId="3" fontId="26" fillId="0" borderId="49" xfId="0" applyNumberFormat="1" applyFont="1" applyBorder="1"/>
    <xf numFmtId="0" fontId="8" fillId="0" borderId="49" xfId="0" applyFont="1" applyBorder="1"/>
    <xf numFmtId="0" fontId="26" fillId="24" borderId="54" xfId="0" applyFont="1" applyFill="1" applyBorder="1"/>
    <xf numFmtId="3" fontId="26" fillId="24" borderId="38" xfId="0" applyNumberFormat="1" applyFont="1" applyFill="1" applyBorder="1"/>
    <xf numFmtId="0" fontId="26" fillId="0" borderId="71" xfId="0" applyFont="1" applyBorder="1"/>
    <xf numFmtId="176" fontId="26" fillId="0" borderId="71" xfId="0" applyNumberFormat="1" applyFont="1" applyBorder="1"/>
    <xf numFmtId="2" fontId="8" fillId="0" borderId="67" xfId="0" applyNumberFormat="1" applyFont="1" applyBorder="1"/>
    <xf numFmtId="2" fontId="20" fillId="0" borderId="0" xfId="0" applyNumberFormat="1" applyFont="1"/>
    <xf numFmtId="49" fontId="8" fillId="0" borderId="68" xfId="0" applyNumberFormat="1" applyFont="1" applyBorder="1"/>
    <xf numFmtId="3" fontId="8" fillId="0" borderId="76" xfId="0" applyNumberFormat="1" applyFont="1" applyBorder="1"/>
    <xf numFmtId="0" fontId="26" fillId="39" borderId="54" xfId="0" applyFont="1" applyFill="1" applyBorder="1"/>
    <xf numFmtId="176" fontId="26" fillId="39" borderId="38" xfId="0" applyNumberFormat="1" applyFont="1" applyFill="1" applyBorder="1"/>
    <xf numFmtId="176" fontId="26" fillId="39" borderId="46" xfId="0" applyNumberFormat="1" applyFont="1" applyFill="1" applyBorder="1"/>
    <xf numFmtId="0" fontId="26" fillId="39" borderId="46" xfId="0" applyFont="1" applyFill="1" applyBorder="1"/>
    <xf numFmtId="3" fontId="26" fillId="39" borderId="46" xfId="0" applyNumberFormat="1" applyFont="1" applyFill="1" applyBorder="1"/>
    <xf numFmtId="3" fontId="8" fillId="0" borderId="15" xfId="0" applyNumberFormat="1" applyFont="1" applyBorder="1"/>
    <xf numFmtId="3" fontId="26" fillId="0" borderId="15" xfId="0" applyNumberFormat="1" applyFont="1" applyBorder="1"/>
    <xf numFmtId="0" fontId="26" fillId="24" borderId="46" xfId="0" applyFont="1" applyFill="1" applyBorder="1"/>
    <xf numFmtId="3" fontId="26" fillId="24" borderId="46" xfId="0" applyNumberFormat="1" applyFont="1" applyFill="1" applyBorder="1"/>
    <xf numFmtId="2" fontId="26" fillId="47" borderId="44" xfId="0" applyNumberFormat="1" applyFont="1" applyFill="1" applyBorder="1"/>
    <xf numFmtId="2" fontId="8" fillId="47" borderId="55" xfId="0" applyNumberFormat="1" applyFont="1" applyFill="1" applyBorder="1"/>
    <xf numFmtId="49" fontId="8" fillId="0" borderId="21" xfId="0" applyNumberFormat="1" applyFont="1" applyBorder="1"/>
    <xf numFmtId="2" fontId="8" fillId="0" borderId="21" xfId="0" applyNumberFormat="1" applyFont="1" applyBorder="1"/>
    <xf numFmtId="0" fontId="8" fillId="0" borderId="21" xfId="0" applyFont="1" applyBorder="1"/>
    <xf numFmtId="0" fontId="20" fillId="40" borderId="69" xfId="0" applyFont="1" applyFill="1" applyBorder="1" applyAlignment="1">
      <alignment horizontal="center"/>
    </xf>
    <xf numFmtId="4" fontId="3" fillId="0" borderId="79" xfId="0" applyNumberFormat="1" applyFont="1" applyBorder="1"/>
    <xf numFmtId="0" fontId="30" fillId="0" borderId="44" xfId="0" applyFont="1" applyBorder="1"/>
    <xf numFmtId="0" fontId="31" fillId="0" borderId="47" xfId="0" applyFont="1" applyBorder="1"/>
    <xf numFmtId="0" fontId="31" fillId="0" borderId="76" xfId="0" applyFont="1" applyBorder="1"/>
    <xf numFmtId="3" fontId="3" fillId="0" borderId="44" xfId="0" applyNumberFormat="1" applyFont="1" applyBorder="1"/>
    <xf numFmtId="4" fontId="0" fillId="0" borderId="76" xfId="0" applyNumberFormat="1" applyBorder="1"/>
    <xf numFmtId="3" fontId="0" fillId="0" borderId="78" xfId="0" applyNumberFormat="1" applyBorder="1"/>
    <xf numFmtId="4" fontId="0" fillId="0" borderId="0" xfId="0" applyNumberFormat="1"/>
    <xf numFmtId="3" fontId="8" fillId="39" borderId="38" xfId="0" applyNumberFormat="1" applyFont="1" applyFill="1" applyBorder="1"/>
    <xf numFmtId="176" fontId="8" fillId="39" borderId="40" xfId="0" applyNumberFormat="1" applyFont="1" applyFill="1" applyBorder="1"/>
    <xf numFmtId="176" fontId="26" fillId="39" borderId="40" xfId="0" applyNumberFormat="1" applyFont="1" applyFill="1" applyBorder="1"/>
    <xf numFmtId="176" fontId="8" fillId="0" borderId="79" xfId="0" applyNumberFormat="1" applyFont="1" applyBorder="1"/>
    <xf numFmtId="3" fontId="8" fillId="39" borderId="49" xfId="0" applyNumberFormat="1" applyFont="1" applyFill="1" applyBorder="1"/>
    <xf numFmtId="0" fontId="26" fillId="0" borderId="46" xfId="0" applyFont="1" applyBorder="1"/>
    <xf numFmtId="0" fontId="26" fillId="0" borderId="33" xfId="0" applyFont="1" applyBorder="1"/>
    <xf numFmtId="176" fontId="26" fillId="0" borderId="33" xfId="0" applyNumberFormat="1" applyFont="1" applyBorder="1"/>
    <xf numFmtId="0" fontId="20" fillId="39" borderId="0" xfId="0" applyFont="1" applyFill="1" applyAlignment="1">
      <alignment horizontal="center"/>
    </xf>
    <xf numFmtId="14" fontId="0" fillId="0" borderId="0" xfId="0" applyNumberFormat="1"/>
    <xf numFmtId="176" fontId="8" fillId="39" borderId="49" xfId="0" applyNumberFormat="1" applyFont="1" applyFill="1" applyBorder="1"/>
    <xf numFmtId="0" fontId="26" fillId="0" borderId="0" xfId="0" applyFont="1"/>
    <xf numFmtId="176" fontId="26" fillId="0" borderId="0" xfId="0" applyNumberFormat="1" applyFont="1"/>
    <xf numFmtId="0" fontId="3" fillId="39" borderId="46" xfId="0" applyFont="1" applyFill="1" applyBorder="1"/>
    <xf numFmtId="0" fontId="0" fillId="39" borderId="46" xfId="0" applyFill="1" applyBorder="1"/>
    <xf numFmtId="0" fontId="17" fillId="24" borderId="24" xfId="0" applyFont="1" applyFill="1" applyBorder="1"/>
    <xf numFmtId="0" fontId="17" fillId="24" borderId="69" xfId="0" applyFont="1" applyFill="1" applyBorder="1" applyAlignment="1">
      <alignment horizontal="center"/>
    </xf>
    <xf numFmtId="0" fontId="17" fillId="24" borderId="69" xfId="0" applyFont="1" applyFill="1" applyBorder="1" applyAlignment="1">
      <alignment wrapText="1"/>
    </xf>
    <xf numFmtId="0" fontId="17" fillId="24" borderId="69" xfId="0" applyFont="1" applyFill="1" applyBorder="1"/>
    <xf numFmtId="0" fontId="17" fillId="24" borderId="60" xfId="0" applyFont="1" applyFill="1" applyBorder="1"/>
    <xf numFmtId="0" fontId="17" fillId="24" borderId="43" xfId="0" applyFont="1" applyFill="1" applyBorder="1"/>
    <xf numFmtId="0" fontId="17" fillId="24" borderId="0" xfId="0" applyFont="1" applyFill="1"/>
    <xf numFmtId="0" fontId="17" fillId="24" borderId="0" xfId="0" applyFont="1" applyFill="1" applyAlignment="1">
      <alignment horizontal="center"/>
    </xf>
    <xf numFmtId="0" fontId="32" fillId="24" borderId="43" xfId="0" applyFont="1" applyFill="1" applyBorder="1" applyAlignment="1">
      <alignment horizontal="center"/>
    </xf>
    <xf numFmtId="0" fontId="32" fillId="24" borderId="0" xfId="0" applyFont="1" applyFill="1" applyAlignment="1">
      <alignment horizontal="center"/>
    </xf>
    <xf numFmtId="0" fontId="32" fillId="24" borderId="83" xfId="0" applyFont="1" applyFill="1" applyBorder="1" applyAlignment="1">
      <alignment horizontal="center"/>
    </xf>
    <xf numFmtId="0" fontId="17" fillId="24" borderId="83" xfId="0" applyFont="1" applyFill="1" applyBorder="1"/>
    <xf numFmtId="0" fontId="22" fillId="39" borderId="46" xfId="0" applyFont="1" applyFill="1" applyBorder="1" applyAlignment="1">
      <alignment wrapText="1"/>
    </xf>
    <xf numFmtId="0" fontId="6" fillId="0" borderId="46" xfId="0" applyFont="1" applyBorder="1" applyAlignment="1">
      <alignment wrapText="1"/>
    </xf>
    <xf numFmtId="0" fontId="8" fillId="0" borderId="76" xfId="0" applyFont="1" applyBorder="1" applyAlignment="1">
      <alignment wrapText="1"/>
    </xf>
    <xf numFmtId="0" fontId="17" fillId="0" borderId="46" xfId="0" applyFont="1" applyBorder="1" applyAlignment="1">
      <alignment wrapText="1"/>
    </xf>
    <xf numFmtId="0" fontId="32" fillId="0" borderId="44" xfId="0" applyFont="1" applyBorder="1" applyAlignment="1">
      <alignment horizontal="center" wrapText="1"/>
    </xf>
    <xf numFmtId="3" fontId="32" fillId="0" borderId="58" xfId="0" applyNumberFormat="1" applyFont="1" applyBorder="1"/>
    <xf numFmtId="3" fontId="32" fillId="0" borderId="44" xfId="0" applyNumberFormat="1" applyFont="1" applyBorder="1"/>
    <xf numFmtId="3" fontId="32" fillId="0" borderId="46" xfId="0" applyNumberFormat="1" applyFont="1" applyBorder="1"/>
    <xf numFmtId="3" fontId="32" fillId="0" borderId="59" xfId="0" applyNumberFormat="1" applyFont="1" applyBorder="1"/>
    <xf numFmtId="0" fontId="17" fillId="0" borderId="80" xfId="0" applyFont="1" applyBorder="1"/>
    <xf numFmtId="0" fontId="33" fillId="0" borderId="0" xfId="0" applyFont="1"/>
    <xf numFmtId="0" fontId="34" fillId="0" borderId="0" xfId="0" applyFont="1"/>
    <xf numFmtId="0" fontId="32" fillId="24" borderId="24" xfId="0" applyFont="1" applyFill="1" applyBorder="1"/>
    <xf numFmtId="0" fontId="32" fillId="24" borderId="69" xfId="0" applyFont="1" applyFill="1" applyBorder="1"/>
    <xf numFmtId="0" fontId="32" fillId="24" borderId="60" xfId="0" applyFont="1" applyFill="1" applyBorder="1"/>
    <xf numFmtId="0" fontId="17" fillId="45" borderId="43" xfId="0" applyFont="1" applyFill="1" applyBorder="1" applyAlignment="1">
      <alignment wrapText="1"/>
    </xf>
    <xf numFmtId="0" fontId="8" fillId="0" borderId="46" xfId="0" applyFont="1" applyBorder="1" applyAlignment="1">
      <alignment wrapText="1"/>
    </xf>
    <xf numFmtId="0" fontId="32" fillId="0" borderId="44" xfId="0" applyFont="1" applyBorder="1" applyAlignment="1">
      <alignment horizontal="center"/>
    </xf>
    <xf numFmtId="1" fontId="32" fillId="0" borderId="58" xfId="0" applyNumberFormat="1" applyFont="1" applyBorder="1" applyAlignment="1">
      <alignment horizontal="center"/>
    </xf>
    <xf numFmtId="1" fontId="32" fillId="0" borderId="46" xfId="0" applyNumberFormat="1" applyFont="1" applyBorder="1" applyAlignment="1">
      <alignment horizontal="center"/>
    </xf>
    <xf numFmtId="1" fontId="32" fillId="0" borderId="59" xfId="0" applyNumberFormat="1" applyFont="1" applyBorder="1" applyAlignment="1">
      <alignment horizontal="center"/>
    </xf>
    <xf numFmtId="0" fontId="8" fillId="0" borderId="80" xfId="0" applyFont="1" applyBorder="1" applyAlignment="1">
      <alignment horizontal="center" wrapText="1"/>
    </xf>
    <xf numFmtId="0" fontId="32" fillId="0" borderId="46" xfId="0" applyFont="1" applyBorder="1" applyAlignment="1">
      <alignment wrapText="1"/>
    </xf>
    <xf numFmtId="0" fontId="8" fillId="0" borderId="46" xfId="0" applyFont="1" applyBorder="1" applyAlignment="1">
      <alignment vertical="top" wrapText="1"/>
    </xf>
    <xf numFmtId="0" fontId="17" fillId="0" borderId="80" xfId="0" applyFont="1" applyBorder="1" applyAlignment="1">
      <alignment horizontal="center"/>
    </xf>
    <xf numFmtId="0" fontId="17" fillId="39" borderId="43" xfId="0" applyFont="1" applyFill="1" applyBorder="1" applyAlignment="1">
      <alignment wrapText="1"/>
    </xf>
    <xf numFmtId="0" fontId="17" fillId="47" borderId="43" xfId="0" applyFont="1" applyFill="1" applyBorder="1" applyAlignment="1">
      <alignment wrapText="1"/>
    </xf>
    <xf numFmtId="0" fontId="17" fillId="40" borderId="43" xfId="0" applyFont="1" applyFill="1" applyBorder="1" applyAlignment="1">
      <alignment wrapText="1"/>
    </xf>
    <xf numFmtId="0" fontId="17" fillId="40" borderId="19" xfId="0" applyFont="1" applyFill="1" applyBorder="1" applyAlignment="1">
      <alignment wrapText="1"/>
    </xf>
    <xf numFmtId="0" fontId="32" fillId="0" borderId="30" xfId="0" applyFont="1" applyBorder="1" applyAlignment="1">
      <alignment wrapText="1"/>
    </xf>
    <xf numFmtId="0" fontId="8" fillId="0" borderId="30" xfId="0" applyFont="1" applyBorder="1" applyAlignment="1">
      <alignment vertical="top" wrapText="1"/>
    </xf>
    <xf numFmtId="0" fontId="32" fillId="0" borderId="35" xfId="0" applyFont="1" applyBorder="1" applyAlignment="1">
      <alignment horizontal="center"/>
    </xf>
    <xf numFmtId="1" fontId="32" fillId="0" borderId="29" xfId="0" applyNumberFormat="1" applyFont="1" applyBorder="1" applyAlignment="1">
      <alignment horizontal="center"/>
    </xf>
    <xf numFmtId="1" fontId="32" fillId="0" borderId="30" xfId="0" applyNumberFormat="1" applyFont="1" applyBorder="1" applyAlignment="1">
      <alignment horizontal="center"/>
    </xf>
    <xf numFmtId="1" fontId="32" fillId="0" borderId="34" xfId="0" applyNumberFormat="1" applyFont="1" applyBorder="1" applyAlignment="1">
      <alignment horizontal="center"/>
    </xf>
    <xf numFmtId="0" fontId="17" fillId="0" borderId="85" xfId="0" applyFont="1" applyBorder="1" applyAlignment="1">
      <alignment horizontal="center"/>
    </xf>
    <xf numFmtId="0" fontId="22" fillId="48" borderId="43" xfId="0" applyFont="1" applyFill="1" applyBorder="1" applyAlignment="1">
      <alignment wrapText="1"/>
    </xf>
    <xf numFmtId="176" fontId="32" fillId="0" borderId="45" xfId="0" applyNumberFormat="1" applyFont="1" applyBorder="1"/>
    <xf numFmtId="176" fontId="32" fillId="0" borderId="46" xfId="0" applyNumberFormat="1" applyFont="1" applyBorder="1"/>
    <xf numFmtId="176" fontId="32" fillId="0" borderId="59" xfId="0" applyNumberFormat="1" applyFont="1" applyBorder="1"/>
    <xf numFmtId="0" fontId="8" fillId="0" borderId="80" xfId="0" applyFont="1" applyBorder="1" applyAlignment="1">
      <alignment wrapText="1"/>
    </xf>
    <xf numFmtId="0" fontId="22" fillId="48" borderId="19" xfId="0" applyFont="1" applyFill="1" applyBorder="1" applyAlignment="1">
      <alignment wrapText="1"/>
    </xf>
    <xf numFmtId="3" fontId="32" fillId="0" borderId="29" xfId="0" applyNumberFormat="1" applyFont="1" applyBorder="1"/>
    <xf numFmtId="3" fontId="32" fillId="0" borderId="30" xfId="0" applyNumberFormat="1" applyFont="1" applyBorder="1"/>
    <xf numFmtId="3" fontId="32" fillId="0" borderId="34" xfId="0" applyNumberFormat="1" applyFont="1" applyBorder="1"/>
    <xf numFmtId="0" fontId="17" fillId="0" borderId="85" xfId="0" applyFont="1" applyBorder="1"/>
    <xf numFmtId="0" fontId="19" fillId="0" borderId="0" xfId="0" applyFont="1" applyAlignment="1">
      <alignment horizontal="left"/>
    </xf>
    <xf numFmtId="0" fontId="0" fillId="0" borderId="93" xfId="0" applyBorder="1"/>
    <xf numFmtId="0" fontId="3" fillId="0" borderId="69" xfId="0" applyFont="1" applyBorder="1" applyAlignment="1">
      <alignment horizontal="left"/>
    </xf>
    <xf numFmtId="0" fontId="0" fillId="0" borderId="94" xfId="0" applyBorder="1" applyAlignment="1">
      <alignment horizontal="left"/>
    </xf>
    <xf numFmtId="0" fontId="0" fillId="0" borderId="95" xfId="0" applyBorder="1"/>
    <xf numFmtId="0" fontId="3" fillId="0" borderId="96" xfId="0" applyFont="1" applyBorder="1" applyAlignment="1">
      <alignment horizontal="left"/>
    </xf>
    <xf numFmtId="0" fontId="0" fillId="0" borderId="97" xfId="0" applyBorder="1"/>
    <xf numFmtId="0" fontId="0" fillId="0" borderId="44" xfId="0" applyBorder="1" applyAlignment="1" applyProtection="1">
      <alignment horizontal="center"/>
      <protection locked="0"/>
    </xf>
    <xf numFmtId="0" fontId="8" fillId="0" borderId="97" xfId="0" applyFont="1" applyBorder="1" applyAlignment="1">
      <alignment horizontal="center" vertical="center"/>
    </xf>
    <xf numFmtId="0" fontId="2" fillId="0" borderId="0" xfId="34"/>
    <xf numFmtId="0" fontId="8" fillId="0" borderId="0" xfId="34" applyFont="1"/>
    <xf numFmtId="0" fontId="8" fillId="0" borderId="97" xfId="34" applyFont="1" applyBorder="1"/>
    <xf numFmtId="0" fontId="8" fillId="0" borderId="97" xfId="34" applyFont="1" applyBorder="1" applyAlignment="1">
      <alignment horizontal="center"/>
    </xf>
    <xf numFmtId="0" fontId="8" fillId="0" borderId="96" xfId="34" applyFont="1" applyBorder="1" applyAlignment="1">
      <alignment horizontal="center"/>
    </xf>
    <xf numFmtId="49" fontId="8" fillId="0" borderId="97" xfId="34" applyNumberFormat="1" applyFont="1" applyBorder="1"/>
    <xf numFmtId="2" fontId="8" fillId="0" borderId="97" xfId="34" applyNumberFormat="1" applyFont="1" applyBorder="1"/>
    <xf numFmtId="2" fontId="8" fillId="0" borderId="96" xfId="34" applyNumberFormat="1" applyFont="1" applyBorder="1"/>
    <xf numFmtId="2" fontId="8" fillId="0" borderId="97" xfId="34" applyNumberFormat="1" applyFont="1" applyBorder="1" applyAlignment="1">
      <alignment horizontal="right"/>
    </xf>
    <xf numFmtId="49" fontId="8" fillId="0" borderId="98" xfId="34" applyNumberFormat="1" applyFont="1" applyBorder="1"/>
    <xf numFmtId="2" fontId="8" fillId="0" borderId="98" xfId="34" applyNumberFormat="1" applyFont="1" applyBorder="1"/>
    <xf numFmtId="2" fontId="8" fillId="0" borderId="99" xfId="34" applyNumberFormat="1" applyFont="1" applyBorder="1"/>
    <xf numFmtId="2" fontId="8" fillId="0" borderId="100" xfId="34" applyNumberFormat="1" applyFont="1" applyBorder="1"/>
    <xf numFmtId="49" fontId="8" fillId="0" borderId="101" xfId="34" applyNumberFormat="1" applyFont="1" applyBorder="1"/>
    <xf numFmtId="2" fontId="8" fillId="0" borderId="101" xfId="34" applyNumberFormat="1" applyFont="1" applyBorder="1"/>
    <xf numFmtId="2" fontId="8" fillId="0" borderId="102" xfId="34" applyNumberFormat="1" applyFont="1" applyBorder="1"/>
    <xf numFmtId="2" fontId="8" fillId="0" borderId="103" xfId="34" applyNumberFormat="1" applyFont="1" applyBorder="1"/>
    <xf numFmtId="49" fontId="8" fillId="0" borderId="0" xfId="34" applyNumberFormat="1" applyFont="1"/>
    <xf numFmtId="2" fontId="8" fillId="0" borderId="0" xfId="34" applyNumberFormat="1" applyFont="1"/>
    <xf numFmtId="0" fontId="8" fillId="56" borderId="0" xfId="34" applyFont="1" applyFill="1"/>
    <xf numFmtId="2" fontId="8" fillId="56" borderId="97" xfId="34" applyNumberFormat="1" applyFont="1" applyFill="1" applyBorder="1"/>
    <xf numFmtId="49" fontId="8" fillId="0" borderId="100" xfId="34" applyNumberFormat="1" applyFont="1" applyBorder="1"/>
    <xf numFmtId="2" fontId="8" fillId="56" borderId="100" xfId="34" applyNumberFormat="1" applyFont="1" applyFill="1" applyBorder="1"/>
    <xf numFmtId="49" fontId="8" fillId="0" borderId="104" xfId="34" applyNumberFormat="1" applyFont="1" applyBorder="1"/>
    <xf numFmtId="2" fontId="8" fillId="0" borderId="105" xfId="34" applyNumberFormat="1" applyFont="1" applyBorder="1"/>
    <xf numFmtId="2" fontId="8" fillId="0" borderId="106" xfId="34" applyNumberFormat="1" applyFont="1" applyBorder="1"/>
    <xf numFmtId="2" fontId="8" fillId="53" borderId="107" xfId="34" applyNumberFormat="1" applyFont="1" applyFill="1" applyBorder="1"/>
    <xf numFmtId="2" fontId="8" fillId="56" borderId="107" xfId="34" applyNumberFormat="1" applyFont="1" applyFill="1" applyBorder="1"/>
    <xf numFmtId="2" fontId="8" fillId="51" borderId="97" xfId="34" applyNumberFormat="1" applyFont="1" applyFill="1" applyBorder="1"/>
    <xf numFmtId="49" fontId="26" fillId="54" borderId="97" xfId="34" applyNumberFormat="1" applyFont="1" applyFill="1" applyBorder="1"/>
    <xf numFmtId="2" fontId="26" fillId="54" borderId="97" xfId="34" applyNumberFormat="1" applyFont="1" applyFill="1" applyBorder="1"/>
    <xf numFmtId="2" fontId="26" fillId="56" borderId="103" xfId="34" applyNumberFormat="1" applyFont="1" applyFill="1" applyBorder="1"/>
    <xf numFmtId="49" fontId="26" fillId="0" borderId="0" xfId="34" applyNumberFormat="1" applyFont="1"/>
    <xf numFmtId="1" fontId="8" fillId="0" borderId="97" xfId="34" applyNumberFormat="1" applyFont="1" applyBorder="1" applyAlignment="1">
      <alignment horizontal="center"/>
    </xf>
    <xf numFmtId="165" fontId="8" fillId="0" borderId="97" xfId="34" applyNumberFormat="1" applyFont="1" applyBorder="1" applyAlignment="1">
      <alignment horizontal="center"/>
    </xf>
    <xf numFmtId="1" fontId="8" fillId="0" borderId="0" xfId="34" applyNumberFormat="1" applyFont="1"/>
    <xf numFmtId="1" fontId="8" fillId="51" borderId="97" xfId="34" applyNumberFormat="1" applyFont="1" applyFill="1" applyBorder="1"/>
    <xf numFmtId="0" fontId="20" fillId="52" borderId="0" xfId="34" applyFont="1" applyFill="1"/>
    <xf numFmtId="0" fontId="2" fillId="52" borderId="0" xfId="34" applyFill="1"/>
    <xf numFmtId="0" fontId="3" fillId="52" borderId="0" xfId="34" applyFont="1" applyFill="1"/>
    <xf numFmtId="0" fontId="3" fillId="0" borderId="108" xfId="34" applyFont="1" applyBorder="1"/>
    <xf numFmtId="0" fontId="8" fillId="0" borderId="109" xfId="34" applyFont="1" applyBorder="1" applyAlignment="1">
      <alignment horizontal="center"/>
    </xf>
    <xf numFmtId="0" fontId="8" fillId="0" borderId="110" xfId="34" applyFont="1" applyBorder="1" applyAlignment="1">
      <alignment horizontal="center"/>
    </xf>
    <xf numFmtId="0" fontId="2" fillId="0" borderId="111" xfId="34" applyBorder="1"/>
    <xf numFmtId="0" fontId="2" fillId="0" borderId="97" xfId="34" applyBorder="1" applyAlignment="1">
      <alignment horizontal="center"/>
    </xf>
    <xf numFmtId="0" fontId="2" fillId="0" borderId="112" xfId="34" applyBorder="1" applyAlignment="1">
      <alignment horizontal="center"/>
    </xf>
    <xf numFmtId="0" fontId="2" fillId="0" borderId="113" xfId="34" applyBorder="1"/>
    <xf numFmtId="0" fontId="2" fillId="0" borderId="98" xfId="34" applyBorder="1" applyAlignment="1">
      <alignment horizontal="center"/>
    </xf>
    <xf numFmtId="0" fontId="2" fillId="0" borderId="114" xfId="34" applyBorder="1" applyAlignment="1">
      <alignment horizontal="center"/>
    </xf>
    <xf numFmtId="1" fontId="8" fillId="0" borderId="107" xfId="34" applyNumberFormat="1" applyFont="1" applyBorder="1" applyAlignment="1">
      <alignment horizontal="center"/>
    </xf>
    <xf numFmtId="1" fontId="8" fillId="0" borderId="116" xfId="34" applyNumberFormat="1" applyFont="1" applyBorder="1" applyAlignment="1">
      <alignment horizontal="center"/>
    </xf>
    <xf numFmtId="1" fontId="2" fillId="0" borderId="97" xfId="34" applyNumberFormat="1" applyBorder="1" applyAlignment="1">
      <alignment horizontal="center"/>
    </xf>
    <xf numFmtId="1" fontId="2" fillId="0" borderId="100" xfId="34" applyNumberFormat="1" applyBorder="1" applyAlignment="1">
      <alignment horizontal="center"/>
    </xf>
    <xf numFmtId="1" fontId="2" fillId="0" borderId="98" xfId="34" applyNumberFormat="1" applyBorder="1" applyAlignment="1">
      <alignment horizontal="center"/>
    </xf>
    <xf numFmtId="1" fontId="8" fillId="0" borderId="117" xfId="34" applyNumberFormat="1" applyFont="1" applyBorder="1" applyAlignment="1">
      <alignment horizontal="center"/>
    </xf>
    <xf numFmtId="0" fontId="2" fillId="0" borderId="118" xfId="34" applyBorder="1"/>
    <xf numFmtId="0" fontId="20" fillId="0" borderId="0" xfId="34" applyFont="1"/>
    <xf numFmtId="0" fontId="3" fillId="0" borderId="94" xfId="34" applyFont="1" applyBorder="1"/>
    <xf numFmtId="0" fontId="2" fillId="0" borderId="95" xfId="34" applyBorder="1"/>
    <xf numFmtId="4" fontId="3" fillId="0" borderId="96" xfId="34" applyNumberFormat="1" applyFont="1" applyBorder="1"/>
    <xf numFmtId="0" fontId="2" fillId="0" borderId="94" xfId="34" applyBorder="1"/>
    <xf numFmtId="0" fontId="3" fillId="0" borderId="95" xfId="34" applyFont="1" applyBorder="1"/>
    <xf numFmtId="0" fontId="3" fillId="0" borderId="96" xfId="34" applyFont="1" applyBorder="1"/>
    <xf numFmtId="0" fontId="2" fillId="0" borderId="96" xfId="34" applyBorder="1"/>
    <xf numFmtId="3" fontId="2" fillId="0" borderId="96" xfId="34" applyNumberFormat="1" applyBorder="1"/>
    <xf numFmtId="3" fontId="2" fillId="0" borderId="0" xfId="34" applyNumberFormat="1"/>
    <xf numFmtId="0" fontId="2" fillId="0" borderId="97" xfId="34" applyBorder="1"/>
    <xf numFmtId="3" fontId="54" fillId="0" borderId="107" xfId="34" applyNumberFormat="1" applyFont="1" applyBorder="1" applyAlignment="1">
      <alignment horizontal="center"/>
    </xf>
    <xf numFmtId="0" fontId="2" fillId="0" borderId="119" xfId="34" applyBorder="1"/>
    <xf numFmtId="0" fontId="2" fillId="0" borderId="120" xfId="34" applyBorder="1"/>
    <xf numFmtId="0" fontId="2" fillId="0" borderId="121" xfId="34" applyBorder="1"/>
    <xf numFmtId="3" fontId="2" fillId="0" borderId="97" xfId="34" applyNumberFormat="1" applyBorder="1"/>
    <xf numFmtId="3" fontId="35" fillId="0" borderId="0" xfId="34" applyNumberFormat="1" applyFont="1"/>
    <xf numFmtId="0" fontId="3" fillId="0" borderId="0" xfId="34" applyFont="1"/>
    <xf numFmtId="3" fontId="3" fillId="0" borderId="0" xfId="34" applyNumberFormat="1" applyFont="1"/>
    <xf numFmtId="1" fontId="2" fillId="0" borderId="0" xfId="34" applyNumberFormat="1"/>
    <xf numFmtId="0" fontId="2" fillId="0" borderId="94" xfId="34" applyBorder="1" applyAlignment="1">
      <alignment horizontal="right"/>
    </xf>
    <xf numFmtId="14" fontId="2" fillId="0" borderId="94" xfId="34" applyNumberFormat="1" applyBorder="1"/>
    <xf numFmtId="0" fontId="2" fillId="55" borderId="97" xfId="34" applyFill="1" applyBorder="1" applyAlignment="1">
      <alignment horizontal="center"/>
    </xf>
    <xf numFmtId="0" fontId="2" fillId="55" borderId="94" xfId="34" applyFill="1" applyBorder="1"/>
    <xf numFmtId="14" fontId="2" fillId="55" borderId="94" xfId="34" applyNumberFormat="1" applyFill="1" applyBorder="1"/>
    <xf numFmtId="0" fontId="2" fillId="55" borderId="96" xfId="34" applyFill="1" applyBorder="1"/>
    <xf numFmtId="3" fontId="2" fillId="55" borderId="100" xfId="34" applyNumberFormat="1" applyFill="1" applyBorder="1"/>
    <xf numFmtId="0" fontId="2" fillId="0" borderId="122" xfId="34" applyBorder="1"/>
    <xf numFmtId="14" fontId="2" fillId="0" borderId="122" xfId="34" applyNumberFormat="1" applyBorder="1"/>
    <xf numFmtId="3" fontId="2" fillId="0" borderId="123" xfId="34" applyNumberFormat="1" applyBorder="1"/>
    <xf numFmtId="3" fontId="2" fillId="0" borderId="100" xfId="34" applyNumberFormat="1" applyBorder="1"/>
    <xf numFmtId="0" fontId="2" fillId="0" borderId="122" xfId="34" applyBorder="1" applyAlignment="1">
      <alignment horizontal="right"/>
    </xf>
    <xf numFmtId="0" fontId="2" fillId="0" borderId="123" xfId="34" applyBorder="1"/>
    <xf numFmtId="3" fontId="6" fillId="0" borderId="0" xfId="34" applyNumberFormat="1" applyFont="1"/>
    <xf numFmtId="0" fontId="2" fillId="0" borderId="96" xfId="34" applyBorder="1" applyAlignment="1">
      <alignment horizontal="left"/>
    </xf>
    <xf numFmtId="3" fontId="21" fillId="0" borderId="0" xfId="34" applyNumberFormat="1" applyFont="1"/>
    <xf numFmtId="0" fontId="21" fillId="0" borderId="122" xfId="34" applyFont="1" applyBorder="1"/>
    <xf numFmtId="14" fontId="21" fillId="0" borderId="122" xfId="34" applyNumberFormat="1" applyFont="1" applyBorder="1"/>
    <xf numFmtId="3" fontId="8" fillId="0" borderId="0" xfId="34" applyNumberFormat="1" applyFont="1"/>
    <xf numFmtId="0" fontId="2" fillId="0" borderId="124" xfId="34" applyBorder="1" applyAlignment="1">
      <alignment horizontal="center"/>
    </xf>
    <xf numFmtId="0" fontId="35" fillId="0" borderId="0" xfId="34" applyFont="1"/>
    <xf numFmtId="3" fontId="54" fillId="0" borderId="104" xfId="34" applyNumberFormat="1" applyFont="1" applyBorder="1"/>
    <xf numFmtId="0" fontId="2" fillId="0" borderId="125" xfId="34" applyBorder="1"/>
    <xf numFmtId="4" fontId="2" fillId="0" borderId="126" xfId="34" applyNumberFormat="1" applyBorder="1"/>
    <xf numFmtId="2" fontId="26" fillId="0" borderId="0" xfId="34" applyNumberFormat="1" applyFont="1"/>
    <xf numFmtId="37" fontId="2" fillId="0" borderId="0" xfId="34" applyNumberFormat="1"/>
    <xf numFmtId="49" fontId="26" fillId="0" borderId="97" xfId="34" applyNumberFormat="1" applyFont="1" applyBorder="1"/>
    <xf numFmtId="3" fontId="8" fillId="0" borderId="97" xfId="34" applyNumberFormat="1" applyFont="1" applyBorder="1"/>
    <xf numFmtId="167" fontId="8" fillId="0" borderId="97" xfId="34" applyNumberFormat="1" applyFont="1" applyBorder="1"/>
    <xf numFmtId="3" fontId="8" fillId="0" borderId="100" xfId="34" applyNumberFormat="1" applyFont="1" applyBorder="1"/>
    <xf numFmtId="167" fontId="8" fillId="0" borderId="100" xfId="34" applyNumberFormat="1" applyFont="1" applyBorder="1"/>
    <xf numFmtId="49" fontId="26" fillId="57" borderId="104" xfId="34" applyNumberFormat="1" applyFont="1" applyFill="1" applyBorder="1"/>
    <xf numFmtId="3" fontId="26" fillId="57" borderId="105" xfId="34" applyNumberFormat="1" applyFont="1" applyFill="1" applyBorder="1"/>
    <xf numFmtId="3" fontId="26" fillId="57" borderId="106" xfId="34" applyNumberFormat="1" applyFont="1" applyFill="1" applyBorder="1"/>
    <xf numFmtId="0" fontId="8" fillId="0" borderId="107" xfId="34" applyFont="1" applyBorder="1"/>
    <xf numFmtId="167" fontId="8" fillId="0" borderId="107" xfId="34" applyNumberFormat="1" applyFont="1" applyBorder="1"/>
    <xf numFmtId="167" fontId="8" fillId="0" borderId="126" xfId="34" applyNumberFormat="1" applyFont="1" applyBorder="1"/>
    <xf numFmtId="167" fontId="8" fillId="0" borderId="96" xfId="34" applyNumberFormat="1" applyFont="1" applyBorder="1"/>
    <xf numFmtId="3" fontId="8" fillId="0" borderId="97" xfId="34" quotePrefix="1" applyNumberFormat="1" applyFont="1" applyBorder="1"/>
    <xf numFmtId="0" fontId="26" fillId="57" borderId="113" xfId="34" applyFont="1" applyFill="1" applyBorder="1"/>
    <xf numFmtId="167" fontId="26" fillId="57" borderId="101" xfId="34" applyNumberFormat="1" applyFont="1" applyFill="1" applyBorder="1"/>
    <xf numFmtId="0" fontId="8" fillId="0" borderId="0" xfId="34" applyFont="1" applyAlignment="1">
      <alignment horizontal="right"/>
    </xf>
    <xf numFmtId="167" fontId="8" fillId="0" borderId="124" xfId="34" applyNumberFormat="1" applyFont="1" applyBorder="1"/>
    <xf numFmtId="0" fontId="26" fillId="57" borderId="100" xfId="34" applyFont="1" applyFill="1" applyBorder="1"/>
    <xf numFmtId="3" fontId="26" fillId="57" borderId="100" xfId="34" applyNumberFormat="1" applyFont="1" applyFill="1" applyBorder="1"/>
    <xf numFmtId="0" fontId="26" fillId="0" borderId="100" xfId="34" applyFont="1" applyBorder="1"/>
    <xf numFmtId="3" fontId="26" fillId="0" borderId="100" xfId="34" applyNumberFormat="1" applyFont="1" applyBorder="1"/>
    <xf numFmtId="0" fontId="8" fillId="0" borderId="100" xfId="34" applyFont="1" applyBorder="1"/>
    <xf numFmtId="0" fontId="26" fillId="55" borderId="104" xfId="34" applyFont="1" applyFill="1" applyBorder="1"/>
    <xf numFmtId="3" fontId="26" fillId="55" borderId="105" xfId="34" applyNumberFormat="1" applyFont="1" applyFill="1" applyBorder="1"/>
    <xf numFmtId="0" fontId="26" fillId="0" borderId="121" xfId="34" applyFont="1" applyBorder="1"/>
    <xf numFmtId="167" fontId="26" fillId="0" borderId="121" xfId="34" applyNumberFormat="1" applyFont="1" applyBorder="1"/>
    <xf numFmtId="2" fontId="8" fillId="0" borderId="127" xfId="34" applyNumberFormat="1" applyFont="1" applyBorder="1"/>
    <xf numFmtId="2" fontId="20" fillId="0" borderId="0" xfId="34" applyNumberFormat="1" applyFont="1"/>
    <xf numFmtId="49" fontId="8" fillId="0" borderId="128" xfId="34" applyNumberFormat="1" applyFont="1" applyBorder="1"/>
    <xf numFmtId="3" fontId="8" fillId="0" borderId="124" xfId="34" applyNumberFormat="1" applyFont="1" applyBorder="1"/>
    <xf numFmtId="3" fontId="8" fillId="0" borderId="96" xfId="34" applyNumberFormat="1" applyFont="1" applyBorder="1"/>
    <xf numFmtId="0" fontId="8" fillId="0" borderId="128" xfId="34" applyFont="1" applyBorder="1"/>
    <xf numFmtId="0" fontId="26" fillId="57" borderId="104" xfId="34" applyFont="1" applyFill="1" applyBorder="1"/>
    <xf numFmtId="167" fontId="26" fillId="57" borderId="105" xfId="34" applyNumberFormat="1" applyFont="1" applyFill="1" applyBorder="1"/>
    <xf numFmtId="167" fontId="26" fillId="57" borderId="97" xfId="34" applyNumberFormat="1" applyFont="1" applyFill="1" applyBorder="1"/>
    <xf numFmtId="0" fontId="26" fillId="57" borderId="97" xfId="34" applyFont="1" applyFill="1" applyBorder="1"/>
    <xf numFmtId="3" fontId="26" fillId="57" borderId="97" xfId="34" applyNumberFormat="1" applyFont="1" applyFill="1" applyBorder="1"/>
    <xf numFmtId="3" fontId="8" fillId="0" borderId="107" xfId="34" applyNumberFormat="1" applyFont="1" applyBorder="1"/>
    <xf numFmtId="3" fontId="26" fillId="0" borderId="107" xfId="34" applyNumberFormat="1" applyFont="1" applyBorder="1"/>
    <xf numFmtId="0" fontId="26" fillId="55" borderId="97" xfId="34" applyFont="1" applyFill="1" applyBorder="1"/>
    <xf numFmtId="3" fontId="26" fillId="55" borderId="97" xfId="34" applyNumberFormat="1" applyFont="1" applyFill="1" applyBorder="1"/>
    <xf numFmtId="0" fontId="2" fillId="0" borderId="129" xfId="34" applyBorder="1"/>
    <xf numFmtId="2" fontId="26" fillId="54" borderId="94" xfId="34" applyNumberFormat="1" applyFont="1" applyFill="1" applyBorder="1"/>
    <xf numFmtId="2" fontId="8" fillId="54" borderId="103" xfId="34" applyNumberFormat="1" applyFont="1" applyFill="1" applyBorder="1"/>
    <xf numFmtId="49" fontId="8" fillId="0" borderId="118" xfId="34" applyNumberFormat="1" applyFont="1" applyBorder="1"/>
    <xf numFmtId="2" fontId="8" fillId="0" borderId="118" xfId="34" applyNumberFormat="1" applyFont="1" applyBorder="1"/>
    <xf numFmtId="0" fontId="8" fillId="0" borderId="118" xfId="34" applyFont="1" applyBorder="1"/>
    <xf numFmtId="0" fontId="20" fillId="51" borderId="130" xfId="34" applyFont="1" applyFill="1" applyBorder="1" applyAlignment="1">
      <alignment horizontal="center"/>
    </xf>
    <xf numFmtId="0" fontId="3" fillId="0" borderId="122" xfId="34" applyFont="1" applyBorder="1"/>
    <xf numFmtId="0" fontId="2" fillId="0" borderId="131" xfId="34" applyBorder="1"/>
    <xf numFmtId="4" fontId="3" fillId="0" borderId="123" xfId="34" applyNumberFormat="1" applyFont="1" applyBorder="1"/>
    <xf numFmtId="0" fontId="30" fillId="0" borderId="94" xfId="34" applyFont="1" applyBorder="1"/>
    <xf numFmtId="0" fontId="31" fillId="0" borderId="95" xfId="34" applyFont="1" applyBorder="1"/>
    <xf numFmtId="0" fontId="31" fillId="0" borderId="96" xfId="34" applyFont="1" applyBorder="1"/>
    <xf numFmtId="0" fontId="2" fillId="0" borderId="132" xfId="34" applyBorder="1"/>
    <xf numFmtId="0" fontId="2" fillId="0" borderId="130" xfId="34" applyBorder="1"/>
    <xf numFmtId="0" fontId="2" fillId="0" borderId="133" xfId="34" applyBorder="1"/>
    <xf numFmtId="0" fontId="2" fillId="0" borderId="134" xfId="34" applyBorder="1"/>
    <xf numFmtId="4" fontId="2" fillId="0" borderId="96" xfId="34" applyNumberFormat="1" applyBorder="1"/>
    <xf numFmtId="0" fontId="2" fillId="0" borderId="135" xfId="34" applyBorder="1"/>
    <xf numFmtId="0" fontId="2" fillId="0" borderId="128" xfId="34" applyBorder="1"/>
    <xf numFmtId="0" fontId="2" fillId="0" borderId="136" xfId="34" applyBorder="1"/>
    <xf numFmtId="0" fontId="2" fillId="0" borderId="137" xfId="34" applyBorder="1"/>
    <xf numFmtId="0" fontId="2" fillId="0" borderId="138" xfId="34" applyBorder="1"/>
    <xf numFmtId="0" fontId="2" fillId="0" borderId="126" xfId="34" applyBorder="1"/>
    <xf numFmtId="3" fontId="2" fillId="0" borderId="126" xfId="34" applyNumberFormat="1" applyBorder="1"/>
    <xf numFmtId="4" fontId="2" fillId="0" borderId="0" xfId="34" applyNumberFormat="1"/>
    <xf numFmtId="3" fontId="8" fillId="57" borderId="105" xfId="34" applyNumberFormat="1" applyFont="1" applyFill="1" applyBorder="1"/>
    <xf numFmtId="167" fontId="8" fillId="57" borderId="106" xfId="34" applyNumberFormat="1" applyFont="1" applyFill="1" applyBorder="1"/>
    <xf numFmtId="167" fontId="26" fillId="57" borderId="106" xfId="34" applyNumberFormat="1" applyFont="1" applyFill="1" applyBorder="1"/>
    <xf numFmtId="167" fontId="8" fillId="0" borderId="123" xfId="34" applyNumberFormat="1" applyFont="1" applyBorder="1"/>
    <xf numFmtId="3" fontId="8" fillId="57" borderId="100" xfId="34" applyNumberFormat="1" applyFont="1" applyFill="1" applyBorder="1"/>
    <xf numFmtId="0" fontId="26" fillId="0" borderId="97" xfId="34" applyFont="1" applyBorder="1"/>
    <xf numFmtId="0" fontId="26" fillId="0" borderId="129" xfId="34" applyFont="1" applyBorder="1"/>
    <xf numFmtId="167" fontId="26" fillId="0" borderId="129" xfId="34" applyNumberFormat="1" applyFont="1" applyBorder="1"/>
    <xf numFmtId="14" fontId="2" fillId="0" borderId="0" xfId="34" applyNumberFormat="1"/>
    <xf numFmtId="167" fontId="8" fillId="57" borderId="100" xfId="34" applyNumberFormat="1" applyFont="1" applyFill="1" applyBorder="1"/>
    <xf numFmtId="0" fontId="26" fillId="0" borderId="0" xfId="34" applyFont="1"/>
    <xf numFmtId="167" fontId="26" fillId="0" borderId="0" xfId="34" applyNumberFormat="1" applyFont="1"/>
    <xf numFmtId="0" fontId="3" fillId="57" borderId="97" xfId="34" applyFont="1" applyFill="1" applyBorder="1"/>
    <xf numFmtId="0" fontId="2" fillId="57" borderId="97" xfId="34" applyFill="1" applyBorder="1"/>
    <xf numFmtId="0" fontId="56" fillId="0" borderId="0" xfId="0" applyFont="1"/>
    <xf numFmtId="174" fontId="56" fillId="0" borderId="0" xfId="0" applyNumberFormat="1" applyFont="1"/>
    <xf numFmtId="0" fontId="56" fillId="55" borderId="97" xfId="0" applyFont="1" applyFill="1" applyBorder="1" applyAlignment="1">
      <alignment horizontal="center"/>
    </xf>
    <xf numFmtId="0" fontId="56" fillId="55" borderId="100" xfId="0" applyFont="1" applyFill="1" applyBorder="1" applyAlignment="1">
      <alignment horizontal="center"/>
    </xf>
    <xf numFmtId="174" fontId="56" fillId="55" borderId="100" xfId="0" applyNumberFormat="1" applyFont="1" applyFill="1" applyBorder="1" applyAlignment="1">
      <alignment horizontal="center"/>
    </xf>
    <xf numFmtId="0" fontId="56" fillId="0" borderId="97" xfId="0" applyFont="1" applyBorder="1"/>
    <xf numFmtId="0" fontId="56" fillId="0" borderId="108" xfId="0" applyFont="1" applyBorder="1"/>
    <xf numFmtId="0" fontId="56" fillId="0" borderId="109" xfId="0" applyFont="1" applyBorder="1"/>
    <xf numFmtId="17" fontId="56" fillId="0" borderId="97" xfId="0" applyNumberFormat="1" applyFont="1" applyBorder="1"/>
    <xf numFmtId="0" fontId="56" fillId="0" borderId="111" xfId="0" applyFont="1" applyBorder="1"/>
    <xf numFmtId="0" fontId="56" fillId="0" borderId="109" xfId="0" applyFont="1" applyBorder="1" applyAlignment="1">
      <alignment horizontal="left" vertical="center"/>
    </xf>
    <xf numFmtId="0" fontId="56" fillId="0" borderId="139" xfId="0" applyFont="1" applyBorder="1"/>
    <xf numFmtId="0" fontId="56" fillId="0" borderId="107" xfId="0" applyFont="1" applyBorder="1"/>
    <xf numFmtId="0" fontId="56" fillId="0" borderId="140" xfId="0" applyFont="1" applyBorder="1"/>
    <xf numFmtId="0" fontId="56" fillId="0" borderId="98" xfId="0" applyFont="1" applyBorder="1" applyAlignment="1">
      <alignment horizontal="left" vertical="center"/>
    </xf>
    <xf numFmtId="174" fontId="56" fillId="0" borderId="114" xfId="0" applyNumberFormat="1" applyFont="1" applyBorder="1"/>
    <xf numFmtId="0" fontId="56" fillId="0" borderId="115" xfId="0" applyFont="1" applyBorder="1"/>
    <xf numFmtId="0" fontId="56" fillId="50" borderId="97" xfId="0" applyFont="1" applyFill="1" applyBorder="1"/>
    <xf numFmtId="0" fontId="56" fillId="0" borderId="107" xfId="0" applyFont="1" applyBorder="1" applyAlignment="1">
      <alignment horizontal="left"/>
    </xf>
    <xf numFmtId="0" fontId="56" fillId="0" borderId="97" xfId="0" applyFont="1" applyBorder="1" applyAlignment="1">
      <alignment horizontal="left"/>
    </xf>
    <xf numFmtId="0" fontId="56" fillId="0" borderId="129" xfId="0" applyFont="1" applyBorder="1"/>
    <xf numFmtId="0" fontId="56" fillId="0" borderId="98" xfId="0" applyFont="1" applyBorder="1" applyAlignment="1">
      <alignment horizontal="left"/>
    </xf>
    <xf numFmtId="0" fontId="56" fillId="0" borderId="98" xfId="0" applyFont="1" applyBorder="1"/>
    <xf numFmtId="0" fontId="56" fillId="0" borderId="97" xfId="0" applyFont="1" applyBorder="1" applyAlignment="1">
      <alignment horizontal="left" vertical="center"/>
    </xf>
    <xf numFmtId="0" fontId="56" fillId="0" borderId="141" xfId="0" applyFont="1" applyBorder="1"/>
    <xf numFmtId="0" fontId="56" fillId="0" borderId="113" xfId="0" applyFont="1" applyBorder="1"/>
    <xf numFmtId="0" fontId="56" fillId="0" borderId="0" xfId="0" applyFont="1" applyAlignment="1">
      <alignment horizontal="left" vertical="center"/>
    </xf>
    <xf numFmtId="0" fontId="56" fillId="0" borderId="109" xfId="0" applyFont="1" applyBorder="1" applyAlignment="1">
      <alignment horizontal="left"/>
    </xf>
    <xf numFmtId="0" fontId="20" fillId="0" borderId="97" xfId="0" applyFont="1" applyBorder="1"/>
    <xf numFmtId="0" fontId="56" fillId="0" borderId="100" xfId="0" applyFont="1" applyBorder="1" applyAlignment="1">
      <alignment horizontal="center"/>
    </xf>
    <xf numFmtId="0" fontId="56" fillId="0" borderId="100" xfId="0" applyFont="1" applyBorder="1" applyAlignment="1">
      <alignment horizontal="left"/>
    </xf>
    <xf numFmtId="0" fontId="56" fillId="0" borderId="142" xfId="0" applyFont="1" applyBorder="1"/>
    <xf numFmtId="0" fontId="56" fillId="0" borderId="124" xfId="0" applyFont="1" applyBorder="1" applyAlignment="1">
      <alignment horizontal="left" vertical="center"/>
    </xf>
    <xf numFmtId="0" fontId="56" fillId="0" borderId="46" xfId="0" applyFont="1" applyBorder="1" applyAlignment="1">
      <alignment horizontal="left" vertical="center"/>
    </xf>
    <xf numFmtId="0" fontId="57" fillId="0" borderId="0" xfId="33" applyFont="1"/>
    <xf numFmtId="0" fontId="2" fillId="0" borderId="0" xfId="33"/>
    <xf numFmtId="0" fontId="56" fillId="0" borderId="97" xfId="33" applyFont="1" applyBorder="1"/>
    <xf numFmtId="0" fontId="8" fillId="0" borderId="0" xfId="33" applyFont="1"/>
    <xf numFmtId="0" fontId="3" fillId="0" borderId="143" xfId="34" applyFont="1" applyBorder="1" applyAlignment="1">
      <alignment wrapText="1"/>
    </xf>
    <xf numFmtId="0" fontId="2" fillId="57" borderId="141" xfId="34" applyFill="1" applyBorder="1" applyAlignment="1">
      <alignment wrapText="1"/>
    </xf>
    <xf numFmtId="0" fontId="2" fillId="0" borderId="133" xfId="34" applyBorder="1" applyAlignment="1">
      <alignment wrapText="1"/>
    </xf>
    <xf numFmtId="0" fontId="2" fillId="0" borderId="144" xfId="34" applyBorder="1" applyAlignment="1">
      <alignment wrapText="1"/>
    </xf>
    <xf numFmtId="166" fontId="2" fillId="57" borderId="141" xfId="34" applyNumberFormat="1" applyFill="1" applyBorder="1" applyAlignment="1">
      <alignment wrapText="1"/>
    </xf>
    <xf numFmtId="166" fontId="2" fillId="0" borderId="133" xfId="34" applyNumberFormat="1" applyBorder="1" applyAlignment="1">
      <alignment wrapText="1"/>
    </xf>
    <xf numFmtId="0" fontId="2" fillId="0" borderId="144" xfId="34" applyBorder="1"/>
    <xf numFmtId="0" fontId="2" fillId="0" borderId="145" xfId="34" applyBorder="1"/>
    <xf numFmtId="0" fontId="2" fillId="0" borderId="146" xfId="34" applyBorder="1"/>
    <xf numFmtId="0" fontId="2" fillId="57" borderId="124" xfId="34" applyFill="1" applyBorder="1"/>
    <xf numFmtId="0" fontId="2" fillId="0" borderId="147" xfId="34" applyBorder="1"/>
    <xf numFmtId="0" fontId="2" fillId="0" borderId="146" xfId="34" applyBorder="1" applyAlignment="1">
      <alignment wrapText="1"/>
    </xf>
    <xf numFmtId="166" fontId="2" fillId="57" borderId="124" xfId="34" applyNumberFormat="1" applyFill="1" applyBorder="1"/>
    <xf numFmtId="166" fontId="2" fillId="0" borderId="135" xfId="34" applyNumberFormat="1" applyBorder="1"/>
    <xf numFmtId="0" fontId="2" fillId="0" borderId="135" xfId="34" applyBorder="1" applyAlignment="1">
      <alignment wrapText="1"/>
    </xf>
    <xf numFmtId="0" fontId="2" fillId="57" borderId="124" xfId="34" applyFill="1" applyBorder="1" applyAlignment="1">
      <alignment wrapText="1"/>
    </xf>
    <xf numFmtId="0" fontId="2" fillId="0" borderId="147" xfId="34" applyBorder="1" applyAlignment="1">
      <alignment wrapText="1"/>
    </xf>
    <xf numFmtId="0" fontId="2" fillId="56" borderId="146" xfId="34" applyFill="1" applyBorder="1" applyAlignment="1">
      <alignment wrapText="1"/>
    </xf>
    <xf numFmtId="166" fontId="2" fillId="57" borderId="124" xfId="34" applyNumberFormat="1" applyFill="1" applyBorder="1" applyAlignment="1">
      <alignment wrapText="1"/>
    </xf>
    <xf numFmtId="166" fontId="2" fillId="0" borderId="135" xfId="34" applyNumberFormat="1" applyBorder="1" applyAlignment="1">
      <alignment wrapText="1"/>
    </xf>
    <xf numFmtId="0" fontId="2" fillId="57" borderId="124" xfId="34" applyFill="1" applyBorder="1" applyAlignment="1">
      <alignment horizontal="center" wrapText="1"/>
    </xf>
    <xf numFmtId="0" fontId="2" fillId="0" borderId="135" xfId="34" applyBorder="1" applyAlignment="1">
      <alignment horizontal="center" wrapText="1"/>
    </xf>
    <xf numFmtId="166" fontId="2" fillId="57" borderId="124" xfId="34" applyNumberFormat="1" applyFill="1" applyBorder="1" applyAlignment="1">
      <alignment horizontal="center" wrapText="1"/>
    </xf>
    <xf numFmtId="0" fontId="2" fillId="0" borderId="124" xfId="34" applyBorder="1" applyAlignment="1">
      <alignment horizontal="center" wrapText="1"/>
    </xf>
    <xf numFmtId="0" fontId="2" fillId="57" borderId="135" xfId="34" applyFill="1" applyBorder="1" applyAlignment="1">
      <alignment horizontal="center" wrapText="1"/>
    </xf>
    <xf numFmtId="0" fontId="2" fillId="58" borderId="146" xfId="34" applyFill="1" applyBorder="1" applyAlignment="1">
      <alignment wrapText="1"/>
    </xf>
    <xf numFmtId="166" fontId="2" fillId="57" borderId="135" xfId="34" applyNumberFormat="1" applyFill="1" applyBorder="1" applyAlignment="1">
      <alignment horizontal="center" wrapText="1"/>
    </xf>
    <xf numFmtId="166" fontId="2" fillId="0" borderId="135" xfId="34" applyNumberFormat="1" applyBorder="1" applyAlignment="1">
      <alignment horizontal="center" wrapText="1"/>
    </xf>
    <xf numFmtId="0" fontId="2" fillId="0" borderId="147" xfId="34" applyBorder="1" applyAlignment="1">
      <alignment horizontal="center" wrapText="1"/>
    </xf>
    <xf numFmtId="0" fontId="2" fillId="0" borderId="108" xfId="34" applyBorder="1"/>
    <xf numFmtId="0" fontId="2" fillId="0" borderId="108" xfId="34" applyBorder="1" applyAlignment="1">
      <alignment horizontal="center"/>
    </xf>
    <xf numFmtId="166" fontId="2" fillId="57" borderId="109" xfId="34" applyNumberFormat="1" applyFill="1" applyBorder="1" applyAlignment="1">
      <alignment horizontal="center"/>
    </xf>
    <xf numFmtId="0" fontId="2" fillId="0" borderId="137" xfId="34" applyBorder="1" applyAlignment="1">
      <alignment horizontal="center"/>
    </xf>
    <xf numFmtId="4" fontId="2" fillId="0" borderId="110" xfId="34" applyNumberFormat="1" applyBorder="1" applyAlignment="1">
      <alignment horizontal="center"/>
    </xf>
    <xf numFmtId="0" fontId="2" fillId="55" borderId="108" xfId="34" applyFill="1" applyBorder="1" applyAlignment="1">
      <alignment horizontal="center"/>
    </xf>
    <xf numFmtId="1" fontId="2" fillId="57" borderId="109" xfId="34" applyNumberFormat="1" applyFill="1" applyBorder="1" applyAlignment="1">
      <alignment horizontal="center"/>
    </xf>
    <xf numFmtId="0" fontId="2" fillId="0" borderId="110" xfId="34" applyBorder="1" applyAlignment="1">
      <alignment horizontal="center"/>
    </xf>
    <xf numFmtId="3" fontId="2" fillId="0" borderId="137" xfId="34" applyNumberFormat="1" applyBorder="1" applyAlignment="1">
      <alignment horizontal="center"/>
    </xf>
    <xf numFmtId="0" fontId="2" fillId="0" borderId="109" xfId="34" applyBorder="1"/>
    <xf numFmtId="0" fontId="2" fillId="0" borderId="110" xfId="34" applyBorder="1"/>
    <xf numFmtId="0" fontId="2" fillId="0" borderId="111" xfId="34" applyBorder="1" applyAlignment="1">
      <alignment horizontal="center"/>
    </xf>
    <xf numFmtId="166" fontId="2" fillId="57" borderId="97" xfId="34" applyNumberFormat="1" applyFill="1" applyBorder="1" applyAlignment="1">
      <alignment horizontal="center"/>
    </xf>
    <xf numFmtId="4" fontId="2" fillId="0" borderId="112" xfId="34" applyNumberFormat="1" applyBorder="1" applyAlignment="1">
      <alignment horizontal="center"/>
    </xf>
    <xf numFmtId="0" fontId="2" fillId="55" borderId="111" xfId="34" applyFill="1" applyBorder="1" applyAlignment="1">
      <alignment horizontal="center"/>
    </xf>
    <xf numFmtId="1" fontId="2" fillId="57" borderId="97" xfId="34" applyNumberFormat="1" applyFill="1" applyBorder="1" applyAlignment="1">
      <alignment horizontal="center"/>
    </xf>
    <xf numFmtId="0" fontId="2" fillId="0" borderId="94" xfId="34" applyBorder="1" applyAlignment="1">
      <alignment horizontal="center"/>
    </xf>
    <xf numFmtId="3" fontId="2" fillId="0" borderId="94" xfId="34" applyNumberFormat="1" applyBorder="1" applyAlignment="1">
      <alignment horizontal="center"/>
    </xf>
    <xf numFmtId="0" fontId="2" fillId="0" borderId="112" xfId="34" applyBorder="1"/>
    <xf numFmtId="165" fontId="2" fillId="0" borderId="112" xfId="34" applyNumberFormat="1" applyBorder="1" applyAlignment="1">
      <alignment horizontal="center"/>
    </xf>
    <xf numFmtId="165" fontId="2" fillId="0" borderId="94" xfId="34" applyNumberFormat="1" applyBorder="1" applyAlignment="1">
      <alignment horizontal="center"/>
    </xf>
    <xf numFmtId="168" fontId="2" fillId="0" borderId="112" xfId="34" applyNumberFormat="1" applyBorder="1" applyAlignment="1">
      <alignment horizontal="center"/>
    </xf>
    <xf numFmtId="0" fontId="2" fillId="54" borderId="94" xfId="34" applyFill="1" applyBorder="1" applyAlignment="1">
      <alignment horizontal="center"/>
    </xf>
    <xf numFmtId="4" fontId="2" fillId="54" borderId="112" xfId="34" applyNumberFormat="1" applyFill="1" applyBorder="1" applyAlignment="1">
      <alignment horizontal="center"/>
    </xf>
    <xf numFmtId="0" fontId="2" fillId="0" borderId="140" xfId="34" applyBorder="1"/>
    <xf numFmtId="0" fontId="2" fillId="0" borderId="148" xfId="34" applyBorder="1"/>
    <xf numFmtId="0" fontId="2" fillId="0" borderId="140" xfId="34" applyBorder="1" applyAlignment="1">
      <alignment horizontal="center"/>
    </xf>
    <xf numFmtId="0" fontId="2" fillId="0" borderId="114" xfId="34" applyBorder="1"/>
    <xf numFmtId="0" fontId="2" fillId="0" borderId="149" xfId="34" applyBorder="1"/>
    <xf numFmtId="166" fontId="2" fillId="0" borderId="118" xfId="34" applyNumberFormat="1" applyBorder="1"/>
    <xf numFmtId="166" fontId="2" fillId="57" borderId="118" xfId="34" applyNumberFormat="1" applyFill="1" applyBorder="1"/>
    <xf numFmtId="0" fontId="2" fillId="58" borderId="118" xfId="34" applyFill="1" applyBorder="1"/>
    <xf numFmtId="0" fontId="2" fillId="0" borderId="150" xfId="34" applyBorder="1"/>
    <xf numFmtId="3" fontId="2" fillId="0" borderId="118" xfId="34" applyNumberFormat="1" applyBorder="1"/>
    <xf numFmtId="165" fontId="2" fillId="0" borderId="150" xfId="34" applyNumberFormat="1" applyBorder="1"/>
    <xf numFmtId="165" fontId="2" fillId="0" borderId="0" xfId="34" applyNumberFormat="1"/>
    <xf numFmtId="0" fontId="3" fillId="51" borderId="0" xfId="34" applyFont="1" applyFill="1"/>
    <xf numFmtId="0" fontId="2" fillId="53" borderId="146" xfId="34" applyFill="1" applyBorder="1" applyAlignment="1">
      <alignment wrapText="1"/>
    </xf>
    <xf numFmtId="2" fontId="2" fillId="0" borderId="112" xfId="34" applyNumberFormat="1" applyBorder="1" applyAlignment="1">
      <alignment horizontal="center"/>
    </xf>
    <xf numFmtId="177" fontId="2" fillId="0" borderId="94" xfId="34" applyNumberFormat="1" applyBorder="1" applyAlignment="1">
      <alignment horizontal="center"/>
    </xf>
    <xf numFmtId="166" fontId="2" fillId="0" borderId="97" xfId="34" applyNumberFormat="1" applyBorder="1"/>
    <xf numFmtId="168" fontId="2" fillId="0" borderId="150" xfId="34" applyNumberFormat="1" applyBorder="1"/>
    <xf numFmtId="3" fontId="2" fillId="58" borderId="118" xfId="34" applyNumberFormat="1" applyFill="1" applyBorder="1"/>
    <xf numFmtId="49" fontId="56" fillId="0" borderId="97" xfId="0" applyNumberFormat="1" applyFont="1" applyBorder="1"/>
    <xf numFmtId="49" fontId="56" fillId="0" borderId="112" xfId="0" applyNumberFormat="1" applyFont="1" applyBorder="1"/>
    <xf numFmtId="49" fontId="56" fillId="0" borderId="151" xfId="0" applyNumberFormat="1" applyFont="1" applyBorder="1"/>
    <xf numFmtId="49" fontId="56" fillId="0" borderId="110" xfId="0" applyNumberFormat="1" applyFont="1" applyBorder="1"/>
    <xf numFmtId="49" fontId="56" fillId="0" borderId="116" xfId="0" applyNumberFormat="1" applyFont="1" applyBorder="1" applyAlignment="1">
      <alignment horizontal="right"/>
    </xf>
    <xf numFmtId="49" fontId="56" fillId="0" borderId="114" xfId="0" applyNumberFormat="1" applyFont="1" applyBorder="1"/>
    <xf numFmtId="49" fontId="56" fillId="0" borderId="116" xfId="0" applyNumberFormat="1" applyFont="1" applyBorder="1"/>
    <xf numFmtId="49" fontId="56" fillId="0" borderId="134" xfId="0" applyNumberFormat="1" applyFont="1" applyBorder="1"/>
    <xf numFmtId="49" fontId="56" fillId="0" borderId="117" xfId="0" applyNumberFormat="1" applyFont="1" applyBorder="1"/>
    <xf numFmtId="0" fontId="6" fillId="59" borderId="30" xfId="0" applyFont="1" applyFill="1" applyBorder="1" applyAlignment="1">
      <alignment horizontal="center" vertical="center"/>
    </xf>
    <xf numFmtId="49" fontId="6" fillId="59" borderId="46" xfId="0" applyNumberFormat="1" applyFont="1" applyFill="1" applyBorder="1" applyAlignment="1">
      <alignment horizontal="center" vertical="center"/>
    </xf>
    <xf numFmtId="0" fontId="6" fillId="59" borderId="11" xfId="0" applyFont="1" applyFill="1" applyBorder="1" applyAlignment="1">
      <alignment horizontal="center" vertical="center"/>
    </xf>
    <xf numFmtId="0" fontId="0" fillId="0" borderId="112" xfId="34" applyFont="1" applyBorder="1"/>
    <xf numFmtId="0" fontId="6" fillId="59" borderId="15" xfId="0" applyFont="1" applyFill="1" applyBorder="1" applyAlignment="1">
      <alignment horizontal="center" vertical="center"/>
    </xf>
    <xf numFmtId="49" fontId="56" fillId="0" borderId="140" xfId="0" applyNumberFormat="1" applyFont="1" applyBorder="1"/>
    <xf numFmtId="0" fontId="6" fillId="59" borderId="46" xfId="0" applyFont="1" applyFill="1" applyBorder="1" applyAlignment="1">
      <alignment horizontal="center"/>
    </xf>
    <xf numFmtId="0" fontId="6" fillId="59" borderId="41" xfId="0" applyFont="1" applyFill="1" applyBorder="1" applyAlignment="1">
      <alignment horizontal="center" vertical="center"/>
    </xf>
    <xf numFmtId="0" fontId="6" fillId="59" borderId="46" xfId="0" applyFont="1" applyFill="1" applyBorder="1" applyAlignment="1">
      <alignment horizontal="center" vertical="center"/>
    </xf>
    <xf numFmtId="0" fontId="6" fillId="59" borderId="44" xfId="0" applyFont="1" applyFill="1" applyBorder="1" applyAlignment="1">
      <alignment horizontal="center" vertical="center"/>
    </xf>
    <xf numFmtId="0" fontId="6" fillId="59" borderId="20" xfId="0" applyFont="1" applyFill="1" applyBorder="1" applyAlignment="1">
      <alignment horizontal="center" vertical="center"/>
    </xf>
    <xf numFmtId="0" fontId="6" fillId="59" borderId="17" xfId="0" applyFont="1" applyFill="1" applyBorder="1" applyAlignment="1">
      <alignment horizontal="center" vertical="center"/>
    </xf>
    <xf numFmtId="0" fontId="6" fillId="59" borderId="49" xfId="0" applyFont="1" applyFill="1" applyBorder="1" applyAlignment="1">
      <alignment horizontal="center" vertical="center"/>
    </xf>
    <xf numFmtId="0" fontId="6" fillId="59" borderId="13" xfId="0" applyFont="1" applyFill="1" applyBorder="1" applyAlignment="1">
      <alignment horizontal="center" vertical="center"/>
    </xf>
    <xf numFmtId="0" fontId="6" fillId="59" borderId="59" xfId="0" applyFont="1" applyFill="1" applyBorder="1" applyAlignment="1">
      <alignment horizontal="center" vertical="center"/>
    </xf>
    <xf numFmtId="0" fontId="6" fillId="59" borderId="34" xfId="0" applyFont="1" applyFill="1" applyBorder="1" applyAlignment="1">
      <alignment horizontal="center" vertical="center"/>
    </xf>
    <xf numFmtId="0" fontId="6" fillId="59" borderId="25" xfId="0" applyFont="1" applyFill="1" applyBorder="1" applyAlignment="1">
      <alignment horizontal="center" vertical="center"/>
    </xf>
    <xf numFmtId="0" fontId="6" fillId="59" borderId="18" xfId="0" applyFont="1" applyFill="1" applyBorder="1" applyAlignment="1">
      <alignment horizontal="center" vertical="center"/>
    </xf>
    <xf numFmtId="0" fontId="6" fillId="59" borderId="0" xfId="0" applyFont="1" applyFill="1" applyAlignment="1">
      <alignment horizontal="center" vertical="center"/>
    </xf>
    <xf numFmtId="0" fontId="6" fillId="59" borderId="76" xfId="0" applyFont="1" applyFill="1" applyBorder="1" applyAlignment="1">
      <alignment horizontal="center" vertical="center"/>
    </xf>
    <xf numFmtId="0" fontId="6" fillId="59" borderId="35" xfId="0" applyFont="1" applyFill="1" applyBorder="1" applyAlignment="1">
      <alignment horizontal="center" vertical="center"/>
    </xf>
    <xf numFmtId="0" fontId="6" fillId="59" borderId="12" xfId="0" applyFont="1" applyFill="1" applyBorder="1" applyAlignment="1">
      <alignment horizontal="center" vertical="center"/>
    </xf>
    <xf numFmtId="0" fontId="6" fillId="59" borderId="97" xfId="0" applyFont="1" applyFill="1" applyBorder="1" applyAlignment="1">
      <alignment horizontal="center" vertical="center"/>
    </xf>
    <xf numFmtId="0" fontId="6" fillId="59" borderId="44" xfId="0" applyFont="1" applyFill="1" applyBorder="1" applyAlignment="1">
      <alignment horizontal="center"/>
    </xf>
    <xf numFmtId="0" fontId="6" fillId="59" borderId="46" xfId="0" applyFont="1" applyFill="1" applyBorder="1"/>
    <xf numFmtId="0" fontId="3" fillId="0" borderId="0" xfId="0" applyFont="1" applyAlignment="1" applyProtection="1">
      <alignment horizontal="center"/>
      <protection locked="0"/>
    </xf>
    <xf numFmtId="0" fontId="8" fillId="0" borderId="0" xfId="0" applyFont="1" applyAlignment="1">
      <alignment horizontal="center"/>
    </xf>
    <xf numFmtId="0" fontId="6" fillId="59" borderId="49" xfId="0" applyFont="1" applyFill="1" applyBorder="1" applyAlignment="1">
      <alignment horizontal="center"/>
    </xf>
    <xf numFmtId="0" fontId="6" fillId="60" borderId="49" xfId="0" applyFont="1" applyFill="1" applyBorder="1" applyAlignment="1">
      <alignment horizontal="center"/>
    </xf>
    <xf numFmtId="0" fontId="12" fillId="0" borderId="46" xfId="0" applyFont="1" applyBorder="1" applyAlignment="1">
      <alignment horizontal="left" vertical="center"/>
    </xf>
    <xf numFmtId="0" fontId="12" fillId="43" borderId="79" xfId="0" applyFont="1" applyFill="1" applyBorder="1" applyAlignment="1" applyProtection="1">
      <alignment vertical="center"/>
      <protection locked="0"/>
    </xf>
    <xf numFmtId="0" fontId="12" fillId="0" borderId="46" xfId="0" applyFont="1" applyBorder="1" applyAlignment="1">
      <alignment vertical="center"/>
    </xf>
    <xf numFmtId="0" fontId="12" fillId="0" borderId="49" xfId="0" applyFont="1" applyBorder="1" applyAlignment="1">
      <alignment horizontal="left" vertical="center"/>
    </xf>
    <xf numFmtId="0" fontId="12" fillId="0" borderId="97" xfId="0" applyFont="1" applyBorder="1" applyAlignment="1">
      <alignment horizontal="left" vertical="center"/>
    </xf>
    <xf numFmtId="0" fontId="0" fillId="0" borderId="15" xfId="0" applyBorder="1" applyAlignment="1">
      <alignment horizontal="left"/>
    </xf>
    <xf numFmtId="0" fontId="0" fillId="0" borderId="30" xfId="0" applyBorder="1" applyAlignment="1">
      <alignment horizontal="left" vertical="center"/>
    </xf>
    <xf numFmtId="0" fontId="2" fillId="0" borderId="44" xfId="0" applyFont="1" applyBorder="1" applyAlignment="1">
      <alignment horizontal="left"/>
    </xf>
    <xf numFmtId="0" fontId="2" fillId="0" borderId="151" xfId="34" applyBorder="1" applyAlignment="1">
      <alignment horizontal="center"/>
    </xf>
    <xf numFmtId="0" fontId="0" fillId="0" borderId="97" xfId="34" applyFont="1" applyBorder="1" applyAlignment="1">
      <alignment horizontal="center" vertical="center"/>
    </xf>
    <xf numFmtId="0" fontId="2" fillId="0" borderId="115" xfId="34" applyBorder="1"/>
    <xf numFmtId="0" fontId="0" fillId="0" borderId="146" xfId="34" applyFont="1" applyBorder="1"/>
    <xf numFmtId="0" fontId="2" fillId="0" borderId="96" xfId="34" applyBorder="1" applyAlignment="1">
      <alignment horizontal="center"/>
    </xf>
    <xf numFmtId="3" fontId="3" fillId="0" borderId="104" xfId="34" applyNumberFormat="1" applyFont="1" applyBorder="1"/>
    <xf numFmtId="0" fontId="21" fillId="0" borderId="96" xfId="34" applyFont="1" applyBorder="1"/>
    <xf numFmtId="0" fontId="21" fillId="0" borderId="97" xfId="34" applyFont="1" applyBorder="1" applyAlignment="1">
      <alignment horizontal="center"/>
    </xf>
    <xf numFmtId="0" fontId="21" fillId="0" borderId="94" xfId="34" applyFont="1" applyBorder="1"/>
    <xf numFmtId="14" fontId="21" fillId="0" borderId="94" xfId="34" applyNumberFormat="1" applyFont="1" applyBorder="1"/>
    <xf numFmtId="3" fontId="21" fillId="0" borderId="96" xfId="34" applyNumberFormat="1" applyFont="1" applyBorder="1"/>
    <xf numFmtId="0" fontId="2" fillId="0" borderId="0" xfId="34" applyAlignment="1">
      <alignment horizontal="center"/>
    </xf>
    <xf numFmtId="49" fontId="2" fillId="0" borderId="97" xfId="34" applyNumberFormat="1" applyBorder="1"/>
    <xf numFmtId="0" fontId="28" fillId="0" borderId="96" xfId="34" applyFont="1" applyBorder="1"/>
    <xf numFmtId="37" fontId="6" fillId="0" borderId="97" xfId="34" applyNumberFormat="1" applyFont="1" applyBorder="1" applyAlignment="1">
      <alignment horizontal="right"/>
    </xf>
    <xf numFmtId="0" fontId="17" fillId="0" borderId="97" xfId="34" applyFont="1" applyBorder="1" applyAlignment="1">
      <alignment horizontal="center"/>
    </xf>
    <xf numFmtId="0" fontId="59" fillId="0" borderId="122" xfId="34" applyFont="1" applyBorder="1"/>
    <xf numFmtId="14" fontId="21" fillId="0" borderId="97" xfId="34" applyNumberFormat="1" applyFont="1" applyBorder="1"/>
    <xf numFmtId="3" fontId="35" fillId="0" borderId="97" xfId="34" applyNumberFormat="1" applyFont="1" applyBorder="1"/>
    <xf numFmtId="0" fontId="0" fillId="0" borderId="94" xfId="34" applyFont="1" applyBorder="1"/>
    <xf numFmtId="3" fontId="28" fillId="0" borderId="96" xfId="34" applyNumberFormat="1" applyFont="1" applyBorder="1"/>
    <xf numFmtId="3" fontId="0" fillId="0" borderId="0" xfId="34" applyNumberFormat="1" applyFont="1"/>
    <xf numFmtId="0" fontId="28" fillId="0" borderId="97" xfId="34" applyFont="1" applyBorder="1" applyAlignment="1">
      <alignment horizontal="center"/>
    </xf>
    <xf numFmtId="49" fontId="2" fillId="0" borderId="0" xfId="34" applyNumberFormat="1"/>
    <xf numFmtId="0" fontId="59" fillId="0" borderId="94" xfId="34" applyFont="1" applyBorder="1" applyAlignment="1">
      <alignment horizontal="right"/>
    </xf>
    <xf numFmtId="3" fontId="3" fillId="0" borderId="107" xfId="34" applyNumberFormat="1" applyFont="1" applyBorder="1"/>
    <xf numFmtId="0" fontId="8" fillId="0" borderId="135" xfId="34" applyFont="1" applyBorder="1"/>
    <xf numFmtId="0" fontId="2" fillId="0" borderId="95" xfId="34" applyBorder="1" applyAlignment="1">
      <alignment horizontal="center"/>
    </xf>
    <xf numFmtId="3" fontId="2" fillId="0" borderId="131" xfId="34" applyNumberFormat="1" applyBorder="1"/>
    <xf numFmtId="3" fontId="2" fillId="0" borderId="95" xfId="34" applyNumberFormat="1" applyBorder="1"/>
    <xf numFmtId="3" fontId="3" fillId="0" borderId="94" xfId="34" applyNumberFormat="1" applyFont="1" applyBorder="1"/>
    <xf numFmtId="3" fontId="3" fillId="0" borderId="135" xfId="34" applyNumberFormat="1" applyFont="1" applyBorder="1"/>
    <xf numFmtId="3" fontId="3" fillId="0" borderId="119" xfId="34" applyNumberFormat="1" applyFont="1" applyBorder="1"/>
    <xf numFmtId="3" fontId="2" fillId="0" borderId="152" xfId="34" applyNumberFormat="1" applyBorder="1"/>
    <xf numFmtId="3" fontId="26" fillId="0" borderId="0" xfId="34" applyNumberFormat="1" applyFont="1"/>
    <xf numFmtId="167" fontId="8" fillId="0" borderId="128" xfId="34" applyNumberFormat="1" applyFont="1" applyBorder="1"/>
    <xf numFmtId="0" fontId="4" fillId="0" borderId="0" xfId="34" applyFont="1"/>
    <xf numFmtId="0" fontId="3" fillId="51" borderId="97" xfId="34" applyFont="1" applyFill="1" applyBorder="1"/>
    <xf numFmtId="166" fontId="2" fillId="57" borderId="124" xfId="34" applyNumberFormat="1" applyFill="1" applyBorder="1" applyAlignment="1">
      <alignment horizontal="center"/>
    </xf>
    <xf numFmtId="166" fontId="2" fillId="0" borderId="98" xfId="34" applyNumberFormat="1" applyBorder="1"/>
    <xf numFmtId="0" fontId="2" fillId="0" borderId="104" xfId="34" applyBorder="1"/>
    <xf numFmtId="165" fontId="2" fillId="0" borderId="111" xfId="34" applyNumberFormat="1" applyBorder="1"/>
    <xf numFmtId="0" fontId="0" fillId="0" borderId="0" xfId="34" applyFont="1"/>
    <xf numFmtId="0" fontId="3" fillId="0" borderId="135" xfId="34" applyFont="1" applyBorder="1"/>
    <xf numFmtId="0" fontId="3" fillId="0" borderId="97" xfId="34" applyFont="1" applyBorder="1"/>
    <xf numFmtId="14" fontId="0" fillId="0" borderId="122" xfId="34" applyNumberFormat="1" applyFont="1" applyBorder="1"/>
    <xf numFmtId="0" fontId="3" fillId="0" borderId="97" xfId="44" applyFont="1" applyBorder="1" applyAlignment="1">
      <alignment horizontal="center"/>
    </xf>
    <xf numFmtId="0" fontId="2" fillId="0" borderId="97" xfId="44" applyBorder="1" applyAlignment="1">
      <alignment horizontal="center"/>
    </xf>
    <xf numFmtId="0" fontId="0" fillId="0" borderId="153" xfId="0" applyBorder="1"/>
    <xf numFmtId="0" fontId="0" fillId="0" borderId="154" xfId="0" applyBorder="1"/>
    <xf numFmtId="49" fontId="0" fillId="0" borderId="154" xfId="0" applyNumberFormat="1" applyBorder="1"/>
    <xf numFmtId="0" fontId="0" fillId="0" borderId="155" xfId="0" applyBorder="1"/>
    <xf numFmtId="0" fontId="3" fillId="0" borderId="153" xfId="0" applyFont="1" applyBorder="1" applyAlignment="1">
      <alignment horizontal="left"/>
    </xf>
    <xf numFmtId="0" fontId="3" fillId="0" borderId="154" xfId="0" applyFont="1" applyBorder="1" applyAlignment="1">
      <alignment horizontal="left"/>
    </xf>
    <xf numFmtId="0" fontId="5" fillId="0" borderId="97" xfId="0" applyFont="1" applyBorder="1" applyAlignment="1">
      <alignment horizontal="center"/>
    </xf>
    <xf numFmtId="0" fontId="60" fillId="0" borderId="97" xfId="0" applyFont="1" applyBorder="1" applyAlignment="1">
      <alignment vertical="top" wrapText="1"/>
    </xf>
    <xf numFmtId="0" fontId="60" fillId="59" borderId="97" xfId="0" applyFont="1" applyFill="1" applyBorder="1" applyAlignment="1">
      <alignment vertical="top" wrapText="1"/>
    </xf>
    <xf numFmtId="0" fontId="8" fillId="37" borderId="108" xfId="0" applyFont="1" applyFill="1" applyBorder="1" applyAlignment="1">
      <alignment horizontal="center" wrapText="1"/>
    </xf>
    <xf numFmtId="0" fontId="8" fillId="45" borderId="110" xfId="0" applyFont="1" applyFill="1" applyBorder="1" applyAlignment="1">
      <alignment horizontal="center" wrapText="1"/>
    </xf>
    <xf numFmtId="0" fontId="3" fillId="43" borderId="0" xfId="0" applyFont="1" applyFill="1" applyAlignment="1">
      <alignment horizontal="left"/>
    </xf>
    <xf numFmtId="0" fontId="3" fillId="0" borderId="132" xfId="0" applyFont="1" applyBorder="1" applyAlignment="1">
      <alignment horizontal="center"/>
    </xf>
    <xf numFmtId="0" fontId="3" fillId="0" borderId="130" xfId="0" applyFont="1" applyBorder="1" applyAlignment="1">
      <alignment horizontal="left"/>
    </xf>
    <xf numFmtId="0" fontId="0" fillId="0" borderId="130" xfId="0" applyBorder="1"/>
    <xf numFmtId="0" fontId="0" fillId="0" borderId="156" xfId="0" applyBorder="1"/>
    <xf numFmtId="0" fontId="0" fillId="0" borderId="157" xfId="0" applyBorder="1"/>
    <xf numFmtId="0" fontId="3" fillId="0" borderId="157" xfId="0" applyFont="1" applyBorder="1" applyAlignment="1">
      <alignment horizontal="left"/>
    </xf>
    <xf numFmtId="0" fontId="0" fillId="0" borderId="134" xfId="0" applyBorder="1"/>
    <xf numFmtId="0" fontId="6" fillId="0" borderId="96" xfId="0" applyFont="1" applyBorder="1" applyAlignment="1">
      <alignment horizontal="center" vertical="center"/>
    </xf>
    <xf numFmtId="49" fontId="6" fillId="0" borderId="133" xfId="0" applyNumberFormat="1" applyFont="1" applyBorder="1" applyAlignment="1">
      <alignment horizontal="center" vertical="center"/>
    </xf>
    <xf numFmtId="49" fontId="6" fillId="0" borderId="94" xfId="0" applyNumberFormat="1" applyFont="1" applyBorder="1" applyAlignment="1">
      <alignment horizontal="center" vertical="center"/>
    </xf>
    <xf numFmtId="0" fontId="6" fillId="0" borderId="95" xfId="0" applyFont="1" applyBorder="1" applyAlignment="1">
      <alignment horizontal="center" vertical="center"/>
    </xf>
    <xf numFmtId="0" fontId="6" fillId="0" borderId="131" xfId="0" applyFont="1" applyBorder="1" applyAlignment="1">
      <alignment horizontal="center" vertical="center"/>
    </xf>
    <xf numFmtId="0" fontId="8" fillId="0" borderId="95" xfId="0" applyFont="1" applyBorder="1" applyAlignment="1">
      <alignment horizontal="center" vertical="center"/>
    </xf>
    <xf numFmtId="0" fontId="8" fillId="0" borderId="158" xfId="0" applyFont="1" applyBorder="1" applyAlignment="1">
      <alignment horizontal="center" vertical="center"/>
    </xf>
    <xf numFmtId="0" fontId="2" fillId="0" borderId="97" xfId="0" applyFont="1" applyBorder="1" applyAlignment="1" applyProtection="1">
      <alignment horizontal="center"/>
      <protection locked="0"/>
    </xf>
    <xf numFmtId="0" fontId="2" fillId="0" borderId="97" xfId="0" applyFont="1" applyBorder="1" applyAlignment="1">
      <alignment horizontal="left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8" fillId="0" borderId="161" xfId="0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0" fontId="8" fillId="0" borderId="163" xfId="0" applyFont="1" applyBorder="1" applyAlignment="1">
      <alignment horizontal="center" vertical="center"/>
    </xf>
    <xf numFmtId="0" fontId="8" fillId="0" borderId="164" xfId="0" applyFont="1" applyBorder="1" applyAlignment="1">
      <alignment horizontal="center" vertical="center"/>
    </xf>
    <xf numFmtId="0" fontId="8" fillId="59" borderId="111" xfId="0" applyFont="1" applyFill="1" applyBorder="1" applyAlignment="1">
      <alignment horizontal="center" vertical="center"/>
    </xf>
    <xf numFmtId="0" fontId="8" fillId="59" borderId="112" xfId="0" applyFont="1" applyFill="1" applyBorder="1" applyAlignment="1">
      <alignment horizontal="center" vertical="center"/>
    </xf>
    <xf numFmtId="0" fontId="8" fillId="59" borderId="140" xfId="0" applyFont="1" applyFill="1" applyBorder="1" applyAlignment="1">
      <alignment horizontal="center" vertical="center"/>
    </xf>
    <xf numFmtId="0" fontId="8" fillId="59" borderId="114" xfId="0" applyFont="1" applyFill="1" applyBorder="1" applyAlignment="1">
      <alignment horizontal="center" vertical="center"/>
    </xf>
    <xf numFmtId="0" fontId="6" fillId="60" borderId="46" xfId="0" applyFont="1" applyFill="1" applyBorder="1" applyAlignment="1">
      <alignment horizontal="center"/>
    </xf>
    <xf numFmtId="0" fontId="6" fillId="0" borderId="95" xfId="0" applyFont="1" applyBorder="1" applyAlignment="1">
      <alignment horizontal="left" vertical="center"/>
    </xf>
    <xf numFmtId="0" fontId="0" fillId="0" borderId="94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178" fontId="8" fillId="0" borderId="97" xfId="45" applyNumberFormat="1" applyFont="1" applyBorder="1"/>
    <xf numFmtId="0" fontId="6" fillId="61" borderId="46" xfId="0" applyFont="1" applyFill="1" applyBorder="1" applyAlignment="1">
      <alignment horizontal="center" vertical="center"/>
    </xf>
    <xf numFmtId="0" fontId="5" fillId="0" borderId="93" xfId="0" applyFont="1" applyBorder="1"/>
    <xf numFmtId="0" fontId="5" fillId="0" borderId="47" xfId="0" applyFont="1" applyBorder="1"/>
    <xf numFmtId="0" fontId="6" fillId="62" borderId="46" xfId="0" applyFont="1" applyFill="1" applyBorder="1" applyAlignment="1">
      <alignment horizontal="center" vertical="center"/>
    </xf>
    <xf numFmtId="0" fontId="6" fillId="62" borderId="44" xfId="0" applyFont="1" applyFill="1" applyBorder="1" applyAlignment="1">
      <alignment horizontal="center" vertical="center"/>
    </xf>
    <xf numFmtId="0" fontId="6" fillId="63" borderId="30" xfId="0" applyFont="1" applyFill="1" applyBorder="1" applyAlignment="1">
      <alignment horizontal="center" vertical="center"/>
    </xf>
    <xf numFmtId="0" fontId="6" fillId="64" borderId="15" xfId="0" applyFont="1" applyFill="1" applyBorder="1" applyAlignment="1">
      <alignment horizontal="center" vertical="center"/>
    </xf>
    <xf numFmtId="0" fontId="6" fillId="64" borderId="46" xfId="0" applyFont="1" applyFill="1" applyBorder="1" applyAlignment="1">
      <alignment horizontal="center" vertical="center"/>
    </xf>
    <xf numFmtId="49" fontId="6" fillId="64" borderId="46" xfId="0" applyNumberFormat="1" applyFont="1" applyFill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65" borderId="46" xfId="0" applyFont="1" applyFill="1" applyBorder="1" applyAlignment="1">
      <alignment horizontal="center" vertical="center"/>
    </xf>
    <xf numFmtId="0" fontId="6" fillId="63" borderId="46" xfId="0" applyFont="1" applyFill="1" applyBorder="1" applyAlignment="1">
      <alignment horizontal="center" vertical="center"/>
    </xf>
    <xf numFmtId="49" fontId="6" fillId="63" borderId="46" xfId="0" applyNumberFormat="1" applyFont="1" applyFill="1" applyBorder="1" applyAlignment="1">
      <alignment horizontal="center" vertical="center"/>
    </xf>
    <xf numFmtId="0" fontId="6" fillId="66" borderId="49" xfId="0" applyFont="1" applyFill="1" applyBorder="1" applyAlignment="1">
      <alignment horizontal="center"/>
    </xf>
    <xf numFmtId="0" fontId="6" fillId="62" borderId="15" xfId="0" applyFont="1" applyFill="1" applyBorder="1" applyAlignment="1">
      <alignment horizontal="center" vertical="center"/>
    </xf>
    <xf numFmtId="0" fontId="6" fillId="62" borderId="17" xfId="0" applyFont="1" applyFill="1" applyBorder="1" applyAlignment="1">
      <alignment horizontal="center" vertical="center"/>
    </xf>
    <xf numFmtId="0" fontId="6" fillId="62" borderId="11" xfId="0" applyFont="1" applyFill="1" applyBorder="1" applyAlignment="1">
      <alignment horizontal="center" vertical="center"/>
    </xf>
    <xf numFmtId="0" fontId="6" fillId="62" borderId="12" xfId="0" applyFont="1" applyFill="1" applyBorder="1" applyAlignment="1">
      <alignment horizontal="center" vertical="center"/>
    </xf>
    <xf numFmtId="0" fontId="6" fillId="61" borderId="11" xfId="0" applyFont="1" applyFill="1" applyBorder="1" applyAlignment="1">
      <alignment horizontal="center" vertical="center"/>
    </xf>
    <xf numFmtId="49" fontId="61" fillId="59" borderId="46" xfId="0" applyNumberFormat="1" applyFont="1" applyFill="1" applyBorder="1" applyAlignment="1">
      <alignment horizontal="center" vertical="center"/>
    </xf>
    <xf numFmtId="0" fontId="6" fillId="64" borderId="30" xfId="0" applyFont="1" applyFill="1" applyBorder="1" applyAlignment="1">
      <alignment horizontal="center" vertical="center"/>
    </xf>
    <xf numFmtId="0" fontId="0" fillId="64" borderId="46" xfId="0" applyFill="1" applyBorder="1" applyAlignment="1">
      <alignment horizontal="center" vertical="center"/>
    </xf>
    <xf numFmtId="0" fontId="6" fillId="67" borderId="0" xfId="0" applyFont="1" applyFill="1" applyAlignment="1">
      <alignment horizontal="center" vertical="center"/>
    </xf>
    <xf numFmtId="0" fontId="6" fillId="68" borderId="46" xfId="0" applyFont="1" applyFill="1" applyBorder="1" applyAlignment="1">
      <alignment horizontal="center" vertical="center"/>
    </xf>
    <xf numFmtId="0" fontId="6" fillId="68" borderId="15" xfId="0" applyFont="1" applyFill="1" applyBorder="1" applyAlignment="1">
      <alignment horizontal="center" vertical="center"/>
    </xf>
    <xf numFmtId="0" fontId="6" fillId="68" borderId="30" xfId="0" applyFont="1" applyFill="1" applyBorder="1" applyAlignment="1">
      <alignment horizontal="center" vertical="center"/>
    </xf>
    <xf numFmtId="0" fontId="6" fillId="68" borderId="0" xfId="0" applyFont="1" applyFill="1" applyAlignment="1">
      <alignment horizontal="center" vertical="center"/>
    </xf>
    <xf numFmtId="49" fontId="6" fillId="68" borderId="46" xfId="0" applyNumberFormat="1" applyFont="1" applyFill="1" applyBorder="1" applyAlignment="1">
      <alignment horizontal="center" vertical="center"/>
    </xf>
    <xf numFmtId="49" fontId="6" fillId="68" borderId="94" xfId="0" applyNumberFormat="1" applyFont="1" applyFill="1" applyBorder="1" applyAlignment="1">
      <alignment horizontal="center" vertical="center"/>
    </xf>
    <xf numFmtId="0" fontId="60" fillId="68" borderId="97" xfId="0" applyFont="1" applyFill="1" applyBorder="1" applyAlignment="1">
      <alignment vertical="top" wrapText="1"/>
    </xf>
    <xf numFmtId="49" fontId="6" fillId="62" borderId="46" xfId="0" applyNumberFormat="1" applyFont="1" applyFill="1" applyBorder="1" applyAlignment="1">
      <alignment horizontal="center" vertical="center"/>
    </xf>
    <xf numFmtId="0" fontId="6" fillId="62" borderId="30" xfId="0" applyFont="1" applyFill="1" applyBorder="1" applyAlignment="1">
      <alignment horizontal="center" vertical="center"/>
    </xf>
    <xf numFmtId="0" fontId="6" fillId="62" borderId="25" xfId="0" applyFont="1" applyFill="1" applyBorder="1" applyAlignment="1">
      <alignment horizontal="center" vertical="center"/>
    </xf>
    <xf numFmtId="49" fontId="6" fillId="61" borderId="46" xfId="0" applyNumberFormat="1" applyFont="1" applyFill="1" applyBorder="1" applyAlignment="1">
      <alignment horizontal="center" vertical="center"/>
    </xf>
    <xf numFmtId="0" fontId="6" fillId="69" borderId="46" xfId="0" applyFont="1" applyFill="1" applyBorder="1" applyAlignment="1">
      <alignment horizontal="center" vertical="center"/>
    </xf>
    <xf numFmtId="0" fontId="6" fillId="70" borderId="46" xfId="0" applyFont="1" applyFill="1" applyBorder="1" applyAlignment="1">
      <alignment horizontal="center" vertical="center"/>
    </xf>
    <xf numFmtId="0" fontId="6" fillId="61" borderId="30" xfId="0" applyFont="1" applyFill="1" applyBorder="1" applyAlignment="1">
      <alignment horizontal="center" vertical="center"/>
    </xf>
    <xf numFmtId="49" fontId="6" fillId="71" borderId="46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6" fillId="72" borderId="46" xfId="0" applyFont="1" applyFill="1" applyBorder="1" applyAlignment="1">
      <alignment horizontal="center" vertical="center"/>
    </xf>
    <xf numFmtId="49" fontId="6" fillId="71" borderId="15" xfId="0" applyNumberFormat="1" applyFont="1" applyFill="1" applyBorder="1" applyAlignment="1">
      <alignment horizontal="center" vertical="center"/>
    </xf>
    <xf numFmtId="0" fontId="6" fillId="71" borderId="46" xfId="0" applyFont="1" applyFill="1" applyBorder="1" applyAlignment="1">
      <alignment horizontal="center" vertical="center"/>
    </xf>
    <xf numFmtId="0" fontId="6" fillId="71" borderId="59" xfId="0" applyFont="1" applyFill="1" applyBorder="1" applyAlignment="1">
      <alignment horizontal="center" vertical="center"/>
    </xf>
    <xf numFmtId="49" fontId="6" fillId="61" borderId="94" xfId="0" applyNumberFormat="1" applyFont="1" applyFill="1" applyBorder="1" applyAlignment="1">
      <alignment horizontal="center" vertical="center"/>
    </xf>
    <xf numFmtId="49" fontId="6" fillId="62" borderId="94" xfId="0" applyNumberFormat="1" applyFont="1" applyFill="1" applyBorder="1" applyAlignment="1">
      <alignment horizontal="center" vertical="center"/>
    </xf>
    <xf numFmtId="0" fontId="6" fillId="62" borderId="35" xfId="0" applyFont="1" applyFill="1" applyBorder="1" applyAlignment="1">
      <alignment horizontal="center" vertical="center"/>
    </xf>
    <xf numFmtId="0" fontId="35" fillId="0" borderId="97" xfId="0" applyFont="1" applyBorder="1" applyAlignment="1">
      <alignment horizontal="center" vertical="center"/>
    </xf>
    <xf numFmtId="0" fontId="6" fillId="73" borderId="46" xfId="0" applyFont="1" applyFill="1" applyBorder="1" applyAlignment="1">
      <alignment horizontal="center" vertical="center"/>
    </xf>
    <xf numFmtId="49" fontId="6" fillId="63" borderId="94" xfId="0" applyNumberFormat="1" applyFont="1" applyFill="1" applyBorder="1" applyAlignment="1">
      <alignment horizontal="center" vertical="center"/>
    </xf>
    <xf numFmtId="49" fontId="6" fillId="59" borderId="94" xfId="0" applyNumberFormat="1" applyFont="1" applyFill="1" applyBorder="1" applyAlignment="1">
      <alignment horizontal="center" vertical="center"/>
    </xf>
    <xf numFmtId="49" fontId="6" fillId="74" borderId="94" xfId="0" applyNumberFormat="1" applyFont="1" applyFill="1" applyBorder="1" applyAlignment="1">
      <alignment horizontal="center" vertical="center"/>
    </xf>
    <xf numFmtId="0" fontId="60" fillId="62" borderId="97" xfId="0" applyFont="1" applyFill="1" applyBorder="1" applyAlignment="1">
      <alignment vertical="top" wrapText="1"/>
    </xf>
    <xf numFmtId="49" fontId="6" fillId="65" borderId="46" xfId="0" applyNumberFormat="1" applyFont="1" applyFill="1" applyBorder="1" applyAlignment="1">
      <alignment horizontal="center" vertical="center"/>
    </xf>
    <xf numFmtId="49" fontId="6" fillId="0" borderId="165" xfId="0" applyNumberFormat="1" applyFont="1" applyBorder="1" applyAlignment="1">
      <alignment horizontal="center" vertical="center"/>
    </xf>
    <xf numFmtId="0" fontId="6" fillId="75" borderId="46" xfId="0" applyFont="1" applyFill="1" applyBorder="1" applyAlignment="1">
      <alignment horizontal="center" vertical="center"/>
    </xf>
    <xf numFmtId="0" fontId="6" fillId="76" borderId="46" xfId="0" applyFont="1" applyFill="1" applyBorder="1" applyAlignment="1">
      <alignment horizontal="center" vertical="center"/>
    </xf>
    <xf numFmtId="0" fontId="6" fillId="67" borderId="46" xfId="0" applyFont="1" applyFill="1" applyBorder="1" applyAlignment="1">
      <alignment horizontal="center" vertical="center"/>
    </xf>
    <xf numFmtId="0" fontId="6" fillId="77" borderId="46" xfId="0" applyFont="1" applyFill="1" applyBorder="1" applyAlignment="1">
      <alignment horizontal="center" vertical="center"/>
    </xf>
    <xf numFmtId="0" fontId="6" fillId="78" borderId="46" xfId="0" applyFont="1" applyFill="1" applyBorder="1" applyAlignment="1">
      <alignment horizontal="center" vertical="center"/>
    </xf>
    <xf numFmtId="0" fontId="6" fillId="61" borderId="15" xfId="0" applyFont="1" applyFill="1" applyBorder="1" applyAlignment="1">
      <alignment horizontal="center" vertical="center"/>
    </xf>
    <xf numFmtId="0" fontId="6" fillId="62" borderId="20" xfId="0" applyFont="1" applyFill="1" applyBorder="1" applyAlignment="1">
      <alignment horizontal="center" vertical="center"/>
    </xf>
    <xf numFmtId="49" fontId="6" fillId="78" borderId="46" xfId="0" applyNumberFormat="1" applyFont="1" applyFill="1" applyBorder="1" applyAlignment="1">
      <alignment horizontal="center" vertical="center"/>
    </xf>
    <xf numFmtId="0" fontId="20" fillId="57" borderId="0" xfId="34" applyFont="1" applyFill="1" applyAlignment="1">
      <alignment horizontal="center"/>
    </xf>
    <xf numFmtId="0" fontId="6" fillId="61" borderId="44" xfId="0" applyFont="1" applyFill="1" applyBorder="1" applyAlignment="1">
      <alignment horizontal="center" vertical="center"/>
    </xf>
    <xf numFmtId="167" fontId="26" fillId="57" borderId="117" xfId="34" applyNumberFormat="1" applyFont="1" applyFill="1" applyBorder="1"/>
    <xf numFmtId="164" fontId="3" fillId="51" borderId="106" xfId="46" applyFont="1" applyFill="1" applyBorder="1"/>
    <xf numFmtId="164" fontId="3" fillId="51" borderId="105" xfId="46" applyFont="1" applyFill="1" applyBorder="1"/>
    <xf numFmtId="164" fontId="2" fillId="68" borderId="121" xfId="46" applyFill="1" applyBorder="1"/>
    <xf numFmtId="165" fontId="2" fillId="0" borderId="104" xfId="34" applyNumberFormat="1" applyBorder="1"/>
    <xf numFmtId="164" fontId="3" fillId="51" borderId="100" xfId="46" applyFont="1" applyFill="1" applyBorder="1"/>
    <xf numFmtId="164" fontId="2" fillId="0" borderId="151" xfId="46" applyBorder="1"/>
    <xf numFmtId="164" fontId="2" fillId="0" borderId="100" xfId="46" applyBorder="1"/>
    <xf numFmtId="164" fontId="1" fillId="68" borderId="100" xfId="46" applyFont="1" applyFill="1" applyBorder="1"/>
    <xf numFmtId="164" fontId="2" fillId="68" borderId="100" xfId="46" applyFill="1" applyBorder="1" applyAlignment="1">
      <alignment horizontal="center"/>
    </xf>
    <xf numFmtId="166" fontId="1" fillId="0" borderId="100" xfId="47" applyNumberFormat="1" applyBorder="1"/>
    <xf numFmtId="0" fontId="1" fillId="0" borderId="100" xfId="47" applyBorder="1"/>
    <xf numFmtId="0" fontId="2" fillId="0" borderId="139" xfId="34" applyBorder="1" applyAlignment="1">
      <alignment horizontal="center"/>
    </xf>
    <xf numFmtId="0" fontId="2" fillId="0" borderId="139" xfId="34" applyBorder="1"/>
    <xf numFmtId="164" fontId="3" fillId="51" borderId="97" xfId="46" applyFont="1" applyFill="1" applyBorder="1"/>
    <xf numFmtId="164" fontId="2" fillId="0" borderId="112" xfId="46" applyBorder="1"/>
    <xf numFmtId="164" fontId="2" fillId="0" borderId="97" xfId="46" applyBorder="1"/>
    <xf numFmtId="164" fontId="2" fillId="68" borderId="97" xfId="46" applyFill="1" applyBorder="1" applyAlignment="1">
      <alignment horizontal="center"/>
    </xf>
    <xf numFmtId="166" fontId="1" fillId="0" borderId="97" xfId="47" applyNumberFormat="1" applyBorder="1"/>
    <xf numFmtId="0" fontId="1" fillId="0" borderId="97" xfId="47" applyBorder="1"/>
    <xf numFmtId="164" fontId="0" fillId="0" borderId="112" xfId="46" applyFont="1" applyBorder="1"/>
    <xf numFmtId="0" fontId="1" fillId="0" borderId="0" xfId="47"/>
    <xf numFmtId="164" fontId="2" fillId="68" borderId="94" xfId="46" applyFill="1" applyBorder="1" applyAlignment="1">
      <alignment horizontal="center"/>
    </xf>
    <xf numFmtId="0" fontId="2" fillId="68" borderId="135" xfId="34" applyFill="1" applyBorder="1" applyAlignment="1">
      <alignment horizontal="center" wrapText="1"/>
    </xf>
    <xf numFmtId="0" fontId="2" fillId="76" borderId="135" xfId="34" applyFill="1" applyBorder="1" applyAlignment="1">
      <alignment horizontal="center" wrapText="1"/>
    </xf>
    <xf numFmtId="166" fontId="2" fillId="68" borderId="135" xfId="34" applyNumberFormat="1" applyFill="1" applyBorder="1" applyAlignment="1">
      <alignment horizontal="center" wrapText="1"/>
    </xf>
    <xf numFmtId="0" fontId="2" fillId="53" borderId="146" xfId="34" applyFill="1" applyBorder="1" applyAlignment="1">
      <alignment horizontal="center" wrapText="1"/>
    </xf>
    <xf numFmtId="166" fontId="2" fillId="68" borderId="124" xfId="34" applyNumberFormat="1" applyFill="1" applyBorder="1" applyAlignment="1">
      <alignment horizontal="center" wrapText="1"/>
    </xf>
    <xf numFmtId="0" fontId="2" fillId="68" borderId="124" xfId="34" applyFill="1" applyBorder="1" applyAlignment="1">
      <alignment horizontal="center" wrapText="1"/>
    </xf>
    <xf numFmtId="0" fontId="2" fillId="68" borderId="135" xfId="34" applyFill="1" applyBorder="1" applyAlignment="1">
      <alignment wrapText="1"/>
    </xf>
    <xf numFmtId="166" fontId="2" fillId="68" borderId="124" xfId="34" applyNumberFormat="1" applyFill="1" applyBorder="1" applyAlignment="1">
      <alignment wrapText="1"/>
    </xf>
    <xf numFmtId="0" fontId="2" fillId="68" borderId="124" xfId="34" applyFill="1" applyBorder="1" applyAlignment="1">
      <alignment wrapText="1"/>
    </xf>
    <xf numFmtId="0" fontId="2" fillId="68" borderId="135" xfId="34" applyFill="1" applyBorder="1"/>
    <xf numFmtId="166" fontId="2" fillId="68" borderId="124" xfId="34" applyNumberFormat="1" applyFill="1" applyBorder="1"/>
    <xf numFmtId="0" fontId="2" fillId="68" borderId="124" xfId="34" applyFill="1" applyBorder="1"/>
    <xf numFmtId="0" fontId="2" fillId="68" borderId="133" xfId="34" applyFill="1" applyBorder="1" applyAlignment="1">
      <alignment wrapText="1"/>
    </xf>
    <xf numFmtId="0" fontId="2" fillId="59" borderId="133" xfId="34" applyFill="1" applyBorder="1" applyAlignment="1">
      <alignment wrapText="1"/>
    </xf>
    <xf numFmtId="166" fontId="2" fillId="68" borderId="141" xfId="34" applyNumberFormat="1" applyFill="1" applyBorder="1" applyAlignment="1">
      <alignment wrapText="1"/>
    </xf>
    <xf numFmtId="0" fontId="2" fillId="68" borderId="141" xfId="34" applyFill="1" applyBorder="1" applyAlignment="1">
      <alignment wrapText="1"/>
    </xf>
    <xf numFmtId="0" fontId="6" fillId="77" borderId="11" xfId="0" applyFont="1" applyFill="1" applyBorder="1" applyAlignment="1">
      <alignment horizontal="center" vertical="center"/>
    </xf>
    <xf numFmtId="49" fontId="6" fillId="77" borderId="46" xfId="0" applyNumberFormat="1" applyFont="1" applyFill="1" applyBorder="1" applyAlignment="1">
      <alignment horizontal="center" vertical="center"/>
    </xf>
    <xf numFmtId="49" fontId="6" fillId="72" borderId="46" xfId="0" applyNumberFormat="1" applyFont="1" applyFill="1" applyBorder="1" applyAlignment="1">
      <alignment horizontal="center" vertical="center"/>
    </xf>
    <xf numFmtId="0" fontId="6" fillId="79" borderId="46" xfId="0" applyFont="1" applyFill="1" applyBorder="1" applyAlignment="1">
      <alignment horizontal="center" vertical="center"/>
    </xf>
    <xf numFmtId="0" fontId="6" fillId="77" borderId="15" xfId="0" applyFont="1" applyFill="1" applyBorder="1" applyAlignment="1">
      <alignment horizontal="center" vertical="center"/>
    </xf>
    <xf numFmtId="0" fontId="6" fillId="77" borderId="30" xfId="0" applyFont="1" applyFill="1" applyBorder="1" applyAlignment="1">
      <alignment horizontal="center" vertical="center"/>
    </xf>
    <xf numFmtId="0" fontId="6" fillId="80" borderId="46" xfId="0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49" fontId="6" fillId="77" borderId="94" xfId="0" applyNumberFormat="1" applyFont="1" applyFill="1" applyBorder="1" applyAlignment="1">
      <alignment horizontal="center" vertical="center"/>
    </xf>
    <xf numFmtId="0" fontId="6" fillId="78" borderId="49" xfId="0" applyFont="1" applyFill="1" applyBorder="1" applyAlignment="1">
      <alignment horizontal="center"/>
    </xf>
    <xf numFmtId="0" fontId="6" fillId="0" borderId="97" xfId="0" applyFont="1" applyBorder="1" applyAlignment="1">
      <alignment horizontal="center"/>
    </xf>
    <xf numFmtId="0" fontId="8" fillId="0" borderId="97" xfId="0" applyFont="1" applyBorder="1" applyAlignment="1">
      <alignment horizontal="center"/>
    </xf>
    <xf numFmtId="0" fontId="6" fillId="78" borderId="97" xfId="0" applyFont="1" applyFill="1" applyBorder="1" applyAlignment="1">
      <alignment horizontal="center"/>
    </xf>
    <xf numFmtId="0" fontId="6" fillId="61" borderId="76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60" borderId="46" xfId="0" applyFill="1" applyBorder="1" applyAlignment="1">
      <alignment horizontal="center" vertical="center"/>
    </xf>
    <xf numFmtId="0" fontId="6" fillId="76" borderId="46" xfId="0" applyFont="1" applyFill="1" applyBorder="1" applyAlignment="1">
      <alignment horizontal="center"/>
    </xf>
    <xf numFmtId="0" fontId="6" fillId="78" borderId="46" xfId="0" applyFont="1" applyFill="1" applyBorder="1" applyAlignment="1">
      <alignment horizontal="center"/>
    </xf>
    <xf numFmtId="0" fontId="8" fillId="0" borderId="28" xfId="0" applyFont="1" applyBorder="1" applyAlignment="1">
      <alignment horizontal="center" wrapText="1"/>
    </xf>
    <xf numFmtId="0" fontId="8" fillId="0" borderId="13" xfId="0" applyFont="1" applyBorder="1" applyAlignment="1">
      <alignment horizontal="center" wrapText="1"/>
    </xf>
    <xf numFmtId="0" fontId="6" fillId="0" borderId="49" xfId="0" applyFont="1" applyBorder="1" applyAlignment="1">
      <alignment horizontal="center" vertical="center"/>
    </xf>
    <xf numFmtId="0" fontId="8" fillId="0" borderId="108" xfId="0" applyFont="1" applyBorder="1" applyAlignment="1">
      <alignment horizontal="center" wrapText="1"/>
    </xf>
    <xf numFmtId="0" fontId="8" fillId="0" borderId="110" xfId="0" applyFont="1" applyBorder="1" applyAlignment="1">
      <alignment horizontal="center" wrapText="1"/>
    </xf>
    <xf numFmtId="0" fontId="6" fillId="0" borderId="97" xfId="0" applyFont="1" applyBorder="1" applyAlignment="1">
      <alignment horizontal="center" vertical="center"/>
    </xf>
    <xf numFmtId="0" fontId="6" fillId="60" borderId="97" xfId="0" applyFont="1" applyFill="1" applyBorder="1" applyAlignment="1">
      <alignment horizontal="center"/>
    </xf>
    <xf numFmtId="0" fontId="6" fillId="59" borderId="97" xfId="0" applyFont="1" applyFill="1" applyBorder="1" applyAlignment="1">
      <alignment horizontal="center"/>
    </xf>
    <xf numFmtId="0" fontId="8" fillId="37" borderId="97" xfId="0" applyFont="1" applyFill="1" applyBorder="1" applyAlignment="1">
      <alignment horizontal="center" wrapText="1"/>
    </xf>
    <xf numFmtId="0" fontId="8" fillId="45" borderId="97" xfId="0" applyFont="1" applyFill="1" applyBorder="1" applyAlignment="1">
      <alignment horizontal="center" wrapText="1"/>
    </xf>
    <xf numFmtId="0" fontId="0" fillId="0" borderId="97" xfId="0" applyBorder="1" applyAlignment="1" applyProtection="1">
      <alignment horizontal="center"/>
      <protection locked="0"/>
    </xf>
    <xf numFmtId="0" fontId="0" fillId="0" borderId="97" xfId="0" applyBorder="1" applyAlignment="1">
      <alignment horizontal="left"/>
    </xf>
    <xf numFmtId="0" fontId="3" fillId="0" borderId="97" xfId="0" applyFont="1" applyBorder="1" applyAlignment="1">
      <alignment horizontal="left"/>
    </xf>
    <xf numFmtId="0" fontId="0" fillId="0" borderId="97" xfId="0" applyBorder="1" applyAlignment="1">
      <alignment horizontal="center"/>
    </xf>
    <xf numFmtId="0" fontId="0" fillId="0" borderId="122" xfId="0" applyBorder="1"/>
    <xf numFmtId="0" fontId="3" fillId="0" borderId="131" xfId="0" applyFont="1" applyBorder="1" applyAlignment="1">
      <alignment horizontal="left"/>
    </xf>
    <xf numFmtId="0" fontId="0" fillId="0" borderId="131" xfId="0" applyBorder="1"/>
    <xf numFmtId="0" fontId="0" fillId="0" borderId="123" xfId="0" applyBorder="1"/>
    <xf numFmtId="0" fontId="0" fillId="0" borderId="135" xfId="0" applyBorder="1"/>
    <xf numFmtId="0" fontId="0" fillId="0" borderId="128" xfId="0" applyBorder="1"/>
    <xf numFmtId="0" fontId="0" fillId="0" borderId="125" xfId="0" applyBorder="1"/>
    <xf numFmtId="0" fontId="3" fillId="0" borderId="152" xfId="0" applyFont="1" applyBorder="1" applyAlignment="1">
      <alignment horizontal="left"/>
    </xf>
    <xf numFmtId="0" fontId="0" fillId="0" borderId="152" xfId="0" applyBorder="1"/>
    <xf numFmtId="0" fontId="0" fillId="0" borderId="126" xfId="0" applyBorder="1"/>
    <xf numFmtId="0" fontId="3" fillId="0" borderId="166" xfId="0" applyFont="1" applyBorder="1" applyAlignment="1">
      <alignment horizontal="left"/>
    </xf>
    <xf numFmtId="0" fontId="0" fillId="0" borderId="166" xfId="0" applyBorder="1"/>
    <xf numFmtId="0" fontId="68" fillId="0" borderId="0" xfId="0" applyFont="1"/>
    <xf numFmtId="0" fontId="69" fillId="0" borderId="24" xfId="0" applyFont="1" applyBorder="1" applyAlignment="1">
      <alignment horizontal="center"/>
    </xf>
    <xf numFmtId="0" fontId="6" fillId="71" borderId="15" xfId="0" applyFont="1" applyFill="1" applyBorder="1" applyAlignment="1">
      <alignment horizontal="center" vertical="center"/>
    </xf>
    <xf numFmtId="0" fontId="6" fillId="71" borderId="17" xfId="0" applyFont="1" applyFill="1" applyBorder="1" applyAlignment="1">
      <alignment horizontal="center" vertical="center"/>
    </xf>
    <xf numFmtId="49" fontId="70" fillId="77" borderId="94" xfId="0" applyNumberFormat="1" applyFont="1" applyFill="1" applyBorder="1" applyAlignment="1">
      <alignment horizontal="center" vertical="center"/>
    </xf>
    <xf numFmtId="0" fontId="6" fillId="63" borderId="11" xfId="0" applyFont="1" applyFill="1" applyBorder="1" applyAlignment="1">
      <alignment horizontal="center" vertical="center"/>
    </xf>
    <xf numFmtId="0" fontId="6" fillId="66" borderId="46" xfId="0" applyFont="1" applyFill="1" applyBorder="1" applyAlignment="1">
      <alignment horizontal="center" vertical="center"/>
    </xf>
    <xf numFmtId="0" fontId="58" fillId="0" borderId="0" xfId="33" applyFont="1"/>
    <xf numFmtId="0" fontId="0" fillId="0" borderId="97" xfId="33" applyFont="1" applyBorder="1"/>
    <xf numFmtId="0" fontId="14" fillId="0" borderId="97" xfId="33" applyFont="1" applyBorder="1"/>
    <xf numFmtId="0" fontId="2" fillId="0" borderId="97" xfId="33" applyBorder="1"/>
    <xf numFmtId="0" fontId="14" fillId="0" borderId="97" xfId="0" applyFont="1" applyBorder="1"/>
    <xf numFmtId="0" fontId="57" fillId="0" borderId="97" xfId="33" applyFont="1" applyBorder="1"/>
    <xf numFmtId="0" fontId="14" fillId="0" borderId="97" xfId="0" applyFont="1" applyBorder="1" applyAlignment="1">
      <alignment horizontal="left"/>
    </xf>
    <xf numFmtId="0" fontId="14" fillId="0" borderId="97" xfId="0" applyFont="1" applyBorder="1" applyAlignment="1">
      <alignment horizontal="left" vertical="center"/>
    </xf>
    <xf numFmtId="49" fontId="6" fillId="73" borderId="46" xfId="0" applyNumberFormat="1" applyFont="1" applyFill="1" applyBorder="1" applyAlignment="1">
      <alignment horizontal="center" vertical="center"/>
    </xf>
    <xf numFmtId="0" fontId="0" fillId="0" borderId="0" xfId="33" applyFont="1"/>
    <xf numFmtId="0" fontId="6" fillId="81" borderId="15" xfId="0" applyFont="1" applyFill="1" applyBorder="1" applyAlignment="1">
      <alignment horizontal="center" vertical="center"/>
    </xf>
    <xf numFmtId="0" fontId="6" fillId="74" borderId="46" xfId="0" applyFont="1" applyFill="1" applyBorder="1" applyAlignment="1">
      <alignment horizontal="center" vertical="center"/>
    </xf>
    <xf numFmtId="0" fontId="6" fillId="68" borderId="41" xfId="0" applyFont="1" applyFill="1" applyBorder="1" applyAlignment="1">
      <alignment horizontal="center" vertical="center"/>
    </xf>
    <xf numFmtId="0" fontId="60" fillId="0" borderId="0" xfId="0" applyFont="1" applyAlignment="1">
      <alignment vertical="top" wrapText="1"/>
    </xf>
    <xf numFmtId="0" fontId="60" fillId="59" borderId="0" xfId="0" applyFont="1" applyFill="1" applyAlignment="1">
      <alignment vertical="top" wrapText="1"/>
    </xf>
    <xf numFmtId="49" fontId="6" fillId="59" borderId="0" xfId="0" applyNumberFormat="1" applyFont="1" applyFill="1" applyAlignment="1">
      <alignment horizontal="center" vertical="center"/>
    </xf>
    <xf numFmtId="0" fontId="6" fillId="59" borderId="97" xfId="0" applyFont="1" applyFill="1" applyBorder="1" applyAlignment="1">
      <alignment vertical="top" wrapText="1"/>
    </xf>
    <xf numFmtId="0" fontId="6" fillId="59" borderId="0" xfId="0" applyFont="1" applyFill="1" applyAlignment="1">
      <alignment vertical="top" wrapText="1"/>
    </xf>
    <xf numFmtId="0" fontId="5" fillId="59" borderId="97" xfId="0" applyFont="1" applyFill="1" applyBorder="1" applyAlignment="1">
      <alignment horizontal="center"/>
    </xf>
    <xf numFmtId="0" fontId="6" fillId="77" borderId="46" xfId="0" applyFont="1" applyFill="1" applyBorder="1" applyAlignment="1">
      <alignment horizontal="center"/>
    </xf>
    <xf numFmtId="0" fontId="72" fillId="0" borderId="97" xfId="0" applyFont="1" applyBorder="1"/>
    <xf numFmtId="0" fontId="0" fillId="0" borderId="97" xfId="0" applyBorder="1" applyAlignment="1">
      <alignment horizontal="left" vertical="center"/>
    </xf>
    <xf numFmtId="49" fontId="6" fillId="74" borderId="46" xfId="0" applyNumberFormat="1" applyFont="1" applyFill="1" applyBorder="1" applyAlignment="1">
      <alignment horizontal="center" vertical="center"/>
    </xf>
    <xf numFmtId="0" fontId="3" fillId="0" borderId="125" xfId="34" applyFont="1" applyBorder="1"/>
    <xf numFmtId="1" fontId="21" fillId="0" borderId="0" xfId="0" applyNumberFormat="1" applyFont="1"/>
    <xf numFmtId="165" fontId="3" fillId="0" borderId="0" xfId="45" applyFont="1" applyBorder="1"/>
    <xf numFmtId="178" fontId="2" fillId="0" borderId="97" xfId="45" applyNumberFormat="1" applyFont="1" applyBorder="1"/>
    <xf numFmtId="178" fontId="3" fillId="0" borderId="97" xfId="45" applyNumberFormat="1" applyFont="1" applyBorder="1"/>
    <xf numFmtId="0" fontId="59" fillId="0" borderId="94" xfId="34" applyFont="1" applyBorder="1" applyAlignment="1">
      <alignment horizontal="center"/>
    </xf>
    <xf numFmtId="0" fontId="3" fillId="0" borderId="152" xfId="34" applyFont="1" applyBorder="1"/>
    <xf numFmtId="0" fontId="3" fillId="0" borderId="128" xfId="34" applyFont="1" applyBorder="1"/>
    <xf numFmtId="0" fontId="2" fillId="82" borderId="94" xfId="34" applyFill="1" applyBorder="1"/>
    <xf numFmtId="0" fontId="2" fillId="82" borderId="97" xfId="34" applyFill="1" applyBorder="1"/>
    <xf numFmtId="0" fontId="59" fillId="0" borderId="135" xfId="34" applyFont="1" applyBorder="1"/>
    <xf numFmtId="0" fontId="59" fillId="0" borderId="95" xfId="34" applyFont="1" applyBorder="1"/>
    <xf numFmtId="0" fontId="59" fillId="82" borderId="95" xfId="34" applyFont="1" applyFill="1" applyBorder="1"/>
    <xf numFmtId="0" fontId="59" fillId="0" borderId="94" xfId="34" applyFont="1" applyBorder="1"/>
    <xf numFmtId="14" fontId="59" fillId="0" borderId="94" xfId="34" applyNumberFormat="1" applyFont="1" applyBorder="1"/>
    <xf numFmtId="0" fontId="3" fillId="0" borderId="119" xfId="34" applyFont="1" applyBorder="1"/>
    <xf numFmtId="0" fontId="3" fillId="0" borderId="120" xfId="34" applyFont="1" applyBorder="1"/>
    <xf numFmtId="0" fontId="3" fillId="0" borderId="148" xfId="34" applyFont="1" applyBorder="1"/>
    <xf numFmtId="0" fontId="2" fillId="0" borderId="102" xfId="34" applyBorder="1"/>
    <xf numFmtId="0" fontId="59" fillId="0" borderId="148" xfId="34" applyFont="1" applyBorder="1" applyAlignment="1">
      <alignment horizontal="center"/>
    </xf>
    <xf numFmtId="14" fontId="2" fillId="0" borderId="148" xfId="34" applyNumberFormat="1" applyBorder="1"/>
    <xf numFmtId="178" fontId="2" fillId="0" borderId="94" xfId="45" applyNumberFormat="1" applyFont="1" applyBorder="1"/>
    <xf numFmtId="178" fontId="2" fillId="0" borderId="98" xfId="45" applyNumberFormat="1" applyFont="1" applyBorder="1"/>
    <xf numFmtId="178" fontId="2" fillId="82" borderId="97" xfId="45" applyNumberFormat="1" applyFont="1" applyFill="1" applyBorder="1"/>
    <xf numFmtId="178" fontId="2" fillId="0" borderId="100" xfId="45" applyNumberFormat="1" applyFont="1" applyBorder="1"/>
    <xf numFmtId="178" fontId="3" fillId="0" borderId="106" xfId="45" applyNumberFormat="1" applyFont="1" applyBorder="1"/>
    <xf numFmtId="178" fontId="3" fillId="0" borderId="107" xfId="45" applyNumberFormat="1" applyFont="1" applyBorder="1"/>
    <xf numFmtId="178" fontId="3" fillId="0" borderId="98" xfId="45" applyNumberFormat="1" applyFont="1" applyBorder="1"/>
    <xf numFmtId="178" fontId="73" fillId="0" borderId="101" xfId="45" applyNumberFormat="1" applyFont="1" applyBorder="1"/>
    <xf numFmtId="178" fontId="73" fillId="0" borderId="97" xfId="45" applyNumberFormat="1" applyFont="1" applyBorder="1"/>
    <xf numFmtId="49" fontId="6" fillId="83" borderId="94" xfId="0" applyNumberFormat="1" applyFont="1" applyFill="1" applyBorder="1" applyAlignment="1">
      <alignment horizontal="center" vertical="center"/>
    </xf>
    <xf numFmtId="0" fontId="6" fillId="62" borderId="59" xfId="0" applyFont="1" applyFill="1" applyBorder="1" applyAlignment="1">
      <alignment horizontal="center" vertical="center"/>
    </xf>
    <xf numFmtId="0" fontId="6" fillId="62" borderId="97" xfId="0" applyFont="1" applyFill="1" applyBorder="1" applyAlignment="1">
      <alignment horizontal="center" vertical="center"/>
    </xf>
    <xf numFmtId="0" fontId="0" fillId="62" borderId="46" xfId="0" applyFill="1" applyBorder="1" applyAlignment="1">
      <alignment horizontal="center" vertical="center"/>
    </xf>
    <xf numFmtId="49" fontId="70" fillId="77" borderId="46" xfId="0" applyNumberFormat="1" applyFont="1" applyFill="1" applyBorder="1" applyAlignment="1">
      <alignment horizontal="center" vertical="center"/>
    </xf>
    <xf numFmtId="49" fontId="70" fillId="59" borderId="46" xfId="0" applyNumberFormat="1" applyFont="1" applyFill="1" applyBorder="1" applyAlignment="1">
      <alignment horizontal="center" vertical="center"/>
    </xf>
    <xf numFmtId="0" fontId="6" fillId="62" borderId="34" xfId="0" applyFont="1" applyFill="1" applyBorder="1" applyAlignment="1">
      <alignment horizontal="center" vertical="center"/>
    </xf>
    <xf numFmtId="0" fontId="74" fillId="59" borderId="0" xfId="0" applyFont="1" applyFill="1"/>
    <xf numFmtId="0" fontId="6" fillId="80" borderId="30" xfId="0" applyFont="1" applyFill="1" applyBorder="1" applyAlignment="1">
      <alignment horizontal="center" vertical="center"/>
    </xf>
    <xf numFmtId="49" fontId="6" fillId="80" borderId="46" xfId="0" applyNumberFormat="1" applyFont="1" applyFill="1" applyBorder="1" applyAlignment="1">
      <alignment horizontal="center" vertical="center"/>
    </xf>
    <xf numFmtId="0" fontId="6" fillId="63" borderId="44" xfId="0" applyFont="1" applyFill="1" applyBorder="1" applyAlignment="1">
      <alignment horizontal="center" vertical="center"/>
    </xf>
    <xf numFmtId="0" fontId="6" fillId="63" borderId="15" xfId="0" applyFont="1" applyFill="1" applyBorder="1" applyAlignment="1">
      <alignment horizontal="center" vertical="center"/>
    </xf>
    <xf numFmtId="0" fontId="6" fillId="74" borderId="15" xfId="0" applyFont="1" applyFill="1" applyBorder="1" applyAlignment="1">
      <alignment horizontal="center" vertical="center"/>
    </xf>
    <xf numFmtId="49" fontId="6" fillId="71" borderId="94" xfId="0" applyNumberFormat="1" applyFont="1" applyFill="1" applyBorder="1" applyAlignment="1">
      <alignment horizontal="center" vertical="center"/>
    </xf>
    <xf numFmtId="0" fontId="60" fillId="71" borderId="97" xfId="0" applyFont="1" applyFill="1" applyBorder="1" applyAlignment="1">
      <alignment vertical="top" wrapText="1"/>
    </xf>
    <xf numFmtId="49" fontId="6" fillId="84" borderId="94" xfId="0" applyNumberFormat="1" applyFont="1" applyFill="1" applyBorder="1" applyAlignment="1">
      <alignment horizontal="center" vertical="center"/>
    </xf>
    <xf numFmtId="0" fontId="6" fillId="84" borderId="46" xfId="0" applyFont="1" applyFill="1" applyBorder="1" applyAlignment="1">
      <alignment horizontal="center" vertical="center"/>
    </xf>
    <xf numFmtId="0" fontId="6" fillId="61" borderId="59" xfId="0" applyFont="1" applyFill="1" applyBorder="1" applyAlignment="1">
      <alignment horizontal="center" vertical="center"/>
    </xf>
    <xf numFmtId="0" fontId="6" fillId="61" borderId="46" xfId="0" applyFont="1" applyFill="1" applyBorder="1" applyAlignment="1">
      <alignment horizontal="center"/>
    </xf>
    <xf numFmtId="0" fontId="6" fillId="85" borderId="46" xfId="0" applyFont="1" applyFill="1" applyBorder="1" applyAlignment="1">
      <alignment horizontal="center" vertical="center"/>
    </xf>
    <xf numFmtId="0" fontId="60" fillId="77" borderId="97" xfId="0" applyFont="1" applyFill="1" applyBorder="1" applyAlignment="1">
      <alignment vertical="top" wrapText="1"/>
    </xf>
    <xf numFmtId="49" fontId="6" fillId="0" borderId="49" xfId="0" applyNumberFormat="1" applyFont="1" applyBorder="1" applyAlignment="1">
      <alignment horizontal="center" vertical="center"/>
    </xf>
    <xf numFmtId="49" fontId="6" fillId="59" borderId="49" xfId="0" applyNumberFormat="1" applyFont="1" applyFill="1" applyBorder="1" applyAlignment="1">
      <alignment horizontal="center" vertical="center"/>
    </xf>
    <xf numFmtId="0" fontId="8" fillId="0" borderId="61" xfId="0" applyFont="1" applyBorder="1" applyAlignment="1">
      <alignment horizontal="center" vertical="center" wrapText="1"/>
    </xf>
    <xf numFmtId="0" fontId="8" fillId="0" borderId="51" xfId="0" applyFont="1" applyBorder="1" applyAlignment="1">
      <alignment horizontal="center" vertical="center" wrapText="1"/>
    </xf>
    <xf numFmtId="49" fontId="6" fillId="0" borderId="97" xfId="0" applyNumberFormat="1" applyFont="1" applyBorder="1" applyAlignment="1">
      <alignment horizontal="center" vertical="center"/>
    </xf>
    <xf numFmtId="49" fontId="6" fillId="59" borderId="97" xfId="0" applyNumberFormat="1" applyFont="1" applyFill="1" applyBorder="1" applyAlignment="1">
      <alignment horizontal="center" vertical="center"/>
    </xf>
    <xf numFmtId="0" fontId="8" fillId="0" borderId="97" xfId="0" applyFont="1" applyBorder="1" applyAlignment="1">
      <alignment horizontal="center" vertical="center" wrapText="1"/>
    </xf>
    <xf numFmtId="0" fontId="6" fillId="77" borderId="25" xfId="0" applyFont="1" applyFill="1" applyBorder="1" applyAlignment="1">
      <alignment horizontal="center" vertical="center"/>
    </xf>
    <xf numFmtId="0" fontId="6" fillId="77" borderId="49" xfId="0" applyFont="1" applyFill="1" applyBorder="1" applyAlignment="1">
      <alignment horizontal="center" vertical="center"/>
    </xf>
    <xf numFmtId="49" fontId="6" fillId="77" borderId="49" xfId="0" applyNumberFormat="1" applyFont="1" applyFill="1" applyBorder="1" applyAlignment="1">
      <alignment horizontal="center" vertical="center"/>
    </xf>
    <xf numFmtId="0" fontId="6" fillId="62" borderId="46" xfId="0" applyFont="1" applyFill="1" applyBorder="1"/>
    <xf numFmtId="49" fontId="6" fillId="81" borderId="46" xfId="0" applyNumberFormat="1" applyFont="1" applyFill="1" applyBorder="1" applyAlignment="1">
      <alignment horizontal="center" vertical="center"/>
    </xf>
    <xf numFmtId="0" fontId="6" fillId="80" borderId="11" xfId="0" applyFont="1" applyFill="1" applyBorder="1" applyAlignment="1">
      <alignment horizontal="center" vertical="center"/>
    </xf>
    <xf numFmtId="0" fontId="6" fillId="69" borderId="44" xfId="0" applyFont="1" applyFill="1" applyBorder="1" applyAlignment="1">
      <alignment horizontal="center" vertical="center"/>
    </xf>
    <xf numFmtId="0" fontId="6" fillId="68" borderId="11" xfId="0" applyFont="1" applyFill="1" applyBorder="1" applyAlignment="1">
      <alignment horizontal="center" vertical="center"/>
    </xf>
    <xf numFmtId="0" fontId="6" fillId="68" borderId="25" xfId="0" applyFont="1" applyFill="1" applyBorder="1" applyAlignment="1">
      <alignment horizontal="center" vertical="center"/>
    </xf>
    <xf numFmtId="0" fontId="6" fillId="81" borderId="46" xfId="0" applyFont="1" applyFill="1" applyBorder="1" applyAlignment="1">
      <alignment horizontal="center" vertical="center"/>
    </xf>
    <xf numFmtId="49" fontId="6" fillId="77" borderId="97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86" borderId="15" xfId="0" applyFont="1" applyFill="1" applyBorder="1" applyAlignment="1">
      <alignment horizontal="center" vertical="center"/>
    </xf>
    <xf numFmtId="0" fontId="6" fillId="87" borderId="30" xfId="0" applyFont="1" applyFill="1" applyBorder="1" applyAlignment="1">
      <alignment horizontal="center" vertical="center"/>
    </xf>
    <xf numFmtId="49" fontId="6" fillId="87" borderId="46" xfId="0" applyNumberFormat="1" applyFont="1" applyFill="1" applyBorder="1" applyAlignment="1">
      <alignment horizontal="center" vertical="center"/>
    </xf>
    <xf numFmtId="0" fontId="6" fillId="81" borderId="46" xfId="0" applyFont="1" applyFill="1" applyBorder="1" applyAlignment="1">
      <alignment horizontal="center"/>
    </xf>
    <xf numFmtId="0" fontId="0" fillId="59" borderId="46" xfId="0" applyFill="1" applyBorder="1" applyAlignment="1">
      <alignment horizontal="center" vertical="center"/>
    </xf>
    <xf numFmtId="0" fontId="6" fillId="87" borderId="46" xfId="0" applyFont="1" applyFill="1" applyBorder="1" applyAlignment="1">
      <alignment horizontal="center" vertical="center"/>
    </xf>
    <xf numFmtId="0" fontId="6" fillId="62" borderId="76" xfId="0" applyFont="1" applyFill="1" applyBorder="1" applyAlignment="1">
      <alignment horizontal="center" vertical="center"/>
    </xf>
    <xf numFmtId="49" fontId="6" fillId="62" borderId="49" xfId="0" applyNumberFormat="1" applyFont="1" applyFill="1" applyBorder="1" applyAlignment="1">
      <alignment horizontal="center" vertical="center"/>
    </xf>
    <xf numFmtId="0" fontId="6" fillId="87" borderId="46" xfId="0" applyFont="1" applyFill="1" applyBorder="1" applyAlignment="1">
      <alignment horizontal="center"/>
    </xf>
    <xf numFmtId="49" fontId="6" fillId="88" borderId="46" xfId="0" applyNumberFormat="1" applyFont="1" applyFill="1" applyBorder="1" applyAlignment="1">
      <alignment horizontal="center" vertical="center"/>
    </xf>
    <xf numFmtId="0" fontId="6" fillId="61" borderId="12" xfId="0" applyFont="1" applyFill="1" applyBorder="1" applyAlignment="1">
      <alignment horizontal="center" vertical="center"/>
    </xf>
    <xf numFmtId="49" fontId="6" fillId="72" borderId="94" xfId="0" applyNumberFormat="1" applyFont="1" applyFill="1" applyBorder="1" applyAlignment="1">
      <alignment horizontal="center" vertical="center"/>
    </xf>
    <xf numFmtId="49" fontId="6" fillId="0" borderId="167" xfId="0" applyNumberFormat="1" applyFont="1" applyBorder="1" applyAlignment="1">
      <alignment horizontal="center" vertical="center"/>
    </xf>
    <xf numFmtId="0" fontId="6" fillId="77" borderId="165" xfId="0" applyFont="1" applyFill="1" applyBorder="1" applyAlignment="1">
      <alignment horizontal="center" vertical="center"/>
    </xf>
    <xf numFmtId="49" fontId="6" fillId="77" borderId="165" xfId="0" applyNumberFormat="1" applyFont="1" applyFill="1" applyBorder="1" applyAlignment="1">
      <alignment horizontal="center" vertical="center"/>
    </xf>
    <xf numFmtId="0" fontId="6" fillId="59" borderId="165" xfId="0" applyFont="1" applyFill="1" applyBorder="1" applyAlignment="1">
      <alignment horizontal="center" vertical="center"/>
    </xf>
    <xf numFmtId="49" fontId="6" fillId="59" borderId="165" xfId="0" applyNumberFormat="1" applyFont="1" applyFill="1" applyBorder="1" applyAlignment="1">
      <alignment horizontal="center" vertical="center"/>
    </xf>
    <xf numFmtId="49" fontId="6" fillId="0" borderId="168" xfId="0" applyNumberFormat="1" applyFont="1" applyBorder="1" applyAlignment="1">
      <alignment horizontal="center" vertical="center"/>
    </xf>
    <xf numFmtId="0" fontId="6" fillId="74" borderId="46" xfId="0" applyFont="1" applyFill="1" applyBorder="1" applyAlignment="1">
      <alignment horizontal="center"/>
    </xf>
    <xf numFmtId="0" fontId="6" fillId="74" borderId="44" xfId="0" applyFont="1" applyFill="1" applyBorder="1" applyAlignment="1">
      <alignment horizontal="center" vertical="center"/>
    </xf>
    <xf numFmtId="0" fontId="3" fillId="43" borderId="44" xfId="0" applyFont="1" applyFill="1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169" xfId="0" applyBorder="1" applyAlignment="1">
      <alignment horizontal="left" vertical="center"/>
    </xf>
    <xf numFmtId="49" fontId="6" fillId="0" borderId="170" xfId="0" applyNumberFormat="1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78" fillId="0" borderId="0" xfId="0" applyFont="1"/>
    <xf numFmtId="49" fontId="6" fillId="60" borderId="46" xfId="0" applyNumberFormat="1" applyFont="1" applyFill="1" applyBorder="1" applyAlignment="1">
      <alignment horizontal="center" vertical="center"/>
    </xf>
    <xf numFmtId="49" fontId="6" fillId="69" borderId="46" xfId="0" applyNumberFormat="1" applyFont="1" applyFill="1" applyBorder="1" applyAlignment="1">
      <alignment horizontal="center" vertical="center"/>
    </xf>
    <xf numFmtId="0" fontId="8" fillId="78" borderId="46" xfId="0" applyFont="1" applyFill="1" applyBorder="1" applyAlignment="1">
      <alignment horizontal="center"/>
    </xf>
    <xf numFmtId="49" fontId="6" fillId="84" borderId="46" xfId="0" applyNumberFormat="1" applyFont="1" applyFill="1" applyBorder="1" applyAlignment="1">
      <alignment horizontal="center" vertical="center"/>
    </xf>
    <xf numFmtId="0" fontId="6" fillId="81" borderId="11" xfId="0" applyFont="1" applyFill="1" applyBorder="1" applyAlignment="1">
      <alignment horizontal="center" vertical="center"/>
    </xf>
    <xf numFmtId="0" fontId="72" fillId="0" borderId="0" xfId="0" applyFont="1"/>
    <xf numFmtId="49" fontId="5" fillId="0" borderId="46" xfId="0" applyNumberFormat="1" applyFont="1" applyBorder="1" applyAlignment="1">
      <alignment horizontal="center" vertical="center"/>
    </xf>
    <xf numFmtId="0" fontId="78" fillId="0" borderId="97" xfId="0" applyFont="1" applyBorder="1"/>
    <xf numFmtId="0" fontId="0" fillId="43" borderId="97" xfId="0" applyFill="1" applyBorder="1" applyAlignment="1" applyProtection="1">
      <alignment horizontal="center"/>
      <protection locked="0"/>
    </xf>
    <xf numFmtId="0" fontId="6" fillId="74" borderId="97" xfId="0" applyFont="1" applyFill="1" applyBorder="1" applyAlignment="1">
      <alignment horizontal="center" vertical="center"/>
    </xf>
    <xf numFmtId="0" fontId="8" fillId="0" borderId="171" xfId="0" applyFont="1" applyBorder="1" applyAlignment="1">
      <alignment horizontal="center" vertical="center" wrapText="1"/>
    </xf>
    <xf numFmtId="0" fontId="8" fillId="0" borderId="168" xfId="0" applyFont="1" applyBorder="1" applyAlignment="1">
      <alignment horizontal="center" vertical="center" wrapText="1"/>
    </xf>
    <xf numFmtId="49" fontId="6" fillId="88" borderId="94" xfId="0" applyNumberFormat="1" applyFont="1" applyFill="1" applyBorder="1" applyAlignment="1">
      <alignment horizontal="center" vertical="center"/>
    </xf>
    <xf numFmtId="49" fontId="6" fillId="61" borderId="49" xfId="0" applyNumberFormat="1" applyFont="1" applyFill="1" applyBorder="1" applyAlignment="1">
      <alignment horizontal="center" vertical="center"/>
    </xf>
    <xf numFmtId="49" fontId="6" fillId="63" borderId="49" xfId="0" applyNumberFormat="1" applyFont="1" applyFill="1" applyBorder="1" applyAlignment="1">
      <alignment horizontal="center" vertical="center"/>
    </xf>
    <xf numFmtId="0" fontId="6" fillId="77" borderId="59" xfId="0" applyFont="1" applyFill="1" applyBorder="1" applyAlignment="1">
      <alignment horizontal="center" vertical="center"/>
    </xf>
    <xf numFmtId="0" fontId="8" fillId="0" borderId="46" xfId="0" applyFont="1" applyBorder="1" applyAlignment="1">
      <alignment horizontal="center" vertical="center"/>
    </xf>
    <xf numFmtId="49" fontId="6" fillId="89" borderId="46" xfId="0" applyNumberFormat="1" applyFont="1" applyFill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63" borderId="25" xfId="0" applyFont="1" applyFill="1" applyBorder="1" applyAlignment="1">
      <alignment horizontal="center" vertical="center"/>
    </xf>
    <xf numFmtId="49" fontId="6" fillId="65" borderId="94" xfId="0" applyNumberFormat="1" applyFont="1" applyFill="1" applyBorder="1" applyAlignment="1">
      <alignment horizontal="center" vertical="center"/>
    </xf>
    <xf numFmtId="49" fontId="6" fillId="70" borderId="46" xfId="0" applyNumberFormat="1" applyFont="1" applyFill="1" applyBorder="1" applyAlignment="1">
      <alignment horizontal="center" vertical="center"/>
    </xf>
    <xf numFmtId="49" fontId="61" fillId="77" borderId="46" xfId="0" applyNumberFormat="1" applyFont="1" applyFill="1" applyBorder="1" applyAlignment="1">
      <alignment horizontal="center" vertical="center"/>
    </xf>
    <xf numFmtId="0" fontId="0" fillId="59" borderId="0" xfId="0" applyFill="1"/>
    <xf numFmtId="49" fontId="6" fillId="65" borderId="49" xfId="0" applyNumberFormat="1" applyFont="1" applyFill="1" applyBorder="1" applyAlignment="1">
      <alignment horizontal="center" vertical="center"/>
    </xf>
    <xf numFmtId="0" fontId="6" fillId="86" borderId="46" xfId="0" applyFont="1" applyFill="1" applyBorder="1" applyAlignment="1">
      <alignment horizontal="center"/>
    </xf>
    <xf numFmtId="0" fontId="6" fillId="90" borderId="46" xfId="0" applyFont="1" applyFill="1" applyBorder="1" applyAlignment="1">
      <alignment horizontal="center" vertical="center"/>
    </xf>
    <xf numFmtId="0" fontId="6" fillId="80" borderId="170" xfId="0" applyFont="1" applyFill="1" applyBorder="1" applyAlignment="1">
      <alignment horizontal="center" vertical="center"/>
    </xf>
    <xf numFmtId="0" fontId="6" fillId="77" borderId="97" xfId="0" applyFont="1" applyFill="1" applyBorder="1" applyAlignment="1">
      <alignment horizontal="center" vertical="center"/>
    </xf>
    <xf numFmtId="0" fontId="6" fillId="88" borderId="46" xfId="0" applyFont="1" applyFill="1" applyBorder="1" applyAlignment="1">
      <alignment horizontal="center" vertical="center"/>
    </xf>
    <xf numFmtId="49" fontId="6" fillId="66" borderId="46" xfId="0" applyNumberFormat="1" applyFont="1" applyFill="1" applyBorder="1" applyAlignment="1">
      <alignment horizontal="center" vertical="center"/>
    </xf>
    <xf numFmtId="0" fontId="6" fillId="86" borderId="11" xfId="0" applyFont="1" applyFill="1" applyBorder="1" applyAlignment="1">
      <alignment horizontal="center" vertical="center"/>
    </xf>
    <xf numFmtId="0" fontId="6" fillId="86" borderId="46" xfId="0" applyFont="1" applyFill="1" applyBorder="1" applyAlignment="1">
      <alignment horizontal="center" vertical="center"/>
    </xf>
    <xf numFmtId="0" fontId="70" fillId="77" borderId="46" xfId="0" applyFont="1" applyFill="1" applyBorder="1"/>
    <xf numFmtId="0" fontId="70" fillId="77" borderId="46" xfId="0" applyFont="1" applyFill="1" applyBorder="1" applyAlignment="1">
      <alignment horizontal="center" vertical="center"/>
    </xf>
    <xf numFmtId="0" fontId="6" fillId="65" borderId="11" xfId="0" applyFont="1" applyFill="1" applyBorder="1" applyAlignment="1">
      <alignment horizontal="center" vertical="center"/>
    </xf>
    <xf numFmtId="0" fontId="6" fillId="65" borderId="25" xfId="0" applyFont="1" applyFill="1" applyBorder="1" applyAlignment="1">
      <alignment horizontal="center" vertical="center"/>
    </xf>
    <xf numFmtId="0" fontId="6" fillId="61" borderId="13" xfId="0" applyFont="1" applyFill="1" applyBorder="1" applyAlignment="1">
      <alignment horizontal="center" vertical="center"/>
    </xf>
    <xf numFmtId="49" fontId="6" fillId="73" borderId="94" xfId="0" applyNumberFormat="1" applyFont="1" applyFill="1" applyBorder="1" applyAlignment="1">
      <alignment horizontal="center" vertical="center"/>
    </xf>
    <xf numFmtId="0" fontId="6" fillId="91" borderId="46" xfId="0" applyFont="1" applyFill="1" applyBorder="1" applyAlignment="1">
      <alignment horizontal="center" vertical="center"/>
    </xf>
    <xf numFmtId="0" fontId="6" fillId="65" borderId="30" xfId="0" applyFont="1" applyFill="1" applyBorder="1" applyAlignment="1">
      <alignment horizontal="center" vertical="center"/>
    </xf>
    <xf numFmtId="0" fontId="6" fillId="63" borderId="34" xfId="0" applyFont="1" applyFill="1" applyBorder="1" applyAlignment="1">
      <alignment horizontal="center" vertical="center"/>
    </xf>
    <xf numFmtId="0" fontId="6" fillId="62" borderId="41" xfId="0" applyFont="1" applyFill="1" applyBorder="1" applyAlignment="1">
      <alignment horizontal="center" vertical="center"/>
    </xf>
    <xf numFmtId="0" fontId="6" fillId="77" borderId="44" xfId="0" applyFont="1" applyFill="1" applyBorder="1" applyAlignment="1">
      <alignment horizontal="center" vertical="center"/>
    </xf>
    <xf numFmtId="0" fontId="6" fillId="92" borderId="46" xfId="0" applyFont="1" applyFill="1" applyBorder="1" applyAlignment="1">
      <alignment horizontal="center" vertical="center"/>
    </xf>
    <xf numFmtId="0" fontId="0" fillId="77" borderId="97" xfId="0" applyFill="1" applyBorder="1"/>
    <xf numFmtId="0" fontId="80" fillId="0" borderId="0" xfId="0" applyFont="1"/>
    <xf numFmtId="0" fontId="0" fillId="0" borderId="49" xfId="0" applyBorder="1" applyAlignment="1">
      <alignment horizontal="center" vertical="center"/>
    </xf>
    <xf numFmtId="0" fontId="6" fillId="59" borderId="49" xfId="0" applyFont="1" applyFill="1" applyBorder="1"/>
    <xf numFmtId="0" fontId="81" fillId="0" borderId="94" xfId="0" applyFont="1" applyBorder="1"/>
    <xf numFmtId="0" fontId="6" fillId="65" borderId="15" xfId="0" applyFont="1" applyFill="1" applyBorder="1" applyAlignment="1">
      <alignment horizontal="center" vertical="center"/>
    </xf>
    <xf numFmtId="0" fontId="6" fillId="72" borderId="11" xfId="0" applyFont="1" applyFill="1" applyBorder="1" applyAlignment="1">
      <alignment horizontal="center" vertical="center"/>
    </xf>
    <xf numFmtId="49" fontId="6" fillId="74" borderId="49" xfId="0" applyNumberFormat="1" applyFont="1" applyFill="1" applyBorder="1" applyAlignment="1">
      <alignment horizontal="center" vertical="center"/>
    </xf>
    <xf numFmtId="0" fontId="82" fillId="0" borderId="94" xfId="0" applyFont="1" applyBorder="1"/>
    <xf numFmtId="0" fontId="6" fillId="93" borderId="46" xfId="0" applyFont="1" applyFill="1" applyBorder="1" applyAlignment="1">
      <alignment horizontal="center" vertical="center"/>
    </xf>
    <xf numFmtId="0" fontId="60" fillId="0" borderId="100" xfId="0" applyFont="1" applyBorder="1" applyAlignment="1">
      <alignment vertical="top" wrapText="1"/>
    </xf>
    <xf numFmtId="0" fontId="60" fillId="0" borderId="97" xfId="0" applyFont="1" applyBorder="1"/>
    <xf numFmtId="0" fontId="60" fillId="0" borderId="97" xfId="0" applyFont="1" applyBorder="1" applyAlignment="1">
      <alignment horizontal="left"/>
    </xf>
    <xf numFmtId="49" fontId="6" fillId="0" borderId="122" xfId="0" applyNumberFormat="1" applyFont="1" applyBorder="1" applyAlignment="1">
      <alignment horizontal="center" vertical="center"/>
    </xf>
    <xf numFmtId="0" fontId="8" fillId="0" borderId="79" xfId="0" applyFont="1" applyBorder="1" applyAlignment="1">
      <alignment horizontal="center" vertical="center"/>
    </xf>
    <xf numFmtId="0" fontId="0" fillId="0" borderId="49" xfId="0" applyBorder="1" applyAlignment="1">
      <alignment horizontal="left" vertical="center"/>
    </xf>
    <xf numFmtId="0" fontId="3" fillId="0" borderId="97" xfId="0" applyFont="1" applyBorder="1" applyAlignment="1" applyProtection="1">
      <alignment horizontal="center"/>
      <protection locked="0"/>
    </xf>
    <xf numFmtId="0" fontId="6" fillId="65" borderId="44" xfId="0" applyFont="1" applyFill="1" applyBorder="1" applyAlignment="1">
      <alignment horizontal="center" vertical="center"/>
    </xf>
    <xf numFmtId="49" fontId="6" fillId="93" borderId="97" xfId="0" applyNumberFormat="1" applyFont="1" applyFill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49" fontId="6" fillId="86" borderId="46" xfId="0" applyNumberFormat="1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88" borderId="44" xfId="0" applyFont="1" applyFill="1" applyBorder="1" applyAlignment="1">
      <alignment horizontal="center" vertical="center"/>
    </xf>
    <xf numFmtId="49" fontId="6" fillId="62" borderId="97" xfId="0" applyNumberFormat="1" applyFont="1" applyFill="1" applyBorder="1" applyAlignment="1">
      <alignment horizontal="center" vertical="center"/>
    </xf>
    <xf numFmtId="0" fontId="6" fillId="62" borderId="49" xfId="0" applyFont="1" applyFill="1" applyBorder="1" applyAlignment="1">
      <alignment horizontal="center" vertical="center"/>
    </xf>
    <xf numFmtId="0" fontId="6" fillId="62" borderId="75" xfId="0" applyFont="1" applyFill="1" applyBorder="1" applyAlignment="1">
      <alignment horizontal="center" vertical="center"/>
    </xf>
    <xf numFmtId="49" fontId="6" fillId="69" borderId="94" xfId="0" applyNumberFormat="1" applyFont="1" applyFill="1" applyBorder="1" applyAlignment="1">
      <alignment horizontal="center" vertical="center"/>
    </xf>
    <xf numFmtId="0" fontId="6" fillId="69" borderId="11" xfId="0" applyFont="1" applyFill="1" applyBorder="1" applyAlignment="1">
      <alignment horizontal="center" vertical="center"/>
    </xf>
    <xf numFmtId="0" fontId="70" fillId="77" borderId="11" xfId="0" applyFont="1" applyFill="1" applyBorder="1" applyAlignment="1">
      <alignment horizontal="center" vertical="center"/>
    </xf>
    <xf numFmtId="49" fontId="6" fillId="94" borderId="46" xfId="0" applyNumberFormat="1" applyFont="1" applyFill="1" applyBorder="1" applyAlignment="1">
      <alignment horizontal="center" vertical="center"/>
    </xf>
    <xf numFmtId="49" fontId="6" fillId="95" borderId="94" xfId="0" applyNumberFormat="1" applyFont="1" applyFill="1" applyBorder="1" applyAlignment="1">
      <alignment horizontal="center" vertical="center"/>
    </xf>
    <xf numFmtId="49" fontId="6" fillId="96" borderId="94" xfId="0" applyNumberFormat="1" applyFont="1" applyFill="1" applyBorder="1" applyAlignment="1">
      <alignment horizontal="center" vertical="center"/>
    </xf>
    <xf numFmtId="49" fontId="6" fillId="97" borderId="46" xfId="0" applyNumberFormat="1" applyFont="1" applyFill="1" applyBorder="1" applyAlignment="1">
      <alignment horizontal="center" vertical="center"/>
    </xf>
    <xf numFmtId="0" fontId="69" fillId="0" borderId="0" xfId="0" applyFont="1"/>
    <xf numFmtId="0" fontId="59" fillId="0" borderId="0" xfId="0" applyFont="1" applyAlignment="1">
      <alignment horizontal="center"/>
    </xf>
    <xf numFmtId="0" fontId="2" fillId="0" borderId="0" xfId="0" applyFont="1" applyAlignment="1">
      <alignment horizontal="left" vertical="center"/>
    </xf>
    <xf numFmtId="0" fontId="21" fillId="0" borderId="94" xfId="34" applyFont="1" applyBorder="1" applyAlignment="1">
      <alignment horizontal="right"/>
    </xf>
    <xf numFmtId="0" fontId="21" fillId="55" borderId="94" xfId="34" applyFont="1" applyFill="1" applyBorder="1"/>
    <xf numFmtId="14" fontId="21" fillId="55" borderId="94" xfId="34" applyNumberFormat="1" applyFont="1" applyFill="1" applyBorder="1"/>
    <xf numFmtId="0" fontId="21" fillId="0" borderId="97" xfId="34" applyFont="1" applyBorder="1"/>
    <xf numFmtId="14" fontId="21" fillId="0" borderId="0" xfId="34" applyNumberFormat="1" applyFont="1"/>
    <xf numFmtId="0" fontId="56" fillId="0" borderId="0" xfId="33" applyFont="1"/>
    <xf numFmtId="0" fontId="24" fillId="0" borderId="0" xfId="33" applyFont="1"/>
    <xf numFmtId="0" fontId="56" fillId="0" borderId="0" xfId="33" applyFont="1" applyAlignment="1">
      <alignment horizontal="center"/>
    </xf>
    <xf numFmtId="0" fontId="25" fillId="57" borderId="130" xfId="34" applyFont="1" applyFill="1" applyBorder="1" applyAlignment="1">
      <alignment horizontal="center"/>
    </xf>
    <xf numFmtId="0" fontId="25" fillId="52" borderId="0" xfId="34" applyFont="1" applyFill="1" applyAlignment="1">
      <alignment horizontal="center"/>
    </xf>
    <xf numFmtId="0" fontId="19" fillId="52" borderId="0" xfId="34" applyFont="1" applyFill="1" applyAlignment="1">
      <alignment horizontal="center"/>
    </xf>
    <xf numFmtId="0" fontId="19" fillId="52" borderId="130" xfId="34" applyFont="1" applyFill="1" applyBorder="1" applyAlignment="1">
      <alignment horizontal="center"/>
    </xf>
    <xf numFmtId="0" fontId="25" fillId="54" borderId="130" xfId="34" applyFont="1" applyFill="1" applyBorder="1" applyAlignment="1">
      <alignment horizontal="center"/>
    </xf>
    <xf numFmtId="0" fontId="25" fillId="51" borderId="130" xfId="34" applyFont="1" applyFill="1" applyBorder="1" applyAlignment="1">
      <alignment horizontal="center"/>
    </xf>
    <xf numFmtId="0" fontId="2" fillId="0" borderId="94" xfId="34" applyBorder="1" applyAlignment="1">
      <alignment horizontal="center"/>
    </xf>
    <xf numFmtId="0" fontId="2" fillId="0" borderId="95" xfId="34" applyBorder="1" applyAlignment="1">
      <alignment horizontal="center"/>
    </xf>
    <xf numFmtId="0" fontId="2" fillId="0" borderId="96" xfId="34" applyBorder="1" applyAlignment="1">
      <alignment horizontal="center"/>
    </xf>
    <xf numFmtId="0" fontId="25" fillId="40" borderId="69" xfId="0" applyFont="1" applyFill="1" applyBorder="1" applyAlignment="1">
      <alignment horizontal="center"/>
    </xf>
    <xf numFmtId="0" fontId="25" fillId="39" borderId="69" xfId="0" applyFont="1" applyFill="1" applyBorder="1" applyAlignment="1">
      <alignment horizontal="center"/>
    </xf>
    <xf numFmtId="0" fontId="25" fillId="45" borderId="0" xfId="0" applyFont="1" applyFill="1" applyAlignment="1">
      <alignment horizontal="center"/>
    </xf>
    <xf numFmtId="0" fontId="19" fillId="45" borderId="69" xfId="0" applyFont="1" applyFill="1" applyBorder="1" applyAlignment="1">
      <alignment horizontal="center"/>
    </xf>
    <xf numFmtId="0" fontId="0" fillId="0" borderId="46" xfId="0" applyBorder="1" applyAlignment="1">
      <alignment horizontal="center"/>
    </xf>
    <xf numFmtId="0" fontId="25" fillId="47" borderId="69" xfId="0" applyFont="1" applyFill="1" applyBorder="1" applyAlignment="1">
      <alignment horizontal="center"/>
    </xf>
    <xf numFmtId="0" fontId="19" fillId="0" borderId="21" xfId="0" applyFont="1" applyBorder="1" applyAlignment="1">
      <alignment horizontal="center"/>
    </xf>
  </cellXfs>
  <cellStyles count="48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Bemærk!" xfId="20" builtinId="10" customBuiltin="1"/>
    <cellStyle name="Beregning" xfId="21" builtinId="22" customBuiltin="1"/>
    <cellStyle name="Farve1" xfId="26" builtinId="29" customBuiltin="1"/>
    <cellStyle name="Farve2" xfId="27" builtinId="33" customBuiltin="1"/>
    <cellStyle name="Farve3" xfId="28" builtinId="37" customBuiltin="1"/>
    <cellStyle name="Farve4" xfId="29" builtinId="41" customBuiltin="1"/>
    <cellStyle name="Farve5" xfId="30" builtinId="45" customBuiltin="1"/>
    <cellStyle name="Farve6" xfId="31" builtinId="49" customBuiltin="1"/>
    <cellStyle name="Forklarende tekst" xfId="22" builtinId="53" customBuiltin="1"/>
    <cellStyle name="God" xfId="23" builtinId="26" customBuiltin="1"/>
    <cellStyle name="Input" xfId="24" builtinId="20" customBuiltin="1"/>
    <cellStyle name="Komma" xfId="45" builtinId="3"/>
    <cellStyle name="Kontrollér celle" xfId="25" builtinId="23" customBuiltin="1"/>
    <cellStyle name="Neutral" xfId="32" builtinId="28" customBuiltin="1"/>
    <cellStyle name="Normal" xfId="0" builtinId="0"/>
    <cellStyle name="Normal 2" xfId="44" xr:uid="{00000000-0005-0000-0000-000022000000}"/>
    <cellStyle name="Normal 3" xfId="47" xr:uid="{00000000-0005-0000-0000-000023000000}"/>
    <cellStyle name="Normal_Tj PL  Juni-Sept " xfId="33" xr:uid="{00000000-0005-0000-0000-000024000000}"/>
    <cellStyle name="Normal_Vagtplan 2010 - 2011" xfId="34" xr:uid="{00000000-0005-0000-0000-000025000000}"/>
    <cellStyle name="Output" xfId="35" builtinId="21" customBuiltin="1"/>
    <cellStyle name="Overskrift 1" xfId="36" builtinId="16" customBuiltin="1"/>
    <cellStyle name="Overskrift 2" xfId="37" builtinId="17" customBuiltin="1"/>
    <cellStyle name="Overskrift 3" xfId="38" builtinId="18" customBuiltin="1"/>
    <cellStyle name="Overskrift 4" xfId="39" builtinId="19" customBuiltin="1"/>
    <cellStyle name="Sammenkædet celle" xfId="40" builtinId="24" customBuiltin="1"/>
    <cellStyle name="Titel" xfId="41" builtinId="15" customBuiltin="1"/>
    <cellStyle name="Total" xfId="42" builtinId="25" customBuiltin="1"/>
    <cellStyle name="Ugyldig" xfId="43" builtinId="27" customBuiltin="1"/>
    <cellStyle name="Valuta" xfId="46" builtinId="4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0909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9900"/>
      <color rgb="FF0053FA"/>
      <color rgb="FF99CC00"/>
      <color rgb="FFEC30D6"/>
      <color rgb="FFB311A0"/>
      <color rgb="FFFFCC99"/>
      <color rgb="FFA91B9F"/>
      <color rgb="FF972D8A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4.xml"/><Relationship Id="rId42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51</xdr:row>
      <xdr:rowOff>28575</xdr:rowOff>
    </xdr:from>
    <xdr:to>
      <xdr:col>5</xdr:col>
      <xdr:colOff>809625</xdr:colOff>
      <xdr:row>52</xdr:row>
      <xdr:rowOff>57150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5619750" y="11763375"/>
          <a:ext cx="295275" cy="2476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80</xdr:row>
      <xdr:rowOff>19050</xdr:rowOff>
    </xdr:from>
    <xdr:to>
      <xdr:col>6</xdr:col>
      <xdr:colOff>76200</xdr:colOff>
      <xdr:row>80</xdr:row>
      <xdr:rowOff>219075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5591175" y="18049875"/>
          <a:ext cx="409575" cy="19050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88</xdr:row>
      <xdr:rowOff>19050</xdr:rowOff>
    </xdr:from>
    <xdr:to>
      <xdr:col>6</xdr:col>
      <xdr:colOff>76200</xdr:colOff>
      <xdr:row>89</xdr:row>
      <xdr:rowOff>85725</xdr:rowOff>
    </xdr:to>
    <xdr:sp macro="" textlink="">
      <xdr:nvSpPr>
        <xdr:cNvPr id="2143" name="Oval 1">
          <a:extLst>
            <a:ext uri="{FF2B5EF4-FFF2-40B4-BE49-F238E27FC236}">
              <a16:creationId xmlns:a16="http://schemas.microsoft.com/office/drawing/2014/main" id="{00000000-0008-0000-0200-00005F080000}"/>
            </a:ext>
          </a:extLst>
        </xdr:cNvPr>
        <xdr:cNvSpPr>
          <a:spLocks noChangeArrowheads="1"/>
        </xdr:cNvSpPr>
      </xdr:nvSpPr>
      <xdr:spPr bwMode="auto">
        <a:xfrm>
          <a:off x="5591175" y="20574000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125</xdr:row>
      <xdr:rowOff>19050</xdr:rowOff>
    </xdr:from>
    <xdr:to>
      <xdr:col>6</xdr:col>
      <xdr:colOff>76200</xdr:colOff>
      <xdr:row>126</xdr:row>
      <xdr:rowOff>85725</xdr:rowOff>
    </xdr:to>
    <xdr:sp macro="" textlink="">
      <xdr:nvSpPr>
        <xdr:cNvPr id="2144" name="Oval 2">
          <a:extLst>
            <a:ext uri="{FF2B5EF4-FFF2-40B4-BE49-F238E27FC236}">
              <a16:creationId xmlns:a16="http://schemas.microsoft.com/office/drawing/2014/main" id="{00000000-0008-0000-0200-000060080000}"/>
            </a:ext>
          </a:extLst>
        </xdr:cNvPr>
        <xdr:cNvSpPr>
          <a:spLocks noChangeArrowheads="1"/>
        </xdr:cNvSpPr>
      </xdr:nvSpPr>
      <xdr:spPr bwMode="auto">
        <a:xfrm>
          <a:off x="5591175" y="28679775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51</xdr:row>
      <xdr:rowOff>28575</xdr:rowOff>
    </xdr:from>
    <xdr:to>
      <xdr:col>5</xdr:col>
      <xdr:colOff>809625</xdr:colOff>
      <xdr:row>52</xdr:row>
      <xdr:rowOff>57150</xdr:rowOff>
    </xdr:to>
    <xdr:sp macro="" textlink="">
      <xdr:nvSpPr>
        <xdr:cNvPr id="3167" name="Oval 1">
          <a:extLst>
            <a:ext uri="{FF2B5EF4-FFF2-40B4-BE49-F238E27FC236}">
              <a16:creationId xmlns:a16="http://schemas.microsoft.com/office/drawing/2014/main" id="{00000000-0008-0000-0300-00005F0C0000}"/>
            </a:ext>
          </a:extLst>
        </xdr:cNvPr>
        <xdr:cNvSpPr>
          <a:spLocks noChangeArrowheads="1"/>
        </xdr:cNvSpPr>
      </xdr:nvSpPr>
      <xdr:spPr bwMode="auto">
        <a:xfrm>
          <a:off x="5619750" y="11763375"/>
          <a:ext cx="295275" cy="2476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80</xdr:row>
      <xdr:rowOff>19050</xdr:rowOff>
    </xdr:from>
    <xdr:to>
      <xdr:col>6</xdr:col>
      <xdr:colOff>76200</xdr:colOff>
      <xdr:row>80</xdr:row>
      <xdr:rowOff>219075</xdr:rowOff>
    </xdr:to>
    <xdr:sp macro="" textlink="">
      <xdr:nvSpPr>
        <xdr:cNvPr id="3168" name="Oval 2">
          <a:extLst>
            <a:ext uri="{FF2B5EF4-FFF2-40B4-BE49-F238E27FC236}">
              <a16:creationId xmlns:a16="http://schemas.microsoft.com/office/drawing/2014/main" id="{00000000-0008-0000-0300-0000600C0000}"/>
            </a:ext>
          </a:extLst>
        </xdr:cNvPr>
        <xdr:cNvSpPr>
          <a:spLocks noChangeArrowheads="1"/>
        </xdr:cNvSpPr>
      </xdr:nvSpPr>
      <xdr:spPr bwMode="auto">
        <a:xfrm>
          <a:off x="5591175" y="18049875"/>
          <a:ext cx="409575" cy="19050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95250</xdr:colOff>
      <xdr:row>15</xdr:row>
      <xdr:rowOff>122465</xdr:rowOff>
    </xdr:from>
    <xdr:to>
      <xdr:col>32</xdr:col>
      <xdr:colOff>163286</xdr:colOff>
      <xdr:row>15</xdr:row>
      <xdr:rowOff>136071</xdr:rowOff>
    </xdr:to>
    <xdr:cxnSp macro="">
      <xdr:nvCxnSpPr>
        <xdr:cNvPr id="10" name="Lige forbindels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 bwMode="auto">
        <a:xfrm>
          <a:off x="2009775" y="20382140"/>
          <a:ext cx="7497536" cy="1360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13607</xdr:colOff>
      <xdr:row>103</xdr:row>
      <xdr:rowOff>136072</xdr:rowOff>
    </xdr:from>
    <xdr:to>
      <xdr:col>19</xdr:col>
      <xdr:colOff>0</xdr:colOff>
      <xdr:row>103</xdr:row>
      <xdr:rowOff>136075</xdr:rowOff>
    </xdr:to>
    <xdr:cxnSp macro="">
      <xdr:nvCxnSpPr>
        <xdr:cNvPr id="12" name="Lige forbindels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CxnSpPr/>
      </xdr:nvCxnSpPr>
      <xdr:spPr bwMode="auto">
        <a:xfrm flipV="1">
          <a:off x="3166382" y="33092572"/>
          <a:ext cx="2967718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217714</xdr:colOff>
      <xdr:row>39</xdr:row>
      <xdr:rowOff>258536</xdr:rowOff>
    </xdr:from>
    <xdr:to>
      <xdr:col>7</xdr:col>
      <xdr:colOff>27214</xdr:colOff>
      <xdr:row>41</xdr:row>
      <xdr:rowOff>13607</xdr:rowOff>
    </xdr:to>
    <xdr:sp macro="" textlink="">
      <xdr:nvSpPr>
        <xdr:cNvPr id="6" name="Ellips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2857500" y="10436679"/>
          <a:ext cx="299357" cy="299357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A</a:t>
          </a:r>
        </a:p>
      </xdr:txBody>
    </xdr:sp>
    <xdr:clientData/>
  </xdr:twoCellAnchor>
  <xdr:twoCellAnchor>
    <xdr:from>
      <xdr:col>6</xdr:col>
      <xdr:colOff>217715</xdr:colOff>
      <xdr:row>40</xdr:row>
      <xdr:rowOff>27214</xdr:rowOff>
    </xdr:from>
    <xdr:to>
      <xdr:col>8</xdr:col>
      <xdr:colOff>40822</xdr:colOff>
      <xdr:row>40</xdr:row>
      <xdr:rowOff>258535</xdr:rowOff>
    </xdr:to>
    <xdr:sp macro="" textlink="">
      <xdr:nvSpPr>
        <xdr:cNvPr id="7" name="Ellips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 bwMode="auto">
        <a:xfrm>
          <a:off x="3102429" y="10477500"/>
          <a:ext cx="312964" cy="231321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F</a:t>
          </a:r>
        </a:p>
      </xdr:txBody>
    </xdr:sp>
    <xdr:clientData/>
  </xdr:twoCellAnchor>
  <xdr:twoCellAnchor>
    <xdr:from>
      <xdr:col>8</xdr:col>
      <xdr:colOff>13608</xdr:colOff>
      <xdr:row>40</xdr:row>
      <xdr:rowOff>0</xdr:rowOff>
    </xdr:from>
    <xdr:to>
      <xdr:col>9</xdr:col>
      <xdr:colOff>0</xdr:colOff>
      <xdr:row>41</xdr:row>
      <xdr:rowOff>0</xdr:rowOff>
    </xdr:to>
    <xdr:sp macro="" textlink="">
      <xdr:nvSpPr>
        <xdr:cNvPr id="10" name="Ellips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 bwMode="auto">
        <a:xfrm>
          <a:off x="3388179" y="10450286"/>
          <a:ext cx="231321" cy="272143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F</a:t>
          </a:r>
        </a:p>
      </xdr:txBody>
    </xdr:sp>
    <xdr:clientData/>
  </xdr:twoCellAnchor>
  <xdr:twoCellAnchor>
    <xdr:from>
      <xdr:col>9</xdr:col>
      <xdr:colOff>0</xdr:colOff>
      <xdr:row>40</xdr:row>
      <xdr:rowOff>27214</xdr:rowOff>
    </xdr:from>
    <xdr:to>
      <xdr:col>10</xdr:col>
      <xdr:colOff>27214</xdr:colOff>
      <xdr:row>40</xdr:row>
      <xdr:rowOff>258535</xdr:rowOff>
    </xdr:to>
    <xdr:sp macro="" textlink="">
      <xdr:nvSpPr>
        <xdr:cNvPr id="11" name="Ellips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 bwMode="auto">
        <a:xfrm>
          <a:off x="3619500" y="10477500"/>
          <a:ext cx="272143" cy="231321"/>
        </a:xfrm>
        <a:prstGeom prst="ellips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da-DK" sz="1100"/>
            <a:t>F</a:t>
          </a:r>
        </a:p>
      </xdr:txBody>
    </xdr:sp>
    <xdr:clientData/>
  </xdr:twoCellAnchor>
  <xdr:twoCellAnchor>
    <xdr:from>
      <xdr:col>2</xdr:col>
      <xdr:colOff>95250</xdr:colOff>
      <xdr:row>75</xdr:row>
      <xdr:rowOff>122465</xdr:rowOff>
    </xdr:from>
    <xdr:to>
      <xdr:col>32</xdr:col>
      <xdr:colOff>163286</xdr:colOff>
      <xdr:row>75</xdr:row>
      <xdr:rowOff>136071</xdr:rowOff>
    </xdr:to>
    <xdr:cxnSp macro="">
      <xdr:nvCxnSpPr>
        <xdr:cNvPr id="13" name="Lige forbindels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 bwMode="auto">
        <a:xfrm>
          <a:off x="2000250" y="20097751"/>
          <a:ext cx="7429500" cy="13606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13607</xdr:colOff>
      <xdr:row>37</xdr:row>
      <xdr:rowOff>122464</xdr:rowOff>
    </xdr:from>
    <xdr:to>
      <xdr:col>32</xdr:col>
      <xdr:colOff>231322</xdr:colOff>
      <xdr:row>37</xdr:row>
      <xdr:rowOff>122464</xdr:rowOff>
    </xdr:to>
    <xdr:cxnSp macro="">
      <xdr:nvCxnSpPr>
        <xdr:cNvPr id="14" name="Lige forbindels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CxnSpPr/>
      </xdr:nvCxnSpPr>
      <xdr:spPr bwMode="auto">
        <a:xfrm>
          <a:off x="1918607" y="9756321"/>
          <a:ext cx="7579179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7</xdr:col>
      <xdr:colOff>13607</xdr:colOff>
      <xdr:row>121</xdr:row>
      <xdr:rowOff>136072</xdr:rowOff>
    </xdr:from>
    <xdr:to>
      <xdr:col>19</xdr:col>
      <xdr:colOff>0</xdr:colOff>
      <xdr:row>121</xdr:row>
      <xdr:rowOff>136075</xdr:rowOff>
    </xdr:to>
    <xdr:cxnSp macro="">
      <xdr:nvCxnSpPr>
        <xdr:cNvPr id="15" name="Lige forbindels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CxnSpPr/>
      </xdr:nvCxnSpPr>
      <xdr:spPr bwMode="auto">
        <a:xfrm flipV="1">
          <a:off x="3143250" y="32629929"/>
          <a:ext cx="2939143" cy="3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1496786</xdr:colOff>
      <xdr:row>37</xdr:row>
      <xdr:rowOff>136072</xdr:rowOff>
    </xdr:from>
    <xdr:to>
      <xdr:col>32</xdr:col>
      <xdr:colOff>54429</xdr:colOff>
      <xdr:row>37</xdr:row>
      <xdr:rowOff>136072</xdr:rowOff>
    </xdr:to>
    <xdr:cxnSp macro="">
      <xdr:nvCxnSpPr>
        <xdr:cNvPr id="7" name="Lige forbindels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 bwMode="auto">
        <a:xfrm>
          <a:off x="1864179" y="9769929"/>
          <a:ext cx="7456714" cy="0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13607</xdr:colOff>
      <xdr:row>75</xdr:row>
      <xdr:rowOff>136071</xdr:rowOff>
    </xdr:from>
    <xdr:to>
      <xdr:col>30</xdr:col>
      <xdr:colOff>13607</xdr:colOff>
      <xdr:row>75</xdr:row>
      <xdr:rowOff>149678</xdr:rowOff>
    </xdr:to>
    <xdr:cxnSp macro="">
      <xdr:nvCxnSpPr>
        <xdr:cNvPr id="9" name="Lige forbindels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CxnSpPr/>
      </xdr:nvCxnSpPr>
      <xdr:spPr bwMode="auto">
        <a:xfrm flipV="1">
          <a:off x="1918607" y="20111357"/>
          <a:ext cx="6871607" cy="1360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37</xdr:row>
      <xdr:rowOff>136072</xdr:rowOff>
    </xdr:from>
    <xdr:to>
      <xdr:col>33</xdr:col>
      <xdr:colOff>0</xdr:colOff>
      <xdr:row>37</xdr:row>
      <xdr:rowOff>149679</xdr:rowOff>
    </xdr:to>
    <xdr:cxnSp macro="">
      <xdr:nvCxnSpPr>
        <xdr:cNvPr id="7" name="Lige forbindels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CxnSpPr/>
      </xdr:nvCxnSpPr>
      <xdr:spPr bwMode="auto">
        <a:xfrm flipV="1">
          <a:off x="1905000" y="9769929"/>
          <a:ext cx="7606393" cy="1360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2</xdr:col>
      <xdr:colOff>13607</xdr:colOff>
      <xdr:row>75</xdr:row>
      <xdr:rowOff>122464</xdr:rowOff>
    </xdr:from>
    <xdr:to>
      <xdr:col>15</xdr:col>
      <xdr:colOff>244929</xdr:colOff>
      <xdr:row>75</xdr:row>
      <xdr:rowOff>149678</xdr:rowOff>
    </xdr:to>
    <xdr:cxnSp macro="">
      <xdr:nvCxnSpPr>
        <xdr:cNvPr id="9" name="Lige forbindels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CxnSpPr/>
      </xdr:nvCxnSpPr>
      <xdr:spPr bwMode="auto">
        <a:xfrm flipV="1">
          <a:off x="1918607" y="20097750"/>
          <a:ext cx="3415393" cy="2721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16</xdr:col>
      <xdr:colOff>13607</xdr:colOff>
      <xdr:row>45</xdr:row>
      <xdr:rowOff>108857</xdr:rowOff>
    </xdr:from>
    <xdr:to>
      <xdr:col>32</xdr:col>
      <xdr:colOff>136072</xdr:colOff>
      <xdr:row>45</xdr:row>
      <xdr:rowOff>136071</xdr:rowOff>
    </xdr:to>
    <xdr:cxnSp macro="">
      <xdr:nvCxnSpPr>
        <xdr:cNvPr id="10" name="Lige forbindels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CxnSpPr/>
      </xdr:nvCxnSpPr>
      <xdr:spPr bwMode="auto">
        <a:xfrm flipV="1">
          <a:off x="5361214" y="11919857"/>
          <a:ext cx="4041322" cy="2721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37</xdr:row>
      <xdr:rowOff>108857</xdr:rowOff>
    </xdr:from>
    <xdr:to>
      <xdr:col>32</xdr:col>
      <xdr:colOff>149679</xdr:colOff>
      <xdr:row>37</xdr:row>
      <xdr:rowOff>149679</xdr:rowOff>
    </xdr:to>
    <xdr:cxnSp macro="">
      <xdr:nvCxnSpPr>
        <xdr:cNvPr id="7" name="Lige forbindels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CxnSpPr/>
      </xdr:nvCxnSpPr>
      <xdr:spPr bwMode="auto">
        <a:xfrm flipV="1">
          <a:off x="1905000" y="9742714"/>
          <a:ext cx="7511143" cy="40822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  <xdr:twoCellAnchor>
    <xdr:from>
      <xdr:col>1</xdr:col>
      <xdr:colOff>1510393</xdr:colOff>
      <xdr:row>45</xdr:row>
      <xdr:rowOff>122464</xdr:rowOff>
    </xdr:from>
    <xdr:to>
      <xdr:col>26</xdr:col>
      <xdr:colOff>231321</xdr:colOff>
      <xdr:row>45</xdr:row>
      <xdr:rowOff>136071</xdr:rowOff>
    </xdr:to>
    <xdr:cxnSp macro="">
      <xdr:nvCxnSpPr>
        <xdr:cNvPr id="9" name="Lige forbindels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 bwMode="auto">
        <a:xfrm flipV="1">
          <a:off x="1877786" y="11933464"/>
          <a:ext cx="6150428" cy="1360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13607</xdr:colOff>
      <xdr:row>37</xdr:row>
      <xdr:rowOff>136072</xdr:rowOff>
    </xdr:from>
    <xdr:to>
      <xdr:col>32</xdr:col>
      <xdr:colOff>81643</xdr:colOff>
      <xdr:row>37</xdr:row>
      <xdr:rowOff>149679</xdr:rowOff>
    </xdr:to>
    <xdr:cxnSp macro="">
      <xdr:nvCxnSpPr>
        <xdr:cNvPr id="7" name="Lige forbindels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/>
      </xdr:nvCxnSpPr>
      <xdr:spPr bwMode="auto">
        <a:xfrm flipV="1">
          <a:off x="1918607" y="9769929"/>
          <a:ext cx="7429500" cy="1360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37</xdr:row>
      <xdr:rowOff>136072</xdr:rowOff>
    </xdr:from>
    <xdr:to>
      <xdr:col>33</xdr:col>
      <xdr:colOff>13607</xdr:colOff>
      <xdr:row>37</xdr:row>
      <xdr:rowOff>149679</xdr:rowOff>
    </xdr:to>
    <xdr:cxnSp macro="">
      <xdr:nvCxnSpPr>
        <xdr:cNvPr id="7" name="Lige forbindels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 bwMode="auto">
        <a:xfrm flipV="1">
          <a:off x="1905000" y="9769929"/>
          <a:ext cx="7620000" cy="1360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0</xdr:colOff>
      <xdr:row>37</xdr:row>
      <xdr:rowOff>136072</xdr:rowOff>
    </xdr:from>
    <xdr:to>
      <xdr:col>32</xdr:col>
      <xdr:colOff>40822</xdr:colOff>
      <xdr:row>37</xdr:row>
      <xdr:rowOff>149679</xdr:rowOff>
    </xdr:to>
    <xdr:cxnSp macro="">
      <xdr:nvCxnSpPr>
        <xdr:cNvPr id="7" name="Lige forbindels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/>
      </xdr:nvCxnSpPr>
      <xdr:spPr bwMode="auto">
        <a:xfrm flipV="1">
          <a:off x="1905000" y="9769929"/>
          <a:ext cx="7402286" cy="13607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13607</xdr:colOff>
      <xdr:row>37</xdr:row>
      <xdr:rowOff>149679</xdr:rowOff>
    </xdr:from>
    <xdr:to>
      <xdr:col>15</xdr:col>
      <xdr:colOff>13608</xdr:colOff>
      <xdr:row>37</xdr:row>
      <xdr:rowOff>176893</xdr:rowOff>
    </xdr:to>
    <xdr:cxnSp macro="">
      <xdr:nvCxnSpPr>
        <xdr:cNvPr id="9" name="Lige forbindels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CxnSpPr/>
      </xdr:nvCxnSpPr>
      <xdr:spPr bwMode="auto">
        <a:xfrm flipV="1">
          <a:off x="1918607" y="9783536"/>
          <a:ext cx="3184072" cy="27214"/>
        </a:xfrm>
        <a:prstGeom prst="lin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</xdr:cxn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>
          <a:spLocks noChangeShapeType="1"/>
        </xdr:cNvSpPr>
      </xdr:nvSpPr>
      <xdr:spPr bwMode="auto">
        <a:xfrm>
          <a:off x="1409700" y="9134475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8</xdr:row>
      <xdr:rowOff>219075</xdr:rowOff>
    </xdr:from>
    <xdr:to>
      <xdr:col>1</xdr:col>
      <xdr:colOff>1447800</xdr:colOff>
      <xdr:row>8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>
          <a:spLocks noChangeShapeType="1"/>
        </xdr:cNvSpPr>
      </xdr:nvSpPr>
      <xdr:spPr bwMode="auto">
        <a:xfrm>
          <a:off x="1371600" y="1971675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 noChangeArrowheads="1"/>
        </xdr:cNvSpPr>
      </xdr:nvSpPr>
      <xdr:spPr bwMode="auto">
        <a:xfrm>
          <a:off x="41814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12%20K&#248;benhavns%20Ejendomme/S&#230;rlige%20data/KEjd%20Betjentservice/Betjent/_Postservice,%20Skanning,%20HNG%20og%20trykkeri/Biler%20og%20regnskab/Bil%20regnskab%2020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12%20K&#248;benhavns%20Ejendomme/S&#230;rlige%20data/KEjd%20Betjentservice/Betjent/__Vagt%20og%20Information/Kunder/Samlet%20vagtkontrakter/&#197;r%202013%20priser%20for%20R&#229;dhusvagten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microsoft.com/office/2019/04/relationships/externalLinkLongPath" Target="/212%20K&#248;benhavns%20Ejendomme/S&#230;rlige%20data/KEjd%20Betjentservice/Betjent/_Postservice,%20Skanning,%20HNG%20og%20trykkeri/Samlet%20kontrakt%20regnskab%20for%20Posten/Samlet%20kontrakt%20Regnskab%202013%20%20-%20postsamarbejdsaftaler.xlsx?D271FE85" TargetMode="External"/><Relationship Id="rId1" Type="http://schemas.openxmlformats.org/officeDocument/2006/relationships/externalLinkPath" Target="file:///\\D271FE85\Samlet%20kontrakt%20Regnskab%202013%20%20-%20postsamarbejdsaftaler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microsoft.com/office/2019/04/relationships/externalLinkLongPath" Target="/212%20K&#248;benhavns%20Ejendomme/S&#230;rlige%20data/KEjd%20Betjentservice/Betjent/_Postservice,%20Skanning,%20HNG%20og%20trykkeri/Samlet%20kontrakt%20regnskab%20for%20Posten/Samlet%20kontrakt%20Regnskab%202012%20%20-%20postsamarbejdsaftaler.xls?D271FE85" TargetMode="External"/><Relationship Id="rId1" Type="http://schemas.openxmlformats.org/officeDocument/2006/relationships/externalLinkPath" Target="file:///\\D271FE85\Samlet%20kontrakt%20Regnskab%202012%20%20-%20postsamarbejdsaftal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M tal på biler 2013"/>
    </sheetNames>
    <sheetDataSet>
      <sheetData sheetId="0">
        <row r="9">
          <cell r="D9" t="str">
            <v>Diesel</v>
          </cell>
          <cell r="F9" t="str">
            <v>Diesel</v>
          </cell>
          <cell r="H9" t="str">
            <v>Diesel</v>
          </cell>
          <cell r="J9" t="str">
            <v>Benzin</v>
          </cell>
          <cell r="K9" t="str">
            <v>Brændstof i alt</v>
          </cell>
          <cell r="L9" t="str">
            <v>Vask mm.</v>
          </cell>
        </row>
        <row r="10">
          <cell r="D10" t="str">
            <v>Kr.</v>
          </cell>
          <cell r="F10" t="str">
            <v>Kr.</v>
          </cell>
          <cell r="H10" t="str">
            <v>Kr.</v>
          </cell>
          <cell r="J10" t="str">
            <v>Kr.</v>
          </cell>
          <cell r="K10" t="str">
            <v>Kr.</v>
          </cell>
          <cell r="L10" t="str">
            <v>Kr.</v>
          </cell>
        </row>
        <row r="11">
          <cell r="A11" t="str">
            <v>Brændstof kortnr.</v>
          </cell>
          <cell r="C11">
            <v>82001</v>
          </cell>
          <cell r="E11">
            <v>82002</v>
          </cell>
          <cell r="G11">
            <v>82003</v>
          </cell>
          <cell r="I11">
            <v>82004</v>
          </cell>
        </row>
        <row r="12">
          <cell r="A12" t="str">
            <v>Januar</v>
          </cell>
          <cell r="D12">
            <v>1144.17</v>
          </cell>
          <cell r="F12">
            <v>2081.46</v>
          </cell>
          <cell r="H12">
            <v>4436.5200000000004</v>
          </cell>
          <cell r="J12">
            <v>0</v>
          </cell>
          <cell r="K12">
            <v>7662.1500000000005</v>
          </cell>
          <cell r="L12">
            <v>802.46</v>
          </cell>
          <cell r="M12">
            <v>8464.61</v>
          </cell>
        </row>
        <row r="13">
          <cell r="A13" t="str">
            <v>Februar</v>
          </cell>
          <cell r="D13">
            <v>1405.66</v>
          </cell>
          <cell r="F13">
            <v>1189.3499999999999</v>
          </cell>
          <cell r="H13">
            <v>3161.52</v>
          </cell>
          <cell r="J13">
            <v>0</v>
          </cell>
          <cell r="K13">
            <v>5756.5300000000007</v>
          </cell>
          <cell r="L13">
            <v>669.65</v>
          </cell>
          <cell r="M13">
            <v>6426.18</v>
          </cell>
        </row>
        <row r="14">
          <cell r="A14" t="str">
            <v>Marts</v>
          </cell>
          <cell r="D14">
            <v>1371.46</v>
          </cell>
          <cell r="F14">
            <v>2078.42</v>
          </cell>
          <cell r="H14">
            <v>4959.1499999999996</v>
          </cell>
          <cell r="J14">
            <v>860</v>
          </cell>
          <cell r="K14">
            <v>9269.0299999999988</v>
          </cell>
          <cell r="L14">
            <v>1238.45</v>
          </cell>
          <cell r="M14">
            <v>10507.48</v>
          </cell>
        </row>
        <row r="15">
          <cell r="A15" t="str">
            <v>April</v>
          </cell>
          <cell r="D15">
            <v>615.72</v>
          </cell>
          <cell r="F15">
            <v>1846.98</v>
          </cell>
          <cell r="H15">
            <v>2603.65</v>
          </cell>
          <cell r="J15">
            <v>0</v>
          </cell>
          <cell r="K15">
            <v>5066.3500000000004</v>
          </cell>
          <cell r="L15">
            <v>489.7</v>
          </cell>
          <cell r="M15">
            <v>5556.05</v>
          </cell>
        </row>
        <row r="16">
          <cell r="A16" t="str">
            <v>Maj</v>
          </cell>
          <cell r="D16">
            <v>563.91999999999996</v>
          </cell>
          <cell r="F16">
            <v>2408.64</v>
          </cell>
          <cell r="H16">
            <v>3100.91</v>
          </cell>
          <cell r="J16">
            <v>910.12</v>
          </cell>
          <cell r="K16">
            <v>6983.5899999999992</v>
          </cell>
          <cell r="L16">
            <v>359.83</v>
          </cell>
          <cell r="M16">
            <v>7343.4199999999992</v>
          </cell>
        </row>
        <row r="17">
          <cell r="A17" t="str">
            <v>Juni</v>
          </cell>
          <cell r="D17">
            <v>2163.13</v>
          </cell>
          <cell r="F17">
            <v>3065.5</v>
          </cell>
          <cell r="H17">
            <v>932.53</v>
          </cell>
          <cell r="J17">
            <v>707</v>
          </cell>
          <cell r="K17">
            <v>6868.16</v>
          </cell>
          <cell r="L17">
            <v>259.85000000000002</v>
          </cell>
          <cell r="M17">
            <v>7128.01</v>
          </cell>
        </row>
        <row r="18">
          <cell r="A18" t="str">
            <v>Juli</v>
          </cell>
          <cell r="D18">
            <v>709.48</v>
          </cell>
          <cell r="F18">
            <v>2092.9299999999998</v>
          </cell>
          <cell r="H18">
            <v>3153.76</v>
          </cell>
          <cell r="J18">
            <v>614.08000000000004</v>
          </cell>
          <cell r="K18">
            <v>6570.25</v>
          </cell>
          <cell r="L18">
            <v>284.83</v>
          </cell>
          <cell r="M18">
            <v>6855.08</v>
          </cell>
        </row>
        <row r="19">
          <cell r="A19" t="str">
            <v>August</v>
          </cell>
          <cell r="D19">
            <v>626.01</v>
          </cell>
          <cell r="F19">
            <v>397.7</v>
          </cell>
          <cell r="H19">
            <v>2105.67</v>
          </cell>
          <cell r="J19">
            <v>0</v>
          </cell>
          <cell r="K19">
            <v>3129.38</v>
          </cell>
          <cell r="L19">
            <v>294.83</v>
          </cell>
          <cell r="M19">
            <v>3424.21</v>
          </cell>
        </row>
        <row r="20">
          <cell r="A20" t="str">
            <v>September</v>
          </cell>
          <cell r="D20">
            <v>2202.42</v>
          </cell>
          <cell r="F20">
            <v>2117.2800000000002</v>
          </cell>
          <cell r="H20">
            <v>2529.5100000000002</v>
          </cell>
          <cell r="J20">
            <v>1803.03</v>
          </cell>
          <cell r="K20">
            <v>8652.2400000000016</v>
          </cell>
          <cell r="L20">
            <v>399.75</v>
          </cell>
          <cell r="M20">
            <v>9051.9900000000016</v>
          </cell>
        </row>
        <row r="21">
          <cell r="A21" t="str">
            <v>Oktober</v>
          </cell>
          <cell r="D21">
            <v>1927.37</v>
          </cell>
          <cell r="F21">
            <v>0</v>
          </cell>
          <cell r="H21">
            <v>4416.78</v>
          </cell>
          <cell r="J21">
            <v>767.05</v>
          </cell>
          <cell r="K21">
            <v>7111.2</v>
          </cell>
          <cell r="L21">
            <v>319.8</v>
          </cell>
          <cell r="M21">
            <v>7431</v>
          </cell>
        </row>
        <row r="22">
          <cell r="A22" t="str">
            <v>November</v>
          </cell>
          <cell r="D22">
            <v>1777.57</v>
          </cell>
          <cell r="F22">
            <v>2589.11</v>
          </cell>
          <cell r="H22">
            <v>3619.28</v>
          </cell>
          <cell r="J22">
            <v>2052.0700000000002</v>
          </cell>
          <cell r="K22">
            <v>10038.030000000001</v>
          </cell>
          <cell r="L22">
            <v>459.8</v>
          </cell>
          <cell r="M22">
            <v>10497.83</v>
          </cell>
        </row>
        <row r="23">
          <cell r="A23" t="str">
            <v>December</v>
          </cell>
          <cell r="D23">
            <v>1142.05</v>
          </cell>
          <cell r="F23">
            <v>0</v>
          </cell>
          <cell r="H23">
            <v>0</v>
          </cell>
          <cell r="J23">
            <v>0</v>
          </cell>
          <cell r="K23">
            <v>1142.05</v>
          </cell>
          <cell r="L23">
            <v>2013</v>
          </cell>
          <cell r="M23">
            <v>3155.05</v>
          </cell>
        </row>
        <row r="24">
          <cell r="A24" t="str">
            <v>Total</v>
          </cell>
          <cell r="D24">
            <v>15648.96</v>
          </cell>
          <cell r="F24">
            <v>19867.37</v>
          </cell>
          <cell r="H24">
            <v>35019.279999999999</v>
          </cell>
          <cell r="J24">
            <v>7713.35</v>
          </cell>
          <cell r="K24">
            <v>78248.959999999992</v>
          </cell>
          <cell r="L24">
            <v>7591.9500000000007</v>
          </cell>
          <cell r="M24">
            <v>85840.909999999989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gt"/>
      <sheetName val="Rådhus"/>
      <sheetName val="Ark3"/>
    </sheetNames>
    <sheetDataSet>
      <sheetData sheetId="0">
        <row r="4">
          <cell r="A4" t="str">
            <v>Note 1: Fordeling  af intern betalingsordning på Rådhuset</v>
          </cell>
          <cell r="B4">
            <v>0</v>
          </cell>
          <cell r="C4">
            <v>0</v>
          </cell>
          <cell r="D4" t="str">
            <v>Årlig pris</v>
          </cell>
          <cell r="E4">
            <v>0</v>
          </cell>
          <cell r="F4">
            <v>0</v>
          </cell>
          <cell r="G4">
            <v>0</v>
          </cell>
        </row>
        <row r="5">
          <cell r="A5">
            <v>0</v>
          </cell>
          <cell r="B5" t="str">
            <v>SOF</v>
          </cell>
          <cell r="C5">
            <v>0</v>
          </cell>
          <cell r="D5">
            <v>5380000</v>
          </cell>
          <cell r="E5">
            <v>0</v>
          </cell>
          <cell r="F5">
            <v>0</v>
          </cell>
          <cell r="G5">
            <v>0</v>
          </cell>
        </row>
        <row r="6">
          <cell r="A6">
            <v>0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</row>
        <row r="8">
          <cell r="A8">
            <v>0</v>
          </cell>
          <cell r="B8">
            <v>0</v>
          </cell>
          <cell r="C8">
            <v>0</v>
          </cell>
          <cell r="D8">
            <v>0</v>
          </cell>
          <cell r="F8">
            <v>0</v>
          </cell>
          <cell r="G8">
            <v>0</v>
          </cell>
        </row>
        <row r="9">
          <cell r="A9">
            <v>0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0">
          <cell r="A10">
            <v>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</row>
        <row r="11">
          <cell r="A11">
            <v>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</row>
        <row r="13">
          <cell r="A13">
            <v>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</row>
        <row r="14">
          <cell r="A14" t="str">
            <v>Årligt</v>
          </cell>
          <cell r="B14">
            <v>0</v>
          </cell>
          <cell r="C14">
            <v>0</v>
          </cell>
          <cell r="D14">
            <v>5380000</v>
          </cell>
          <cell r="E14" t="str">
            <v>Når org. Nr. er røde, er de betalt</v>
          </cell>
        </row>
        <row r="15">
          <cell r="A15" t="str">
            <v>Månedligt</v>
          </cell>
          <cell r="B15">
            <v>0</v>
          </cell>
          <cell r="C15">
            <v>0</v>
          </cell>
          <cell r="D15">
            <v>448333.33333333331</v>
          </cell>
          <cell r="E15" t="str">
            <v>Der er stigning på 1,75% og ingen på timepris i 2013</v>
          </cell>
        </row>
        <row r="16">
          <cell r="A16">
            <v>0</v>
          </cell>
          <cell r="B16">
            <v>0</v>
          </cell>
          <cell r="C16">
            <v>0</v>
          </cell>
        </row>
        <row r="17">
          <cell r="A17">
            <v>0</v>
          </cell>
          <cell r="B17" t="str">
            <v xml:space="preserve">Note 2  Kontrakt kunder fast rundering </v>
          </cell>
          <cell r="G17">
            <v>0</v>
          </cell>
          <cell r="H17">
            <v>0</v>
          </cell>
          <cell r="I17">
            <v>0</v>
          </cell>
          <cell r="J17" t="str">
            <v xml:space="preserve">Note 2  Kontrakt kunder fast rundering 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Org. Nr.</v>
          </cell>
          <cell r="B18" t="str">
            <v>Kontrakt nr.</v>
          </cell>
          <cell r="C18" t="str">
            <v>Start dato</v>
          </cell>
          <cell r="D18" t="str">
            <v>Adresse</v>
          </cell>
          <cell r="E18">
            <v>0</v>
          </cell>
          <cell r="F18" t="str">
            <v xml:space="preserve">Årlig pris  </v>
          </cell>
          <cell r="G18">
            <v>0</v>
          </cell>
          <cell r="H18">
            <v>0</v>
          </cell>
          <cell r="I18" t="str">
            <v>Org. Nr.</v>
          </cell>
          <cell r="J18" t="str">
            <v>Bygningsnr.</v>
          </cell>
          <cell r="K18" t="str">
            <v>V og I dato</v>
          </cell>
          <cell r="L18" t="str">
            <v>Adresse</v>
          </cell>
          <cell r="M18">
            <v>0</v>
          </cell>
          <cell r="N18" t="str">
            <v xml:space="preserve">Årlig pris  </v>
          </cell>
        </row>
        <row r="19">
          <cell r="A19" t="str">
            <v>64715</v>
          </cell>
          <cell r="B19">
            <v>112</v>
          </cell>
          <cell r="C19">
            <v>37956</v>
          </cell>
          <cell r="D19" t="str">
            <v>Røde Mellemvej 52</v>
          </cell>
          <cell r="F19">
            <v>120594</v>
          </cell>
          <cell r="G19">
            <v>0</v>
          </cell>
          <cell r="H19">
            <v>0</v>
          </cell>
          <cell r="I19" t="str">
            <v>Fortsat</v>
          </cell>
          <cell r="J19">
            <v>0</v>
          </cell>
          <cell r="K19">
            <v>0</v>
          </cell>
          <cell r="L19">
            <v>0</v>
          </cell>
          <cell r="N19">
            <v>2163045</v>
          </cell>
        </row>
        <row r="20">
          <cell r="A20" t="str">
            <v>37567</v>
          </cell>
          <cell r="B20">
            <v>113</v>
          </cell>
          <cell r="C20">
            <v>38012</v>
          </cell>
          <cell r="D20" t="str">
            <v>Studsgårdsgade 55</v>
          </cell>
          <cell r="F20">
            <v>148969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N20">
            <v>0</v>
          </cell>
        </row>
        <row r="21">
          <cell r="A21">
            <v>23140</v>
          </cell>
          <cell r="B21">
            <v>116</v>
          </cell>
          <cell r="C21">
            <v>38412</v>
          </cell>
          <cell r="D21" t="str">
            <v>Amagerbrogade 150</v>
          </cell>
          <cell r="F21">
            <v>62629</v>
          </cell>
          <cell r="H21">
            <v>0</v>
          </cell>
          <cell r="I21">
            <v>62300</v>
          </cell>
          <cell r="J21">
            <v>150</v>
          </cell>
          <cell r="K21">
            <v>38047</v>
          </cell>
          <cell r="L21" t="str">
            <v>Brønshøjvej 17 - 19, SOF, BFCK-Brønshøj-Husum-Vanløse</v>
          </cell>
          <cell r="N21">
            <v>64182</v>
          </cell>
        </row>
        <row r="22">
          <cell r="A22">
            <v>54190</v>
          </cell>
          <cell r="B22">
            <v>119</v>
          </cell>
          <cell r="C22">
            <v>38808</v>
          </cell>
          <cell r="D22" t="str">
            <v>Hvide Kødby(rundering)</v>
          </cell>
          <cell r="F22">
            <v>498222</v>
          </cell>
          <cell r="G22" t="str">
            <v>747.337 fra 2014</v>
          </cell>
          <cell r="H22">
            <v>0</v>
          </cell>
          <cell r="I22">
            <v>22803</v>
          </cell>
          <cell r="J22" t="str">
            <v>747a</v>
          </cell>
          <cell r="K22">
            <v>38048</v>
          </cell>
          <cell r="L22" t="str">
            <v>Brønshøjvej 17 - 19, Sundhed (Løven)</v>
          </cell>
          <cell r="N22">
            <v>20320</v>
          </cell>
        </row>
        <row r="23">
          <cell r="A23">
            <v>62300</v>
          </cell>
          <cell r="B23">
            <v>121</v>
          </cell>
          <cell r="C23">
            <v>39264</v>
          </cell>
          <cell r="D23" t="str">
            <v>Griffenfeldsgade 44</v>
          </cell>
          <cell r="F23">
            <v>101938</v>
          </cell>
          <cell r="G23">
            <v>0</v>
          </cell>
          <cell r="H23">
            <v>0</v>
          </cell>
          <cell r="I23">
            <v>38910</v>
          </cell>
          <cell r="J23" t="str">
            <v>747b</v>
          </cell>
          <cell r="K23">
            <v>38047</v>
          </cell>
          <cell r="L23" t="str">
            <v>Brønshøjvej 17 - 19, Tandlæge</v>
          </cell>
          <cell r="N23">
            <v>20320</v>
          </cell>
        </row>
        <row r="24">
          <cell r="A24">
            <v>38450</v>
          </cell>
          <cell r="B24">
            <v>122</v>
          </cell>
          <cell r="C24">
            <v>39264</v>
          </cell>
          <cell r="D24" t="str">
            <v>Kapelvej 47</v>
          </cell>
          <cell r="F24">
            <v>19210</v>
          </cell>
          <cell r="G24">
            <v>0</v>
          </cell>
          <cell r="H24">
            <v>0</v>
          </cell>
          <cell r="I24">
            <v>11820</v>
          </cell>
          <cell r="J24">
            <v>147</v>
          </cell>
          <cell r="K24">
            <v>40664</v>
          </cell>
          <cell r="L24" t="str">
            <v>ØK-KBS- Nørre Søgade 35</v>
          </cell>
          <cell r="N24">
            <v>73322</v>
          </cell>
        </row>
        <row r="25">
          <cell r="A25">
            <v>60109</v>
          </cell>
          <cell r="B25">
            <v>128</v>
          </cell>
          <cell r="C25">
            <v>39815</v>
          </cell>
          <cell r="D25" t="str">
            <v>Bernstorffshus</v>
          </cell>
          <cell r="F25">
            <v>182058</v>
          </cell>
          <cell r="G25">
            <v>0</v>
          </cell>
          <cell r="H25" t="str">
            <v>Fordeling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N25">
            <v>0</v>
          </cell>
        </row>
        <row r="26">
          <cell r="A26">
            <v>37105</v>
          </cell>
          <cell r="B26">
            <v>129</v>
          </cell>
          <cell r="C26">
            <v>39904</v>
          </cell>
          <cell r="D26" t="str">
            <v>Vester Voldgade 87, 3. sal</v>
          </cell>
          <cell r="F26">
            <v>19588</v>
          </cell>
          <cell r="G26" t="str">
            <v>Opsagt 31-12-13</v>
          </cell>
          <cell r="H26" t="str">
            <v>43,37 %</v>
          </cell>
          <cell r="I26">
            <v>31404</v>
          </cell>
          <cell r="J26">
            <v>758</v>
          </cell>
          <cell r="K26">
            <v>37500</v>
          </cell>
          <cell r="L26" t="str">
            <v>Jemtelandgade 3 KKU</v>
          </cell>
          <cell r="N26">
            <v>40863</v>
          </cell>
        </row>
        <row r="27">
          <cell r="A27">
            <v>69707</v>
          </cell>
          <cell r="B27">
            <v>130</v>
          </cell>
          <cell r="C27">
            <v>39918</v>
          </cell>
          <cell r="D27" t="str">
            <v>Rådhuspladsen 77, 1. sal</v>
          </cell>
          <cell r="F27">
            <v>30341</v>
          </cell>
          <cell r="H27" t="str">
            <v>18,16%</v>
          </cell>
          <cell r="I27">
            <v>51302</v>
          </cell>
          <cell r="J27">
            <v>114</v>
          </cell>
          <cell r="K27">
            <v>40544</v>
          </cell>
          <cell r="L27" t="str">
            <v>Jemtelandgade 3 Kvarterløft</v>
          </cell>
          <cell r="N27">
            <v>17108</v>
          </cell>
        </row>
        <row r="28">
          <cell r="A28">
            <v>19020</v>
          </cell>
          <cell r="B28">
            <v>131</v>
          </cell>
          <cell r="C28">
            <v>40238</v>
          </cell>
          <cell r="D28" t="str">
            <v>Ottiliavej 1, opsagt 1-7-13</v>
          </cell>
          <cell r="F28">
            <v>105128</v>
          </cell>
          <cell r="G28">
            <v>0</v>
          </cell>
          <cell r="H28" t="str">
            <v>38,47 %</v>
          </cell>
          <cell r="I28">
            <v>53204</v>
          </cell>
          <cell r="J28">
            <v>114</v>
          </cell>
          <cell r="K28">
            <v>40544</v>
          </cell>
          <cell r="L28" t="str">
            <v>Jemtelandgade 3 bibliotek</v>
          </cell>
          <cell r="N28">
            <v>36392</v>
          </cell>
        </row>
        <row r="29">
          <cell r="A29">
            <v>54116</v>
          </cell>
          <cell r="B29">
            <v>132</v>
          </cell>
          <cell r="C29">
            <v>40057</v>
          </cell>
          <cell r="D29" t="str">
            <v>Hans Nansens Gård (Kejd)(FM)</v>
          </cell>
          <cell r="F29">
            <v>185444</v>
          </cell>
          <cell r="G29">
            <v>0</v>
          </cell>
          <cell r="H29">
            <v>0</v>
          </cell>
          <cell r="I29">
            <v>62300</v>
          </cell>
          <cell r="J29">
            <v>149</v>
          </cell>
          <cell r="K29">
            <v>40544</v>
          </cell>
          <cell r="L29" t="str">
            <v>Spaniensgade 25, BFCK-Amager øst</v>
          </cell>
          <cell r="N29">
            <v>50968</v>
          </cell>
        </row>
        <row r="30">
          <cell r="A30">
            <v>38050</v>
          </cell>
          <cell r="B30" t="str">
            <v>724 a</v>
          </cell>
          <cell r="C30">
            <v>39448</v>
          </cell>
          <cell r="D30" t="str">
            <v>Stormgade 18 (BUF)</v>
          </cell>
          <cell r="F30">
            <v>31198</v>
          </cell>
          <cell r="G30">
            <v>0</v>
          </cell>
          <cell r="H30">
            <v>0</v>
          </cell>
          <cell r="I30">
            <v>62300</v>
          </cell>
          <cell r="J30">
            <v>148</v>
          </cell>
          <cell r="K30">
            <v>40544</v>
          </cell>
          <cell r="L30" t="str">
            <v>Remisevej 19, BFCK-Amager vest</v>
          </cell>
          <cell r="N30">
            <v>58483</v>
          </cell>
        </row>
        <row r="31">
          <cell r="A31">
            <v>54100</v>
          </cell>
          <cell r="B31">
            <v>133</v>
          </cell>
          <cell r="C31">
            <v>40040</v>
          </cell>
          <cell r="D31" t="str">
            <v>Den Hvide Kødby (vagtkørsel)</v>
          </cell>
          <cell r="F31">
            <v>0</v>
          </cell>
          <cell r="G31" t="str">
            <v>18.553 pr. måned(Per sender regning hver måned</v>
          </cell>
          <cell r="H31">
            <v>0</v>
          </cell>
          <cell r="I31">
            <v>40010</v>
          </cell>
          <cell r="J31">
            <v>900</v>
          </cell>
          <cell r="K31">
            <v>38353</v>
          </cell>
          <cell r="L31" t="str">
            <v>Miljøkontrollen (tlf. eksp.)</v>
          </cell>
          <cell r="N31">
            <v>4251</v>
          </cell>
        </row>
        <row r="32">
          <cell r="A32">
            <v>62200</v>
          </cell>
          <cell r="B32">
            <v>127</v>
          </cell>
          <cell r="C32" t="str">
            <v>1. januar 2013</v>
          </cell>
          <cell r="D32" t="str">
            <v>Matthæusgade 1</v>
          </cell>
          <cell r="F32">
            <v>86231</v>
          </cell>
          <cell r="G32">
            <v>0</v>
          </cell>
          <cell r="H32">
            <v>0</v>
          </cell>
          <cell r="I32">
            <v>38400</v>
          </cell>
          <cell r="J32">
            <v>138</v>
          </cell>
          <cell r="K32">
            <v>40544</v>
          </cell>
          <cell r="L32" t="str">
            <v>BUF-Linde Alle 40-44</v>
          </cell>
          <cell r="N32">
            <v>29801</v>
          </cell>
        </row>
        <row r="33">
          <cell r="A33">
            <v>39610</v>
          </cell>
          <cell r="B33">
            <v>153</v>
          </cell>
          <cell r="C33" t="str">
            <v>1. januar 2013</v>
          </cell>
          <cell r="D33" t="str">
            <v>BUF Skolesupport</v>
          </cell>
          <cell r="F33">
            <v>160000</v>
          </cell>
          <cell r="H33">
            <v>0</v>
          </cell>
          <cell r="I33">
            <v>37103</v>
          </cell>
          <cell r="J33">
            <v>139</v>
          </cell>
          <cell r="K33">
            <v>40544</v>
          </cell>
          <cell r="L33" t="str">
            <v>BUF-Linde Alle 40-44 (Dagplejekontor)</v>
          </cell>
          <cell r="N33">
            <v>9933</v>
          </cell>
        </row>
        <row r="34">
          <cell r="A34">
            <v>53201</v>
          </cell>
          <cell r="B34">
            <v>154</v>
          </cell>
          <cell r="C34" t="str">
            <v>1.marts 2013</v>
          </cell>
          <cell r="D34" t="str">
            <v>KFF Biblioteket Njalsgade</v>
          </cell>
          <cell r="F34">
            <v>31937</v>
          </cell>
          <cell r="G34" t="str">
            <v>Årligt 38.325</v>
          </cell>
          <cell r="H34">
            <v>0</v>
          </cell>
          <cell r="I34">
            <v>20100</v>
          </cell>
          <cell r="J34" t="str">
            <v>Rådhuset</v>
          </cell>
          <cell r="K34">
            <v>40179</v>
          </cell>
          <cell r="L34" t="str">
            <v>SUF</v>
          </cell>
          <cell r="N34">
            <v>574430</v>
          </cell>
        </row>
        <row r="35">
          <cell r="A35">
            <v>28100</v>
          </cell>
          <cell r="B35">
            <v>728</v>
          </cell>
          <cell r="C35">
            <v>38846</v>
          </cell>
          <cell r="D35" t="str">
            <v>Enghavevej</v>
          </cell>
          <cell r="F35">
            <v>75118</v>
          </cell>
          <cell r="G35">
            <v>0</v>
          </cell>
          <cell r="H35">
            <v>0</v>
          </cell>
          <cell r="I35">
            <v>80005</v>
          </cell>
          <cell r="J35" t="str">
            <v>Rådhuset</v>
          </cell>
          <cell r="K35">
            <v>40179</v>
          </cell>
          <cell r="L35" t="str">
            <v>BIF</v>
          </cell>
          <cell r="N35">
            <v>514799</v>
          </cell>
        </row>
        <row r="36">
          <cell r="A36">
            <v>82500</v>
          </cell>
          <cell r="B36">
            <v>151</v>
          </cell>
          <cell r="C36">
            <v>40603</v>
          </cell>
          <cell r="D36" t="str">
            <v>BIF-Baldersgade 24</v>
          </cell>
          <cell r="F36">
            <v>96608</v>
          </cell>
          <cell r="H36">
            <v>0</v>
          </cell>
          <cell r="I36">
            <v>39630</v>
          </cell>
          <cell r="J36" t="str">
            <v>Rådhuset</v>
          </cell>
          <cell r="K36">
            <v>40179</v>
          </cell>
          <cell r="L36" t="str">
            <v>BUF</v>
          </cell>
          <cell r="N36">
            <v>588772</v>
          </cell>
        </row>
        <row r="37">
          <cell r="A37">
            <v>82505</v>
          </cell>
          <cell r="B37">
            <v>152</v>
          </cell>
          <cell r="C37">
            <v>40603</v>
          </cell>
          <cell r="D37" t="str">
            <v>BIF-Baldersgade 3B, 1. + 3. sal</v>
          </cell>
          <cell r="F37">
            <v>42418</v>
          </cell>
          <cell r="G37">
            <v>0</v>
          </cell>
          <cell r="H37">
            <v>0</v>
          </cell>
          <cell r="I37">
            <v>49700</v>
          </cell>
          <cell r="J37" t="str">
            <v>Rådhuset</v>
          </cell>
          <cell r="K37">
            <v>40179</v>
          </cell>
          <cell r="L37" t="str">
            <v>TMF</v>
          </cell>
          <cell r="N37">
            <v>551984</v>
          </cell>
        </row>
        <row r="38">
          <cell r="A38">
            <v>62400</v>
          </cell>
          <cell r="B38">
            <v>141</v>
          </cell>
          <cell r="C38">
            <v>40544</v>
          </cell>
          <cell r="D38" t="str">
            <v>SOF-Nørre Voldgade 15, 1. sal</v>
          </cell>
          <cell r="F38">
            <v>18618</v>
          </cell>
          <cell r="G38" t="str">
            <v>637 m2 af 28,19</v>
          </cell>
          <cell r="H38">
            <v>0</v>
          </cell>
          <cell r="I38">
            <v>60109</v>
          </cell>
          <cell r="J38" t="str">
            <v>Rådhuset</v>
          </cell>
          <cell r="K38">
            <v>40179</v>
          </cell>
          <cell r="L38" t="str">
            <v>SOF</v>
          </cell>
          <cell r="N38">
            <v>729644</v>
          </cell>
        </row>
        <row r="39">
          <cell r="A39">
            <v>60109</v>
          </cell>
          <cell r="B39">
            <v>142</v>
          </cell>
          <cell r="C39">
            <v>40544</v>
          </cell>
          <cell r="D39" t="str">
            <v>SOF-Nørre Voldgade 15, 1.2.4.5.sal</v>
          </cell>
          <cell r="F39">
            <v>54291</v>
          </cell>
          <cell r="G39" t="str">
            <v>1890 m2 af 28,19</v>
          </cell>
          <cell r="H39">
            <v>0</v>
          </cell>
          <cell r="I39">
            <v>11023</v>
          </cell>
          <cell r="J39" t="str">
            <v>Rådhuset</v>
          </cell>
          <cell r="K39">
            <v>40179</v>
          </cell>
          <cell r="L39" t="str">
            <v>ØKF</v>
          </cell>
          <cell r="N39">
            <v>4190160</v>
          </cell>
        </row>
        <row r="40">
          <cell r="A40">
            <v>67004</v>
          </cell>
          <cell r="B40">
            <v>143</v>
          </cell>
          <cell r="C40">
            <v>40544</v>
          </cell>
          <cell r="D40" t="str">
            <v>SOF-Nørre Voldgade 15, 5. sal</v>
          </cell>
          <cell r="F40">
            <v>1695</v>
          </cell>
          <cell r="G40" t="str">
            <v>58 m2 af 28,19</v>
          </cell>
          <cell r="H40">
            <v>0</v>
          </cell>
          <cell r="I40">
            <v>11023</v>
          </cell>
          <cell r="J40" t="str">
            <v>Rådhuset</v>
          </cell>
          <cell r="K40">
            <v>40179</v>
          </cell>
          <cell r="L40" t="str">
            <v>BR</v>
          </cell>
          <cell r="N40">
            <v>1104984</v>
          </cell>
        </row>
        <row r="41">
          <cell r="A41">
            <v>62300</v>
          </cell>
          <cell r="B41">
            <v>144</v>
          </cell>
          <cell r="C41">
            <v>40544</v>
          </cell>
          <cell r="D41" t="str">
            <v>SOF-Linne Gade 16, i port 2</v>
          </cell>
          <cell r="F41">
            <v>3799</v>
          </cell>
          <cell r="G41" t="str">
            <v>130 m2 af 28,19</v>
          </cell>
          <cell r="H41">
            <v>0</v>
          </cell>
          <cell r="I41" t="str">
            <v>Posteres</v>
          </cell>
          <cell r="J41" t="str">
            <v>Rådhuset</v>
          </cell>
          <cell r="K41">
            <v>40179</v>
          </cell>
          <cell r="L41" t="str">
            <v>KFF</v>
          </cell>
          <cell r="N41">
            <v>1710545</v>
          </cell>
        </row>
        <row r="42">
          <cell r="A42">
            <v>33410</v>
          </cell>
          <cell r="B42">
            <v>145</v>
          </cell>
          <cell r="C42">
            <v>40544</v>
          </cell>
          <cell r="D42" t="str">
            <v>BUF-Nørre Voldgade 15, 3.5. sal</v>
          </cell>
          <cell r="F42">
            <v>16448</v>
          </cell>
          <cell r="G42" t="str">
            <v>60% af 938 m2 af 28,19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N42">
            <v>0</v>
          </cell>
        </row>
        <row r="43">
          <cell r="A43">
            <v>39851</v>
          </cell>
          <cell r="B43">
            <v>146</v>
          </cell>
          <cell r="C43">
            <v>40544</v>
          </cell>
          <cell r="D43" t="str">
            <v>BUF-Frederiksborggade 15, 3.5. sal</v>
          </cell>
          <cell r="F43">
            <v>10966</v>
          </cell>
          <cell r="G43" t="str">
            <v>40% af 938 m2 af 28,19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N43">
            <v>0</v>
          </cell>
        </row>
        <row r="44">
          <cell r="A44">
            <v>31139</v>
          </cell>
          <cell r="B44">
            <v>111</v>
          </cell>
          <cell r="C44">
            <v>40634</v>
          </cell>
          <cell r="D44" t="str">
            <v>BUF-Gasværksvej 22 (skole)</v>
          </cell>
          <cell r="F44">
            <v>59597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N44">
            <v>0</v>
          </cell>
        </row>
        <row r="45">
          <cell r="A45">
            <v>0</v>
          </cell>
          <cell r="B45" t="str">
            <v>Forsættes i højre side</v>
          </cell>
          <cell r="F45">
            <v>2163045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N45">
            <v>0</v>
          </cell>
        </row>
        <row r="46">
          <cell r="A46">
            <v>0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J46" t="str">
            <v>Årligt</v>
          </cell>
          <cell r="K46">
            <v>0</v>
          </cell>
          <cell r="L46">
            <v>0</v>
          </cell>
          <cell r="M46">
            <v>0</v>
          </cell>
          <cell r="N46">
            <v>12554306</v>
          </cell>
        </row>
        <row r="47">
          <cell r="A47">
            <v>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H48">
            <v>0</v>
          </cell>
          <cell r="J48" t="str">
            <v>Månedligt</v>
          </cell>
          <cell r="K48">
            <v>0</v>
          </cell>
          <cell r="L48">
            <v>0</v>
          </cell>
          <cell r="M48">
            <v>0</v>
          </cell>
          <cell r="N48">
            <v>1046192.1666666666</v>
          </cell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Øvrige Kontrakter 2013"/>
      <sheetName val="Karsten Pøhl (ØKF)"/>
      <sheetName val="Koncern Service"/>
      <sheetName val="Ark2"/>
      <sheetName val="Øvrige Kontrakter 2012"/>
      <sheetName val="Øvrige Kontrakter 2014"/>
    </sheetNames>
    <sheetDataSet>
      <sheetData sheetId="0">
        <row r="44">
          <cell r="K44">
            <v>2986291</v>
          </cell>
        </row>
      </sheetData>
      <sheetData sheetId="1"/>
      <sheetData sheetId="2"/>
      <sheetData sheetId="3"/>
      <sheetData sheetId="4" refreshError="1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Øvrige Kontrakter 2012"/>
      <sheetName val="Karsten Pøhl (ØKF)"/>
      <sheetName val="Koncern Service"/>
      <sheetName val="Ark2"/>
      <sheetName val="Øvrige Kontrakter 2013"/>
    </sheetNames>
    <sheetDataSet>
      <sheetData sheetId="0">
        <row r="43">
          <cell r="K43">
            <v>3533299</v>
          </cell>
        </row>
      </sheetData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N160"/>
  <sheetViews>
    <sheetView zoomScale="67" zoomScaleNormal="67" workbookViewId="0">
      <selection activeCell="O16" sqref="O16"/>
    </sheetView>
  </sheetViews>
  <sheetFormatPr defaultRowHeight="12.75"/>
  <cols>
    <col min="1" max="1" width="23.85546875" customWidth="1"/>
    <col min="2" max="2" width="13" customWidth="1"/>
    <col min="3" max="3" width="10.85546875" customWidth="1"/>
    <col min="4" max="4" width="12.7109375" customWidth="1"/>
    <col min="5" max="5" width="11.85546875" customWidth="1"/>
    <col min="6" max="8" width="10.85546875" customWidth="1"/>
    <col min="9" max="9" width="13" customWidth="1"/>
    <col min="10" max="10" width="25" customWidth="1"/>
  </cols>
  <sheetData>
    <row r="1" spans="1:10" ht="20.100000000000001" customHeight="1">
      <c r="A1" s="1" t="s">
        <v>0</v>
      </c>
      <c r="B1" s="1"/>
      <c r="D1" s="2"/>
      <c r="E1" s="2"/>
    </row>
    <row r="2" spans="1:10" ht="20.100000000000001" customHeight="1">
      <c r="A2" s="3" t="s">
        <v>1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0" ht="20.100000000000001" customHeight="1">
      <c r="A3" s="9"/>
      <c r="B3" s="10" t="s">
        <v>11</v>
      </c>
      <c r="C3" s="10" t="s">
        <v>11</v>
      </c>
      <c r="D3" s="10" t="s">
        <v>11</v>
      </c>
      <c r="E3" s="10" t="s">
        <v>11</v>
      </c>
      <c r="F3" s="11" t="s">
        <v>12</v>
      </c>
      <c r="G3" s="12"/>
      <c r="H3" s="13"/>
      <c r="I3" s="14"/>
      <c r="J3" s="15"/>
    </row>
    <row r="4" spans="1:10" ht="20.100000000000001" customHeight="1">
      <c r="A4" s="16" t="s">
        <v>13</v>
      </c>
      <c r="B4" s="17">
        <v>7.75</v>
      </c>
      <c r="C4" s="17">
        <v>7.75</v>
      </c>
      <c r="D4" s="17">
        <v>7.75</v>
      </c>
      <c r="E4" s="17">
        <v>7.75</v>
      </c>
      <c r="F4" s="18">
        <v>6</v>
      </c>
      <c r="G4" s="19"/>
      <c r="H4" s="20"/>
      <c r="I4" s="21">
        <f>SUM(B4:H4)</f>
        <v>37</v>
      </c>
      <c r="J4" s="22"/>
    </row>
    <row r="5" spans="1:10" ht="20.100000000000001" customHeight="1"/>
    <row r="6" spans="1:10" ht="20.100000000000001" customHeight="1">
      <c r="A6" s="1" t="s">
        <v>14</v>
      </c>
      <c r="B6" s="1"/>
      <c r="D6" s="2"/>
      <c r="E6" s="2"/>
    </row>
    <row r="7" spans="1:10" ht="18" customHeight="1">
      <c r="A7" s="23" t="s">
        <v>15</v>
      </c>
      <c r="B7" s="24" t="s">
        <v>2</v>
      </c>
      <c r="C7" s="25" t="s">
        <v>3</v>
      </c>
      <c r="D7" s="25" t="s">
        <v>4</v>
      </c>
      <c r="E7" s="25" t="s">
        <v>5</v>
      </c>
      <c r="F7" s="25" t="s">
        <v>6</v>
      </c>
      <c r="G7" s="25" t="s">
        <v>7</v>
      </c>
      <c r="H7" s="26" t="s">
        <v>8</v>
      </c>
      <c r="I7" s="27" t="s">
        <v>9</v>
      </c>
      <c r="J7" s="28" t="s">
        <v>10</v>
      </c>
    </row>
    <row r="8" spans="1:10" ht="18" customHeight="1">
      <c r="A8" s="29"/>
      <c r="B8" s="30" t="s">
        <v>16</v>
      </c>
      <c r="C8" s="30" t="s">
        <v>17</v>
      </c>
      <c r="D8" s="31" t="s">
        <v>18</v>
      </c>
      <c r="E8" s="31" t="s">
        <v>18</v>
      </c>
      <c r="F8" s="31" t="s">
        <v>18</v>
      </c>
      <c r="G8" s="31" t="s">
        <v>19</v>
      </c>
      <c r="H8" s="31" t="s">
        <v>19</v>
      </c>
      <c r="I8" s="7"/>
      <c r="J8" s="32"/>
    </row>
    <row r="9" spans="1:10" ht="18" customHeight="1">
      <c r="A9" s="33" t="s">
        <v>20</v>
      </c>
      <c r="B9" s="34">
        <v>7.4</v>
      </c>
      <c r="C9" s="17">
        <v>8</v>
      </c>
      <c r="D9" s="18">
        <v>8</v>
      </c>
      <c r="E9" s="18">
        <v>8</v>
      </c>
      <c r="F9" s="18">
        <v>8</v>
      </c>
      <c r="G9" s="18">
        <v>12</v>
      </c>
      <c r="H9" s="35">
        <v>12</v>
      </c>
      <c r="I9" s="36">
        <f>SUM(B9:H9)</f>
        <v>63.4</v>
      </c>
      <c r="J9" s="37"/>
    </row>
    <row r="10" spans="1:10" ht="18" customHeight="1">
      <c r="A10" s="38"/>
      <c r="B10" s="10" t="s">
        <v>18</v>
      </c>
      <c r="C10" s="10" t="s">
        <v>18</v>
      </c>
      <c r="D10" s="30" t="s">
        <v>16</v>
      </c>
      <c r="E10" s="30" t="s">
        <v>16</v>
      </c>
      <c r="F10" s="30" t="s">
        <v>16</v>
      </c>
      <c r="G10" s="11"/>
      <c r="H10" s="39"/>
      <c r="I10" s="14"/>
      <c r="J10" s="40"/>
    </row>
    <row r="11" spans="1:10" ht="18" customHeight="1">
      <c r="A11" s="16" t="s">
        <v>21</v>
      </c>
      <c r="B11" s="17">
        <v>8</v>
      </c>
      <c r="C11" s="18">
        <v>8</v>
      </c>
      <c r="D11" s="34">
        <v>7.4</v>
      </c>
      <c r="E11" s="34">
        <v>7.4</v>
      </c>
      <c r="F11" s="34">
        <v>7.4</v>
      </c>
      <c r="G11" s="18"/>
      <c r="H11" s="35"/>
      <c r="I11" s="36">
        <f>SUM(B11:H11)</f>
        <v>38.199999999999996</v>
      </c>
      <c r="J11" s="37"/>
    </row>
    <row r="12" spans="1:10" ht="18" customHeight="1">
      <c r="A12" s="41"/>
      <c r="B12" s="30" t="s">
        <v>22</v>
      </c>
      <c r="C12" s="30" t="s">
        <v>22</v>
      </c>
      <c r="D12" s="30" t="s">
        <v>22</v>
      </c>
      <c r="E12" s="30" t="s">
        <v>22</v>
      </c>
      <c r="F12" s="30" t="s">
        <v>22</v>
      </c>
      <c r="G12" s="31"/>
      <c r="H12" s="42"/>
      <c r="I12" s="7"/>
      <c r="J12" s="32"/>
    </row>
    <row r="13" spans="1:10" ht="18" customHeight="1">
      <c r="A13" s="16" t="s">
        <v>23</v>
      </c>
      <c r="B13" s="17">
        <v>8</v>
      </c>
      <c r="C13" s="18">
        <v>8</v>
      </c>
      <c r="D13" s="18">
        <v>8</v>
      </c>
      <c r="E13" s="18">
        <v>8</v>
      </c>
      <c r="F13" s="18">
        <v>8</v>
      </c>
      <c r="G13" s="18"/>
      <c r="H13" s="35"/>
      <c r="I13" s="36">
        <f>SUM(B13:H13)</f>
        <v>40</v>
      </c>
      <c r="J13" s="37"/>
    </row>
    <row r="14" spans="1:10" ht="18" customHeight="1">
      <c r="A14" s="41"/>
      <c r="B14" s="30" t="s">
        <v>24</v>
      </c>
      <c r="C14" s="30" t="s">
        <v>24</v>
      </c>
      <c r="D14" s="30" t="s">
        <v>24</v>
      </c>
      <c r="E14" s="30" t="s">
        <v>24</v>
      </c>
      <c r="F14" s="43" t="s">
        <v>24</v>
      </c>
      <c r="G14" s="44" t="s">
        <v>25</v>
      </c>
      <c r="H14" s="45" t="s">
        <v>25</v>
      </c>
      <c r="I14" s="7"/>
      <c r="J14" s="46"/>
    </row>
    <row r="15" spans="1:10" ht="18" customHeight="1">
      <c r="A15" s="47" t="s">
        <v>26</v>
      </c>
      <c r="B15" s="34">
        <v>8</v>
      </c>
      <c r="C15" s="34">
        <v>8</v>
      </c>
      <c r="D15" s="34">
        <v>8</v>
      </c>
      <c r="E15" s="34">
        <v>8</v>
      </c>
      <c r="F15" s="34">
        <v>8</v>
      </c>
      <c r="G15" s="34">
        <v>12</v>
      </c>
      <c r="H15" s="48">
        <v>12</v>
      </c>
      <c r="I15" s="36">
        <f>SUM(B15:H15)</f>
        <v>64</v>
      </c>
      <c r="J15" s="49"/>
    </row>
    <row r="16" spans="1:10" ht="18" customHeight="1">
      <c r="A16" s="41"/>
      <c r="B16" s="30" t="s">
        <v>16</v>
      </c>
      <c r="C16" s="30" t="s">
        <v>16</v>
      </c>
      <c r="D16" s="30" t="s">
        <v>16</v>
      </c>
      <c r="E16" s="30" t="s">
        <v>16</v>
      </c>
      <c r="F16" s="30" t="s">
        <v>16</v>
      </c>
      <c r="G16" s="50"/>
      <c r="H16" s="51"/>
      <c r="I16" s="7"/>
      <c r="J16" s="46"/>
    </row>
    <row r="17" spans="1:14" ht="18" customHeight="1">
      <c r="A17" s="47" t="s">
        <v>27</v>
      </c>
      <c r="B17" s="34">
        <v>7.4</v>
      </c>
      <c r="C17" s="34">
        <v>7.4</v>
      </c>
      <c r="D17" s="34">
        <v>7.4</v>
      </c>
      <c r="E17" s="34">
        <v>7.4</v>
      </c>
      <c r="F17" s="34">
        <v>7.4</v>
      </c>
      <c r="G17" s="52"/>
      <c r="H17" s="53"/>
      <c r="I17" s="36">
        <f>SUM(B17:H17)</f>
        <v>37</v>
      </c>
      <c r="J17" s="49"/>
    </row>
    <row r="18" spans="1:14" ht="18" customHeight="1">
      <c r="A18" s="38"/>
      <c r="B18" s="10" t="s">
        <v>24</v>
      </c>
      <c r="C18" s="10" t="s">
        <v>24</v>
      </c>
      <c r="D18" s="10" t="s">
        <v>24</v>
      </c>
      <c r="E18" s="10" t="s">
        <v>24</v>
      </c>
      <c r="F18" s="10" t="s">
        <v>24</v>
      </c>
      <c r="G18" s="54"/>
      <c r="H18" s="55"/>
      <c r="I18" s="30" t="s">
        <v>28</v>
      </c>
      <c r="J18" s="56"/>
    </row>
    <row r="19" spans="1:14" ht="18" customHeight="1">
      <c r="A19" s="47" t="s">
        <v>29</v>
      </c>
      <c r="B19" s="34">
        <v>8</v>
      </c>
      <c r="C19" s="34">
        <v>8</v>
      </c>
      <c r="D19" s="34">
        <v>8</v>
      </c>
      <c r="E19" s="34">
        <v>8</v>
      </c>
      <c r="F19" s="34">
        <v>8</v>
      </c>
      <c r="G19" s="52"/>
      <c r="H19" s="57"/>
      <c r="I19" s="36">
        <f>SUM(B19:H19)</f>
        <v>40</v>
      </c>
      <c r="J19" s="49"/>
    </row>
    <row r="20" spans="1:14" ht="18" customHeight="1">
      <c r="A20" s="58" t="s">
        <v>30</v>
      </c>
      <c r="B20" s="58">
        <f t="shared" ref="B20:I20" si="0">SUM(B9,B11,B13,B15,B17,B19)</f>
        <v>46.8</v>
      </c>
      <c r="C20" s="58">
        <f t="shared" si="0"/>
        <v>47.4</v>
      </c>
      <c r="D20" s="58">
        <f t="shared" si="0"/>
        <v>46.8</v>
      </c>
      <c r="E20" s="58">
        <f t="shared" si="0"/>
        <v>46.8</v>
      </c>
      <c r="F20" s="58">
        <f t="shared" si="0"/>
        <v>46.8</v>
      </c>
      <c r="G20" s="58">
        <f t="shared" si="0"/>
        <v>24</v>
      </c>
      <c r="H20" s="58">
        <f t="shared" si="0"/>
        <v>24</v>
      </c>
      <c r="I20" s="58">
        <f t="shared" si="0"/>
        <v>282.60000000000002</v>
      </c>
      <c r="J20" s="59"/>
    </row>
    <row r="21" spans="1:14" ht="18" customHeight="1">
      <c r="D21" s="2"/>
      <c r="E21" s="2"/>
    </row>
    <row r="22" spans="1:14" ht="18" customHeight="1">
      <c r="A22" s="60" t="s">
        <v>31</v>
      </c>
      <c r="D22" s="2"/>
      <c r="E22" s="2"/>
    </row>
    <row r="23" spans="1:14" ht="18" customHeight="1">
      <c r="A23" s="61" t="s">
        <v>32</v>
      </c>
      <c r="B23" s="62" t="s">
        <v>2</v>
      </c>
      <c r="C23" s="63" t="s">
        <v>3</v>
      </c>
      <c r="D23" s="63" t="s">
        <v>4</v>
      </c>
      <c r="E23" s="63" t="s">
        <v>5</v>
      </c>
      <c r="F23" s="63" t="s">
        <v>6</v>
      </c>
      <c r="G23" s="63" t="s">
        <v>7</v>
      </c>
      <c r="H23" s="64" t="s">
        <v>8</v>
      </c>
      <c r="I23" s="65" t="s">
        <v>9</v>
      </c>
      <c r="J23" s="66" t="s">
        <v>10</v>
      </c>
    </row>
    <row r="24" spans="1:14" ht="18" customHeight="1">
      <c r="A24" s="41"/>
      <c r="B24" s="30" t="s">
        <v>33</v>
      </c>
      <c r="C24" s="30" t="s">
        <v>33</v>
      </c>
      <c r="D24" s="30" t="s">
        <v>33</v>
      </c>
      <c r="E24" s="30" t="s">
        <v>33</v>
      </c>
      <c r="F24" s="31" t="s">
        <v>34</v>
      </c>
      <c r="G24" s="31"/>
      <c r="H24" s="42"/>
      <c r="I24" s="7"/>
      <c r="J24" s="67"/>
    </row>
    <row r="25" spans="1:14" ht="18" customHeight="1">
      <c r="A25" s="16" t="s">
        <v>35</v>
      </c>
      <c r="B25" s="17">
        <v>7.75</v>
      </c>
      <c r="C25" s="17">
        <v>7.75</v>
      </c>
      <c r="D25" s="17">
        <v>7.75</v>
      </c>
      <c r="E25" s="17">
        <v>7.75</v>
      </c>
      <c r="F25" s="18">
        <v>6</v>
      </c>
      <c r="G25" s="18"/>
      <c r="H25" s="35"/>
      <c r="I25" s="36">
        <f>SUM(B25:H25)</f>
        <v>37</v>
      </c>
      <c r="J25" s="68"/>
    </row>
    <row r="26" spans="1:14" ht="18" customHeight="1">
      <c r="A26" s="41"/>
      <c r="B26" s="30" t="s">
        <v>33</v>
      </c>
      <c r="C26" s="30" t="s">
        <v>33</v>
      </c>
      <c r="D26" s="30" t="s">
        <v>33</v>
      </c>
      <c r="E26" s="30" t="s">
        <v>33</v>
      </c>
      <c r="F26" s="31" t="s">
        <v>34</v>
      </c>
      <c r="G26" s="31"/>
      <c r="H26" s="42"/>
      <c r="I26" s="7"/>
      <c r="J26" s="67"/>
    </row>
    <row r="27" spans="1:14" ht="18" customHeight="1">
      <c r="A27" s="16" t="s">
        <v>36</v>
      </c>
      <c r="B27" s="17">
        <v>7.75</v>
      </c>
      <c r="C27" s="17">
        <v>7.75</v>
      </c>
      <c r="D27" s="17">
        <v>7.75</v>
      </c>
      <c r="E27" s="17">
        <v>7.75</v>
      </c>
      <c r="F27" s="18">
        <v>6</v>
      </c>
      <c r="G27" s="18"/>
      <c r="H27" s="35"/>
      <c r="I27" s="36">
        <f>SUM(B27:H27)</f>
        <v>37</v>
      </c>
      <c r="J27" s="68"/>
      <c r="L27" s="69"/>
      <c r="M27" s="69"/>
      <c r="N27" s="69"/>
    </row>
    <row r="28" spans="1:14" ht="18" customHeight="1">
      <c r="A28" s="41"/>
      <c r="B28" s="30" t="s">
        <v>33</v>
      </c>
      <c r="C28" s="30" t="s">
        <v>33</v>
      </c>
      <c r="D28" s="30" t="s">
        <v>33</v>
      </c>
      <c r="E28" s="30" t="s">
        <v>33</v>
      </c>
      <c r="F28" s="31" t="s">
        <v>34</v>
      </c>
      <c r="G28" s="31"/>
      <c r="H28" s="42"/>
      <c r="I28" s="7"/>
      <c r="J28" s="67"/>
    </row>
    <row r="29" spans="1:14" ht="18" customHeight="1">
      <c r="A29" s="16" t="s">
        <v>37</v>
      </c>
      <c r="B29" s="17">
        <v>7.75</v>
      </c>
      <c r="C29" s="17">
        <v>7.75</v>
      </c>
      <c r="D29" s="17">
        <v>7.75</v>
      </c>
      <c r="E29" s="17">
        <v>7.75</v>
      </c>
      <c r="F29" s="18">
        <v>6</v>
      </c>
      <c r="G29" s="18"/>
      <c r="H29" s="35"/>
      <c r="I29" s="36">
        <f>SUM(B29:H29)</f>
        <v>37</v>
      </c>
      <c r="J29" s="68"/>
    </row>
    <row r="30" spans="1:14" ht="18" customHeight="1">
      <c r="A30" s="58" t="s">
        <v>30</v>
      </c>
      <c r="B30" s="58">
        <f t="shared" ref="B30:I30" si="1">SUM(B25,B27,B29)</f>
        <v>23.25</v>
      </c>
      <c r="C30" s="58">
        <f t="shared" si="1"/>
        <v>23.25</v>
      </c>
      <c r="D30" s="58">
        <f t="shared" si="1"/>
        <v>23.25</v>
      </c>
      <c r="E30" s="58">
        <f t="shared" si="1"/>
        <v>23.25</v>
      </c>
      <c r="F30" s="58">
        <f t="shared" si="1"/>
        <v>18</v>
      </c>
      <c r="G30" s="58">
        <f t="shared" si="1"/>
        <v>0</v>
      </c>
      <c r="H30" s="58">
        <f t="shared" si="1"/>
        <v>0</v>
      </c>
      <c r="I30" s="70">
        <f t="shared" si="1"/>
        <v>111</v>
      </c>
      <c r="J30" s="71"/>
    </row>
    <row r="31" spans="1:14" ht="18" customHeight="1">
      <c r="A31" s="72"/>
      <c r="B31" s="72"/>
      <c r="C31" s="72"/>
      <c r="D31" s="72"/>
      <c r="E31" s="72"/>
      <c r="F31" s="72"/>
      <c r="G31" s="72"/>
      <c r="H31" s="72"/>
      <c r="I31" s="72"/>
      <c r="J31" s="73"/>
    </row>
    <row r="32" spans="1:14" ht="18" customHeight="1">
      <c r="A32" s="72"/>
      <c r="B32" s="72"/>
      <c r="C32" s="72"/>
      <c r="D32" s="72"/>
      <c r="E32" s="72"/>
      <c r="F32" s="72"/>
      <c r="G32" s="72"/>
      <c r="H32" s="72"/>
      <c r="I32" s="72"/>
      <c r="J32" s="73"/>
    </row>
    <row r="33" spans="1:14" ht="18" customHeight="1">
      <c r="A33" s="1" t="s">
        <v>38</v>
      </c>
      <c r="B33" s="72"/>
      <c r="C33" s="72"/>
      <c r="D33" s="72"/>
      <c r="E33" s="72"/>
      <c r="F33" s="72"/>
    </row>
    <row r="34" spans="1:14" ht="18" customHeight="1">
      <c r="A34" s="3" t="s">
        <v>39</v>
      </c>
      <c r="B34" s="4" t="s">
        <v>2</v>
      </c>
      <c r="C34" s="5" t="s">
        <v>3</v>
      </c>
      <c r="D34" s="5" t="s">
        <v>4</v>
      </c>
      <c r="E34" s="5" t="s">
        <v>5</v>
      </c>
      <c r="F34" s="5" t="s">
        <v>6</v>
      </c>
      <c r="G34" s="5" t="s">
        <v>7</v>
      </c>
      <c r="H34" s="6" t="s">
        <v>8</v>
      </c>
      <c r="I34" s="7" t="s">
        <v>9</v>
      </c>
      <c r="J34" s="8" t="s">
        <v>10</v>
      </c>
    </row>
    <row r="35" spans="1:14" ht="18" customHeight="1">
      <c r="A35" s="74" t="s">
        <v>40</v>
      </c>
      <c r="B35" s="75" t="s">
        <v>41</v>
      </c>
      <c r="C35" s="75" t="s">
        <v>41</v>
      </c>
      <c r="D35" s="76" t="s">
        <v>18</v>
      </c>
      <c r="E35" s="76" t="s">
        <v>18</v>
      </c>
      <c r="F35" s="76" t="s">
        <v>18</v>
      </c>
      <c r="G35" s="77" t="s">
        <v>19</v>
      </c>
      <c r="H35" s="78" t="s">
        <v>18</v>
      </c>
      <c r="I35" s="14"/>
      <c r="J35" s="40"/>
      <c r="L35" s="79" t="s">
        <v>42</v>
      </c>
      <c r="M35" s="79"/>
    </row>
    <row r="36" spans="1:14" ht="18" customHeight="1">
      <c r="A36" s="80" t="s">
        <v>43</v>
      </c>
      <c r="B36" s="81">
        <v>7.75</v>
      </c>
      <c r="C36" s="81">
        <v>7.75</v>
      </c>
      <c r="D36" s="82">
        <v>8</v>
      </c>
      <c r="E36" s="82">
        <v>8</v>
      </c>
      <c r="F36" s="82">
        <v>8</v>
      </c>
      <c r="G36" s="83">
        <v>12</v>
      </c>
      <c r="H36" s="84">
        <v>8</v>
      </c>
      <c r="I36" s="36">
        <f>SUM(B36:H36)</f>
        <v>59.5</v>
      </c>
      <c r="J36" s="85"/>
      <c r="L36" s="86" t="s">
        <v>44</v>
      </c>
      <c r="M36" s="86"/>
    </row>
    <row r="37" spans="1:14" ht="18" customHeight="1">
      <c r="A37" s="87"/>
      <c r="B37" s="30" t="s">
        <v>17</v>
      </c>
      <c r="C37" s="31" t="s">
        <v>34</v>
      </c>
      <c r="D37" s="88" t="s">
        <v>45</v>
      </c>
      <c r="E37" s="88" t="s">
        <v>45</v>
      </c>
      <c r="F37" s="88" t="s">
        <v>45</v>
      </c>
      <c r="G37" s="88" t="s">
        <v>46</v>
      </c>
      <c r="H37" s="89" t="s">
        <v>45</v>
      </c>
      <c r="I37" s="7"/>
      <c r="J37" s="32"/>
      <c r="L37" s="90" t="s">
        <v>47</v>
      </c>
      <c r="M37" s="90"/>
    </row>
    <row r="38" spans="1:14" ht="18" customHeight="1">
      <c r="A38" s="80" t="s">
        <v>48</v>
      </c>
      <c r="B38" s="17">
        <v>8</v>
      </c>
      <c r="C38" s="18">
        <v>6</v>
      </c>
      <c r="D38" s="91">
        <v>7</v>
      </c>
      <c r="E38" s="91">
        <v>7</v>
      </c>
      <c r="F38" s="91">
        <v>7</v>
      </c>
      <c r="G38" s="91">
        <v>11</v>
      </c>
      <c r="H38" s="92">
        <v>7</v>
      </c>
      <c r="I38" s="36">
        <f>SUM(B38:H38)</f>
        <v>53</v>
      </c>
      <c r="J38" s="37"/>
    </row>
    <row r="39" spans="1:14" ht="18" customHeight="1">
      <c r="A39" s="87"/>
      <c r="B39" s="30" t="s">
        <v>16</v>
      </c>
      <c r="C39" s="30" t="s">
        <v>16</v>
      </c>
      <c r="D39" s="88" t="s">
        <v>45</v>
      </c>
      <c r="E39" s="88" t="s">
        <v>45</v>
      </c>
      <c r="F39" s="88" t="s">
        <v>45</v>
      </c>
      <c r="G39" s="88" t="s">
        <v>46</v>
      </c>
      <c r="H39" s="89" t="s">
        <v>45</v>
      </c>
      <c r="I39" s="7"/>
      <c r="J39" s="32"/>
      <c r="L39" s="93" t="s">
        <v>49</v>
      </c>
      <c r="M39" s="93" t="s">
        <v>50</v>
      </c>
    </row>
    <row r="40" spans="1:14" ht="18" customHeight="1">
      <c r="A40" s="80" t="s">
        <v>51</v>
      </c>
      <c r="B40" s="34">
        <v>7.4</v>
      </c>
      <c r="C40" s="34">
        <v>7.4</v>
      </c>
      <c r="D40" s="91">
        <v>7</v>
      </c>
      <c r="E40" s="91">
        <v>7</v>
      </c>
      <c r="F40" s="91">
        <v>7</v>
      </c>
      <c r="G40" s="91">
        <v>11</v>
      </c>
      <c r="H40" s="92">
        <v>7</v>
      </c>
      <c r="I40" s="36">
        <f>SUM(B40:H40)</f>
        <v>53.8</v>
      </c>
      <c r="J40" s="37"/>
    </row>
    <row r="41" spans="1:14" ht="18" customHeight="1">
      <c r="A41" s="94" t="s">
        <v>52</v>
      </c>
      <c r="B41" s="88" t="s">
        <v>45</v>
      </c>
      <c r="C41" s="88" t="s">
        <v>45</v>
      </c>
      <c r="D41" s="30" t="s">
        <v>16</v>
      </c>
      <c r="E41" s="30" t="s">
        <v>16</v>
      </c>
      <c r="F41" s="30" t="s">
        <v>16</v>
      </c>
      <c r="G41" s="45"/>
      <c r="H41" s="51"/>
      <c r="I41" s="7"/>
      <c r="J41" s="46"/>
    </row>
    <row r="42" spans="1:14" ht="18" customHeight="1">
      <c r="A42" s="80" t="s">
        <v>53</v>
      </c>
      <c r="B42" s="91">
        <v>7</v>
      </c>
      <c r="C42" s="91">
        <v>7</v>
      </c>
      <c r="D42" s="34">
        <v>7.4</v>
      </c>
      <c r="E42" s="34">
        <v>7.4</v>
      </c>
      <c r="F42" s="34">
        <v>7.4</v>
      </c>
      <c r="G42" s="52"/>
      <c r="H42" s="53"/>
      <c r="I42" s="36">
        <f>SUM(B42:H42)</f>
        <v>36.199999999999996</v>
      </c>
      <c r="J42" s="49"/>
    </row>
    <row r="43" spans="1:14" ht="18" customHeight="1">
      <c r="A43" s="87"/>
      <c r="B43" s="76" t="s">
        <v>18</v>
      </c>
      <c r="C43" s="76" t="s">
        <v>18</v>
      </c>
      <c r="D43" s="30" t="s">
        <v>16</v>
      </c>
      <c r="E43" s="30" t="s">
        <v>16</v>
      </c>
      <c r="F43" s="30" t="s">
        <v>16</v>
      </c>
      <c r="G43" s="50"/>
      <c r="H43" s="51"/>
      <c r="I43" s="7"/>
      <c r="J43" s="46"/>
    </row>
    <row r="44" spans="1:14" ht="18" customHeight="1">
      <c r="A44" s="95" t="s">
        <v>54</v>
      </c>
      <c r="B44" s="82">
        <v>8</v>
      </c>
      <c r="C44" s="82">
        <v>8</v>
      </c>
      <c r="D44" s="34">
        <v>7.4</v>
      </c>
      <c r="E44" s="34">
        <v>7.4</v>
      </c>
      <c r="F44" s="34">
        <v>7.4</v>
      </c>
      <c r="G44" s="52"/>
      <c r="H44" s="53"/>
      <c r="I44" s="36">
        <f>SUM(B44:H44)</f>
        <v>38.199999999999996</v>
      </c>
      <c r="J44" s="49"/>
      <c r="L44" s="96" t="s">
        <v>55</v>
      </c>
      <c r="M44" s="96"/>
      <c r="N44" s="96"/>
    </row>
    <row r="45" spans="1:14" ht="18" customHeight="1">
      <c r="A45" s="97"/>
      <c r="B45" s="88" t="s">
        <v>45</v>
      </c>
      <c r="C45" s="88" t="s">
        <v>45</v>
      </c>
      <c r="D45" s="30" t="s">
        <v>16</v>
      </c>
      <c r="E45" s="30" t="s">
        <v>16</v>
      </c>
      <c r="F45" s="30" t="s">
        <v>16</v>
      </c>
      <c r="G45" s="54"/>
      <c r="H45" s="55"/>
      <c r="I45" s="14"/>
      <c r="J45" s="56"/>
      <c r="L45" s="98" t="s">
        <v>56</v>
      </c>
      <c r="M45" s="98"/>
      <c r="N45" s="98"/>
    </row>
    <row r="46" spans="1:14" ht="18" customHeight="1">
      <c r="A46" s="95" t="s">
        <v>57</v>
      </c>
      <c r="B46" s="91">
        <v>7</v>
      </c>
      <c r="C46" s="91">
        <v>7</v>
      </c>
      <c r="D46" s="34">
        <v>7.4</v>
      </c>
      <c r="E46" s="34">
        <v>7.4</v>
      </c>
      <c r="F46" s="34">
        <v>7.4</v>
      </c>
      <c r="G46" s="52"/>
      <c r="H46" s="57"/>
      <c r="I46" s="36">
        <f>SUM(B46:H46)</f>
        <v>36.199999999999996</v>
      </c>
      <c r="J46" s="49"/>
      <c r="L46" s="99" t="s">
        <v>58</v>
      </c>
      <c r="M46" s="99"/>
      <c r="N46" s="99"/>
    </row>
    <row r="47" spans="1:14" ht="18" customHeight="1">
      <c r="A47" s="94" t="s">
        <v>59</v>
      </c>
      <c r="B47" s="100" t="s">
        <v>17</v>
      </c>
      <c r="C47" s="100" t="s">
        <v>17</v>
      </c>
      <c r="D47" s="100" t="s">
        <v>17</v>
      </c>
      <c r="E47" s="100" t="s">
        <v>17</v>
      </c>
      <c r="F47" s="100" t="s">
        <v>34</v>
      </c>
      <c r="G47" s="31"/>
      <c r="H47" s="42"/>
      <c r="I47" s="7"/>
      <c r="J47" s="32"/>
      <c r="L47" s="101" t="s">
        <v>60</v>
      </c>
      <c r="M47" s="101"/>
      <c r="N47" s="101"/>
    </row>
    <row r="48" spans="1:14" ht="18" customHeight="1">
      <c r="A48" s="95" t="s">
        <v>61</v>
      </c>
      <c r="B48" s="102">
        <v>8</v>
      </c>
      <c r="C48" s="102">
        <v>8</v>
      </c>
      <c r="D48" s="102">
        <v>8</v>
      </c>
      <c r="E48" s="102">
        <v>8</v>
      </c>
      <c r="F48" s="102">
        <v>6</v>
      </c>
      <c r="G48" s="18"/>
      <c r="H48" s="35"/>
      <c r="I48" s="36">
        <f>SUM(B48:H48)</f>
        <v>38</v>
      </c>
      <c r="J48" s="37"/>
    </row>
    <row r="49" spans="1:10" ht="18" customHeight="1">
      <c r="A49" s="87"/>
      <c r="B49" s="103" t="s">
        <v>17</v>
      </c>
      <c r="C49" s="103" t="s">
        <v>17</v>
      </c>
      <c r="D49" s="103" t="s">
        <v>17</v>
      </c>
      <c r="E49" s="103" t="s">
        <v>17</v>
      </c>
      <c r="F49" s="103" t="s">
        <v>34</v>
      </c>
      <c r="G49" s="45"/>
      <c r="H49" s="51"/>
      <c r="I49" s="7"/>
      <c r="J49" s="46"/>
    </row>
    <row r="50" spans="1:10" ht="18" customHeight="1">
      <c r="A50" s="80" t="s">
        <v>62</v>
      </c>
      <c r="B50" s="104">
        <v>8</v>
      </c>
      <c r="C50" s="104">
        <v>8</v>
      </c>
      <c r="D50" s="104">
        <v>8</v>
      </c>
      <c r="E50" s="104">
        <v>8</v>
      </c>
      <c r="F50" s="104">
        <v>6</v>
      </c>
      <c r="G50" s="52"/>
      <c r="H50" s="53"/>
      <c r="I50" s="36">
        <f>SUM(B50:H50)</f>
        <v>38</v>
      </c>
      <c r="J50" s="49"/>
    </row>
    <row r="51" spans="1:10" ht="18" customHeight="1">
      <c r="A51" s="87"/>
      <c r="B51" s="103" t="s">
        <v>17</v>
      </c>
      <c r="C51" s="103" t="s">
        <v>17</v>
      </c>
      <c r="D51" s="103" t="s">
        <v>17</v>
      </c>
      <c r="E51" s="103" t="s">
        <v>17</v>
      </c>
      <c r="F51" s="103" t="s">
        <v>34</v>
      </c>
      <c r="G51" s="50"/>
      <c r="H51" s="51"/>
      <c r="I51" s="7"/>
      <c r="J51" s="46"/>
    </row>
    <row r="52" spans="1:10" ht="18" customHeight="1">
      <c r="A52" s="80" t="s">
        <v>63</v>
      </c>
      <c r="B52" s="104">
        <v>8</v>
      </c>
      <c r="C52" s="104">
        <v>8</v>
      </c>
      <c r="D52" s="104">
        <v>8</v>
      </c>
      <c r="E52" s="104">
        <v>8</v>
      </c>
      <c r="F52" s="104">
        <v>6</v>
      </c>
      <c r="G52" s="52"/>
      <c r="H52" s="53"/>
      <c r="I52" s="36">
        <f>SUM(B52:H52)</f>
        <v>38</v>
      </c>
      <c r="J52" s="49"/>
    </row>
    <row r="53" spans="1:10" ht="18" customHeight="1">
      <c r="A53" s="74" t="s">
        <v>64</v>
      </c>
      <c r="B53" s="105" t="s">
        <v>65</v>
      </c>
      <c r="C53" s="105" t="s">
        <v>65</v>
      </c>
      <c r="D53" s="105" t="s">
        <v>65</v>
      </c>
      <c r="E53" s="105" t="s">
        <v>65</v>
      </c>
      <c r="F53" s="105" t="s">
        <v>65</v>
      </c>
      <c r="G53" s="54" t="s">
        <v>25</v>
      </c>
      <c r="H53" s="106" t="s">
        <v>65</v>
      </c>
      <c r="I53" s="14"/>
      <c r="J53" s="56"/>
    </row>
    <row r="54" spans="1:10" ht="18" customHeight="1">
      <c r="A54" s="80" t="s">
        <v>66</v>
      </c>
      <c r="B54" s="107">
        <v>7</v>
      </c>
      <c r="C54" s="107">
        <v>7</v>
      </c>
      <c r="D54" s="107">
        <v>7</v>
      </c>
      <c r="E54" s="107">
        <v>7</v>
      </c>
      <c r="F54" s="107">
        <v>7</v>
      </c>
      <c r="G54" s="34">
        <v>12</v>
      </c>
      <c r="H54" s="108">
        <v>7</v>
      </c>
      <c r="I54" s="36">
        <f>SUM(B54:H54)</f>
        <v>54</v>
      </c>
      <c r="J54" s="49"/>
    </row>
    <row r="55" spans="1:10" ht="18" customHeight="1">
      <c r="A55" s="87"/>
      <c r="B55" s="109" t="s">
        <v>24</v>
      </c>
      <c r="C55" s="109" t="s">
        <v>24</v>
      </c>
      <c r="D55" s="109" t="s">
        <v>24</v>
      </c>
      <c r="E55" s="109" t="s">
        <v>24</v>
      </c>
      <c r="F55" s="109" t="s">
        <v>24</v>
      </c>
      <c r="G55" s="31" t="s">
        <v>67</v>
      </c>
      <c r="H55" s="110" t="s">
        <v>24</v>
      </c>
      <c r="I55" s="7"/>
      <c r="J55" s="32"/>
    </row>
    <row r="56" spans="1:10" ht="18" customHeight="1">
      <c r="A56" s="111" t="s">
        <v>68</v>
      </c>
      <c r="B56" s="112">
        <v>8</v>
      </c>
      <c r="C56" s="112">
        <v>8</v>
      </c>
      <c r="D56" s="112">
        <v>8</v>
      </c>
      <c r="E56" s="112">
        <v>8</v>
      </c>
      <c r="F56" s="112">
        <v>8</v>
      </c>
      <c r="G56" s="18">
        <v>8</v>
      </c>
      <c r="H56" s="113">
        <v>8</v>
      </c>
      <c r="I56" s="36">
        <f>SUM(B56:H56)</f>
        <v>56</v>
      </c>
      <c r="J56" s="37"/>
    </row>
    <row r="57" spans="1:10" ht="18" customHeight="1">
      <c r="A57" s="87"/>
      <c r="B57" s="105" t="s">
        <v>65</v>
      </c>
      <c r="C57" s="105" t="s">
        <v>65</v>
      </c>
      <c r="D57" s="105" t="s">
        <v>65</v>
      </c>
      <c r="E57" s="105" t="s">
        <v>65</v>
      </c>
      <c r="F57" s="105" t="s">
        <v>65</v>
      </c>
      <c r="G57" s="54" t="s">
        <v>25</v>
      </c>
      <c r="H57" s="106" t="s">
        <v>65</v>
      </c>
      <c r="I57" s="7"/>
      <c r="J57" s="46"/>
    </row>
    <row r="58" spans="1:10" ht="18" customHeight="1">
      <c r="A58" s="80" t="s">
        <v>69</v>
      </c>
      <c r="B58" s="107">
        <v>7</v>
      </c>
      <c r="C58" s="107">
        <v>7</v>
      </c>
      <c r="D58" s="107">
        <v>7</v>
      </c>
      <c r="E58" s="107">
        <v>7</v>
      </c>
      <c r="F58" s="107">
        <v>7</v>
      </c>
      <c r="G58" s="34">
        <v>12</v>
      </c>
      <c r="H58" s="108">
        <v>7</v>
      </c>
      <c r="I58" s="36">
        <f>SUM(B58:H58)</f>
        <v>54</v>
      </c>
      <c r="J58" s="49"/>
    </row>
    <row r="59" spans="1:10" ht="18" customHeight="1">
      <c r="A59" s="94" t="s">
        <v>70</v>
      </c>
      <c r="B59" s="30" t="s">
        <v>16</v>
      </c>
      <c r="C59" s="30" t="s">
        <v>16</v>
      </c>
      <c r="D59" s="103" t="s">
        <v>17</v>
      </c>
      <c r="E59" s="103" t="s">
        <v>17</v>
      </c>
      <c r="F59" s="103" t="s">
        <v>34</v>
      </c>
      <c r="G59" s="50"/>
      <c r="H59" s="51"/>
      <c r="I59" s="7"/>
      <c r="J59" s="46"/>
    </row>
    <row r="60" spans="1:10" ht="18" customHeight="1">
      <c r="A60" s="95" t="s">
        <v>71</v>
      </c>
      <c r="B60" s="34">
        <v>7.4</v>
      </c>
      <c r="C60" s="34">
        <v>7.4</v>
      </c>
      <c r="D60" s="104">
        <v>8</v>
      </c>
      <c r="E60" s="104">
        <v>8</v>
      </c>
      <c r="F60" s="104">
        <v>6</v>
      </c>
      <c r="G60" s="52"/>
      <c r="H60" s="53"/>
      <c r="I60" s="36">
        <f>SUM(B60:H60)</f>
        <v>36.799999999999997</v>
      </c>
      <c r="J60" s="49"/>
    </row>
    <row r="61" spans="1:10" ht="18" customHeight="1">
      <c r="A61" s="87"/>
      <c r="B61" s="30" t="s">
        <v>16</v>
      </c>
      <c r="C61" s="30" t="s">
        <v>16</v>
      </c>
      <c r="D61" s="114" t="s">
        <v>17</v>
      </c>
      <c r="E61" s="114" t="s">
        <v>17</v>
      </c>
      <c r="F61" s="114" t="s">
        <v>34</v>
      </c>
      <c r="G61" s="50"/>
      <c r="H61" s="51"/>
      <c r="I61" s="7"/>
      <c r="J61" s="46"/>
    </row>
    <row r="62" spans="1:10" ht="18" customHeight="1">
      <c r="A62" s="115" t="s">
        <v>72</v>
      </c>
      <c r="B62" s="34">
        <v>7.4</v>
      </c>
      <c r="C62" s="34">
        <v>7.4</v>
      </c>
      <c r="D62" s="116">
        <v>8</v>
      </c>
      <c r="E62" s="116">
        <v>8</v>
      </c>
      <c r="F62" s="116">
        <v>6</v>
      </c>
      <c r="G62" s="52"/>
      <c r="H62" s="53"/>
      <c r="I62" s="36">
        <f>SUM(B62:H62)</f>
        <v>36.799999999999997</v>
      </c>
      <c r="J62" s="49"/>
    </row>
    <row r="63" spans="1:10" ht="18" customHeight="1">
      <c r="A63" s="97"/>
      <c r="B63" s="30" t="s">
        <v>16</v>
      </c>
      <c r="C63" s="30" t="s">
        <v>16</v>
      </c>
      <c r="D63" s="75" t="s">
        <v>41</v>
      </c>
      <c r="E63" s="75" t="s">
        <v>41</v>
      </c>
      <c r="F63" s="75" t="s">
        <v>41</v>
      </c>
      <c r="G63" s="54"/>
      <c r="H63" s="55"/>
      <c r="I63" s="14"/>
      <c r="J63" s="56"/>
    </row>
    <row r="64" spans="1:10" ht="18" customHeight="1">
      <c r="A64" s="80" t="s">
        <v>73</v>
      </c>
      <c r="B64" s="34">
        <v>7.4</v>
      </c>
      <c r="C64" s="34">
        <v>7.4</v>
      </c>
      <c r="D64" s="117">
        <v>7.75</v>
      </c>
      <c r="E64" s="117">
        <v>7.75</v>
      </c>
      <c r="F64" s="117">
        <v>7.75</v>
      </c>
      <c r="G64" s="52"/>
      <c r="H64" s="57"/>
      <c r="I64" s="36">
        <f>SUM(B64:H64)</f>
        <v>38.049999999999997</v>
      </c>
      <c r="J64" s="49"/>
    </row>
    <row r="65" spans="1:10" ht="18" customHeight="1">
      <c r="A65" s="58" t="s">
        <v>30</v>
      </c>
      <c r="B65" s="58">
        <f t="shared" ref="B65:I65" si="2">SUM(B36,B38,B40,B42,B44,B46,B48,B50,B52,B54,B56,B58,B60,B62,B64)</f>
        <v>113.35000000000002</v>
      </c>
      <c r="C65" s="58">
        <f t="shared" si="2"/>
        <v>111.35000000000002</v>
      </c>
      <c r="D65" s="58">
        <f t="shared" si="2"/>
        <v>113.94999999999999</v>
      </c>
      <c r="E65" s="58">
        <f t="shared" si="2"/>
        <v>113.94999999999999</v>
      </c>
      <c r="F65" s="58">
        <f t="shared" si="2"/>
        <v>103.94999999999999</v>
      </c>
      <c r="G65" s="58">
        <f t="shared" si="2"/>
        <v>66</v>
      </c>
      <c r="H65" s="58">
        <f t="shared" si="2"/>
        <v>44</v>
      </c>
      <c r="I65" s="70">
        <f t="shared" si="2"/>
        <v>666.54999999999984</v>
      </c>
      <c r="J65" s="59"/>
    </row>
    <row r="66" spans="1:10" ht="18" customHeight="1">
      <c r="A66" s="1" t="s">
        <v>74</v>
      </c>
      <c r="B66" s="72"/>
      <c r="C66" s="72"/>
      <c r="D66" s="72"/>
      <c r="E66" s="72"/>
      <c r="F66" s="72"/>
    </row>
    <row r="67" spans="1:10" ht="18" customHeight="1">
      <c r="A67" s="61" t="s">
        <v>75</v>
      </c>
      <c r="B67" s="62" t="s">
        <v>2</v>
      </c>
      <c r="C67" s="63" t="s">
        <v>3</v>
      </c>
      <c r="D67" s="63" t="s">
        <v>4</v>
      </c>
      <c r="E67" s="63" t="s">
        <v>5</v>
      </c>
      <c r="F67" s="63" t="s">
        <v>6</v>
      </c>
      <c r="G67" s="63" t="s">
        <v>7</v>
      </c>
      <c r="H67" s="64" t="s">
        <v>8</v>
      </c>
      <c r="I67" s="65" t="s">
        <v>9</v>
      </c>
      <c r="J67" s="66" t="s">
        <v>10</v>
      </c>
    </row>
    <row r="68" spans="1:10" ht="18" customHeight="1">
      <c r="A68" s="41" t="s">
        <v>76</v>
      </c>
      <c r="B68" s="118" t="s">
        <v>77</v>
      </c>
      <c r="C68" s="118" t="s">
        <v>77</v>
      </c>
      <c r="D68" s="118" t="s">
        <v>77</v>
      </c>
      <c r="E68" s="118" t="s">
        <v>77</v>
      </c>
      <c r="F68" s="118" t="s">
        <v>77</v>
      </c>
      <c r="G68" s="5"/>
      <c r="H68" s="119"/>
      <c r="I68" s="118"/>
      <c r="J68" s="32"/>
    </row>
    <row r="69" spans="1:10" ht="18" customHeight="1">
      <c r="A69" s="120"/>
      <c r="B69" s="17">
        <v>7</v>
      </c>
      <c r="C69" s="17">
        <v>7</v>
      </c>
      <c r="D69" s="17">
        <v>7</v>
      </c>
      <c r="E69" s="17">
        <v>7</v>
      </c>
      <c r="F69" s="18">
        <v>7</v>
      </c>
      <c r="G69" s="19"/>
      <c r="H69" s="20"/>
      <c r="I69" s="36">
        <f>SUM(B69:H69)</f>
        <v>35</v>
      </c>
      <c r="J69" s="37"/>
    </row>
    <row r="70" spans="1:10" ht="18" customHeight="1">
      <c r="A70" s="38" t="s">
        <v>78</v>
      </c>
      <c r="B70" s="121" t="s">
        <v>79</v>
      </c>
      <c r="C70" s="121" t="s">
        <v>79</v>
      </c>
      <c r="D70" s="121" t="s">
        <v>79</v>
      </c>
      <c r="E70" s="121" t="s">
        <v>79</v>
      </c>
      <c r="F70" s="121" t="s">
        <v>80</v>
      </c>
      <c r="G70" s="12"/>
      <c r="H70" s="13"/>
      <c r="I70" s="122"/>
      <c r="J70" s="40"/>
    </row>
    <row r="71" spans="1:10" ht="18" customHeight="1">
      <c r="A71" s="123"/>
      <c r="B71" s="124">
        <v>7</v>
      </c>
      <c r="C71" s="124">
        <v>7</v>
      </c>
      <c r="D71" s="124">
        <v>7</v>
      </c>
      <c r="E71" s="124">
        <v>7</v>
      </c>
      <c r="F71" s="125">
        <v>6</v>
      </c>
      <c r="G71" s="126"/>
      <c r="H71" s="127"/>
      <c r="I71" s="36">
        <f>SUM(B71:H71)</f>
        <v>34</v>
      </c>
      <c r="J71" s="85"/>
    </row>
    <row r="72" spans="1:10" ht="18" customHeight="1">
      <c r="A72" s="41" t="s">
        <v>81</v>
      </c>
      <c r="B72" s="118" t="s">
        <v>82</v>
      </c>
      <c r="C72" s="118" t="s">
        <v>82</v>
      </c>
      <c r="D72" s="118" t="s">
        <v>82</v>
      </c>
      <c r="E72" s="118" t="s">
        <v>83</v>
      </c>
      <c r="F72" s="118" t="s">
        <v>84</v>
      </c>
      <c r="G72" s="118"/>
      <c r="H72" s="118" t="s">
        <v>22</v>
      </c>
      <c r="I72" s="118"/>
      <c r="J72" s="32"/>
    </row>
    <row r="73" spans="1:10" ht="18" customHeight="1">
      <c r="A73" s="16"/>
      <c r="B73" s="17">
        <v>6.5</v>
      </c>
      <c r="C73" s="17">
        <v>6.5</v>
      </c>
      <c r="D73" s="17">
        <v>6.5</v>
      </c>
      <c r="E73" s="18">
        <v>5.5</v>
      </c>
      <c r="F73" s="18">
        <v>7.25</v>
      </c>
      <c r="G73" s="18"/>
      <c r="H73" s="35">
        <v>8</v>
      </c>
      <c r="I73" s="36">
        <f>SUM(B73:H73)</f>
        <v>40.25</v>
      </c>
      <c r="J73" s="37"/>
    </row>
    <row r="74" spans="1:10" ht="18" customHeight="1">
      <c r="A74" s="58" t="s">
        <v>30</v>
      </c>
      <c r="B74" s="58">
        <f t="shared" ref="B74:I74" si="3">SUM(B69,B71,B73)</f>
        <v>20.5</v>
      </c>
      <c r="C74" s="58">
        <f t="shared" si="3"/>
        <v>20.5</v>
      </c>
      <c r="D74" s="58">
        <f t="shared" si="3"/>
        <v>20.5</v>
      </c>
      <c r="E74" s="58">
        <f t="shared" si="3"/>
        <v>19.5</v>
      </c>
      <c r="F74" s="58">
        <f t="shared" si="3"/>
        <v>20.25</v>
      </c>
      <c r="G74" s="58">
        <f t="shared" si="3"/>
        <v>0</v>
      </c>
      <c r="H74" s="58">
        <f t="shared" si="3"/>
        <v>8</v>
      </c>
      <c r="I74" s="70">
        <f t="shared" si="3"/>
        <v>109.25</v>
      </c>
      <c r="J74" s="71"/>
    </row>
    <row r="75" spans="1:10" ht="18" customHeight="1">
      <c r="A75" s="1" t="s">
        <v>85</v>
      </c>
      <c r="B75" s="72"/>
      <c r="C75" s="72"/>
      <c r="D75" s="72"/>
      <c r="E75" s="72"/>
      <c r="F75" s="72"/>
    </row>
    <row r="76" spans="1:10" ht="18" customHeight="1">
      <c r="A76" s="61" t="s">
        <v>86</v>
      </c>
      <c r="B76" s="62" t="s">
        <v>2</v>
      </c>
      <c r="C76" s="63" t="s">
        <v>3</v>
      </c>
      <c r="D76" s="63" t="s">
        <v>4</v>
      </c>
      <c r="E76" s="63" t="s">
        <v>5</v>
      </c>
      <c r="F76" s="63" t="s">
        <v>6</v>
      </c>
      <c r="G76" s="63" t="s">
        <v>7</v>
      </c>
      <c r="H76" s="64" t="s">
        <v>8</v>
      </c>
      <c r="I76" s="65" t="s">
        <v>9</v>
      </c>
      <c r="J76" s="66" t="s">
        <v>10</v>
      </c>
    </row>
    <row r="77" spans="1:10" ht="18" customHeight="1">
      <c r="A77" s="38" t="s">
        <v>87</v>
      </c>
      <c r="B77" s="121" t="s">
        <v>88</v>
      </c>
      <c r="C77" s="128" t="s">
        <v>88</v>
      </c>
      <c r="D77" s="122" t="s">
        <v>88</v>
      </c>
      <c r="E77" s="128" t="s">
        <v>88</v>
      </c>
      <c r="F77" s="121" t="s">
        <v>89</v>
      </c>
      <c r="G77" s="12"/>
      <c r="H77" s="13"/>
      <c r="I77" s="122"/>
      <c r="J77" s="40" t="s">
        <v>90</v>
      </c>
    </row>
    <row r="78" spans="1:10" ht="18" customHeight="1">
      <c r="A78" s="123"/>
      <c r="B78" s="124">
        <v>8</v>
      </c>
      <c r="C78" s="124">
        <v>8</v>
      </c>
      <c r="D78" s="124">
        <v>8</v>
      </c>
      <c r="E78" s="124">
        <v>8</v>
      </c>
      <c r="F78" s="125">
        <v>7</v>
      </c>
      <c r="G78" s="126"/>
      <c r="H78" s="127"/>
      <c r="I78" s="36">
        <f>SUM(B78:H78)</f>
        <v>39</v>
      </c>
      <c r="J78" s="85"/>
    </row>
    <row r="79" spans="1:10" ht="18" customHeight="1">
      <c r="A79" s="41" t="s">
        <v>91</v>
      </c>
      <c r="B79" s="118" t="s">
        <v>92</v>
      </c>
      <c r="C79" s="118" t="s">
        <v>92</v>
      </c>
      <c r="D79" s="118" t="s">
        <v>92</v>
      </c>
      <c r="E79" s="118" t="s">
        <v>92</v>
      </c>
      <c r="F79" s="118" t="s">
        <v>93</v>
      </c>
      <c r="G79" s="5"/>
      <c r="H79" s="119"/>
      <c r="I79" s="118"/>
      <c r="J79" s="32"/>
    </row>
    <row r="80" spans="1:10" ht="18" customHeight="1">
      <c r="A80" s="123"/>
      <c r="B80" s="124">
        <v>6.5</v>
      </c>
      <c r="C80" s="124">
        <v>6.5</v>
      </c>
      <c r="D80" s="124">
        <v>6.5</v>
      </c>
      <c r="E80" s="124">
        <v>6.5</v>
      </c>
      <c r="F80" s="125">
        <v>7</v>
      </c>
      <c r="G80" s="126"/>
      <c r="H80" s="127"/>
      <c r="I80" s="36">
        <f>SUM(B80:H80)</f>
        <v>33</v>
      </c>
      <c r="J80" s="85"/>
    </row>
    <row r="81" spans="1:10" ht="18" customHeight="1">
      <c r="A81" s="41" t="s">
        <v>94</v>
      </c>
      <c r="B81" s="30" t="s">
        <v>95</v>
      </c>
      <c r="C81" s="118" t="s">
        <v>96</v>
      </c>
      <c r="D81" s="118" t="s">
        <v>95</v>
      </c>
      <c r="E81" s="118" t="s">
        <v>95</v>
      </c>
      <c r="F81" s="118" t="s">
        <v>97</v>
      </c>
      <c r="G81" s="118" t="s">
        <v>98</v>
      </c>
      <c r="H81" s="31"/>
      <c r="I81" s="118"/>
      <c r="J81" s="32" t="s">
        <v>99</v>
      </c>
    </row>
    <row r="82" spans="1:10" ht="18" customHeight="1">
      <c r="A82" s="16"/>
      <c r="B82" s="17">
        <v>7</v>
      </c>
      <c r="C82" s="18">
        <v>4</v>
      </c>
      <c r="D82" s="18">
        <v>7</v>
      </c>
      <c r="E82" s="18">
        <v>7</v>
      </c>
      <c r="F82" s="18">
        <v>6.25</v>
      </c>
      <c r="G82" s="18">
        <v>6.5</v>
      </c>
      <c r="H82" s="35"/>
      <c r="I82" s="36">
        <f>SUM(B82:H82)</f>
        <v>37.75</v>
      </c>
      <c r="J82" s="37"/>
    </row>
    <row r="83" spans="1:10" ht="18" customHeight="1">
      <c r="A83" s="129" t="s">
        <v>100</v>
      </c>
      <c r="B83" s="130" t="s">
        <v>88</v>
      </c>
      <c r="C83" s="131" t="s">
        <v>88</v>
      </c>
      <c r="D83" s="122" t="s">
        <v>88</v>
      </c>
      <c r="E83" s="128" t="s">
        <v>88</v>
      </c>
      <c r="F83" s="128" t="s">
        <v>89</v>
      </c>
      <c r="G83" s="45"/>
      <c r="H83" s="51"/>
      <c r="I83" s="118"/>
      <c r="J83" s="40" t="s">
        <v>90</v>
      </c>
    </row>
    <row r="84" spans="1:10" ht="18" customHeight="1">
      <c r="A84" s="47"/>
      <c r="B84" s="34">
        <v>8</v>
      </c>
      <c r="C84" s="34">
        <v>8</v>
      </c>
      <c r="D84" s="34">
        <v>8</v>
      </c>
      <c r="E84" s="34">
        <v>8</v>
      </c>
      <c r="F84" s="34">
        <v>7</v>
      </c>
      <c r="G84" s="52"/>
      <c r="H84" s="53"/>
      <c r="I84" s="36">
        <f>SUM(B84:H84)</f>
        <v>39</v>
      </c>
      <c r="J84" s="49"/>
    </row>
    <row r="85" spans="1:10" ht="18" customHeight="1">
      <c r="A85" s="129" t="s">
        <v>101</v>
      </c>
      <c r="B85" s="122" t="s">
        <v>92</v>
      </c>
      <c r="C85" s="128" t="s">
        <v>92</v>
      </c>
      <c r="D85" s="128" t="s">
        <v>92</v>
      </c>
      <c r="E85" s="130" t="s">
        <v>92</v>
      </c>
      <c r="F85" s="128" t="s">
        <v>93</v>
      </c>
      <c r="G85" s="50"/>
      <c r="H85" s="51"/>
      <c r="I85" s="118"/>
      <c r="J85" s="46"/>
    </row>
    <row r="86" spans="1:10" ht="18" customHeight="1">
      <c r="A86" s="132"/>
      <c r="B86" s="133">
        <v>6.5</v>
      </c>
      <c r="C86" s="133">
        <v>6.5</v>
      </c>
      <c r="D86" s="133">
        <v>6.5</v>
      </c>
      <c r="E86" s="133">
        <v>6.5</v>
      </c>
      <c r="F86" s="133">
        <v>7</v>
      </c>
      <c r="G86" s="134"/>
      <c r="H86" s="135"/>
      <c r="I86" s="36">
        <f>SUM(B86:H86)</f>
        <v>33</v>
      </c>
      <c r="J86" s="136"/>
    </row>
    <row r="87" spans="1:10" ht="18" customHeight="1">
      <c r="A87" s="137" t="s">
        <v>102</v>
      </c>
      <c r="B87" s="118" t="s">
        <v>77</v>
      </c>
      <c r="C87" s="30" t="s">
        <v>77</v>
      </c>
      <c r="D87" s="118" t="s">
        <v>77</v>
      </c>
      <c r="E87" s="118" t="s">
        <v>77</v>
      </c>
      <c r="F87" s="30" t="s">
        <v>16</v>
      </c>
      <c r="G87" s="118"/>
      <c r="H87" s="30" t="s">
        <v>22</v>
      </c>
      <c r="I87" s="118"/>
      <c r="J87" s="46"/>
    </row>
    <row r="88" spans="1:10" ht="18" customHeight="1">
      <c r="A88" s="16"/>
      <c r="B88" s="17">
        <v>7</v>
      </c>
      <c r="C88" s="17">
        <v>7</v>
      </c>
      <c r="D88" s="17">
        <v>7</v>
      </c>
      <c r="E88" s="17">
        <v>7</v>
      </c>
      <c r="F88" s="34">
        <v>7.4</v>
      </c>
      <c r="G88" s="138"/>
      <c r="H88" s="36">
        <v>8</v>
      </c>
      <c r="I88" s="36">
        <f>SUM(B88:H88)</f>
        <v>43.4</v>
      </c>
      <c r="J88" s="49"/>
    </row>
    <row r="89" spans="1:10" ht="18" customHeight="1">
      <c r="A89" s="58" t="s">
        <v>30</v>
      </c>
      <c r="B89" s="58">
        <f t="shared" ref="B89:I89" si="4">SUM(B78,B80,B82,B84,B86,B88)</f>
        <v>43</v>
      </c>
      <c r="C89" s="58">
        <f t="shared" si="4"/>
        <v>40</v>
      </c>
      <c r="D89" s="58">
        <f t="shared" si="4"/>
        <v>43</v>
      </c>
      <c r="E89" s="58">
        <f t="shared" si="4"/>
        <v>43</v>
      </c>
      <c r="F89" s="58">
        <f t="shared" si="4"/>
        <v>41.65</v>
      </c>
      <c r="G89" s="58">
        <f t="shared" si="4"/>
        <v>6.5</v>
      </c>
      <c r="H89" s="58">
        <f t="shared" si="4"/>
        <v>8</v>
      </c>
      <c r="I89" s="70">
        <f t="shared" si="4"/>
        <v>225.15</v>
      </c>
      <c r="J89" s="59"/>
    </row>
    <row r="90" spans="1:10" ht="18" customHeight="1">
      <c r="A90" s="1" t="s">
        <v>103</v>
      </c>
      <c r="B90" s="72"/>
      <c r="C90" s="72"/>
      <c r="D90" s="72"/>
      <c r="E90" s="72"/>
      <c r="F90" s="72"/>
    </row>
    <row r="91" spans="1:10" ht="18" customHeight="1">
      <c r="A91" s="61" t="s">
        <v>104</v>
      </c>
      <c r="B91" s="62" t="s">
        <v>2</v>
      </c>
      <c r="C91" s="63" t="s">
        <v>3</v>
      </c>
      <c r="D91" s="63" t="s">
        <v>4</v>
      </c>
      <c r="E91" s="63" t="s">
        <v>5</v>
      </c>
      <c r="F91" s="63" t="s">
        <v>6</v>
      </c>
      <c r="G91" s="63" t="s">
        <v>7</v>
      </c>
      <c r="H91" s="64" t="s">
        <v>8</v>
      </c>
      <c r="I91" s="65" t="s">
        <v>9</v>
      </c>
      <c r="J91" s="66" t="s">
        <v>10</v>
      </c>
    </row>
    <row r="92" spans="1:10" ht="18" customHeight="1">
      <c r="A92" s="41" t="s">
        <v>105</v>
      </c>
      <c r="B92" s="118" t="s">
        <v>89</v>
      </c>
      <c r="C92" s="118" t="s">
        <v>89</v>
      </c>
      <c r="D92" s="118" t="s">
        <v>89</v>
      </c>
      <c r="E92" s="118" t="s">
        <v>89</v>
      </c>
      <c r="F92" s="118" t="s">
        <v>77</v>
      </c>
      <c r="G92" s="5"/>
      <c r="H92" s="119"/>
      <c r="I92" s="118"/>
      <c r="J92" s="32"/>
    </row>
    <row r="93" spans="1:10" ht="18" customHeight="1">
      <c r="A93" s="120"/>
      <c r="B93" s="17">
        <v>7.5</v>
      </c>
      <c r="C93" s="17">
        <v>7.5</v>
      </c>
      <c r="D93" s="17">
        <v>7.5</v>
      </c>
      <c r="E93" s="17">
        <v>7.5</v>
      </c>
      <c r="F93" s="18">
        <v>7</v>
      </c>
      <c r="G93" s="19"/>
      <c r="H93" s="20"/>
      <c r="I93" s="36">
        <f>SUM(B93:H93)</f>
        <v>37</v>
      </c>
      <c r="J93" s="37"/>
    </row>
    <row r="94" spans="1:10" ht="18" customHeight="1">
      <c r="A94" s="129" t="s">
        <v>106</v>
      </c>
      <c r="B94" s="128" t="s">
        <v>107</v>
      </c>
      <c r="C94" s="128" t="s">
        <v>107</v>
      </c>
      <c r="D94" s="128" t="s">
        <v>107</v>
      </c>
      <c r="E94" s="128" t="s">
        <v>107</v>
      </c>
      <c r="F94" s="128" t="s">
        <v>80</v>
      </c>
      <c r="G94" s="12"/>
      <c r="H94" s="13"/>
      <c r="I94" s="122"/>
      <c r="J94" s="40"/>
    </row>
    <row r="95" spans="1:10" ht="18" customHeight="1">
      <c r="A95" s="123"/>
      <c r="B95" s="124">
        <v>7.5</v>
      </c>
      <c r="C95" s="124">
        <v>7.5</v>
      </c>
      <c r="D95" s="124">
        <v>7.5</v>
      </c>
      <c r="E95" s="124">
        <v>7.5</v>
      </c>
      <c r="F95" s="125">
        <v>6</v>
      </c>
      <c r="G95" s="126"/>
      <c r="H95" s="127"/>
      <c r="I95" s="36">
        <f>SUM(B95:H95)</f>
        <v>36</v>
      </c>
      <c r="J95" s="85"/>
    </row>
    <row r="96" spans="1:10" ht="18" customHeight="1">
      <c r="A96" s="29" t="s">
        <v>108</v>
      </c>
      <c r="B96" s="118" t="s">
        <v>109</v>
      </c>
      <c r="C96" s="118" t="s">
        <v>109</v>
      </c>
      <c r="D96" s="118" t="s">
        <v>109</v>
      </c>
      <c r="E96" s="118" t="s">
        <v>109</v>
      </c>
      <c r="F96" s="118" t="s">
        <v>110</v>
      </c>
      <c r="G96" s="118"/>
      <c r="H96" s="118"/>
      <c r="I96" s="118"/>
      <c r="J96" s="32"/>
    </row>
    <row r="97" spans="1:10" ht="18" customHeight="1">
      <c r="A97" s="16"/>
      <c r="B97" s="17">
        <v>7.5</v>
      </c>
      <c r="C97" s="17">
        <v>7.5</v>
      </c>
      <c r="D97" s="17">
        <v>7.5</v>
      </c>
      <c r="E97" s="17">
        <v>7.5</v>
      </c>
      <c r="F97" s="18">
        <v>6</v>
      </c>
      <c r="G97" s="18"/>
      <c r="H97" s="35"/>
      <c r="I97" s="36">
        <f>SUM(B97:H97)</f>
        <v>36</v>
      </c>
      <c r="J97" s="37"/>
    </row>
    <row r="98" spans="1:10" ht="18" customHeight="1">
      <c r="A98" s="58" t="s">
        <v>30</v>
      </c>
      <c r="B98" s="58">
        <f t="shared" ref="B98:I98" si="5">SUM(B93,B95,B97)</f>
        <v>22.5</v>
      </c>
      <c r="C98" s="58">
        <f t="shared" si="5"/>
        <v>22.5</v>
      </c>
      <c r="D98" s="58">
        <f t="shared" si="5"/>
        <v>22.5</v>
      </c>
      <c r="E98" s="58">
        <f t="shared" si="5"/>
        <v>22.5</v>
      </c>
      <c r="F98" s="58">
        <f t="shared" si="5"/>
        <v>19</v>
      </c>
      <c r="G98" s="58">
        <f t="shared" si="5"/>
        <v>0</v>
      </c>
      <c r="H98" s="58">
        <f t="shared" si="5"/>
        <v>0</v>
      </c>
      <c r="I98" s="70">
        <f t="shared" si="5"/>
        <v>109</v>
      </c>
      <c r="J98" s="71"/>
    </row>
    <row r="99" spans="1:10" ht="18" customHeight="1">
      <c r="A99" s="1" t="s">
        <v>111</v>
      </c>
      <c r="B99" s="72"/>
      <c r="C99" s="72"/>
      <c r="D99" s="72"/>
      <c r="E99" s="72"/>
      <c r="F99" s="72"/>
    </row>
    <row r="100" spans="1:10" ht="18" customHeight="1">
      <c r="A100" s="23" t="s">
        <v>32</v>
      </c>
      <c r="B100" s="24" t="s">
        <v>2</v>
      </c>
      <c r="C100" s="25" t="s">
        <v>3</v>
      </c>
      <c r="D100" s="25" t="s">
        <v>4</v>
      </c>
      <c r="E100" s="25" t="s">
        <v>5</v>
      </c>
      <c r="F100" s="25" t="s">
        <v>6</v>
      </c>
      <c r="G100" s="25" t="s">
        <v>7</v>
      </c>
      <c r="H100" s="26" t="s">
        <v>8</v>
      </c>
      <c r="I100" s="27" t="s">
        <v>9</v>
      </c>
      <c r="J100" s="28" t="s">
        <v>10</v>
      </c>
    </row>
    <row r="101" spans="1:10" ht="18" customHeight="1">
      <c r="A101" s="3"/>
      <c r="B101" s="30" t="s">
        <v>33</v>
      </c>
      <c r="C101" s="30" t="s">
        <v>33</v>
      </c>
      <c r="D101" s="30" t="s">
        <v>33</v>
      </c>
      <c r="E101" s="30" t="s">
        <v>33</v>
      </c>
      <c r="F101" s="30" t="s">
        <v>34</v>
      </c>
      <c r="G101" s="5"/>
      <c r="H101" s="119"/>
      <c r="I101" s="7"/>
      <c r="J101" s="8"/>
    </row>
    <row r="102" spans="1:10" ht="18" customHeight="1">
      <c r="A102" s="16" t="s">
        <v>112</v>
      </c>
      <c r="B102" s="17">
        <v>7.75</v>
      </c>
      <c r="C102" s="17">
        <v>7.75</v>
      </c>
      <c r="D102" s="17">
        <v>7.75</v>
      </c>
      <c r="E102" s="17">
        <v>7.75</v>
      </c>
      <c r="F102" s="17">
        <v>6</v>
      </c>
      <c r="G102" s="19"/>
      <c r="H102" s="20"/>
      <c r="I102" s="21">
        <f>SUM(B102:H102)</f>
        <v>37</v>
      </c>
      <c r="J102" s="22"/>
    </row>
    <row r="103" spans="1:10" ht="18" customHeight="1"/>
    <row r="104" spans="1:10" ht="18" customHeight="1">
      <c r="A104" s="1" t="s">
        <v>113</v>
      </c>
      <c r="B104" s="72"/>
      <c r="C104" s="72"/>
      <c r="D104" s="72"/>
      <c r="E104" s="72"/>
      <c r="F104" s="72"/>
    </row>
    <row r="105" spans="1:10" ht="18" customHeight="1">
      <c r="A105" s="23" t="s">
        <v>114</v>
      </c>
      <c r="B105" s="24" t="s">
        <v>2</v>
      </c>
      <c r="C105" s="25" t="s">
        <v>3</v>
      </c>
      <c r="D105" s="25" t="s">
        <v>4</v>
      </c>
      <c r="E105" s="25" t="s">
        <v>5</v>
      </c>
      <c r="F105" s="25" t="s">
        <v>6</v>
      </c>
      <c r="G105" s="25" t="s">
        <v>7</v>
      </c>
      <c r="H105" s="26" t="s">
        <v>8</v>
      </c>
      <c r="I105" s="27" t="s">
        <v>9</v>
      </c>
      <c r="J105" s="28" t="s">
        <v>10</v>
      </c>
    </row>
    <row r="106" spans="1:10" ht="18" customHeight="1">
      <c r="A106" s="3"/>
      <c r="B106" s="30" t="s">
        <v>115</v>
      </c>
      <c r="C106" s="30" t="s">
        <v>115</v>
      </c>
      <c r="D106" s="30" t="s">
        <v>22</v>
      </c>
      <c r="E106" s="30" t="s">
        <v>22</v>
      </c>
      <c r="F106" s="30" t="s">
        <v>116</v>
      </c>
      <c r="G106" s="31"/>
      <c r="H106" s="42"/>
      <c r="I106" s="7"/>
      <c r="J106" s="32"/>
    </row>
    <row r="107" spans="1:10" ht="18" customHeight="1">
      <c r="A107" s="16" t="s">
        <v>117</v>
      </c>
      <c r="B107" s="17">
        <v>7.5</v>
      </c>
      <c r="C107" s="18">
        <v>7.5</v>
      </c>
      <c r="D107" s="18">
        <v>8</v>
      </c>
      <c r="E107" s="18">
        <v>8</v>
      </c>
      <c r="F107" s="18">
        <v>6</v>
      </c>
      <c r="G107" s="18"/>
      <c r="H107" s="35"/>
      <c r="I107" s="21">
        <f>SUM(B107:H107)</f>
        <v>37</v>
      </c>
      <c r="J107" s="37"/>
    </row>
    <row r="108" spans="1:10" ht="18" customHeight="1"/>
    <row r="109" spans="1:10" ht="18" customHeight="1">
      <c r="A109" s="1" t="s">
        <v>118</v>
      </c>
      <c r="B109" s="72"/>
      <c r="C109" s="72"/>
      <c r="D109" s="72"/>
      <c r="E109" s="72"/>
      <c r="F109" s="72"/>
    </row>
    <row r="110" spans="1:10" ht="18" customHeight="1">
      <c r="A110" s="23" t="s">
        <v>32</v>
      </c>
      <c r="B110" s="24" t="s">
        <v>2</v>
      </c>
      <c r="C110" s="25" t="s">
        <v>3</v>
      </c>
      <c r="D110" s="25" t="s">
        <v>4</v>
      </c>
      <c r="E110" s="25" t="s">
        <v>5</v>
      </c>
      <c r="F110" s="25" t="s">
        <v>6</v>
      </c>
      <c r="G110" s="25" t="s">
        <v>7</v>
      </c>
      <c r="H110" s="26" t="s">
        <v>8</v>
      </c>
      <c r="I110" s="27" t="s">
        <v>9</v>
      </c>
      <c r="J110" s="28" t="s">
        <v>10</v>
      </c>
    </row>
    <row r="111" spans="1:10" ht="18" customHeight="1">
      <c r="A111" s="41"/>
      <c r="B111" s="30" t="s">
        <v>33</v>
      </c>
      <c r="C111" s="30" t="s">
        <v>33</v>
      </c>
      <c r="D111" s="30" t="s">
        <v>33</v>
      </c>
      <c r="E111" s="30" t="s">
        <v>33</v>
      </c>
      <c r="F111" s="30" t="s">
        <v>34</v>
      </c>
      <c r="G111" s="31"/>
      <c r="H111" s="42"/>
      <c r="I111" s="7"/>
      <c r="J111" s="32"/>
    </row>
    <row r="112" spans="1:10" ht="18" customHeight="1">
      <c r="A112" s="16" t="s">
        <v>119</v>
      </c>
      <c r="B112" s="17">
        <v>7.75</v>
      </c>
      <c r="C112" s="17">
        <v>7.75</v>
      </c>
      <c r="D112" s="17">
        <v>7.75</v>
      </c>
      <c r="E112" s="17">
        <v>7.75</v>
      </c>
      <c r="F112" s="17">
        <v>6</v>
      </c>
      <c r="G112" s="18"/>
      <c r="H112" s="35"/>
      <c r="I112" s="36">
        <f>SUM(B112:H112)</f>
        <v>37</v>
      </c>
      <c r="J112" s="37"/>
    </row>
    <row r="113" spans="1:10" ht="18" customHeight="1">
      <c r="A113" s="41"/>
      <c r="B113" s="30" t="s">
        <v>33</v>
      </c>
      <c r="C113" s="30" t="s">
        <v>33</v>
      </c>
      <c r="D113" s="30" t="s">
        <v>33</v>
      </c>
      <c r="E113" s="30" t="s">
        <v>33</v>
      </c>
      <c r="F113" s="30" t="s">
        <v>34</v>
      </c>
      <c r="G113" s="31"/>
      <c r="H113" s="42"/>
      <c r="I113" s="7"/>
      <c r="J113" s="32"/>
    </row>
    <row r="114" spans="1:10" ht="18" customHeight="1">
      <c r="A114" s="16" t="s">
        <v>120</v>
      </c>
      <c r="B114" s="17">
        <v>7.75</v>
      </c>
      <c r="C114" s="17">
        <v>7.75</v>
      </c>
      <c r="D114" s="17">
        <v>7.75</v>
      </c>
      <c r="E114" s="17">
        <v>7.75</v>
      </c>
      <c r="F114" s="17">
        <v>6</v>
      </c>
      <c r="G114" s="18"/>
      <c r="H114" s="35"/>
      <c r="I114" s="36">
        <f>SUM(B114:H114)</f>
        <v>37</v>
      </c>
      <c r="J114" s="37"/>
    </row>
    <row r="115" spans="1:10" ht="18" customHeight="1">
      <c r="A115" s="41"/>
      <c r="B115" s="30" t="s">
        <v>33</v>
      </c>
      <c r="C115" s="30" t="s">
        <v>33</v>
      </c>
      <c r="D115" s="30" t="s">
        <v>33</v>
      </c>
      <c r="E115" s="30" t="s">
        <v>33</v>
      </c>
      <c r="F115" s="30" t="s">
        <v>34</v>
      </c>
      <c r="G115" s="31"/>
      <c r="H115" s="42"/>
      <c r="I115" s="7"/>
      <c r="J115" s="32"/>
    </row>
    <row r="116" spans="1:10" ht="18" customHeight="1">
      <c r="A116" s="16" t="s">
        <v>121</v>
      </c>
      <c r="B116" s="17">
        <v>7.75</v>
      </c>
      <c r="C116" s="17">
        <v>7.75</v>
      </c>
      <c r="D116" s="17">
        <v>7.75</v>
      </c>
      <c r="E116" s="17">
        <v>7.75</v>
      </c>
      <c r="F116" s="17">
        <v>6</v>
      </c>
      <c r="G116" s="18"/>
      <c r="H116" s="35"/>
      <c r="I116" s="36">
        <f>SUM(B116:H116)</f>
        <v>37</v>
      </c>
      <c r="J116" s="37"/>
    </row>
    <row r="117" spans="1:10" ht="18" customHeight="1">
      <c r="A117" s="58" t="s">
        <v>30</v>
      </c>
      <c r="B117" s="58">
        <f t="shared" ref="B117:I117" si="6">SUM(B112,B114,B116)</f>
        <v>23.25</v>
      </c>
      <c r="C117" s="58">
        <f t="shared" si="6"/>
        <v>23.25</v>
      </c>
      <c r="D117" s="58">
        <f t="shared" si="6"/>
        <v>23.25</v>
      </c>
      <c r="E117" s="58">
        <f t="shared" si="6"/>
        <v>23.25</v>
      </c>
      <c r="F117" s="58">
        <f t="shared" si="6"/>
        <v>18</v>
      </c>
      <c r="G117" s="58">
        <f t="shared" si="6"/>
        <v>0</v>
      </c>
      <c r="H117" s="58">
        <f t="shared" si="6"/>
        <v>0</v>
      </c>
      <c r="I117" s="70">
        <f t="shared" si="6"/>
        <v>111</v>
      </c>
      <c r="J117" s="71"/>
    </row>
    <row r="118" spans="1:10" ht="18" customHeight="1">
      <c r="A118" s="72"/>
      <c r="B118" s="72"/>
      <c r="C118" s="72"/>
      <c r="D118" s="72"/>
      <c r="E118" s="72"/>
      <c r="F118" s="72"/>
      <c r="G118" s="139"/>
      <c r="H118" s="139"/>
      <c r="I118" s="72"/>
      <c r="J118" s="73"/>
    </row>
    <row r="119" spans="1:10" ht="18" customHeight="1">
      <c r="A119" s="1" t="s">
        <v>122</v>
      </c>
      <c r="B119" s="72"/>
      <c r="C119" s="72"/>
      <c r="D119" s="72"/>
      <c r="E119" s="72"/>
      <c r="F119" s="72"/>
    </row>
    <row r="120" spans="1:10" ht="18" customHeight="1">
      <c r="A120" s="23" t="s">
        <v>123</v>
      </c>
      <c r="B120" s="24" t="s">
        <v>2</v>
      </c>
      <c r="C120" s="25" t="s">
        <v>3</v>
      </c>
      <c r="D120" s="25" t="s">
        <v>4</v>
      </c>
      <c r="E120" s="25" t="s">
        <v>5</v>
      </c>
      <c r="F120" s="25" t="s">
        <v>6</v>
      </c>
      <c r="G120" s="25" t="s">
        <v>7</v>
      </c>
      <c r="H120" s="26" t="s">
        <v>8</v>
      </c>
      <c r="I120" s="27" t="s">
        <v>9</v>
      </c>
      <c r="J120" s="28" t="s">
        <v>10</v>
      </c>
    </row>
    <row r="121" spans="1:10" ht="18" customHeight="1">
      <c r="A121" s="29" t="s">
        <v>28</v>
      </c>
      <c r="B121" s="30" t="s">
        <v>124</v>
      </c>
      <c r="C121" s="30" t="s">
        <v>124</v>
      </c>
      <c r="D121" s="30" t="s">
        <v>124</v>
      </c>
      <c r="E121" s="30" t="s">
        <v>124</v>
      </c>
      <c r="F121" s="31" t="s">
        <v>125</v>
      </c>
      <c r="G121" s="31"/>
      <c r="H121" s="31"/>
      <c r="I121" s="7"/>
      <c r="J121" s="32"/>
    </row>
    <row r="122" spans="1:10" ht="18" customHeight="1">
      <c r="A122" s="33" t="s">
        <v>126</v>
      </c>
      <c r="B122" s="34">
        <v>7.75</v>
      </c>
      <c r="C122" s="34">
        <v>7.75</v>
      </c>
      <c r="D122" s="34">
        <v>7.75</v>
      </c>
      <c r="E122" s="34">
        <v>7.75</v>
      </c>
      <c r="F122" s="140">
        <v>6</v>
      </c>
      <c r="G122" s="140"/>
      <c r="H122" s="140"/>
      <c r="I122" s="141">
        <f>SUM(B122:H122)</f>
        <v>37</v>
      </c>
      <c r="J122" s="142"/>
    </row>
    <row r="123" spans="1:10" ht="18" customHeight="1">
      <c r="A123" s="143"/>
      <c r="B123" s="124"/>
      <c r="C123" s="124"/>
      <c r="D123" s="124"/>
      <c r="E123" s="124"/>
      <c r="F123" s="125"/>
      <c r="G123" s="125"/>
      <c r="H123" s="139"/>
      <c r="I123" s="144"/>
      <c r="J123" s="145"/>
    </row>
    <row r="124" spans="1:10" ht="18" customHeight="1">
      <c r="A124" s="146" t="s">
        <v>127</v>
      </c>
      <c r="B124" s="124"/>
      <c r="C124" s="124"/>
      <c r="D124" s="124"/>
      <c r="E124" s="124"/>
      <c r="F124" s="125"/>
      <c r="G124" s="125"/>
      <c r="H124" s="139"/>
      <c r="I124" s="144"/>
      <c r="J124" s="145"/>
    </row>
    <row r="125" spans="1:10" ht="18" customHeight="1">
      <c r="A125" s="61" t="s">
        <v>128</v>
      </c>
      <c r="B125" s="62" t="s">
        <v>2</v>
      </c>
      <c r="C125" s="63" t="s">
        <v>3</v>
      </c>
      <c r="D125" s="63" t="s">
        <v>4</v>
      </c>
      <c r="E125" s="63" t="s">
        <v>5</v>
      </c>
      <c r="F125" s="63" t="s">
        <v>6</v>
      </c>
      <c r="G125" s="63" t="s">
        <v>7</v>
      </c>
      <c r="H125" s="64" t="s">
        <v>8</v>
      </c>
      <c r="I125" s="65" t="s">
        <v>9</v>
      </c>
      <c r="J125" s="66" t="s">
        <v>10</v>
      </c>
    </row>
    <row r="126" spans="1:10" ht="18" customHeight="1">
      <c r="A126" s="147" t="s">
        <v>28</v>
      </c>
      <c r="B126" s="10" t="s">
        <v>129</v>
      </c>
      <c r="C126" s="10" t="s">
        <v>129</v>
      </c>
      <c r="D126" s="10" t="s">
        <v>129</v>
      </c>
      <c r="E126" s="10" t="s">
        <v>129</v>
      </c>
      <c r="F126" s="11" t="s">
        <v>89</v>
      </c>
      <c r="G126" s="11"/>
      <c r="H126" s="11"/>
      <c r="I126" s="14"/>
      <c r="J126" s="40"/>
    </row>
    <row r="127" spans="1:10" ht="18" customHeight="1">
      <c r="A127" s="33" t="s">
        <v>130</v>
      </c>
      <c r="B127" s="34">
        <v>7.5</v>
      </c>
      <c r="C127" s="34">
        <v>7.5</v>
      </c>
      <c r="D127" s="34">
        <v>7.5</v>
      </c>
      <c r="E127" s="34">
        <v>7.5</v>
      </c>
      <c r="F127" s="140">
        <v>7</v>
      </c>
      <c r="G127" s="140"/>
      <c r="H127" s="140"/>
      <c r="I127" s="148">
        <f>SUM(B127:H127)</f>
        <v>37</v>
      </c>
      <c r="J127" s="37" t="s">
        <v>99</v>
      </c>
    </row>
    <row r="128" spans="1:10" ht="18" customHeight="1">
      <c r="A128" s="72"/>
      <c r="B128" s="72"/>
      <c r="C128" s="72"/>
      <c r="D128" s="72"/>
      <c r="E128" s="72"/>
      <c r="F128" s="139"/>
      <c r="G128" s="139"/>
      <c r="H128" s="139"/>
      <c r="I128" s="72"/>
      <c r="J128" s="73"/>
    </row>
    <row r="129" spans="1:10" ht="18" customHeight="1">
      <c r="A129" s="72"/>
      <c r="B129" s="72"/>
      <c r="C129" s="72"/>
      <c r="D129" s="72"/>
      <c r="E129" s="72"/>
      <c r="F129" s="139"/>
      <c r="G129" s="139"/>
      <c r="H129" s="139"/>
      <c r="I129" s="72"/>
      <c r="J129" s="73"/>
    </row>
    <row r="130" spans="1:10" ht="18" customHeight="1">
      <c r="A130" s="72"/>
      <c r="B130" s="72"/>
      <c r="C130" s="72"/>
      <c r="D130" s="72"/>
      <c r="E130" s="72"/>
      <c r="F130" s="139"/>
      <c r="G130" s="139"/>
      <c r="H130" s="139"/>
      <c r="I130" s="72"/>
      <c r="J130" s="73"/>
    </row>
    <row r="131" spans="1:10" ht="18" customHeight="1">
      <c r="A131" s="72"/>
      <c r="B131" s="72"/>
      <c r="C131" s="72"/>
      <c r="D131" s="72"/>
      <c r="E131" s="72"/>
      <c r="F131" s="139"/>
      <c r="G131" s="139"/>
      <c r="H131" s="139"/>
      <c r="I131" s="72"/>
      <c r="J131" s="73"/>
    </row>
    <row r="132" spans="1:10" ht="18" customHeight="1">
      <c r="A132" s="149" t="s">
        <v>131</v>
      </c>
      <c r="B132" s="72"/>
      <c r="C132" s="72"/>
      <c r="D132" s="72"/>
      <c r="E132" s="72"/>
      <c r="F132" s="139"/>
      <c r="G132" s="139"/>
      <c r="H132" s="139"/>
      <c r="I132" s="72"/>
      <c r="J132" s="73"/>
    </row>
    <row r="133" spans="1:10" ht="18" customHeight="1">
      <c r="A133" s="123" t="s">
        <v>128</v>
      </c>
      <c r="B133" s="24" t="s">
        <v>2</v>
      </c>
      <c r="C133" s="25" t="s">
        <v>3</v>
      </c>
      <c r="D133" s="25" t="s">
        <v>4</v>
      </c>
      <c r="E133" s="25" t="s">
        <v>5</v>
      </c>
      <c r="F133" s="25" t="s">
        <v>6</v>
      </c>
      <c r="G133" s="25" t="s">
        <v>7</v>
      </c>
      <c r="H133" s="26" t="s">
        <v>8</v>
      </c>
      <c r="I133" s="27" t="s">
        <v>9</v>
      </c>
      <c r="J133" s="28" t="s">
        <v>10</v>
      </c>
    </row>
    <row r="134" spans="1:10" ht="18" customHeight="1">
      <c r="A134" s="29" t="s">
        <v>28</v>
      </c>
      <c r="B134" s="30" t="s">
        <v>129</v>
      </c>
      <c r="C134" s="30" t="s">
        <v>129</v>
      </c>
      <c r="D134" s="30" t="s">
        <v>129</v>
      </c>
      <c r="E134" s="30" t="s">
        <v>129</v>
      </c>
      <c r="F134" s="31" t="s">
        <v>89</v>
      </c>
      <c r="G134" s="31"/>
      <c r="H134" s="31"/>
      <c r="I134" s="7"/>
      <c r="J134" s="32"/>
    </row>
    <row r="135" spans="1:10" ht="18" customHeight="1">
      <c r="A135" s="33" t="s">
        <v>132</v>
      </c>
      <c r="B135" s="34">
        <v>7.5</v>
      </c>
      <c r="C135" s="34">
        <v>7.5</v>
      </c>
      <c r="D135" s="34">
        <v>7.5</v>
      </c>
      <c r="E135" s="34">
        <v>7.5</v>
      </c>
      <c r="F135" s="140">
        <v>7</v>
      </c>
      <c r="G135" s="140"/>
      <c r="H135" s="140"/>
      <c r="I135" s="34">
        <f>SUM(B135:H135)</f>
        <v>37</v>
      </c>
      <c r="J135" s="37" t="s">
        <v>99</v>
      </c>
    </row>
    <row r="136" spans="1:10" ht="18" customHeight="1">
      <c r="A136" s="29" t="s">
        <v>28</v>
      </c>
      <c r="B136" s="30" t="s">
        <v>129</v>
      </c>
      <c r="C136" s="30" t="s">
        <v>129</v>
      </c>
      <c r="D136" s="30" t="s">
        <v>129</v>
      </c>
      <c r="E136" s="30" t="s">
        <v>129</v>
      </c>
      <c r="F136" s="31" t="s">
        <v>89</v>
      </c>
      <c r="G136" s="31"/>
      <c r="H136" s="31"/>
      <c r="I136" s="7"/>
      <c r="J136" s="32"/>
    </row>
    <row r="137" spans="1:10" ht="18" customHeight="1">
      <c r="A137" s="33" t="s">
        <v>133</v>
      </c>
      <c r="B137" s="34">
        <v>7.5</v>
      </c>
      <c r="C137" s="34">
        <v>7.5</v>
      </c>
      <c r="D137" s="34">
        <v>7.5</v>
      </c>
      <c r="E137" s="34">
        <v>7.5</v>
      </c>
      <c r="F137" s="140">
        <v>7</v>
      </c>
      <c r="G137" s="140"/>
      <c r="H137" s="140"/>
      <c r="I137" s="34">
        <f>SUM(B137:H137)</f>
        <v>37</v>
      </c>
      <c r="J137" s="37" t="s">
        <v>99</v>
      </c>
    </row>
    <row r="138" spans="1:10" ht="18" customHeight="1">
      <c r="A138" s="29" t="s">
        <v>28</v>
      </c>
      <c r="B138" s="30" t="s">
        <v>129</v>
      </c>
      <c r="C138" s="30" t="s">
        <v>129</v>
      </c>
      <c r="D138" s="30" t="s">
        <v>129</v>
      </c>
      <c r="E138" s="30" t="s">
        <v>129</v>
      </c>
      <c r="F138" s="31" t="s">
        <v>89</v>
      </c>
      <c r="G138" s="31"/>
      <c r="H138" s="31"/>
      <c r="I138" s="7"/>
      <c r="J138" s="32"/>
    </row>
    <row r="139" spans="1:10" ht="18" customHeight="1">
      <c r="A139" s="33" t="s">
        <v>134</v>
      </c>
      <c r="B139" s="34">
        <v>7.5</v>
      </c>
      <c r="C139" s="34">
        <v>7.5</v>
      </c>
      <c r="D139" s="34">
        <v>7.5</v>
      </c>
      <c r="E139" s="34">
        <v>7.5</v>
      </c>
      <c r="F139" s="140">
        <v>7</v>
      </c>
      <c r="G139" s="140"/>
      <c r="H139" s="140"/>
      <c r="I139" s="34">
        <f>SUM(B139:H139)</f>
        <v>37</v>
      </c>
      <c r="J139" s="37" t="s">
        <v>99</v>
      </c>
    </row>
    <row r="140" spans="1:10" ht="18" customHeight="1">
      <c r="A140" s="29" t="s">
        <v>28</v>
      </c>
      <c r="B140" s="30" t="s">
        <v>129</v>
      </c>
      <c r="C140" s="30" t="s">
        <v>129</v>
      </c>
      <c r="D140" s="30" t="s">
        <v>129</v>
      </c>
      <c r="E140" s="30" t="s">
        <v>129</v>
      </c>
      <c r="F140" s="31" t="s">
        <v>89</v>
      </c>
      <c r="G140" s="31"/>
      <c r="H140" s="31"/>
      <c r="I140" s="7"/>
      <c r="J140" s="32"/>
    </row>
    <row r="141" spans="1:10" ht="18" customHeight="1">
      <c r="A141" s="33" t="s">
        <v>135</v>
      </c>
      <c r="B141" s="34">
        <v>7.5</v>
      </c>
      <c r="C141" s="34">
        <v>7.5</v>
      </c>
      <c r="D141" s="34">
        <v>7.5</v>
      </c>
      <c r="E141" s="34">
        <v>7.5</v>
      </c>
      <c r="F141" s="140">
        <v>7</v>
      </c>
      <c r="G141" s="140"/>
      <c r="H141" s="140"/>
      <c r="I141" s="34">
        <f>SUM(B141:H141)</f>
        <v>37</v>
      </c>
      <c r="J141" s="37" t="s">
        <v>99</v>
      </c>
    </row>
    <row r="142" spans="1:10" ht="18" customHeight="1">
      <c r="A142" s="29" t="s">
        <v>28</v>
      </c>
      <c r="B142" s="30" t="s">
        <v>129</v>
      </c>
      <c r="C142" s="30" t="s">
        <v>129</v>
      </c>
      <c r="D142" s="30" t="s">
        <v>129</v>
      </c>
      <c r="E142" s="30" t="s">
        <v>129</v>
      </c>
      <c r="F142" s="31" t="s">
        <v>89</v>
      </c>
      <c r="G142" s="31"/>
      <c r="H142" s="31"/>
      <c r="I142" s="7"/>
      <c r="J142" s="32"/>
    </row>
    <row r="143" spans="1:10" ht="18" customHeight="1">
      <c r="A143" s="33" t="s">
        <v>136</v>
      </c>
      <c r="B143" s="34">
        <v>7.5</v>
      </c>
      <c r="C143" s="34">
        <v>7.5</v>
      </c>
      <c r="D143" s="34">
        <v>7.5</v>
      </c>
      <c r="E143" s="34">
        <v>7.5</v>
      </c>
      <c r="F143" s="140">
        <v>7</v>
      </c>
      <c r="G143" s="140"/>
      <c r="H143" s="140"/>
      <c r="I143" s="34">
        <f>SUM(B143:H143)</f>
        <v>37</v>
      </c>
      <c r="J143" s="37" t="s">
        <v>99</v>
      </c>
    </row>
    <row r="144" spans="1:10" ht="18" customHeight="1">
      <c r="A144" s="58" t="s">
        <v>30</v>
      </c>
      <c r="B144" s="58">
        <f t="shared" ref="B144:I144" si="7">SUM(B135,B137,B139,B141,B143)</f>
        <v>37.5</v>
      </c>
      <c r="C144" s="58">
        <f t="shared" si="7"/>
        <v>37.5</v>
      </c>
      <c r="D144" s="58">
        <f t="shared" si="7"/>
        <v>37.5</v>
      </c>
      <c r="E144" s="58">
        <f t="shared" si="7"/>
        <v>37.5</v>
      </c>
      <c r="F144" s="58">
        <f t="shared" si="7"/>
        <v>35</v>
      </c>
      <c r="G144" s="58">
        <f t="shared" si="7"/>
        <v>0</v>
      </c>
      <c r="H144" s="58">
        <f t="shared" si="7"/>
        <v>0</v>
      </c>
      <c r="I144" s="70">
        <f t="shared" si="7"/>
        <v>185</v>
      </c>
      <c r="J144" s="71"/>
    </row>
    <row r="145" spans="1:10" ht="18" customHeight="1">
      <c r="A145" s="72"/>
      <c r="B145" s="72"/>
      <c r="C145" s="72"/>
      <c r="D145" s="72"/>
      <c r="E145" s="72"/>
      <c r="F145" s="139"/>
      <c r="G145" s="139"/>
      <c r="H145" s="139"/>
      <c r="I145" s="72"/>
      <c r="J145" s="73"/>
    </row>
    <row r="146" spans="1:10" ht="18" customHeight="1">
      <c r="A146" s="72"/>
      <c r="B146" s="72"/>
      <c r="C146" s="72"/>
      <c r="D146" s="72"/>
      <c r="E146" s="72"/>
      <c r="F146" s="139"/>
      <c r="G146" s="139"/>
      <c r="H146" s="139"/>
      <c r="I146" s="72"/>
      <c r="J146" s="73"/>
    </row>
    <row r="147" spans="1:10" ht="20.100000000000001" customHeight="1">
      <c r="B147" s="150" t="s">
        <v>2</v>
      </c>
      <c r="C147" s="63" t="s">
        <v>3</v>
      </c>
      <c r="D147" s="63" t="s">
        <v>4</v>
      </c>
      <c r="E147" s="63" t="s">
        <v>5</v>
      </c>
      <c r="F147" s="63" t="s">
        <v>6</v>
      </c>
      <c r="G147" s="63" t="s">
        <v>7</v>
      </c>
      <c r="H147" s="151" t="s">
        <v>8</v>
      </c>
      <c r="I147" s="152" t="s">
        <v>137</v>
      </c>
      <c r="J147" s="139" t="s">
        <v>28</v>
      </c>
    </row>
    <row r="148" spans="1:10" ht="20.100000000000001" customHeight="1">
      <c r="A148" s="153" t="s">
        <v>138</v>
      </c>
      <c r="B148" s="10">
        <f t="shared" ref="B148:I148" si="8">SUM(B4,B20,B30,B65,B74,B89,B98,B102,B107,B117,B122,B127,B144)</f>
        <v>368.40000000000003</v>
      </c>
      <c r="C148" s="10">
        <f t="shared" si="8"/>
        <v>364</v>
      </c>
      <c r="D148" s="10">
        <f t="shared" si="8"/>
        <v>369.5</v>
      </c>
      <c r="E148" s="10">
        <f t="shared" si="8"/>
        <v>368.5</v>
      </c>
      <c r="F148" s="10">
        <f t="shared" si="8"/>
        <v>333.65</v>
      </c>
      <c r="G148" s="10">
        <f t="shared" si="8"/>
        <v>96.5</v>
      </c>
      <c r="H148" s="10">
        <f t="shared" si="8"/>
        <v>84</v>
      </c>
      <c r="I148" s="10">
        <f t="shared" si="8"/>
        <v>1984.55</v>
      </c>
      <c r="J148" s="144" t="s">
        <v>28</v>
      </c>
    </row>
    <row r="149" spans="1:10" ht="20.100000000000001" customHeight="1">
      <c r="A149" s="153" t="s">
        <v>139</v>
      </c>
      <c r="B149" s="130">
        <f>SUM(G148)*4</f>
        <v>386</v>
      </c>
      <c r="C149" s="130">
        <f>SUM(G148)*1</f>
        <v>96.5</v>
      </c>
      <c r="D149" s="130">
        <f>SUM(G148)*0</f>
        <v>0</v>
      </c>
      <c r="E149" s="130">
        <f>SUM(G148)*2</f>
        <v>193</v>
      </c>
      <c r="F149" s="130">
        <f>SUM(G148)*2</f>
        <v>193</v>
      </c>
      <c r="G149" s="130">
        <f>SUM(G148)*0</f>
        <v>0</v>
      </c>
      <c r="H149" s="130">
        <f>SUM(G148)*0</f>
        <v>0</v>
      </c>
      <c r="I149" s="10">
        <f>SUM(B149:H149)</f>
        <v>868.5</v>
      </c>
    </row>
    <row r="150" spans="1:10" ht="20.100000000000001" customHeight="1">
      <c r="A150" s="153" t="s">
        <v>140</v>
      </c>
      <c r="B150" s="10">
        <f>SUM(B148*48)+B149</f>
        <v>18069.2</v>
      </c>
      <c r="C150" s="10">
        <f>SUM(C148*51)+C149</f>
        <v>18660.5</v>
      </c>
      <c r="D150" s="10">
        <f>SUM(D148*52)+D149</f>
        <v>19214</v>
      </c>
      <c r="E150" s="10">
        <f>SUM(E148*52)+E149</f>
        <v>19355</v>
      </c>
      <c r="F150" s="10">
        <f>SUM(F148*52)+F149</f>
        <v>17542.8</v>
      </c>
      <c r="G150" s="10">
        <f>SUM(G148*52)+G149</f>
        <v>5018</v>
      </c>
      <c r="H150" s="10">
        <f>SUM(H148*52)+H149</f>
        <v>4368</v>
      </c>
      <c r="I150" s="154">
        <f>SUM(B150:H150)</f>
        <v>102227.5</v>
      </c>
    </row>
    <row r="151" spans="1:10" ht="20.100000000000001" customHeight="1"/>
    <row r="152" spans="1:10" ht="20.100000000000001" customHeight="1"/>
    <row r="153" spans="1:10" ht="20.100000000000001" customHeight="1">
      <c r="A153" s="153" t="s">
        <v>141</v>
      </c>
      <c r="B153" s="153"/>
      <c r="C153" s="153"/>
      <c r="D153" s="153"/>
      <c r="E153" s="130">
        <v>56</v>
      </c>
      <c r="F153" s="153"/>
      <c r="G153" s="153"/>
      <c r="H153" s="155"/>
      <c r="I153" s="156">
        <f>SUM(E153)*52</f>
        <v>2912</v>
      </c>
    </row>
    <row r="154" spans="1:10" ht="20.100000000000001" customHeight="1">
      <c r="A154" s="157" t="s">
        <v>142</v>
      </c>
      <c r="B154" s="157"/>
      <c r="C154" s="157"/>
      <c r="D154" s="157"/>
      <c r="E154" s="157"/>
      <c r="F154" s="157"/>
      <c r="G154" s="157"/>
      <c r="H154" s="157"/>
      <c r="I154" s="156">
        <f>SUM(I153*2)</f>
        <v>5824</v>
      </c>
    </row>
    <row r="155" spans="1:10" ht="20.100000000000001" customHeight="1">
      <c r="A155" s="153" t="s">
        <v>143</v>
      </c>
      <c r="B155" s="153"/>
      <c r="C155" s="155"/>
      <c r="D155" s="157"/>
      <c r="E155" s="157"/>
      <c r="F155" s="157"/>
      <c r="G155" s="157"/>
      <c r="H155" s="157"/>
      <c r="I155" s="156">
        <f>48*12</f>
        <v>576</v>
      </c>
    </row>
    <row r="156" spans="1:10" ht="20.100000000000001" customHeight="1">
      <c r="A156" s="158" t="s">
        <v>137</v>
      </c>
      <c r="B156" s="158"/>
      <c r="C156" s="158"/>
      <c r="D156" s="158"/>
      <c r="E156" s="158"/>
      <c r="F156" s="158"/>
      <c r="G156" s="158"/>
      <c r="H156" s="158"/>
      <c r="I156" s="159">
        <f>SUM(I153:I155)</f>
        <v>9312</v>
      </c>
    </row>
    <row r="157" spans="1:10" ht="20.100000000000001" customHeight="1">
      <c r="I157" s="160"/>
    </row>
    <row r="158" spans="1:10" ht="20.100000000000001" customHeight="1">
      <c r="I158" s="160"/>
    </row>
    <row r="159" spans="1:10" ht="20.100000000000001" customHeight="1">
      <c r="A159" s="158" t="s">
        <v>144</v>
      </c>
      <c r="B159" s="158"/>
      <c r="C159" s="158"/>
      <c r="D159" s="158"/>
      <c r="E159" s="158"/>
      <c r="F159" s="158"/>
      <c r="G159" s="158"/>
      <c r="H159" s="158"/>
      <c r="I159" s="161">
        <f>SUM(I150:I156)</f>
        <v>120851.5</v>
      </c>
      <c r="J159" t="s">
        <v>145</v>
      </c>
    </row>
    <row r="160" spans="1:10" ht="20.100000000000001" customHeight="1"/>
  </sheetData>
  <sheetProtection password="CC44" sheet="1" objects="1" scenarios="1"/>
  <phoneticPr fontId="8" type="noConversion"/>
  <pageMargins left="0" right="0" top="0.39305555555555555" bottom="0.19652777777777777" header="0.19652777777777777" footer="0.51180555555555551"/>
  <pageSetup paperSize="9" scale="95" firstPageNumber="0" pageOrder="overThenDown" orientation="landscape" horizontalDpi="300" verticalDpi="300" r:id="rId1"/>
  <headerFooter alignWithMargins="0">
    <oddHeader>&amp;C&amp;"Arial,fed"Vagtplans nøgler&amp;ROpdateret &amp;D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6"/>
  <dimension ref="A1:AF267"/>
  <sheetViews>
    <sheetView topLeftCell="A7" zoomScale="67" zoomScaleNormal="67" workbookViewId="0">
      <selection activeCell="D10" sqref="D10"/>
    </sheetView>
  </sheetViews>
  <sheetFormatPr defaultRowHeight="12.75"/>
  <cols>
    <col min="1" max="1" width="26.28515625" customWidth="1"/>
    <col min="2" max="2" width="13" customWidth="1"/>
    <col min="3" max="3" width="12.85546875" customWidth="1"/>
    <col min="4" max="4" width="12.28515625" customWidth="1"/>
    <col min="5" max="5" width="12.140625" customWidth="1"/>
    <col min="6" max="6" width="12.28515625" customWidth="1"/>
    <col min="7" max="7" width="13.28515625" customWidth="1"/>
    <col min="8" max="8" width="13.140625" customWidth="1"/>
    <col min="9" max="9" width="12.5703125" customWidth="1"/>
    <col min="10" max="10" width="26" customWidth="1"/>
    <col min="14" max="14" width="16.5703125" customWidth="1"/>
    <col min="15" max="15" width="15.42578125" customWidth="1"/>
    <col min="17" max="17" width="9.85546875" customWidth="1"/>
    <col min="20" max="20" width="10.28515625" customWidth="1"/>
    <col min="23" max="23" width="15.85546875" customWidth="1"/>
    <col min="24" max="24" width="19.28515625" customWidth="1"/>
    <col min="25" max="25" width="11.28515625" customWidth="1"/>
  </cols>
  <sheetData>
    <row r="1" spans="1:15" ht="20.100000000000001" customHeight="1" thickBot="1">
      <c r="A1" s="1" t="s">
        <v>0</v>
      </c>
      <c r="B1" s="1"/>
      <c r="D1" s="2"/>
      <c r="E1" s="2"/>
    </row>
    <row r="2" spans="1:15" ht="20.100000000000001" customHeight="1">
      <c r="A2" s="3" t="s">
        <v>146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5" ht="20.100000000000001" customHeight="1">
      <c r="A3" s="9"/>
      <c r="B3" s="10" t="s">
        <v>147</v>
      </c>
      <c r="C3" s="10" t="s">
        <v>147</v>
      </c>
      <c r="D3" s="10" t="s">
        <v>147</v>
      </c>
      <c r="E3" s="10" t="s">
        <v>147</v>
      </c>
      <c r="F3" s="11" t="s">
        <v>148</v>
      </c>
      <c r="G3" s="12"/>
      <c r="H3" s="13"/>
      <c r="I3" s="14"/>
      <c r="J3" s="15"/>
    </row>
    <row r="4" spans="1:15" ht="20.100000000000001" customHeight="1" thickBot="1">
      <c r="A4" s="338" t="s">
        <v>149</v>
      </c>
      <c r="B4" s="17">
        <v>7.75</v>
      </c>
      <c r="C4" s="17">
        <v>7.75</v>
      </c>
      <c r="D4" s="17">
        <v>7.75</v>
      </c>
      <c r="E4" s="17">
        <v>7.75</v>
      </c>
      <c r="F4" s="18">
        <v>6</v>
      </c>
      <c r="G4" s="19"/>
      <c r="H4" s="20"/>
      <c r="I4" s="21">
        <f>SUM(B4:H4)</f>
        <v>37</v>
      </c>
      <c r="J4" s="22"/>
    </row>
    <row r="5" spans="1:15" ht="20.100000000000001" customHeight="1" thickBot="1">
      <c r="A5" s="1" t="s">
        <v>150</v>
      </c>
      <c r="B5" s="1"/>
      <c r="D5" s="2"/>
      <c r="E5" s="2"/>
    </row>
    <row r="6" spans="1:15" ht="20.100000000000001" customHeight="1">
      <c r="A6" s="201" t="s">
        <v>32</v>
      </c>
      <c r="B6" s="4" t="s">
        <v>2</v>
      </c>
      <c r="C6" s="5" t="s">
        <v>3</v>
      </c>
      <c r="D6" s="5" t="s">
        <v>4</v>
      </c>
      <c r="E6" s="5" t="s">
        <v>5</v>
      </c>
      <c r="F6" s="5" t="s">
        <v>6</v>
      </c>
      <c r="G6" s="5" t="s">
        <v>7</v>
      </c>
      <c r="H6" s="5" t="s">
        <v>8</v>
      </c>
      <c r="I6" s="45" t="s">
        <v>9</v>
      </c>
      <c r="J6" s="8" t="s">
        <v>10</v>
      </c>
    </row>
    <row r="7" spans="1:15" ht="20.100000000000001" customHeight="1">
      <c r="A7" s="306"/>
      <c r="B7" s="172" t="s">
        <v>33</v>
      </c>
      <c r="C7" s="172" t="s">
        <v>33</v>
      </c>
      <c r="D7" s="172" t="s">
        <v>33</v>
      </c>
      <c r="E7" s="172" t="s">
        <v>33</v>
      </c>
      <c r="F7" s="172" t="s">
        <v>34</v>
      </c>
      <c r="G7" s="297"/>
      <c r="H7" s="297"/>
      <c r="I7" s="153"/>
      <c r="J7" s="339"/>
    </row>
    <row r="8" spans="1:15" ht="20.100000000000001" customHeight="1" thickBot="1">
      <c r="A8" s="338" t="s">
        <v>151</v>
      </c>
      <c r="B8" s="140">
        <v>7.75</v>
      </c>
      <c r="C8" s="140">
        <v>7.75</v>
      </c>
      <c r="D8" s="140">
        <v>7.75</v>
      </c>
      <c r="E8" s="140">
        <v>7.75</v>
      </c>
      <c r="F8" s="140">
        <v>6</v>
      </c>
      <c r="G8" s="19"/>
      <c r="H8" s="20"/>
      <c r="I8" s="21">
        <f>SUM(B8:H8)</f>
        <v>37</v>
      </c>
      <c r="J8" s="22"/>
    </row>
    <row r="9" spans="1:15" ht="20.100000000000001" customHeight="1">
      <c r="A9" s="72"/>
      <c r="E9" s="72"/>
      <c r="F9" s="139"/>
      <c r="G9" s="204" t="s">
        <v>152</v>
      </c>
      <c r="H9" s="204" t="s">
        <v>153</v>
      </c>
      <c r="I9" s="204" t="s">
        <v>154</v>
      </c>
      <c r="J9" s="168"/>
    </row>
    <row r="10" spans="1:15" ht="20.100000000000001" customHeight="1">
      <c r="A10" s="72"/>
      <c r="E10" s="72"/>
      <c r="F10" s="139"/>
      <c r="G10" s="130">
        <f>I4+I8</f>
        <v>74</v>
      </c>
      <c r="H10" s="169">
        <f>SUM(G10*13/3)</f>
        <v>320.66666666666669</v>
      </c>
      <c r="I10" s="130">
        <f>SUM(H10*12)</f>
        <v>3848</v>
      </c>
      <c r="J10" s="168"/>
    </row>
    <row r="11" spans="1:15" ht="20.100000000000001" customHeight="1" thickBot="1">
      <c r="A11" s="1686" t="s">
        <v>14</v>
      </c>
      <c r="B11" s="1"/>
      <c r="D11" s="2"/>
      <c r="E11" s="2"/>
    </row>
    <row r="12" spans="1:15" ht="18" customHeight="1" thickBot="1">
      <c r="A12" s="23" t="s">
        <v>15</v>
      </c>
      <c r="B12" s="24" t="s">
        <v>2</v>
      </c>
      <c r="C12" s="25" t="s">
        <v>3</v>
      </c>
      <c r="D12" s="25" t="s">
        <v>4</v>
      </c>
      <c r="E12" s="25" t="s">
        <v>5</v>
      </c>
      <c r="F12" s="25" t="s">
        <v>6</v>
      </c>
      <c r="G12" s="25" t="s">
        <v>7</v>
      </c>
      <c r="H12" s="26" t="s">
        <v>8</v>
      </c>
      <c r="I12" s="27" t="s">
        <v>9</v>
      </c>
      <c r="J12" s="28" t="s">
        <v>10</v>
      </c>
    </row>
    <row r="13" spans="1:15" ht="18" customHeight="1">
      <c r="A13" s="175" t="s">
        <v>28</v>
      </c>
      <c r="B13" s="5" t="s">
        <v>155</v>
      </c>
      <c r="C13" s="5" t="s">
        <v>155</v>
      </c>
      <c r="D13" s="5" t="s">
        <v>155</v>
      </c>
      <c r="E13" s="5" t="s">
        <v>155</v>
      </c>
      <c r="F13" s="5" t="s">
        <v>155</v>
      </c>
      <c r="G13" s="5" t="s">
        <v>156</v>
      </c>
      <c r="H13" s="5" t="s">
        <v>156</v>
      </c>
      <c r="I13" s="170"/>
      <c r="J13" s="176" t="s">
        <v>157</v>
      </c>
      <c r="M13" s="340"/>
      <c r="N13" s="341" t="s">
        <v>158</v>
      </c>
    </row>
    <row r="14" spans="1:15" ht="18" customHeight="1" thickBot="1">
      <c r="A14" s="342" t="s">
        <v>159</v>
      </c>
      <c r="B14" s="140">
        <v>8.25</v>
      </c>
      <c r="C14" s="140">
        <v>8.25</v>
      </c>
      <c r="D14" s="18">
        <v>8.25</v>
      </c>
      <c r="E14" s="18">
        <v>8.25</v>
      </c>
      <c r="F14" s="18">
        <v>8.25</v>
      </c>
      <c r="G14" s="18">
        <v>12.25</v>
      </c>
      <c r="H14" s="18">
        <v>12.25</v>
      </c>
      <c r="I14" s="343">
        <f>SUM(B14:H14)</f>
        <v>65.75</v>
      </c>
      <c r="J14" s="344" t="s">
        <v>160</v>
      </c>
      <c r="K14" s="179"/>
      <c r="M14" s="329"/>
      <c r="N14" s="345" t="s">
        <v>161</v>
      </c>
      <c r="O14" s="72"/>
    </row>
    <row r="15" spans="1:15" ht="18" customHeight="1">
      <c r="A15" s="175" t="s">
        <v>28</v>
      </c>
      <c r="B15" s="30" t="s">
        <v>162</v>
      </c>
      <c r="C15" s="30" t="s">
        <v>162</v>
      </c>
      <c r="D15" s="30" t="s">
        <v>162</v>
      </c>
      <c r="E15" s="30" t="s">
        <v>162</v>
      </c>
      <c r="F15" s="30" t="s">
        <v>162</v>
      </c>
      <c r="G15" s="170"/>
      <c r="H15" s="170"/>
      <c r="I15" s="346"/>
      <c r="J15" s="184" t="s">
        <v>163</v>
      </c>
      <c r="K15" s="72"/>
      <c r="M15" s="329" t="s">
        <v>164</v>
      </c>
      <c r="N15" s="345">
        <f>I14</f>
        <v>65.75</v>
      </c>
      <c r="O15" s="72"/>
    </row>
    <row r="16" spans="1:15" ht="18" customHeight="1" thickBot="1">
      <c r="A16" s="342" t="s">
        <v>165</v>
      </c>
      <c r="B16" s="140"/>
      <c r="C16" s="140"/>
      <c r="D16" s="140"/>
      <c r="E16" s="140"/>
      <c r="F16" s="140"/>
      <c r="G16" s="194"/>
      <c r="H16" s="194"/>
      <c r="I16" s="343">
        <f>SUM(B16:H16)</f>
        <v>0</v>
      </c>
      <c r="J16" s="344" t="s">
        <v>166</v>
      </c>
      <c r="K16" s="72"/>
      <c r="M16" s="329" t="s">
        <v>167</v>
      </c>
      <c r="N16" s="345">
        <f>I16</f>
        <v>0</v>
      </c>
      <c r="O16" s="72"/>
    </row>
    <row r="17" spans="1:17" ht="18" customHeight="1">
      <c r="A17" s="175" t="s">
        <v>28</v>
      </c>
      <c r="B17" s="5" t="s">
        <v>168</v>
      </c>
      <c r="C17" s="5" t="s">
        <v>168</v>
      </c>
      <c r="D17" s="5" t="s">
        <v>168</v>
      </c>
      <c r="E17" s="5" t="s">
        <v>168</v>
      </c>
      <c r="F17" s="5" t="s">
        <v>168</v>
      </c>
      <c r="G17" s="189"/>
      <c r="H17" s="189"/>
      <c r="I17" s="346"/>
      <c r="J17" s="184" t="s">
        <v>169</v>
      </c>
      <c r="K17" s="72"/>
      <c r="M17" s="329" t="s">
        <v>170</v>
      </c>
      <c r="N17" s="345">
        <v>0</v>
      </c>
      <c r="O17" s="72"/>
    </row>
    <row r="18" spans="1:17" ht="18" customHeight="1" thickBot="1">
      <c r="A18" s="347" t="s">
        <v>171</v>
      </c>
      <c r="B18" s="18">
        <v>8.25</v>
      </c>
      <c r="C18" s="18">
        <v>8.25</v>
      </c>
      <c r="D18" s="18">
        <v>8.25</v>
      </c>
      <c r="E18" s="18">
        <v>8.25</v>
      </c>
      <c r="F18" s="18">
        <v>8.25</v>
      </c>
      <c r="G18" s="140"/>
      <c r="H18" s="140"/>
      <c r="I18" s="343">
        <f>SUM(B18:H18)</f>
        <v>41.25</v>
      </c>
      <c r="J18" s="344" t="s">
        <v>172</v>
      </c>
      <c r="K18" s="144"/>
      <c r="M18" s="329" t="s">
        <v>173</v>
      </c>
      <c r="N18" s="345">
        <f>I20</f>
        <v>64.5</v>
      </c>
      <c r="O18" s="72"/>
    </row>
    <row r="19" spans="1:17" ht="18" customHeight="1">
      <c r="A19" s="348" t="s">
        <v>28</v>
      </c>
      <c r="B19" s="5" t="s">
        <v>174</v>
      </c>
      <c r="C19" s="5" t="s">
        <v>174</v>
      </c>
      <c r="D19" s="5" t="s">
        <v>174</v>
      </c>
      <c r="E19" s="5" t="s">
        <v>174</v>
      </c>
      <c r="F19" s="5" t="s">
        <v>174</v>
      </c>
      <c r="G19" s="189" t="s">
        <v>175</v>
      </c>
      <c r="H19" s="189" t="s">
        <v>175</v>
      </c>
      <c r="I19" s="346"/>
      <c r="J19" s="46"/>
      <c r="K19" s="72"/>
      <c r="M19" s="329" t="s">
        <v>176</v>
      </c>
      <c r="N19" s="345">
        <v>0</v>
      </c>
      <c r="O19" s="72"/>
    </row>
    <row r="20" spans="1:17" ht="18" customHeight="1" thickBot="1">
      <c r="A20" s="342" t="s">
        <v>177</v>
      </c>
      <c r="B20" s="140">
        <v>8</v>
      </c>
      <c r="C20" s="140">
        <v>8</v>
      </c>
      <c r="D20" s="140">
        <v>8</v>
      </c>
      <c r="E20" s="140">
        <v>8</v>
      </c>
      <c r="F20" s="140">
        <v>8</v>
      </c>
      <c r="G20" s="172">
        <v>12.25</v>
      </c>
      <c r="H20" s="172">
        <v>12.25</v>
      </c>
      <c r="I20" s="343">
        <f>SUM(B20:H20)</f>
        <v>64.5</v>
      </c>
      <c r="J20" s="49"/>
      <c r="K20" s="72"/>
      <c r="M20" s="329" t="s">
        <v>178</v>
      </c>
      <c r="N20" s="345">
        <f>I24</f>
        <v>36.25</v>
      </c>
      <c r="O20" s="72"/>
    </row>
    <row r="21" spans="1:17" ht="18" customHeight="1" thickBot="1">
      <c r="A21" s="175" t="s">
        <v>28</v>
      </c>
      <c r="B21" s="30" t="s">
        <v>162</v>
      </c>
      <c r="C21" s="30" t="s">
        <v>162</v>
      </c>
      <c r="D21" s="30" t="s">
        <v>162</v>
      </c>
      <c r="E21" s="30" t="s">
        <v>162</v>
      </c>
      <c r="F21" s="30" t="s">
        <v>162</v>
      </c>
      <c r="G21" s="192"/>
      <c r="H21" s="349"/>
      <c r="I21" s="346"/>
      <c r="J21" s="46"/>
      <c r="K21" s="72"/>
      <c r="M21" s="331" t="s">
        <v>179</v>
      </c>
      <c r="N21" s="350">
        <f>SUM(N15:N20)</f>
        <v>166.5</v>
      </c>
      <c r="O21" s="72"/>
    </row>
    <row r="22" spans="1:17" ht="18" customHeight="1" thickBot="1">
      <c r="A22" s="342" t="s">
        <v>180</v>
      </c>
      <c r="B22" s="124"/>
      <c r="C22" s="124"/>
      <c r="D22" s="124"/>
      <c r="E22" s="124"/>
      <c r="F22" s="124"/>
      <c r="G22" s="194"/>
      <c r="H22" s="351"/>
      <c r="I22" s="343">
        <f>SUM(B22:H22)</f>
        <v>0</v>
      </c>
      <c r="J22" s="49"/>
      <c r="K22" s="72"/>
    </row>
    <row r="23" spans="1:17" ht="18" customHeight="1">
      <c r="A23" s="175" t="s">
        <v>28</v>
      </c>
      <c r="B23" s="5" t="s">
        <v>181</v>
      </c>
      <c r="C23" s="5" t="s">
        <v>181</v>
      </c>
      <c r="D23" s="5" t="s">
        <v>181</v>
      </c>
      <c r="E23" s="5" t="s">
        <v>181</v>
      </c>
      <c r="F23" s="5" t="s">
        <v>181</v>
      </c>
      <c r="G23" s="170"/>
      <c r="H23" s="349"/>
      <c r="I23" s="346"/>
      <c r="J23" s="46" t="s">
        <v>182</v>
      </c>
      <c r="K23" s="72"/>
      <c r="M23" t="s">
        <v>183</v>
      </c>
      <c r="N23" t="s">
        <v>184</v>
      </c>
      <c r="P23">
        <v>222</v>
      </c>
      <c r="Q23" t="s">
        <v>185</v>
      </c>
    </row>
    <row r="24" spans="1:17" ht="18" customHeight="1" thickBot="1">
      <c r="A24" s="342" t="s">
        <v>186</v>
      </c>
      <c r="B24" s="140">
        <v>7.25</v>
      </c>
      <c r="C24" s="140">
        <v>7.25</v>
      </c>
      <c r="D24" s="140">
        <v>7.25</v>
      </c>
      <c r="E24" s="140">
        <v>7.25</v>
      </c>
      <c r="F24" s="140">
        <v>7.25</v>
      </c>
      <c r="G24" s="194"/>
      <c r="H24" s="352"/>
      <c r="I24" s="343">
        <f>SUM(B24:H24)</f>
        <v>36.25</v>
      </c>
      <c r="J24" s="49"/>
      <c r="K24" s="72"/>
      <c r="O24" t="s">
        <v>28</v>
      </c>
    </row>
    <row r="25" spans="1:17" ht="18" customHeight="1" thickBot="1">
      <c r="A25" s="58" t="s">
        <v>30</v>
      </c>
      <c r="B25" s="353">
        <f t="shared" ref="B25:I25" si="0">SUM(B14,B16,B18,B20,B22,B24)</f>
        <v>31.75</v>
      </c>
      <c r="C25" s="353">
        <f t="shared" si="0"/>
        <v>31.75</v>
      </c>
      <c r="D25" s="353">
        <f t="shared" si="0"/>
        <v>31.75</v>
      </c>
      <c r="E25" s="353">
        <f t="shared" si="0"/>
        <v>31.75</v>
      </c>
      <c r="F25" s="353">
        <f t="shared" si="0"/>
        <v>31.75</v>
      </c>
      <c r="G25" s="353">
        <f t="shared" si="0"/>
        <v>24.5</v>
      </c>
      <c r="H25" s="353">
        <f t="shared" si="0"/>
        <v>24.5</v>
      </c>
      <c r="I25" s="353">
        <f t="shared" si="0"/>
        <v>207.75</v>
      </c>
      <c r="J25" s="59"/>
      <c r="K25" s="72"/>
      <c r="M25" t="s">
        <v>187</v>
      </c>
      <c r="O25" s="354">
        <f>N21</f>
        <v>166.5</v>
      </c>
    </row>
    <row r="26" spans="1:17" ht="18" customHeight="1" thickTop="1" thickBot="1">
      <c r="A26" s="60" t="s">
        <v>31</v>
      </c>
      <c r="D26" s="2"/>
      <c r="E26" s="2"/>
    </row>
    <row r="27" spans="1:17" ht="18" customHeight="1" thickBot="1">
      <c r="A27" s="23" t="s">
        <v>32</v>
      </c>
      <c r="B27" s="24" t="s">
        <v>2</v>
      </c>
      <c r="C27" s="25" t="s">
        <v>3</v>
      </c>
      <c r="D27" s="25" t="s">
        <v>4</v>
      </c>
      <c r="E27" s="25" t="s">
        <v>5</v>
      </c>
      <c r="F27" s="25" t="s">
        <v>6</v>
      </c>
      <c r="G27" s="25" t="s">
        <v>7</v>
      </c>
      <c r="H27" s="26" t="s">
        <v>8</v>
      </c>
      <c r="I27" s="27" t="s">
        <v>9</v>
      </c>
      <c r="J27" s="28" t="s">
        <v>10</v>
      </c>
      <c r="M27">
        <f>O25</f>
        <v>166.5</v>
      </c>
      <c r="N27" t="s">
        <v>188</v>
      </c>
      <c r="P27" s="160">
        <f>SUM(N21/37)</f>
        <v>4.5</v>
      </c>
      <c r="Q27" t="s">
        <v>185</v>
      </c>
    </row>
    <row r="28" spans="1:17" ht="18" customHeight="1">
      <c r="A28" s="29"/>
      <c r="B28" s="31" t="s">
        <v>33</v>
      </c>
      <c r="C28" s="31" t="s">
        <v>33</v>
      </c>
      <c r="D28" s="31" t="s">
        <v>33</v>
      </c>
      <c r="E28" s="31" t="s">
        <v>33</v>
      </c>
      <c r="F28" s="31" t="s">
        <v>34</v>
      </c>
      <c r="G28" s="31"/>
      <c r="H28" s="31"/>
      <c r="I28" s="170"/>
      <c r="J28" s="32"/>
    </row>
    <row r="29" spans="1:17" ht="18" customHeight="1" thickBot="1">
      <c r="A29" s="33" t="s">
        <v>189</v>
      </c>
      <c r="B29" s="140">
        <v>7.75</v>
      </c>
      <c r="C29" s="140">
        <v>7.75</v>
      </c>
      <c r="D29" s="140">
        <v>7.75</v>
      </c>
      <c r="E29" s="140">
        <v>7.75</v>
      </c>
      <c r="F29" s="140">
        <v>6</v>
      </c>
      <c r="G29" s="140"/>
      <c r="H29" s="140"/>
      <c r="I29" s="140">
        <f>SUM(B29:H29)</f>
        <v>37</v>
      </c>
      <c r="J29" s="142"/>
      <c r="M29" s="160">
        <f>P27</f>
        <v>4.5</v>
      </c>
      <c r="N29" t="s">
        <v>190</v>
      </c>
      <c r="P29" s="160">
        <f>SUM(P27*3)</f>
        <v>13.5</v>
      </c>
      <c r="Q29" t="s">
        <v>185</v>
      </c>
    </row>
    <row r="30" spans="1:17" ht="18" customHeight="1">
      <c r="A30" s="29"/>
      <c r="B30" s="31" t="s">
        <v>33</v>
      </c>
      <c r="C30" s="31" t="s">
        <v>33</v>
      </c>
      <c r="D30" s="31" t="s">
        <v>33</v>
      </c>
      <c r="E30" s="31" t="s">
        <v>33</v>
      </c>
      <c r="F30" s="31" t="s">
        <v>34</v>
      </c>
      <c r="G30" s="31"/>
      <c r="H30" s="31"/>
      <c r="I30" s="170"/>
      <c r="J30" s="32"/>
      <c r="M30" s="160"/>
      <c r="P30" s="160"/>
    </row>
    <row r="31" spans="1:17" ht="18" customHeight="1" thickBot="1">
      <c r="A31" s="16" t="s">
        <v>191</v>
      </c>
      <c r="B31" s="140">
        <v>7.75</v>
      </c>
      <c r="C31" s="140">
        <v>7.75</v>
      </c>
      <c r="D31" s="140">
        <v>7.75</v>
      </c>
      <c r="E31" s="140">
        <v>7.75</v>
      </c>
      <c r="F31" s="140">
        <v>6</v>
      </c>
      <c r="G31" s="140"/>
      <c r="H31" s="140"/>
      <c r="I31" s="140">
        <f>SUM(B31:H31)</f>
        <v>37</v>
      </c>
      <c r="J31" s="142"/>
      <c r="M31" s="160"/>
      <c r="P31" s="160"/>
    </row>
    <row r="32" spans="1:17" ht="18" customHeight="1">
      <c r="A32" s="38"/>
      <c r="B32" s="11" t="s">
        <v>33</v>
      </c>
      <c r="C32" s="11" t="s">
        <v>33</v>
      </c>
      <c r="D32" s="11" t="s">
        <v>33</v>
      </c>
      <c r="E32" s="11" t="s">
        <v>33</v>
      </c>
      <c r="F32" s="11" t="s">
        <v>34</v>
      </c>
      <c r="G32" s="11"/>
      <c r="H32" s="39"/>
      <c r="I32" s="355"/>
      <c r="J32" s="40"/>
    </row>
    <row r="33" spans="1:25" ht="18" customHeight="1" thickBot="1">
      <c r="A33" s="16" t="s">
        <v>192</v>
      </c>
      <c r="B33" s="140">
        <v>7.75</v>
      </c>
      <c r="C33" s="140">
        <v>7.75</v>
      </c>
      <c r="D33" s="140">
        <v>7.75</v>
      </c>
      <c r="E33" s="140">
        <v>7.75</v>
      </c>
      <c r="F33" s="140">
        <v>6</v>
      </c>
      <c r="G33" s="18"/>
      <c r="H33" s="35"/>
      <c r="I33" s="343">
        <f>SUM(B33:H33)</f>
        <v>37</v>
      </c>
      <c r="J33" s="37"/>
      <c r="M33">
        <f>P23</f>
        <v>222</v>
      </c>
      <c r="N33" t="s">
        <v>193</v>
      </c>
      <c r="P33" s="356">
        <f>P29</f>
        <v>13.5</v>
      </c>
      <c r="Q33" t="s">
        <v>194</v>
      </c>
      <c r="R33" s="160">
        <f>SUM(M33-P33)</f>
        <v>208.5</v>
      </c>
      <c r="S33" t="s">
        <v>195</v>
      </c>
    </row>
    <row r="34" spans="1:25" ht="18" customHeight="1" thickBot="1">
      <c r="A34" s="58" t="s">
        <v>30</v>
      </c>
      <c r="B34" s="357">
        <f t="shared" ref="B34:I34" si="1">SUM(B29,B31,B33)</f>
        <v>23.25</v>
      </c>
      <c r="C34" s="357">
        <f t="shared" si="1"/>
        <v>23.25</v>
      </c>
      <c r="D34" s="357">
        <f t="shared" si="1"/>
        <v>23.25</v>
      </c>
      <c r="E34" s="357">
        <f t="shared" si="1"/>
        <v>23.25</v>
      </c>
      <c r="F34" s="357">
        <f t="shared" si="1"/>
        <v>18</v>
      </c>
      <c r="G34" s="357">
        <f t="shared" si="1"/>
        <v>0</v>
      </c>
      <c r="H34" s="357">
        <f t="shared" si="1"/>
        <v>0</v>
      </c>
      <c r="I34" s="357">
        <f t="shared" si="1"/>
        <v>111</v>
      </c>
      <c r="J34" s="71"/>
    </row>
    <row r="35" spans="1:25" ht="18" customHeight="1" thickTop="1" thickBot="1">
      <c r="A35" s="72"/>
      <c r="B35" s="72"/>
      <c r="C35" s="72"/>
      <c r="D35" s="72"/>
      <c r="E35" s="72"/>
      <c r="F35" s="72"/>
      <c r="G35" s="204" t="s">
        <v>152</v>
      </c>
      <c r="H35" s="204" t="s">
        <v>153</v>
      </c>
      <c r="I35" s="204" t="s">
        <v>154</v>
      </c>
      <c r="J35" s="73"/>
      <c r="M35">
        <f>I25</f>
        <v>207.75</v>
      </c>
      <c r="N35" t="s">
        <v>196</v>
      </c>
      <c r="O35" s="160">
        <f>R33</f>
        <v>208.5</v>
      </c>
      <c r="P35" s="358">
        <f>SUM(M35-O35)</f>
        <v>-0.75</v>
      </c>
    </row>
    <row r="36" spans="1:25" ht="18" customHeight="1">
      <c r="A36" s="72"/>
      <c r="B36" s="72"/>
      <c r="C36" s="72"/>
      <c r="D36" s="72"/>
      <c r="E36" s="72"/>
      <c r="F36" s="72"/>
      <c r="G36" s="130">
        <f>I25+I34</f>
        <v>318.75</v>
      </c>
      <c r="H36" s="169">
        <f>SUM(G36*13/3)</f>
        <v>1381.25</v>
      </c>
      <c r="I36" s="130">
        <f>SUM(H36*12)</f>
        <v>16575</v>
      </c>
      <c r="J36" s="73"/>
    </row>
    <row r="37" spans="1:25" ht="18" customHeight="1">
      <c r="A37" s="72"/>
      <c r="B37" s="72"/>
      <c r="C37" s="72"/>
      <c r="D37" s="72"/>
      <c r="E37" s="72"/>
      <c r="F37" s="72"/>
      <c r="G37" s="72"/>
      <c r="H37" s="174"/>
      <c r="I37" s="72"/>
      <c r="J37" s="73"/>
    </row>
    <row r="38" spans="1:25" ht="17.45" customHeight="1" thickBot="1">
      <c r="A38" s="1686" t="s">
        <v>197</v>
      </c>
      <c r="B38" s="72"/>
      <c r="C38" s="72"/>
      <c r="D38" s="72"/>
      <c r="E38" s="72"/>
      <c r="F38" s="72"/>
    </row>
    <row r="39" spans="1:25" ht="17.45" customHeight="1" thickBot="1">
      <c r="A39" s="205" t="s">
        <v>198</v>
      </c>
      <c r="B39" s="24" t="s">
        <v>2</v>
      </c>
      <c r="C39" s="25" t="s">
        <v>3</v>
      </c>
      <c r="D39" s="25" t="s">
        <v>4</v>
      </c>
      <c r="E39" s="25" t="s">
        <v>5</v>
      </c>
      <c r="F39" s="25" t="s">
        <v>6</v>
      </c>
      <c r="G39" s="25" t="s">
        <v>7</v>
      </c>
      <c r="H39" s="206" t="s">
        <v>8</v>
      </c>
      <c r="I39" s="207" t="s">
        <v>9</v>
      </c>
      <c r="J39" s="208" t="s">
        <v>10</v>
      </c>
      <c r="K39" t="s">
        <v>28</v>
      </c>
      <c r="M39" s="359" t="s">
        <v>158</v>
      </c>
      <c r="N39" s="360"/>
      <c r="P39" s="361"/>
      <c r="Q39" s="361"/>
      <c r="R39" s="361"/>
      <c r="S39" t="s">
        <v>199</v>
      </c>
      <c r="V39" s="1" t="s">
        <v>28</v>
      </c>
    </row>
    <row r="40" spans="1:25" ht="17.45" customHeight="1">
      <c r="A40" s="362" t="s">
        <v>40</v>
      </c>
      <c r="B40" s="210" t="s">
        <v>200</v>
      </c>
      <c r="C40" s="210" t="s">
        <v>200</v>
      </c>
      <c r="D40" s="210" t="s">
        <v>200</v>
      </c>
      <c r="E40" s="210" t="s">
        <v>200</v>
      </c>
      <c r="F40" s="210" t="s">
        <v>200</v>
      </c>
      <c r="G40" s="211" t="s">
        <v>201</v>
      </c>
      <c r="H40" s="211" t="s">
        <v>201</v>
      </c>
      <c r="I40" s="207"/>
      <c r="J40" s="363" t="s">
        <v>40</v>
      </c>
      <c r="M40" s="364"/>
      <c r="N40" s="365" t="s">
        <v>202</v>
      </c>
      <c r="S40" s="366" t="s">
        <v>203</v>
      </c>
      <c r="T40" s="367"/>
      <c r="U40" s="368"/>
      <c r="V40" s="368"/>
      <c r="W40" s="361"/>
      <c r="Y40" s="72"/>
    </row>
    <row r="41" spans="1:25" ht="17.45" customHeight="1" thickBot="1">
      <c r="A41" s="95" t="s">
        <v>43</v>
      </c>
      <c r="B41" s="219">
        <v>8.25</v>
      </c>
      <c r="C41" s="219">
        <v>8.25</v>
      </c>
      <c r="D41" s="219">
        <v>8.25</v>
      </c>
      <c r="E41" s="219">
        <v>8.25</v>
      </c>
      <c r="F41" s="219">
        <v>8.25</v>
      </c>
      <c r="G41" s="220">
        <v>12.25</v>
      </c>
      <c r="H41" s="220">
        <v>12.25</v>
      </c>
      <c r="I41" s="17">
        <f>SUM(B41:H41)</f>
        <v>65.75</v>
      </c>
      <c r="J41" s="221" t="s">
        <v>204</v>
      </c>
      <c r="M41" s="329" t="s">
        <v>164</v>
      </c>
      <c r="N41" s="345">
        <f>I41</f>
        <v>65.75</v>
      </c>
      <c r="S41" s="369" t="s">
        <v>205</v>
      </c>
      <c r="T41" s="370"/>
      <c r="U41" s="370"/>
      <c r="V41" s="370"/>
      <c r="Y41" s="72"/>
    </row>
    <row r="42" spans="1:25" ht="17.45" customHeight="1">
      <c r="A42" s="209"/>
      <c r="B42" s="222" t="s">
        <v>206</v>
      </c>
      <c r="C42" s="222" t="s">
        <v>206</v>
      </c>
      <c r="D42" s="222" t="s">
        <v>206</v>
      </c>
      <c r="E42" s="222" t="s">
        <v>206</v>
      </c>
      <c r="F42" s="222" t="s">
        <v>206</v>
      </c>
      <c r="G42" s="223" t="s">
        <v>207</v>
      </c>
      <c r="H42" s="224" t="s">
        <v>207</v>
      </c>
      <c r="I42" s="207"/>
      <c r="J42" s="213"/>
      <c r="M42" s="329" t="s">
        <v>167</v>
      </c>
      <c r="N42" s="345">
        <f>I47</f>
        <v>0</v>
      </c>
      <c r="S42" s="371" t="s">
        <v>208</v>
      </c>
      <c r="T42" s="372"/>
      <c r="U42" s="372"/>
      <c r="V42" s="372"/>
      <c r="Y42" s="72"/>
    </row>
    <row r="43" spans="1:25" ht="17.45" customHeight="1" thickBot="1">
      <c r="A43" s="95" t="s">
        <v>209</v>
      </c>
      <c r="B43" s="91">
        <v>7</v>
      </c>
      <c r="C43" s="91">
        <v>7</v>
      </c>
      <c r="D43" s="91">
        <v>7</v>
      </c>
      <c r="E43" s="91">
        <v>7</v>
      </c>
      <c r="F43" s="91">
        <v>7</v>
      </c>
      <c r="G43" s="228">
        <v>11</v>
      </c>
      <c r="H43" s="229">
        <v>11</v>
      </c>
      <c r="I43" s="17">
        <f>SUM(B43:H43)</f>
        <v>57</v>
      </c>
      <c r="J43" s="221" t="s">
        <v>210</v>
      </c>
      <c r="K43" s="1" t="s">
        <v>28</v>
      </c>
      <c r="M43" s="329" t="s">
        <v>170</v>
      </c>
      <c r="N43" s="345">
        <f>I53</f>
        <v>58.5</v>
      </c>
      <c r="S43" s="373" t="s">
        <v>211</v>
      </c>
      <c r="T43" s="374"/>
      <c r="U43" s="374"/>
      <c r="V43" s="374"/>
      <c r="Y43" s="72"/>
    </row>
    <row r="44" spans="1:25" ht="17.45" customHeight="1">
      <c r="A44" s="209"/>
      <c r="B44" s="230" t="s">
        <v>212</v>
      </c>
      <c r="C44" s="230" t="s">
        <v>212</v>
      </c>
      <c r="D44" s="230" t="s">
        <v>212</v>
      </c>
      <c r="E44" s="230" t="s">
        <v>212</v>
      </c>
      <c r="F44" s="230" t="s">
        <v>212</v>
      </c>
      <c r="G44" s="224" t="s">
        <v>213</v>
      </c>
      <c r="H44" s="224" t="s">
        <v>213</v>
      </c>
      <c r="I44" s="207"/>
      <c r="J44" s="213"/>
      <c r="M44" s="329" t="s">
        <v>173</v>
      </c>
      <c r="N44" s="345">
        <f>I59</f>
        <v>0</v>
      </c>
      <c r="S44" s="375"/>
      <c r="T44" s="376"/>
      <c r="Y44" s="72"/>
    </row>
    <row r="45" spans="1:25" ht="17.45" customHeight="1" thickBot="1">
      <c r="A45" s="95" t="s">
        <v>214</v>
      </c>
      <c r="B45" s="233">
        <v>8</v>
      </c>
      <c r="C45" s="233">
        <v>8</v>
      </c>
      <c r="D45" s="233">
        <v>8</v>
      </c>
      <c r="E45" s="233">
        <v>8</v>
      </c>
      <c r="F45" s="233">
        <v>8</v>
      </c>
      <c r="G45" s="228">
        <v>12</v>
      </c>
      <c r="H45" s="228">
        <v>12</v>
      </c>
      <c r="I45" s="17">
        <f>SUM(B45:H45)</f>
        <v>64</v>
      </c>
      <c r="J45" s="221" t="s">
        <v>215</v>
      </c>
      <c r="M45" s="329" t="s">
        <v>176</v>
      </c>
      <c r="N45" s="345">
        <v>0</v>
      </c>
      <c r="Y45" s="72"/>
    </row>
    <row r="46" spans="1:25" ht="17.45" customHeight="1">
      <c r="A46" s="362" t="s">
        <v>52</v>
      </c>
      <c r="B46" s="30" t="s">
        <v>16</v>
      </c>
      <c r="C46" s="30" t="s">
        <v>16</v>
      </c>
      <c r="D46" s="30" t="s">
        <v>16</v>
      </c>
      <c r="E46" s="30" t="s">
        <v>16</v>
      </c>
      <c r="F46" s="30" t="s">
        <v>16</v>
      </c>
      <c r="G46" s="377"/>
      <c r="H46" s="378"/>
      <c r="I46" s="252"/>
      <c r="J46" s="363" t="s">
        <v>52</v>
      </c>
      <c r="M46" s="329" t="s">
        <v>178</v>
      </c>
      <c r="N46" s="345">
        <f>I43</f>
        <v>57</v>
      </c>
      <c r="S46" s="379" t="s">
        <v>216</v>
      </c>
      <c r="T46" s="380"/>
      <c r="U46" s="380"/>
      <c r="V46" s="380"/>
      <c r="Y46" s="72"/>
    </row>
    <row r="47" spans="1:25" ht="17.45" customHeight="1" thickBot="1">
      <c r="A47" s="95" t="s">
        <v>217</v>
      </c>
      <c r="B47" s="34"/>
      <c r="C47" s="34"/>
      <c r="D47" s="34"/>
      <c r="E47" s="34"/>
      <c r="F47" s="34"/>
      <c r="G47" s="18"/>
      <c r="H47" s="237"/>
      <c r="I47" s="17">
        <f>SUM(B47:H47)</f>
        <v>0</v>
      </c>
      <c r="J47" s="221" t="s">
        <v>218</v>
      </c>
      <c r="M47" s="329" t="s">
        <v>219</v>
      </c>
      <c r="N47" s="345">
        <f>I49</f>
        <v>0</v>
      </c>
      <c r="S47" s="1"/>
      <c r="Y47" s="72"/>
    </row>
    <row r="48" spans="1:25" ht="17.45" customHeight="1">
      <c r="A48" s="209"/>
      <c r="B48" s="30" t="s">
        <v>16</v>
      </c>
      <c r="C48" s="30" t="s">
        <v>16</v>
      </c>
      <c r="D48" s="30" t="s">
        <v>16</v>
      </c>
      <c r="E48" s="30" t="s">
        <v>16</v>
      </c>
      <c r="F48" s="30" t="s">
        <v>16</v>
      </c>
      <c r="G48" s="207"/>
      <c r="H48" s="238"/>
      <c r="I48" s="207"/>
      <c r="J48" s="213"/>
      <c r="M48" s="329" t="s">
        <v>220</v>
      </c>
      <c r="N48" s="345">
        <f>I55</f>
        <v>56</v>
      </c>
      <c r="S48" s="379" t="s">
        <v>221</v>
      </c>
      <c r="T48" s="380"/>
      <c r="U48" s="380"/>
      <c r="V48" s="380"/>
      <c r="Y48" s="72"/>
    </row>
    <row r="49" spans="1:32" ht="17.45" customHeight="1" thickBot="1">
      <c r="A49" s="95" t="s">
        <v>222</v>
      </c>
      <c r="B49" s="34"/>
      <c r="C49" s="34"/>
      <c r="D49" s="34"/>
      <c r="E49" s="34"/>
      <c r="F49" s="34"/>
      <c r="G49" s="138"/>
      <c r="H49" s="240"/>
      <c r="I49" s="17">
        <f>SUM(B49:H49)</f>
        <v>0</v>
      </c>
      <c r="J49" s="221" t="s">
        <v>219</v>
      </c>
      <c r="M49" s="329" t="s">
        <v>223</v>
      </c>
      <c r="N49" s="345">
        <f>I61</f>
        <v>0</v>
      </c>
      <c r="S49" s="1"/>
      <c r="Y49" s="72"/>
    </row>
    <row r="50" spans="1:32" ht="17.45" customHeight="1">
      <c r="A50" s="205"/>
      <c r="B50" s="30" t="s">
        <v>16</v>
      </c>
      <c r="C50" s="30" t="s">
        <v>16</v>
      </c>
      <c r="D50" s="30" t="s">
        <v>16</v>
      </c>
      <c r="E50" s="30" t="s">
        <v>16</v>
      </c>
      <c r="F50" s="30" t="s">
        <v>16</v>
      </c>
      <c r="G50" s="241" t="s">
        <v>224</v>
      </c>
      <c r="H50" s="242" t="s">
        <v>225</v>
      </c>
      <c r="I50" s="207"/>
      <c r="J50" s="243"/>
      <c r="M50" s="329" t="s">
        <v>226</v>
      </c>
      <c r="N50" s="345">
        <f>I67</f>
        <v>37.5</v>
      </c>
      <c r="S50" s="379" t="s">
        <v>227</v>
      </c>
      <c r="T50" s="380"/>
      <c r="U50" s="380"/>
      <c r="V50" s="380"/>
      <c r="Y50" s="72"/>
    </row>
    <row r="51" spans="1:32" ht="17.45" customHeight="1" thickBot="1">
      <c r="A51" s="95" t="s">
        <v>228</v>
      </c>
      <c r="B51" s="34"/>
      <c r="C51" s="34"/>
      <c r="D51" s="34"/>
      <c r="E51" s="34"/>
      <c r="F51" s="34"/>
      <c r="G51" s="246">
        <v>12.25</v>
      </c>
      <c r="H51" s="247">
        <v>12.25</v>
      </c>
      <c r="I51" s="17">
        <f>SUM(B51:H51)</f>
        <v>24.5</v>
      </c>
      <c r="J51" s="221" t="s">
        <v>229</v>
      </c>
      <c r="M51" s="329" t="s">
        <v>230</v>
      </c>
      <c r="N51" s="345">
        <f>I45</f>
        <v>64</v>
      </c>
      <c r="Y51" s="72"/>
    </row>
    <row r="52" spans="1:32" ht="17.45" customHeight="1">
      <c r="A52" s="362" t="s">
        <v>59</v>
      </c>
      <c r="B52" s="248" t="s">
        <v>231</v>
      </c>
      <c r="C52" s="248" t="s">
        <v>231</v>
      </c>
      <c r="D52" s="248" t="s">
        <v>231</v>
      </c>
      <c r="E52" s="248" t="s">
        <v>231</v>
      </c>
      <c r="F52" s="248" t="s">
        <v>232</v>
      </c>
      <c r="G52" s="241" t="s">
        <v>233</v>
      </c>
      <c r="H52" s="242" t="s">
        <v>233</v>
      </c>
      <c r="I52" s="207"/>
      <c r="J52" s="363" t="s">
        <v>59</v>
      </c>
      <c r="K52" s="1" t="s">
        <v>28</v>
      </c>
      <c r="M52" s="329" t="s">
        <v>234</v>
      </c>
      <c r="N52" s="345">
        <f>I51</f>
        <v>24.5</v>
      </c>
      <c r="S52" t="s">
        <v>235</v>
      </c>
      <c r="Y52" s="72"/>
    </row>
    <row r="53" spans="1:32" ht="17.45" customHeight="1" thickBot="1">
      <c r="A53" s="95" t="s">
        <v>61</v>
      </c>
      <c r="B53" s="250">
        <v>7</v>
      </c>
      <c r="C53" s="250">
        <v>7</v>
      </c>
      <c r="D53" s="250">
        <v>7</v>
      </c>
      <c r="E53" s="250">
        <v>7</v>
      </c>
      <c r="F53" s="250">
        <v>6.5</v>
      </c>
      <c r="G53" s="246">
        <v>12</v>
      </c>
      <c r="H53" s="247">
        <v>12</v>
      </c>
      <c r="I53" s="17">
        <f>SUM(B53:H53)</f>
        <v>58.5</v>
      </c>
      <c r="J53" s="221" t="s">
        <v>236</v>
      </c>
      <c r="M53" s="329" t="s">
        <v>237</v>
      </c>
      <c r="N53" s="345">
        <f>I57</f>
        <v>40</v>
      </c>
      <c r="S53" s="381" t="s">
        <v>238</v>
      </c>
      <c r="T53" s="382"/>
      <c r="U53" s="382"/>
      <c r="V53" s="382"/>
      <c r="Y53" s="72"/>
    </row>
    <row r="54" spans="1:32" ht="17.45" customHeight="1">
      <c r="A54" s="209"/>
      <c r="B54" s="251" t="s">
        <v>239</v>
      </c>
      <c r="C54" s="251" t="s">
        <v>239</v>
      </c>
      <c r="D54" s="251" t="s">
        <v>239</v>
      </c>
      <c r="E54" s="251" t="s">
        <v>239</v>
      </c>
      <c r="F54" s="251" t="s">
        <v>239</v>
      </c>
      <c r="G54" s="241" t="s">
        <v>240</v>
      </c>
      <c r="H54" s="242" t="s">
        <v>233</v>
      </c>
      <c r="I54" s="252"/>
      <c r="J54" s="213"/>
      <c r="M54" s="329" t="s">
        <v>241</v>
      </c>
      <c r="N54" s="345">
        <f>I63</f>
        <v>40</v>
      </c>
      <c r="S54" s="383" t="s">
        <v>242</v>
      </c>
      <c r="T54" s="384"/>
      <c r="U54" s="384"/>
      <c r="V54" s="384"/>
      <c r="Y54" s="72"/>
    </row>
    <row r="55" spans="1:32" ht="17.45" customHeight="1" thickBot="1">
      <c r="A55" s="146" t="s">
        <v>243</v>
      </c>
      <c r="B55" s="255">
        <v>7</v>
      </c>
      <c r="C55" s="255">
        <v>7</v>
      </c>
      <c r="D55" s="255">
        <v>7</v>
      </c>
      <c r="E55" s="255">
        <v>7</v>
      </c>
      <c r="F55" s="255">
        <v>7</v>
      </c>
      <c r="G55" s="256">
        <v>9</v>
      </c>
      <c r="H55" s="247">
        <v>12</v>
      </c>
      <c r="I55" s="17">
        <f>SUM(B55:H55)</f>
        <v>56</v>
      </c>
      <c r="J55" s="221" t="s">
        <v>220</v>
      </c>
      <c r="M55" s="329" t="s">
        <v>244</v>
      </c>
      <c r="N55" s="345">
        <v>0</v>
      </c>
      <c r="S55" s="385" t="s">
        <v>245</v>
      </c>
      <c r="T55" s="386"/>
      <c r="U55" s="387"/>
      <c r="V55" s="387"/>
      <c r="Y55" s="72"/>
    </row>
    <row r="56" spans="1:32" ht="17.45" customHeight="1" thickBot="1">
      <c r="A56" s="209"/>
      <c r="B56" s="257" t="s">
        <v>246</v>
      </c>
      <c r="C56" s="257" t="s">
        <v>246</v>
      </c>
      <c r="D56" s="257" t="s">
        <v>246</v>
      </c>
      <c r="E56" s="257" t="s">
        <v>246</v>
      </c>
      <c r="F56" s="257" t="s">
        <v>246</v>
      </c>
      <c r="G56" s="377"/>
      <c r="H56" s="378"/>
      <c r="I56" s="207"/>
      <c r="J56" s="213"/>
      <c r="M56" s="331" t="s">
        <v>179</v>
      </c>
      <c r="N56" s="350">
        <f>SUM(N41:N55)</f>
        <v>443.25</v>
      </c>
      <c r="S56" s="388" t="s">
        <v>247</v>
      </c>
      <c r="T56" s="389"/>
      <c r="U56" s="389"/>
      <c r="V56" s="389"/>
      <c r="Y56" s="72"/>
    </row>
    <row r="57" spans="1:32" ht="17.45" customHeight="1" thickBot="1">
      <c r="A57" s="95" t="s">
        <v>248</v>
      </c>
      <c r="B57" s="262">
        <v>8</v>
      </c>
      <c r="C57" s="262">
        <v>8</v>
      </c>
      <c r="D57" s="262">
        <v>8</v>
      </c>
      <c r="E57" s="262">
        <v>8</v>
      </c>
      <c r="F57" s="262">
        <v>8</v>
      </c>
      <c r="G57" s="125"/>
      <c r="H57" s="390"/>
      <c r="I57" s="17">
        <f>SUM(B57:H57)</f>
        <v>40</v>
      </c>
      <c r="J57" s="221" t="s">
        <v>237</v>
      </c>
      <c r="N57" s="72"/>
      <c r="S57" s="375"/>
      <c r="T57" s="376"/>
      <c r="Y57" s="72"/>
      <c r="AE57" s="274"/>
      <c r="AF57" s="274"/>
    </row>
    <row r="58" spans="1:32" ht="17.45" customHeight="1">
      <c r="A58" s="362" t="s">
        <v>64</v>
      </c>
      <c r="B58" s="30" t="s">
        <v>16</v>
      </c>
      <c r="C58" s="30" t="s">
        <v>16</v>
      </c>
      <c r="D58" s="30" t="s">
        <v>16</v>
      </c>
      <c r="E58" s="30" t="s">
        <v>16</v>
      </c>
      <c r="F58" s="30" t="s">
        <v>16</v>
      </c>
      <c r="G58" s="377"/>
      <c r="H58" s="378"/>
      <c r="I58" s="207"/>
      <c r="J58" s="363" t="s">
        <v>64</v>
      </c>
      <c r="M58" t="s">
        <v>183</v>
      </c>
      <c r="N58" t="s">
        <v>249</v>
      </c>
      <c r="P58">
        <v>555</v>
      </c>
      <c r="Q58" t="s">
        <v>185</v>
      </c>
      <c r="S58" t="s">
        <v>250</v>
      </c>
      <c r="AE58" s="72"/>
      <c r="AF58" s="72"/>
    </row>
    <row r="59" spans="1:32" ht="17.45" customHeight="1" thickBot="1">
      <c r="A59" s="146" t="s">
        <v>251</v>
      </c>
      <c r="B59" s="133"/>
      <c r="C59" s="133"/>
      <c r="D59" s="133"/>
      <c r="E59" s="133"/>
      <c r="F59" s="133"/>
      <c r="G59" s="125"/>
      <c r="H59" s="390"/>
      <c r="I59" s="124">
        <f>SUM(B59:H59)</f>
        <v>0</v>
      </c>
      <c r="J59" s="221" t="s">
        <v>173</v>
      </c>
      <c r="O59" t="s">
        <v>28</v>
      </c>
      <c r="S59" s="391" t="s">
        <v>252</v>
      </c>
      <c r="T59" s="392"/>
    </row>
    <row r="60" spans="1:32" ht="17.45" customHeight="1">
      <c r="A60" s="209"/>
      <c r="B60" s="30" t="s">
        <v>16</v>
      </c>
      <c r="C60" s="30" t="s">
        <v>16</v>
      </c>
      <c r="D60" s="30" t="s">
        <v>16</v>
      </c>
      <c r="E60" s="30" t="s">
        <v>16</v>
      </c>
      <c r="F60" s="30" t="s">
        <v>16</v>
      </c>
      <c r="G60" s="207"/>
      <c r="H60" s="238"/>
      <c r="I60" s="207"/>
      <c r="J60" s="213"/>
      <c r="M60" t="s">
        <v>187</v>
      </c>
      <c r="O60" s="354">
        <f>N56</f>
        <v>443.25</v>
      </c>
      <c r="S60" s="393" t="s">
        <v>253</v>
      </c>
      <c r="T60" s="394"/>
    </row>
    <row r="61" spans="1:32" ht="17.45" customHeight="1" thickBot="1">
      <c r="A61" s="111" t="s">
        <v>254</v>
      </c>
      <c r="B61" s="133"/>
      <c r="C61" s="133"/>
      <c r="D61" s="34"/>
      <c r="E61" s="34"/>
      <c r="F61" s="34"/>
      <c r="G61" s="227"/>
      <c r="H61" s="239"/>
      <c r="I61" s="124">
        <f>SUM(B61:H61)</f>
        <v>0</v>
      </c>
      <c r="J61" s="279" t="s">
        <v>223</v>
      </c>
      <c r="S61" s="395" t="s">
        <v>255</v>
      </c>
      <c r="T61" s="396"/>
      <c r="AE61" s="127"/>
      <c r="AF61" s="127"/>
    </row>
    <row r="62" spans="1:32" ht="17.45" customHeight="1">
      <c r="A62" s="209" t="s">
        <v>28</v>
      </c>
      <c r="B62" s="265" t="s">
        <v>256</v>
      </c>
      <c r="C62" s="265" t="s">
        <v>256</v>
      </c>
      <c r="D62" s="265" t="s">
        <v>256</v>
      </c>
      <c r="E62" s="265" t="s">
        <v>256</v>
      </c>
      <c r="F62" s="265" t="s">
        <v>256</v>
      </c>
      <c r="G62" s="266"/>
      <c r="H62" s="238"/>
      <c r="I62" s="207"/>
      <c r="J62" s="213" t="s">
        <v>28</v>
      </c>
      <c r="M62">
        <f>O60</f>
        <v>443.25</v>
      </c>
      <c r="N62" t="s">
        <v>188</v>
      </c>
      <c r="P62" s="160">
        <f>SUM(M62/37)</f>
        <v>11.97972972972973</v>
      </c>
      <c r="Q62" t="s">
        <v>185</v>
      </c>
      <c r="AE62" s="139"/>
      <c r="AF62" s="139"/>
    </row>
    <row r="63" spans="1:32" ht="17.45" customHeight="1" thickBot="1">
      <c r="A63" s="146" t="s">
        <v>257</v>
      </c>
      <c r="B63" s="397">
        <v>8</v>
      </c>
      <c r="C63" s="397">
        <v>8</v>
      </c>
      <c r="D63" s="397">
        <v>8</v>
      </c>
      <c r="E63" s="397">
        <v>8</v>
      </c>
      <c r="F63" s="397">
        <v>8</v>
      </c>
      <c r="G63" s="227"/>
      <c r="H63" s="239"/>
      <c r="I63" s="124">
        <f>SUM(B63:H63)</f>
        <v>40</v>
      </c>
      <c r="J63" s="221" t="s">
        <v>258</v>
      </c>
      <c r="S63" s="398" t="s">
        <v>259</v>
      </c>
      <c r="T63" s="399"/>
      <c r="U63" s="400"/>
    </row>
    <row r="64" spans="1:32" ht="17.45" customHeight="1">
      <c r="A64" s="362" t="s">
        <v>70</v>
      </c>
      <c r="B64" s="270" t="s">
        <v>260</v>
      </c>
      <c r="C64" s="270" t="s">
        <v>260</v>
      </c>
      <c r="D64" s="270" t="s">
        <v>260</v>
      </c>
      <c r="E64" s="270" t="s">
        <v>260</v>
      </c>
      <c r="F64" s="270" t="s">
        <v>260</v>
      </c>
      <c r="G64" s="24"/>
      <c r="H64" s="258"/>
      <c r="I64" s="207"/>
      <c r="J64" s="363" t="s">
        <v>70</v>
      </c>
      <c r="M64" s="160">
        <f>P62</f>
        <v>11.97972972972973</v>
      </c>
      <c r="N64" t="s">
        <v>190</v>
      </c>
      <c r="P64" s="160">
        <f>SUM(P62*3)</f>
        <v>35.939189189189193</v>
      </c>
      <c r="Q64" t="s">
        <v>185</v>
      </c>
    </row>
    <row r="65" spans="1:31" ht="17.45" customHeight="1" thickBot="1">
      <c r="A65" s="146" t="s">
        <v>71</v>
      </c>
      <c r="B65" s="275">
        <v>7</v>
      </c>
      <c r="C65" s="275">
        <v>7</v>
      </c>
      <c r="D65" s="275">
        <v>7</v>
      </c>
      <c r="E65" s="275">
        <v>7</v>
      </c>
      <c r="F65" s="275">
        <v>7</v>
      </c>
      <c r="G65" s="124"/>
      <c r="H65" s="401"/>
      <c r="I65" s="124">
        <f>SUM(B65:H65)</f>
        <v>35</v>
      </c>
      <c r="J65" s="245" t="s">
        <v>261</v>
      </c>
      <c r="S65" s="398" t="s">
        <v>262</v>
      </c>
      <c r="T65" s="399"/>
      <c r="U65" s="400"/>
    </row>
    <row r="66" spans="1:31" ht="17.45" customHeight="1">
      <c r="A66" s="209"/>
      <c r="B66" s="276" t="s">
        <v>263</v>
      </c>
      <c r="C66" s="276" t="s">
        <v>263</v>
      </c>
      <c r="D66" s="276" t="s">
        <v>263</v>
      </c>
      <c r="E66" s="276" t="s">
        <v>263</v>
      </c>
      <c r="F66" s="276" t="s">
        <v>263</v>
      </c>
      <c r="G66" s="24"/>
      <c r="H66" s="258"/>
      <c r="I66" s="212"/>
      <c r="J66" s="213"/>
      <c r="M66">
        <f>P58</f>
        <v>555</v>
      </c>
      <c r="N66" t="s">
        <v>193</v>
      </c>
      <c r="P66" s="356">
        <f>P64</f>
        <v>35.939189189189193</v>
      </c>
      <c r="Q66" t="s">
        <v>194</v>
      </c>
      <c r="R66" s="402">
        <f>SUM(M66-P66)</f>
        <v>519.06081081081084</v>
      </c>
    </row>
    <row r="67" spans="1:31" ht="17.45" customHeight="1" thickBot="1">
      <c r="A67" s="115" t="s">
        <v>72</v>
      </c>
      <c r="B67" s="278">
        <v>7.5</v>
      </c>
      <c r="C67" s="278">
        <v>7.5</v>
      </c>
      <c r="D67" s="278">
        <v>7.5</v>
      </c>
      <c r="E67" s="278">
        <v>7.5</v>
      </c>
      <c r="F67" s="278">
        <v>7.5</v>
      </c>
      <c r="G67" s="17"/>
      <c r="H67" s="263"/>
      <c r="I67" s="285">
        <f>SUM(B67:H67)</f>
        <v>37.5</v>
      </c>
      <c r="J67" s="279" t="s">
        <v>264</v>
      </c>
      <c r="S67" s="403" t="s">
        <v>265</v>
      </c>
      <c r="T67" s="404"/>
      <c r="U67" s="405"/>
      <c r="AE67" s="127"/>
    </row>
    <row r="68" spans="1:31" ht="17.45" customHeight="1" thickBot="1">
      <c r="A68" s="209"/>
      <c r="B68" s="280" t="s">
        <v>266</v>
      </c>
      <c r="C68" s="281" t="s">
        <v>266</v>
      </c>
      <c r="D68" s="281" t="s">
        <v>266</v>
      </c>
      <c r="E68" s="281" t="s">
        <v>266</v>
      </c>
      <c r="F68" s="281" t="s">
        <v>266</v>
      </c>
      <c r="G68" s="24"/>
      <c r="H68" s="258"/>
      <c r="I68" s="236"/>
      <c r="J68" s="213"/>
      <c r="M68" s="160">
        <f>I70</f>
        <v>518.25</v>
      </c>
      <c r="N68" t="s">
        <v>196</v>
      </c>
      <c r="O68" s="356">
        <f>R66</f>
        <v>519.06081081081084</v>
      </c>
      <c r="P68" s="358">
        <f>SUM(M68-O68)</f>
        <v>-0.81081081081083539</v>
      </c>
      <c r="S68" s="375"/>
      <c r="T68" s="376"/>
      <c r="AE68" s="139"/>
    </row>
    <row r="69" spans="1:31" ht="17.45" customHeight="1" thickBot="1">
      <c r="A69" s="95" t="s">
        <v>73</v>
      </c>
      <c r="B69" s="284">
        <v>8</v>
      </c>
      <c r="C69" s="284">
        <v>8</v>
      </c>
      <c r="D69" s="284">
        <v>8</v>
      </c>
      <c r="E69" s="284">
        <v>8</v>
      </c>
      <c r="F69" s="284">
        <v>8</v>
      </c>
      <c r="G69" s="17"/>
      <c r="H69" s="17"/>
      <c r="I69" s="285">
        <f>SUM(B69:H69)</f>
        <v>40</v>
      </c>
      <c r="J69" s="221" t="s">
        <v>267</v>
      </c>
    </row>
    <row r="70" spans="1:31" ht="17.45" customHeight="1" thickBot="1">
      <c r="A70" s="196" t="s">
        <v>30</v>
      </c>
      <c r="B70" s="286">
        <f t="shared" ref="B70:I70" si="2">SUM(B41,B43,B45,B47,B49,B51,B53,B55,B57,B59,B61,B63,B65,B67,B69)</f>
        <v>75.75</v>
      </c>
      <c r="C70" s="286">
        <f t="shared" si="2"/>
        <v>75.75</v>
      </c>
      <c r="D70" s="286">
        <f t="shared" si="2"/>
        <v>75.75</v>
      </c>
      <c r="E70" s="286">
        <f t="shared" si="2"/>
        <v>75.75</v>
      </c>
      <c r="F70" s="286">
        <f t="shared" si="2"/>
        <v>75.25</v>
      </c>
      <c r="G70" s="286">
        <f t="shared" si="2"/>
        <v>68.5</v>
      </c>
      <c r="H70" s="286">
        <f t="shared" si="2"/>
        <v>71.5</v>
      </c>
      <c r="I70" s="286">
        <f t="shared" si="2"/>
        <v>518.25</v>
      </c>
      <c r="J70" s="198"/>
    </row>
    <row r="71" spans="1:31" ht="17.45" customHeight="1" thickTop="1">
      <c r="A71" s="72"/>
      <c r="B71" s="72"/>
      <c r="C71" s="72"/>
      <c r="D71" s="72"/>
      <c r="E71" s="72"/>
      <c r="F71" s="72"/>
      <c r="G71" s="204" t="s">
        <v>152</v>
      </c>
      <c r="H71" s="204" t="s">
        <v>153</v>
      </c>
      <c r="I71" s="204" t="s">
        <v>154</v>
      </c>
      <c r="M71" s="274"/>
      <c r="N71" s="274"/>
      <c r="O71" s="274"/>
      <c r="P71" s="274"/>
      <c r="Q71" s="274"/>
      <c r="R71" s="274"/>
    </row>
    <row r="72" spans="1:31" ht="17.45" customHeight="1">
      <c r="A72" s="72"/>
      <c r="B72" s="127"/>
      <c r="C72" s="127"/>
      <c r="D72" s="127"/>
      <c r="E72" s="127"/>
      <c r="F72" s="127"/>
      <c r="G72" s="130">
        <f>I70</f>
        <v>518.25</v>
      </c>
      <c r="H72" s="169">
        <f>SUM(G72*13/3)</f>
        <v>2245.75</v>
      </c>
      <c r="I72" s="130">
        <f>SUM(H72*12)</f>
        <v>26949</v>
      </c>
      <c r="M72" s="72"/>
      <c r="N72" s="72"/>
      <c r="O72" s="72"/>
      <c r="P72" s="72"/>
      <c r="Q72" s="72"/>
      <c r="R72" s="72"/>
    </row>
    <row r="73" spans="1:31" ht="17.45" customHeight="1">
      <c r="A73" s="72"/>
      <c r="B73" s="139"/>
      <c r="C73" s="139"/>
      <c r="D73" s="139"/>
      <c r="E73" s="139"/>
      <c r="F73" s="139"/>
      <c r="G73" s="72"/>
      <c r="H73" s="174"/>
      <c r="I73" s="72"/>
      <c r="N73" s="72"/>
      <c r="O73" s="72"/>
      <c r="P73" s="72"/>
      <c r="Q73" s="72"/>
      <c r="R73" s="72"/>
    </row>
    <row r="74" spans="1:31" ht="17.45" customHeight="1">
      <c r="A74" s="72"/>
      <c r="B74" s="72"/>
      <c r="C74" s="72"/>
      <c r="D74" s="72"/>
      <c r="E74" s="72"/>
      <c r="F74" s="72"/>
      <c r="G74" s="72"/>
      <c r="H74" s="174"/>
      <c r="I74" s="72"/>
      <c r="N74" s="72"/>
      <c r="O74" s="72"/>
      <c r="P74" s="72"/>
      <c r="Q74" s="72"/>
      <c r="R74" s="72"/>
    </row>
    <row r="75" spans="1:31" ht="17.100000000000001" customHeight="1" thickBot="1">
      <c r="A75" s="1686" t="s">
        <v>268</v>
      </c>
      <c r="B75" s="1687"/>
      <c r="C75" s="1687"/>
      <c r="D75" s="72"/>
      <c r="E75" s="72"/>
      <c r="F75" s="72"/>
      <c r="N75" s="72"/>
      <c r="O75" s="72"/>
      <c r="P75" s="72"/>
      <c r="Q75" s="72"/>
      <c r="R75" s="72"/>
    </row>
    <row r="76" spans="1:31" ht="17.100000000000001" customHeight="1" thickBot="1">
      <c r="A76" s="205" t="s">
        <v>198</v>
      </c>
      <c r="B76" s="24" t="s">
        <v>2</v>
      </c>
      <c r="C76" s="25" t="s">
        <v>3</v>
      </c>
      <c r="D76" s="25" t="s">
        <v>4</v>
      </c>
      <c r="E76" s="25" t="s">
        <v>5</v>
      </c>
      <c r="F76" s="25" t="s">
        <v>6</v>
      </c>
      <c r="G76" s="25" t="s">
        <v>7</v>
      </c>
      <c r="H76" s="206" t="s">
        <v>8</v>
      </c>
      <c r="I76" s="207" t="s">
        <v>9</v>
      </c>
      <c r="J76" s="208" t="s">
        <v>10</v>
      </c>
      <c r="N76" s="72"/>
      <c r="O76" s="72"/>
      <c r="P76" s="72"/>
      <c r="Q76" s="72"/>
      <c r="R76" s="72"/>
    </row>
    <row r="77" spans="1:31" ht="17.100000000000001" customHeight="1">
      <c r="A77" s="209"/>
      <c r="B77" s="210" t="s">
        <v>200</v>
      </c>
      <c r="C77" s="210" t="s">
        <v>200</v>
      </c>
      <c r="D77" s="210" t="s">
        <v>200</v>
      </c>
      <c r="E77" s="210" t="s">
        <v>200</v>
      </c>
      <c r="F77" s="210" t="s">
        <v>200</v>
      </c>
      <c r="G77" s="211" t="s">
        <v>201</v>
      </c>
      <c r="H77" s="211" t="s">
        <v>201</v>
      </c>
      <c r="I77" s="212"/>
      <c r="J77" s="213"/>
      <c r="N77" s="72"/>
      <c r="O77" s="72"/>
      <c r="P77" s="72"/>
      <c r="Q77" s="72"/>
      <c r="R77" s="72"/>
    </row>
    <row r="78" spans="1:31" ht="17.100000000000001" customHeight="1" thickBot="1">
      <c r="A78" s="95" t="s">
        <v>43</v>
      </c>
      <c r="B78" s="219">
        <v>8.25</v>
      </c>
      <c r="C78" s="219">
        <v>8.25</v>
      </c>
      <c r="D78" s="219">
        <v>8.25</v>
      </c>
      <c r="E78" s="219">
        <v>8.25</v>
      </c>
      <c r="F78" s="219">
        <v>8.25</v>
      </c>
      <c r="G78" s="220">
        <v>12.25</v>
      </c>
      <c r="H78" s="220">
        <v>12.25</v>
      </c>
      <c r="I78" s="17">
        <f>SUM(B78:H78)</f>
        <v>65.75</v>
      </c>
      <c r="J78" s="221" t="s">
        <v>204</v>
      </c>
      <c r="N78" s="72"/>
      <c r="O78" s="72"/>
      <c r="P78" s="72"/>
      <c r="Q78" s="72"/>
      <c r="R78" s="72"/>
    </row>
    <row r="79" spans="1:31" ht="17.100000000000001" customHeight="1">
      <c r="A79" s="209"/>
      <c r="B79" s="30" t="s">
        <v>16</v>
      </c>
      <c r="C79" s="30" t="s">
        <v>16</v>
      </c>
      <c r="D79" s="30" t="s">
        <v>16</v>
      </c>
      <c r="E79" s="30" t="s">
        <v>16</v>
      </c>
      <c r="F79" s="30" t="s">
        <v>16</v>
      </c>
      <c r="G79" s="234"/>
      <c r="H79" s="235"/>
      <c r="I79" s="236"/>
      <c r="J79" s="213"/>
      <c r="L79" s="127"/>
      <c r="M79" s="127"/>
      <c r="N79" s="127"/>
      <c r="O79" s="72"/>
      <c r="P79" s="72"/>
      <c r="Q79" s="72"/>
      <c r="R79" s="72"/>
    </row>
    <row r="80" spans="1:31" ht="17.100000000000001" customHeight="1" thickBot="1">
      <c r="A80" s="95" t="s">
        <v>269</v>
      </c>
      <c r="B80" s="34"/>
      <c r="C80" s="34"/>
      <c r="D80" s="34"/>
      <c r="E80" s="34"/>
      <c r="F80" s="34"/>
      <c r="G80" s="18"/>
      <c r="H80" s="237"/>
      <c r="I80" s="17">
        <f>SUM(B80:H80)</f>
        <v>0</v>
      </c>
      <c r="J80" s="221" t="s">
        <v>218</v>
      </c>
      <c r="L80" s="139"/>
      <c r="M80" s="139"/>
      <c r="N80" s="139"/>
      <c r="O80" s="72"/>
      <c r="P80" s="72"/>
      <c r="Q80" s="72"/>
      <c r="R80" s="72"/>
    </row>
    <row r="81" spans="1:18" ht="17.100000000000001" customHeight="1">
      <c r="A81" s="209"/>
      <c r="B81" s="248" t="s">
        <v>231</v>
      </c>
      <c r="C81" s="248" t="s">
        <v>231</v>
      </c>
      <c r="D81" s="248" t="s">
        <v>231</v>
      </c>
      <c r="E81" s="248" t="s">
        <v>231</v>
      </c>
      <c r="F81" s="248" t="s">
        <v>232</v>
      </c>
      <c r="G81" s="241" t="s">
        <v>233</v>
      </c>
      <c r="H81" s="242" t="s">
        <v>233</v>
      </c>
      <c r="I81" s="207"/>
      <c r="J81" s="213"/>
      <c r="N81" s="72"/>
      <c r="O81" s="72"/>
      <c r="P81" s="72"/>
      <c r="Q81" s="72"/>
      <c r="R81" s="72"/>
    </row>
    <row r="82" spans="1:18" ht="17.100000000000001" customHeight="1" thickBot="1">
      <c r="A82" s="95" t="s">
        <v>61</v>
      </c>
      <c r="B82" s="250">
        <v>7</v>
      </c>
      <c r="C82" s="250">
        <v>7</v>
      </c>
      <c r="D82" s="250">
        <v>7</v>
      </c>
      <c r="E82" s="250">
        <v>7</v>
      </c>
      <c r="F82" s="250">
        <v>6.5</v>
      </c>
      <c r="G82" s="246">
        <v>12</v>
      </c>
      <c r="H82" s="247">
        <v>12</v>
      </c>
      <c r="I82" s="17">
        <f>SUM(B82:H82)</f>
        <v>58.5</v>
      </c>
      <c r="J82" s="221" t="s">
        <v>236</v>
      </c>
      <c r="N82" s="72"/>
      <c r="O82" s="72"/>
      <c r="P82" s="72"/>
      <c r="Q82" s="72"/>
      <c r="R82" s="72"/>
    </row>
    <row r="83" spans="1:18" ht="17.100000000000001" customHeight="1">
      <c r="A83" s="209"/>
      <c r="B83" s="30" t="s">
        <v>16</v>
      </c>
      <c r="C83" s="30" t="s">
        <v>16</v>
      </c>
      <c r="D83" s="30" t="s">
        <v>16</v>
      </c>
      <c r="E83" s="30" t="s">
        <v>16</v>
      </c>
      <c r="F83" s="30" t="s">
        <v>16</v>
      </c>
      <c r="G83" s="234"/>
      <c r="H83" s="235"/>
      <c r="I83" s="212"/>
      <c r="J83" s="213"/>
      <c r="N83" s="72"/>
      <c r="O83" s="72"/>
      <c r="P83" s="72"/>
      <c r="Q83" s="72"/>
      <c r="R83" s="72"/>
    </row>
    <row r="84" spans="1:18" ht="17.100000000000001" customHeight="1" thickBot="1">
      <c r="A84" s="95" t="s">
        <v>251</v>
      </c>
      <c r="B84" s="133"/>
      <c r="C84" s="133"/>
      <c r="D84" s="133"/>
      <c r="E84" s="133"/>
      <c r="F84" s="133"/>
      <c r="G84" s="18"/>
      <c r="H84" s="237"/>
      <c r="I84" s="17">
        <f>SUM(B84:H84)</f>
        <v>0</v>
      </c>
      <c r="J84" s="221" t="s">
        <v>173</v>
      </c>
      <c r="N84" s="72"/>
      <c r="O84" s="72"/>
      <c r="P84" s="72"/>
      <c r="Q84" s="72"/>
      <c r="R84" s="72"/>
    </row>
    <row r="85" spans="1:18" ht="17.100000000000001" customHeight="1">
      <c r="A85" s="209"/>
      <c r="B85" s="270" t="s">
        <v>260</v>
      </c>
      <c r="C85" s="270" t="s">
        <v>260</v>
      </c>
      <c r="D85" s="270" t="s">
        <v>260</v>
      </c>
      <c r="E85" s="270" t="s">
        <v>260</v>
      </c>
      <c r="F85" s="270" t="s">
        <v>260</v>
      </c>
      <c r="G85" s="271"/>
      <c r="H85" s="272"/>
      <c r="I85" s="212"/>
      <c r="J85" s="213"/>
      <c r="N85" s="72"/>
      <c r="O85" s="72"/>
      <c r="P85" s="72"/>
      <c r="Q85" s="72"/>
      <c r="R85" s="72"/>
    </row>
    <row r="86" spans="1:18" ht="17.100000000000001" customHeight="1" thickBot="1">
      <c r="A86" s="95" t="s">
        <v>71</v>
      </c>
      <c r="B86" s="275">
        <v>7</v>
      </c>
      <c r="C86" s="275">
        <v>7</v>
      </c>
      <c r="D86" s="275">
        <v>7</v>
      </c>
      <c r="E86" s="275">
        <v>7</v>
      </c>
      <c r="F86" s="275">
        <v>7</v>
      </c>
      <c r="G86" s="17"/>
      <c r="H86" s="263"/>
      <c r="I86" s="17">
        <f>SUM(B86:H86)</f>
        <v>35</v>
      </c>
      <c r="J86" s="221" t="s">
        <v>261</v>
      </c>
      <c r="N86" s="72"/>
      <c r="O86" s="72"/>
      <c r="P86" s="72"/>
      <c r="Q86" s="72"/>
      <c r="R86" s="72"/>
    </row>
    <row r="87" spans="1:18" ht="17.100000000000001" customHeight="1">
      <c r="A87" s="209"/>
      <c r="B87" s="222" t="s">
        <v>206</v>
      </c>
      <c r="C87" s="222" t="s">
        <v>206</v>
      </c>
      <c r="D87" s="222" t="s">
        <v>206</v>
      </c>
      <c r="E87" s="222" t="s">
        <v>206</v>
      </c>
      <c r="F87" s="222" t="s">
        <v>206</v>
      </c>
      <c r="G87" s="223" t="s">
        <v>207</v>
      </c>
      <c r="H87" s="224" t="s">
        <v>207</v>
      </c>
      <c r="I87" s="207"/>
      <c r="J87" s="213"/>
      <c r="N87" s="72"/>
      <c r="O87" s="72"/>
      <c r="P87" s="72"/>
      <c r="Q87" s="72"/>
      <c r="R87" s="72"/>
    </row>
    <row r="88" spans="1:18" ht="17.100000000000001" customHeight="1" thickBot="1">
      <c r="A88" s="95" t="s">
        <v>209</v>
      </c>
      <c r="B88" s="91">
        <v>7</v>
      </c>
      <c r="C88" s="91">
        <v>7</v>
      </c>
      <c r="D88" s="91">
        <v>7</v>
      </c>
      <c r="E88" s="91">
        <v>7</v>
      </c>
      <c r="F88" s="91">
        <v>7</v>
      </c>
      <c r="G88" s="228">
        <v>11</v>
      </c>
      <c r="H88" s="229">
        <v>11</v>
      </c>
      <c r="I88" s="17">
        <f>SUM(B88:H88)</f>
        <v>57</v>
      </c>
      <c r="J88" s="221" t="s">
        <v>210</v>
      </c>
      <c r="N88" s="72"/>
      <c r="O88" s="72"/>
      <c r="P88" s="72"/>
      <c r="Q88" s="72"/>
      <c r="R88" s="72"/>
    </row>
    <row r="89" spans="1:18" ht="17.100000000000001" customHeight="1">
      <c r="A89" s="209"/>
      <c r="B89" s="30" t="s">
        <v>16</v>
      </c>
      <c r="C89" s="30" t="s">
        <v>16</v>
      </c>
      <c r="D89" s="30" t="s">
        <v>16</v>
      </c>
      <c r="E89" s="30" t="s">
        <v>16</v>
      </c>
      <c r="F89" s="30" t="s">
        <v>16</v>
      </c>
      <c r="G89" s="207"/>
      <c r="H89" s="238"/>
      <c r="I89" s="207"/>
      <c r="J89" s="213"/>
      <c r="N89" s="72"/>
      <c r="O89" s="72"/>
      <c r="P89" s="72"/>
      <c r="Q89" s="72"/>
      <c r="R89" s="72"/>
    </row>
    <row r="90" spans="1:18" ht="17.100000000000001" customHeight="1" thickBot="1">
      <c r="A90" s="95" t="s">
        <v>222</v>
      </c>
      <c r="B90" s="34"/>
      <c r="C90" s="34"/>
      <c r="D90" s="34"/>
      <c r="E90" s="34"/>
      <c r="F90" s="34"/>
      <c r="G90" s="138"/>
      <c r="H90" s="240"/>
      <c r="I90" s="17">
        <f>SUM(B90:H90)</f>
        <v>0</v>
      </c>
      <c r="J90" s="221" t="s">
        <v>219</v>
      </c>
      <c r="N90" s="72"/>
      <c r="O90" s="72"/>
      <c r="P90" s="72"/>
      <c r="Q90" s="72"/>
      <c r="R90" s="72"/>
    </row>
    <row r="91" spans="1:18" ht="17.100000000000001" customHeight="1">
      <c r="A91" s="209"/>
      <c r="B91" s="251" t="s">
        <v>239</v>
      </c>
      <c r="C91" s="251" t="s">
        <v>239</v>
      </c>
      <c r="D91" s="251" t="s">
        <v>239</v>
      </c>
      <c r="E91" s="251" t="s">
        <v>239</v>
      </c>
      <c r="F91" s="251" t="s">
        <v>239</v>
      </c>
      <c r="G91" s="241" t="s">
        <v>240</v>
      </c>
      <c r="H91" s="242" t="s">
        <v>233</v>
      </c>
      <c r="I91" s="252"/>
      <c r="J91" s="213"/>
      <c r="N91" s="72"/>
      <c r="O91" s="72"/>
      <c r="P91" s="72"/>
      <c r="Q91" s="72"/>
      <c r="R91" s="72"/>
    </row>
    <row r="92" spans="1:18" ht="17.100000000000001" customHeight="1" thickBot="1">
      <c r="A92" s="95" t="s">
        <v>243</v>
      </c>
      <c r="B92" s="255">
        <v>7</v>
      </c>
      <c r="C92" s="255">
        <v>7</v>
      </c>
      <c r="D92" s="255">
        <v>7</v>
      </c>
      <c r="E92" s="255">
        <v>7</v>
      </c>
      <c r="F92" s="255">
        <v>7</v>
      </c>
      <c r="G92" s="256">
        <v>9</v>
      </c>
      <c r="H92" s="247">
        <v>12</v>
      </c>
      <c r="I92" s="17">
        <f>SUM(B92:H92)</f>
        <v>56</v>
      </c>
      <c r="J92" s="221" t="s">
        <v>220</v>
      </c>
      <c r="L92" s="127"/>
      <c r="M92" s="127"/>
      <c r="N92" s="127"/>
      <c r="O92" s="72"/>
      <c r="P92" s="72"/>
      <c r="Q92" s="72"/>
      <c r="R92" s="72"/>
    </row>
    <row r="93" spans="1:18" ht="17.100000000000001" customHeight="1">
      <c r="A93" s="209"/>
      <c r="B93" s="30" t="s">
        <v>16</v>
      </c>
      <c r="C93" s="30" t="s">
        <v>16</v>
      </c>
      <c r="D93" s="30" t="s">
        <v>16</v>
      </c>
      <c r="E93" s="30" t="s">
        <v>16</v>
      </c>
      <c r="F93" s="30" t="s">
        <v>16</v>
      </c>
      <c r="G93" s="207"/>
      <c r="H93" s="238"/>
      <c r="I93" s="207"/>
      <c r="J93" s="213"/>
      <c r="L93" s="139"/>
      <c r="M93" s="139"/>
      <c r="N93" s="139"/>
      <c r="O93" s="72"/>
      <c r="P93" s="72"/>
      <c r="Q93" s="72"/>
      <c r="R93" s="72"/>
    </row>
    <row r="94" spans="1:18" ht="17.100000000000001" customHeight="1" thickBot="1">
      <c r="A94" s="111" t="s">
        <v>270</v>
      </c>
      <c r="B94" s="133"/>
      <c r="C94" s="133"/>
      <c r="D94" s="34"/>
      <c r="E94" s="34"/>
      <c r="F94" s="34"/>
      <c r="G94" s="227"/>
      <c r="H94" s="239"/>
      <c r="I94" s="124">
        <f>SUM(B94:H94)</f>
        <v>0</v>
      </c>
      <c r="J94" s="264" t="s">
        <v>223</v>
      </c>
      <c r="N94" s="72"/>
      <c r="O94" s="72"/>
      <c r="P94" s="72"/>
      <c r="Q94" s="72"/>
      <c r="R94" s="72"/>
    </row>
    <row r="95" spans="1:18" ht="17.100000000000001" customHeight="1">
      <c r="A95" s="209"/>
      <c r="B95" s="276" t="s">
        <v>263</v>
      </c>
      <c r="C95" s="276" t="s">
        <v>263</v>
      </c>
      <c r="D95" s="276" t="s">
        <v>263</v>
      </c>
      <c r="E95" s="276" t="s">
        <v>263</v>
      </c>
      <c r="F95" s="276" t="s">
        <v>263</v>
      </c>
      <c r="G95" s="24"/>
      <c r="H95" s="258"/>
      <c r="I95" s="27"/>
      <c r="J95" s="213"/>
      <c r="N95" s="274"/>
      <c r="O95" s="274"/>
      <c r="P95" s="72"/>
      <c r="Q95" s="72"/>
      <c r="R95" s="72"/>
    </row>
    <row r="96" spans="1:18" ht="17.100000000000001" customHeight="1" thickBot="1">
      <c r="A96" s="115" t="s">
        <v>72</v>
      </c>
      <c r="B96" s="278">
        <v>7.5</v>
      </c>
      <c r="C96" s="278">
        <v>7.5</v>
      </c>
      <c r="D96" s="278">
        <v>7.5</v>
      </c>
      <c r="E96" s="278">
        <v>7.5</v>
      </c>
      <c r="F96" s="278">
        <v>7.5</v>
      </c>
      <c r="G96" s="17"/>
      <c r="H96" s="263"/>
      <c r="I96" s="36">
        <f>SUM(B96:H96)</f>
        <v>37.5</v>
      </c>
      <c r="J96" s="279" t="s">
        <v>264</v>
      </c>
      <c r="L96" s="274"/>
      <c r="M96" s="274"/>
      <c r="N96" s="72"/>
      <c r="O96" s="72"/>
      <c r="P96" s="274"/>
      <c r="Q96" s="72"/>
      <c r="R96" s="72"/>
    </row>
    <row r="97" spans="1:19" ht="17.100000000000001" customHeight="1">
      <c r="A97" s="209"/>
      <c r="B97" s="230" t="s">
        <v>212</v>
      </c>
      <c r="C97" s="230" t="s">
        <v>212</v>
      </c>
      <c r="D97" s="230" t="s">
        <v>212</v>
      </c>
      <c r="E97" s="230" t="s">
        <v>212</v>
      </c>
      <c r="F97" s="230" t="s">
        <v>212</v>
      </c>
      <c r="G97" s="224" t="s">
        <v>213</v>
      </c>
      <c r="H97" s="224" t="s">
        <v>213</v>
      </c>
      <c r="I97" s="207"/>
      <c r="J97" s="213"/>
      <c r="L97" s="72"/>
      <c r="M97" s="72"/>
      <c r="N97" s="72"/>
      <c r="O97" s="72"/>
      <c r="P97" s="72"/>
      <c r="Q97" s="72"/>
      <c r="R97" s="72"/>
    </row>
    <row r="98" spans="1:19" ht="17.100000000000001" customHeight="1" thickBot="1">
      <c r="A98" s="95" t="s">
        <v>214</v>
      </c>
      <c r="B98" s="233">
        <v>8</v>
      </c>
      <c r="C98" s="233">
        <v>8</v>
      </c>
      <c r="D98" s="233">
        <v>8</v>
      </c>
      <c r="E98" s="233">
        <v>8</v>
      </c>
      <c r="F98" s="233">
        <v>8</v>
      </c>
      <c r="G98" s="228">
        <v>12</v>
      </c>
      <c r="H98" s="228">
        <v>12</v>
      </c>
      <c r="I98" s="17">
        <f>SUM(B98:H98)</f>
        <v>64</v>
      </c>
      <c r="J98" s="221" t="s">
        <v>215</v>
      </c>
      <c r="N98" s="72"/>
      <c r="O98" s="72"/>
      <c r="P98" s="72"/>
      <c r="Q98" s="72"/>
      <c r="R98" s="72"/>
    </row>
    <row r="99" spans="1:19" ht="17.100000000000001" customHeight="1">
      <c r="A99" s="205"/>
      <c r="B99" s="30" t="s">
        <v>16</v>
      </c>
      <c r="C99" s="30" t="s">
        <v>16</v>
      </c>
      <c r="D99" s="30" t="s">
        <v>16</v>
      </c>
      <c r="E99" s="30" t="s">
        <v>16</v>
      </c>
      <c r="F99" s="30" t="s">
        <v>16</v>
      </c>
      <c r="G99" s="241" t="s">
        <v>224</v>
      </c>
      <c r="H99" s="242" t="s">
        <v>225</v>
      </c>
      <c r="I99" s="207"/>
      <c r="J99" s="243"/>
      <c r="N99" s="72"/>
      <c r="O99" s="72"/>
      <c r="P99" s="72"/>
      <c r="Q99" s="72"/>
      <c r="R99" s="72"/>
    </row>
    <row r="100" spans="1:19" ht="17.100000000000001" customHeight="1" thickBot="1">
      <c r="A100" s="95" t="s">
        <v>228</v>
      </c>
      <c r="B100" s="34"/>
      <c r="C100" s="34"/>
      <c r="D100" s="34"/>
      <c r="E100" s="34"/>
      <c r="F100" s="34"/>
      <c r="G100" s="246">
        <v>12.25</v>
      </c>
      <c r="H100" s="247">
        <v>12.25</v>
      </c>
      <c r="I100" s="17">
        <f>SUM(B100:H100)</f>
        <v>24.5</v>
      </c>
      <c r="J100" s="221" t="s">
        <v>229</v>
      </c>
      <c r="N100" s="72"/>
      <c r="O100" s="72"/>
      <c r="P100" s="72"/>
      <c r="Q100" s="72"/>
      <c r="R100" s="72"/>
    </row>
    <row r="101" spans="1:19" ht="17.100000000000001" customHeight="1">
      <c r="A101" s="209"/>
      <c r="B101" s="257" t="s">
        <v>246</v>
      </c>
      <c r="C101" s="257" t="s">
        <v>246</v>
      </c>
      <c r="D101" s="257" t="s">
        <v>246</v>
      </c>
      <c r="E101" s="257" t="s">
        <v>246</v>
      </c>
      <c r="F101" s="257" t="s">
        <v>246</v>
      </c>
      <c r="G101" s="24"/>
      <c r="H101" s="258"/>
      <c r="I101" s="207"/>
      <c r="J101" s="213"/>
      <c r="N101" s="72"/>
      <c r="O101" s="72"/>
      <c r="P101" s="72"/>
      <c r="Q101" s="72"/>
      <c r="R101" s="72"/>
    </row>
    <row r="102" spans="1:19" ht="17.100000000000001" customHeight="1" thickBot="1">
      <c r="A102" s="95" t="s">
        <v>248</v>
      </c>
      <c r="B102" s="262">
        <v>8</v>
      </c>
      <c r="C102" s="262">
        <v>8</v>
      </c>
      <c r="D102" s="262">
        <v>8</v>
      </c>
      <c r="E102" s="262">
        <v>8</v>
      </c>
      <c r="F102" s="262">
        <v>8</v>
      </c>
      <c r="G102" s="17"/>
      <c r="H102" s="263"/>
      <c r="I102" s="17">
        <f>SUM(B102:H102)</f>
        <v>40</v>
      </c>
      <c r="J102" s="221" t="s">
        <v>237</v>
      </c>
      <c r="N102" s="72"/>
      <c r="O102" s="72"/>
      <c r="P102" s="72"/>
      <c r="Q102" s="72"/>
      <c r="R102" s="72"/>
    </row>
    <row r="103" spans="1:19" ht="17.100000000000001" customHeight="1">
      <c r="A103" s="209" t="s">
        <v>28</v>
      </c>
      <c r="B103" s="265" t="s">
        <v>256</v>
      </c>
      <c r="C103" s="265" t="s">
        <v>256</v>
      </c>
      <c r="D103" s="265" t="s">
        <v>256</v>
      </c>
      <c r="E103" s="265" t="s">
        <v>256</v>
      </c>
      <c r="F103" s="265" t="s">
        <v>256</v>
      </c>
      <c r="G103" s="266"/>
      <c r="H103" s="238"/>
      <c r="I103" s="207"/>
      <c r="J103" s="213" t="s">
        <v>28</v>
      </c>
      <c r="N103" s="72"/>
      <c r="O103" s="72"/>
      <c r="P103" s="72"/>
      <c r="Q103" s="72"/>
      <c r="R103" s="72"/>
    </row>
    <row r="104" spans="1:19" ht="17.100000000000001" customHeight="1" thickBot="1">
      <c r="A104" s="146" t="s">
        <v>257</v>
      </c>
      <c r="B104" s="269">
        <v>8</v>
      </c>
      <c r="C104" s="269">
        <v>8</v>
      </c>
      <c r="D104" s="269">
        <v>8</v>
      </c>
      <c r="E104" s="269">
        <v>8</v>
      </c>
      <c r="F104" s="269">
        <v>8</v>
      </c>
      <c r="G104" s="227"/>
      <c r="H104" s="239"/>
      <c r="I104" s="124">
        <f>SUM(B104:H104)</f>
        <v>40</v>
      </c>
      <c r="J104" s="245" t="s">
        <v>258</v>
      </c>
      <c r="N104" s="72"/>
      <c r="O104" s="72"/>
      <c r="P104" s="72"/>
      <c r="Q104" s="72"/>
      <c r="R104" s="72"/>
    </row>
    <row r="105" spans="1:19" ht="17.100000000000001" customHeight="1">
      <c r="A105" s="209"/>
      <c r="B105" s="280" t="s">
        <v>266</v>
      </c>
      <c r="C105" s="281" t="s">
        <v>266</v>
      </c>
      <c r="D105" s="281" t="s">
        <v>266</v>
      </c>
      <c r="E105" s="281" t="s">
        <v>266</v>
      </c>
      <c r="F105" s="281" t="s">
        <v>266</v>
      </c>
      <c r="G105" s="24"/>
      <c r="H105" s="258"/>
      <c r="I105" s="236"/>
      <c r="J105" s="213"/>
      <c r="N105" s="72"/>
      <c r="O105" s="72"/>
      <c r="P105" s="72"/>
      <c r="Q105" s="72"/>
      <c r="R105" s="72"/>
    </row>
    <row r="106" spans="1:19" ht="17.100000000000001" customHeight="1" thickBot="1">
      <c r="A106" s="95" t="s">
        <v>73</v>
      </c>
      <c r="B106" s="284">
        <v>8</v>
      </c>
      <c r="C106" s="284">
        <v>8</v>
      </c>
      <c r="D106" s="284">
        <v>8</v>
      </c>
      <c r="E106" s="284">
        <v>8</v>
      </c>
      <c r="F106" s="284">
        <v>8</v>
      </c>
      <c r="G106" s="17"/>
      <c r="H106" s="17"/>
      <c r="I106" s="285">
        <f>SUM(B106:H106)</f>
        <v>40</v>
      </c>
      <c r="J106" s="221" t="s">
        <v>267</v>
      </c>
      <c r="N106" s="72"/>
      <c r="O106" s="72"/>
      <c r="P106" s="72"/>
      <c r="Q106" s="72"/>
      <c r="R106" s="72"/>
    </row>
    <row r="107" spans="1:19" ht="17.45" customHeight="1" thickBot="1">
      <c r="A107" s="196" t="s">
        <v>30</v>
      </c>
      <c r="B107" s="286">
        <f t="shared" ref="B107:I107" si="3">SUM(B78,B80,B82,B84,B86,B88,B90,B92,B94,B96,B98,B100,B102,B104,B106)</f>
        <v>75.75</v>
      </c>
      <c r="C107" s="286">
        <f t="shared" si="3"/>
        <v>75.75</v>
      </c>
      <c r="D107" s="286">
        <f t="shared" si="3"/>
        <v>75.75</v>
      </c>
      <c r="E107" s="286">
        <f t="shared" si="3"/>
        <v>75.75</v>
      </c>
      <c r="F107" s="286">
        <f t="shared" si="3"/>
        <v>75.25</v>
      </c>
      <c r="G107" s="286">
        <f t="shared" si="3"/>
        <v>68.5</v>
      </c>
      <c r="H107" s="286">
        <f t="shared" si="3"/>
        <v>71.5</v>
      </c>
      <c r="I107" s="286">
        <f t="shared" si="3"/>
        <v>518.25</v>
      </c>
      <c r="J107" s="198"/>
      <c r="N107" s="72"/>
      <c r="O107" s="72"/>
      <c r="P107" s="72"/>
      <c r="Q107" s="72"/>
      <c r="R107" s="72"/>
    </row>
    <row r="108" spans="1:19" ht="17.45" customHeight="1" thickTop="1">
      <c r="A108" s="72"/>
      <c r="B108" s="72"/>
      <c r="C108" s="72"/>
      <c r="D108" s="72"/>
      <c r="E108" s="72"/>
      <c r="F108" s="72"/>
      <c r="G108" s="204" t="s">
        <v>152</v>
      </c>
      <c r="H108" s="204" t="s">
        <v>153</v>
      </c>
      <c r="I108" s="204" t="s">
        <v>154</v>
      </c>
      <c r="N108" s="72"/>
      <c r="O108" s="72"/>
      <c r="P108" s="72"/>
      <c r="Q108" s="72"/>
      <c r="R108" s="72"/>
    </row>
    <row r="109" spans="1:19" ht="17.45" customHeight="1">
      <c r="A109" s="274"/>
      <c r="B109" s="274"/>
      <c r="C109" s="274"/>
      <c r="D109" s="274"/>
      <c r="E109" s="274"/>
      <c r="F109" s="72"/>
      <c r="G109" s="130">
        <f>I107</f>
        <v>518.25</v>
      </c>
      <c r="H109" s="169">
        <f>SUM(G109*13/3)</f>
        <v>2245.75</v>
      </c>
      <c r="I109" s="130">
        <f>SUM(H109*12)</f>
        <v>26949</v>
      </c>
      <c r="N109" s="72"/>
      <c r="O109" s="72"/>
      <c r="P109" s="72"/>
      <c r="Q109" s="72"/>
      <c r="R109" s="72"/>
    </row>
    <row r="110" spans="1:19" ht="17.45" customHeight="1">
      <c r="A110" s="406"/>
      <c r="B110" s="406"/>
      <c r="C110" s="406"/>
      <c r="D110" s="406"/>
      <c r="E110" s="406"/>
      <c r="F110" s="72"/>
      <c r="G110" s="72"/>
      <c r="H110" s="174"/>
      <c r="I110" s="72"/>
      <c r="N110" s="72"/>
      <c r="O110" s="72"/>
      <c r="P110" s="72"/>
      <c r="Q110" s="72"/>
      <c r="R110" s="72"/>
    </row>
    <row r="111" spans="1:19" ht="17.100000000000001" customHeight="1" thickBot="1">
      <c r="A111" s="1" t="s">
        <v>271</v>
      </c>
      <c r="B111" s="72"/>
      <c r="C111" s="72"/>
      <c r="D111" s="72"/>
      <c r="E111" s="72"/>
      <c r="F111" s="72"/>
      <c r="L111" s="72"/>
      <c r="M111" s="274"/>
      <c r="N111" s="274"/>
      <c r="O111" s="274"/>
      <c r="P111" s="274"/>
      <c r="Q111" s="274"/>
      <c r="R111" s="274"/>
      <c r="S111" s="407"/>
    </row>
    <row r="112" spans="1:19" ht="17.100000000000001" customHeight="1" thickBot="1">
      <c r="A112" s="61" t="s">
        <v>272</v>
      </c>
      <c r="B112" s="62" t="s">
        <v>2</v>
      </c>
      <c r="C112" s="63" t="s">
        <v>3</v>
      </c>
      <c r="D112" s="63" t="s">
        <v>4</v>
      </c>
      <c r="E112" s="63" t="s">
        <v>5</v>
      </c>
      <c r="F112" s="63" t="s">
        <v>6</v>
      </c>
      <c r="G112" s="63" t="s">
        <v>7</v>
      </c>
      <c r="H112" s="64" t="s">
        <v>8</v>
      </c>
      <c r="I112" s="65" t="s">
        <v>9</v>
      </c>
      <c r="J112" s="66" t="s">
        <v>10</v>
      </c>
      <c r="L112" s="274"/>
      <c r="M112" s="72"/>
      <c r="N112" s="72"/>
      <c r="O112" s="72"/>
      <c r="P112" s="72"/>
      <c r="Q112" s="72"/>
      <c r="R112" s="72"/>
      <c r="S112" s="408"/>
    </row>
    <row r="113" spans="1:20" ht="17.100000000000001" customHeight="1">
      <c r="A113" s="41" t="s">
        <v>28</v>
      </c>
      <c r="B113" s="10" t="s">
        <v>273</v>
      </c>
      <c r="C113" s="10" t="s">
        <v>273</v>
      </c>
      <c r="D113" s="10" t="s">
        <v>273</v>
      </c>
      <c r="E113" s="10" t="s">
        <v>273</v>
      </c>
      <c r="F113" s="10" t="s">
        <v>274</v>
      </c>
      <c r="G113" s="5"/>
      <c r="H113" s="119"/>
      <c r="I113" s="118"/>
      <c r="J113" s="32" t="s">
        <v>275</v>
      </c>
      <c r="L113" s="72"/>
      <c r="M113" s="127"/>
      <c r="N113" s="127"/>
      <c r="O113" s="127"/>
      <c r="P113" s="127"/>
      <c r="Q113" s="127"/>
      <c r="R113" s="407"/>
      <c r="S113" s="407"/>
    </row>
    <row r="114" spans="1:20" ht="17.100000000000001" customHeight="1" thickBot="1">
      <c r="A114" s="16" t="s">
        <v>117</v>
      </c>
      <c r="B114" s="17">
        <v>7.75</v>
      </c>
      <c r="C114" s="17">
        <v>7.75</v>
      </c>
      <c r="D114" s="17">
        <v>7.75</v>
      </c>
      <c r="E114" s="17">
        <v>7.75</v>
      </c>
      <c r="F114" s="17">
        <v>6</v>
      </c>
      <c r="G114" s="19"/>
      <c r="H114" s="20"/>
      <c r="I114" s="36">
        <f>SUM(B114:H114)</f>
        <v>37</v>
      </c>
      <c r="J114" s="37" t="s">
        <v>276</v>
      </c>
      <c r="L114" s="274"/>
      <c r="M114" s="139"/>
      <c r="N114" s="139"/>
      <c r="O114" s="139"/>
      <c r="P114" s="139"/>
      <c r="Q114" s="139"/>
      <c r="R114" s="408"/>
      <c r="S114" s="408"/>
    </row>
    <row r="115" spans="1:20" ht="17.100000000000001" customHeight="1" thickBot="1">
      <c r="A115" s="61" t="s">
        <v>146</v>
      </c>
      <c r="B115" s="62" t="s">
        <v>2</v>
      </c>
      <c r="C115" s="63" t="s">
        <v>3</v>
      </c>
      <c r="D115" s="63" t="s">
        <v>4</v>
      </c>
      <c r="E115" s="63" t="s">
        <v>5</v>
      </c>
      <c r="F115" s="63" t="s">
        <v>6</v>
      </c>
      <c r="G115" s="63" t="s">
        <v>7</v>
      </c>
      <c r="H115" s="64" t="s">
        <v>8</v>
      </c>
      <c r="I115" s="65" t="s">
        <v>9</v>
      </c>
      <c r="J115" s="66" t="s">
        <v>10</v>
      </c>
      <c r="L115" s="274"/>
      <c r="M115" s="139"/>
      <c r="N115" s="139"/>
      <c r="O115" s="139"/>
      <c r="P115" s="139"/>
      <c r="Q115" s="139"/>
      <c r="R115" s="408"/>
      <c r="S115" s="408"/>
    </row>
    <row r="116" spans="1:20" ht="17.100000000000001" customHeight="1">
      <c r="A116" s="41" t="s">
        <v>28</v>
      </c>
      <c r="B116" s="10" t="s">
        <v>277</v>
      </c>
      <c r="C116" s="10" t="s">
        <v>277</v>
      </c>
      <c r="D116" s="10" t="s">
        <v>277</v>
      </c>
      <c r="E116" s="10" t="s">
        <v>277</v>
      </c>
      <c r="F116" s="10" t="s">
        <v>278</v>
      </c>
      <c r="G116" s="5"/>
      <c r="H116" s="119"/>
      <c r="I116" s="118"/>
      <c r="J116" s="32" t="s">
        <v>275</v>
      </c>
      <c r="L116" s="274"/>
      <c r="M116" s="139"/>
      <c r="N116" s="139"/>
      <c r="O116" s="139"/>
      <c r="P116" s="139"/>
      <c r="Q116" s="139"/>
      <c r="R116" s="408"/>
      <c r="S116" s="408"/>
    </row>
    <row r="117" spans="1:20" ht="17.100000000000001" customHeight="1" thickBot="1">
      <c r="A117" s="16" t="s">
        <v>279</v>
      </c>
      <c r="B117" s="17">
        <v>7.75</v>
      </c>
      <c r="C117" s="17">
        <v>7.75</v>
      </c>
      <c r="D117" s="17">
        <v>7.75</v>
      </c>
      <c r="E117" s="17">
        <v>7.75</v>
      </c>
      <c r="F117" s="17">
        <v>6</v>
      </c>
      <c r="G117" s="19"/>
      <c r="H117" s="20"/>
      <c r="I117" s="36">
        <f>SUM(B117:H117)</f>
        <v>37</v>
      </c>
      <c r="J117" s="37" t="s">
        <v>276</v>
      </c>
      <c r="L117" s="274"/>
      <c r="M117" s="139"/>
      <c r="N117" s="139"/>
      <c r="O117" s="139"/>
      <c r="P117" s="139"/>
      <c r="Q117" s="139"/>
      <c r="R117" s="408"/>
      <c r="S117" s="408"/>
    </row>
    <row r="118" spans="1:20" ht="17.100000000000001" customHeight="1">
      <c r="A118" s="274"/>
      <c r="B118" s="72"/>
      <c r="C118" s="72"/>
      <c r="D118" s="72"/>
      <c r="E118" s="72"/>
      <c r="F118" s="139"/>
      <c r="G118" s="204" t="s">
        <v>152</v>
      </c>
      <c r="H118" s="204" t="s">
        <v>153</v>
      </c>
      <c r="I118" s="204" t="s">
        <v>154</v>
      </c>
      <c r="J118" s="73"/>
      <c r="L118" s="72"/>
      <c r="M118" s="127"/>
      <c r="N118" s="127"/>
      <c r="O118" s="127"/>
      <c r="P118" s="127"/>
      <c r="Q118" s="127"/>
      <c r="R118" s="407"/>
      <c r="S118" s="407"/>
    </row>
    <row r="119" spans="1:20" ht="17.100000000000001" customHeight="1">
      <c r="A119" s="274"/>
      <c r="B119" s="72"/>
      <c r="C119" s="72"/>
      <c r="D119" s="72"/>
      <c r="E119" s="72"/>
      <c r="F119" s="139"/>
      <c r="G119" s="130">
        <f>SUM(I114,I117)</f>
        <v>74</v>
      </c>
      <c r="H119" s="169">
        <f>SUM(G119*13/3)</f>
        <v>320.66666666666669</v>
      </c>
      <c r="I119" s="130">
        <f>SUM(H119*12)</f>
        <v>3848</v>
      </c>
      <c r="J119" s="73"/>
      <c r="M119" s="139"/>
      <c r="N119" s="139"/>
      <c r="O119" s="139"/>
      <c r="P119" s="139"/>
      <c r="Q119" s="139"/>
      <c r="R119" s="408"/>
      <c r="S119" s="408"/>
    </row>
    <row r="120" spans="1:20" ht="17.100000000000001" customHeight="1" thickBot="1">
      <c r="A120" s="1" t="s">
        <v>280</v>
      </c>
      <c r="B120" s="72"/>
      <c r="C120" s="72"/>
      <c r="D120" s="72"/>
      <c r="E120" s="72"/>
      <c r="F120" s="72"/>
    </row>
    <row r="121" spans="1:20" ht="17.100000000000001" customHeight="1" thickBot="1">
      <c r="A121" s="61" t="s">
        <v>281</v>
      </c>
      <c r="B121" s="62" t="s">
        <v>2</v>
      </c>
      <c r="C121" s="63" t="s">
        <v>3</v>
      </c>
      <c r="D121" s="63" t="s">
        <v>4</v>
      </c>
      <c r="E121" s="63" t="s">
        <v>5</v>
      </c>
      <c r="F121" s="63" t="s">
        <v>6</v>
      </c>
      <c r="G121" s="63" t="s">
        <v>7</v>
      </c>
      <c r="H121" s="64" t="s">
        <v>8</v>
      </c>
      <c r="I121" s="65" t="s">
        <v>9</v>
      </c>
      <c r="J121" s="66" t="s">
        <v>10</v>
      </c>
    </row>
    <row r="122" spans="1:20" ht="17.100000000000001" customHeight="1">
      <c r="A122" s="41" t="s">
        <v>28</v>
      </c>
      <c r="B122" s="10" t="s">
        <v>282</v>
      </c>
      <c r="C122" s="10" t="s">
        <v>282</v>
      </c>
      <c r="D122" s="10" t="s">
        <v>282</v>
      </c>
      <c r="E122" s="10" t="s">
        <v>282</v>
      </c>
      <c r="F122" s="10" t="s">
        <v>283</v>
      </c>
      <c r="G122" s="5"/>
      <c r="H122" s="119"/>
      <c r="I122" s="118"/>
      <c r="J122" s="32"/>
    </row>
    <row r="123" spans="1:20" ht="17.100000000000001" customHeight="1" thickBot="1">
      <c r="A123" s="16" t="s">
        <v>119</v>
      </c>
      <c r="B123" s="17">
        <v>8</v>
      </c>
      <c r="C123" s="17">
        <v>8</v>
      </c>
      <c r="D123" s="17">
        <v>8</v>
      </c>
      <c r="E123" s="17">
        <v>8</v>
      </c>
      <c r="F123" s="17">
        <v>5</v>
      </c>
      <c r="G123" s="19"/>
      <c r="H123" s="20"/>
      <c r="I123" s="36">
        <f>SUM(B123:H123)</f>
        <v>37</v>
      </c>
      <c r="J123" s="37"/>
      <c r="L123" s="274"/>
      <c r="M123" s="274"/>
      <c r="N123" s="274"/>
      <c r="O123" s="274"/>
      <c r="P123" s="274"/>
    </row>
    <row r="124" spans="1:20" ht="17.100000000000001" customHeight="1">
      <c r="A124" s="274"/>
      <c r="B124" s="72"/>
      <c r="C124" s="72"/>
      <c r="D124" s="72"/>
      <c r="E124" s="72"/>
      <c r="F124" s="139"/>
      <c r="G124" s="204" t="s">
        <v>152</v>
      </c>
      <c r="H124" s="204" t="s">
        <v>153</v>
      </c>
      <c r="I124" s="204" t="s">
        <v>154</v>
      </c>
      <c r="J124" s="73"/>
      <c r="L124" s="72"/>
      <c r="M124" s="72"/>
      <c r="N124" s="72"/>
      <c r="O124" s="72"/>
      <c r="P124" s="72"/>
    </row>
    <row r="125" spans="1:20" ht="17.100000000000001" customHeight="1">
      <c r="A125" s="274"/>
      <c r="B125" s="72"/>
      <c r="C125" s="72"/>
      <c r="D125" s="72"/>
      <c r="E125" s="72"/>
      <c r="F125" s="139"/>
      <c r="G125" s="130">
        <f>I123</f>
        <v>37</v>
      </c>
      <c r="H125" s="169">
        <f>SUM(G125*13/3)</f>
        <v>160.33333333333334</v>
      </c>
      <c r="I125" s="130">
        <f>SUM(H125*12)</f>
        <v>1924</v>
      </c>
      <c r="J125" s="73"/>
      <c r="L125" s="274"/>
      <c r="M125" s="274"/>
      <c r="N125" s="274"/>
      <c r="O125" s="274"/>
      <c r="P125" s="274"/>
    </row>
    <row r="126" spans="1:20" ht="17.100000000000001" customHeight="1" thickBot="1">
      <c r="A126" s="1" t="s">
        <v>284</v>
      </c>
      <c r="B126" s="72"/>
      <c r="C126" s="72"/>
      <c r="D126" s="72"/>
      <c r="E126" s="72"/>
      <c r="F126" s="72"/>
    </row>
    <row r="127" spans="1:20" ht="17.100000000000001" customHeight="1" thickBot="1">
      <c r="A127" s="23" t="s">
        <v>123</v>
      </c>
      <c r="B127" s="24" t="s">
        <v>2</v>
      </c>
      <c r="C127" s="25" t="s">
        <v>3</v>
      </c>
      <c r="D127" s="25" t="s">
        <v>4</v>
      </c>
      <c r="E127" s="25" t="s">
        <v>5</v>
      </c>
      <c r="F127" s="25" t="s">
        <v>6</v>
      </c>
      <c r="G127" s="25" t="s">
        <v>7</v>
      </c>
      <c r="H127" s="26" t="s">
        <v>8</v>
      </c>
      <c r="I127" s="27" t="s">
        <v>9</v>
      </c>
      <c r="J127" s="28" t="s">
        <v>10</v>
      </c>
      <c r="M127" s="340"/>
      <c r="N127" s="341" t="s">
        <v>158</v>
      </c>
      <c r="O127">
        <v>37</v>
      </c>
      <c r="P127" t="s">
        <v>285</v>
      </c>
      <c r="Q127">
        <v>2</v>
      </c>
      <c r="R127" t="s">
        <v>286</v>
      </c>
      <c r="S127">
        <f>O127*Q127</f>
        <v>74</v>
      </c>
      <c r="T127" t="s">
        <v>287</v>
      </c>
    </row>
    <row r="128" spans="1:20" ht="17.100000000000001" customHeight="1">
      <c r="A128" s="29" t="s">
        <v>87</v>
      </c>
      <c r="B128" s="30" t="s">
        <v>288</v>
      </c>
      <c r="C128" s="30" t="s">
        <v>288</v>
      </c>
      <c r="D128" s="30" t="s">
        <v>288</v>
      </c>
      <c r="E128" s="30" t="s">
        <v>288</v>
      </c>
      <c r="F128" s="409" t="s">
        <v>289</v>
      </c>
      <c r="G128" s="5"/>
      <c r="H128" s="5"/>
      <c r="I128" s="30"/>
      <c r="J128" s="32" t="s">
        <v>290</v>
      </c>
      <c r="M128" s="329"/>
      <c r="N128" s="345" t="s">
        <v>161</v>
      </c>
      <c r="O128" t="s">
        <v>28</v>
      </c>
    </row>
    <row r="129" spans="1:22" ht="17.100000000000001" customHeight="1" thickBot="1">
      <c r="A129" s="181"/>
      <c r="B129" s="133">
        <v>0</v>
      </c>
      <c r="C129" s="133">
        <v>0</v>
      </c>
      <c r="D129" s="133">
        <v>0</v>
      </c>
      <c r="E129" s="133">
        <v>0</v>
      </c>
      <c r="F129" s="178">
        <v>0</v>
      </c>
      <c r="G129" s="182"/>
      <c r="H129" s="182"/>
      <c r="I129" s="133">
        <f>SUM(B129:H129)</f>
        <v>0</v>
      </c>
      <c r="J129" s="200"/>
      <c r="M129" s="329" t="s">
        <v>164</v>
      </c>
      <c r="N129" s="345">
        <v>0</v>
      </c>
      <c r="O129" t="s">
        <v>291</v>
      </c>
      <c r="Q129">
        <f>I131</f>
        <v>0</v>
      </c>
    </row>
    <row r="130" spans="1:22" ht="17.100000000000001" customHeight="1">
      <c r="A130" s="29" t="s">
        <v>91</v>
      </c>
      <c r="B130" s="30" t="s">
        <v>292</v>
      </c>
      <c r="C130" s="30" t="s">
        <v>292</v>
      </c>
      <c r="D130" s="30" t="s">
        <v>292</v>
      </c>
      <c r="E130" s="30" t="s">
        <v>292</v>
      </c>
      <c r="F130" s="30" t="s">
        <v>293</v>
      </c>
      <c r="G130" s="410"/>
      <c r="H130" s="410"/>
      <c r="I130" s="30"/>
      <c r="J130" s="32" t="s">
        <v>294</v>
      </c>
      <c r="M130" s="329" t="s">
        <v>167</v>
      </c>
      <c r="N130" s="345">
        <f>I131</f>
        <v>0</v>
      </c>
    </row>
    <row r="131" spans="1:22" ht="17.100000000000001" customHeight="1" thickBot="1">
      <c r="A131" s="163"/>
      <c r="B131" s="34">
        <v>0</v>
      </c>
      <c r="C131" s="34">
        <v>0</v>
      </c>
      <c r="D131" s="34">
        <v>0</v>
      </c>
      <c r="E131" s="34">
        <v>0</v>
      </c>
      <c r="F131" s="34">
        <v>0</v>
      </c>
      <c r="G131" s="140"/>
      <c r="H131" s="140"/>
      <c r="I131" s="34">
        <f>SUM(B131:H131)</f>
        <v>0</v>
      </c>
      <c r="J131" s="142"/>
      <c r="M131" s="329" t="s">
        <v>170</v>
      </c>
      <c r="N131" s="345">
        <v>0</v>
      </c>
      <c r="O131">
        <f>Q129</f>
        <v>0</v>
      </c>
      <c r="P131" t="s">
        <v>295</v>
      </c>
      <c r="Q131" s="160">
        <f>SUM(O131/37)</f>
        <v>0</v>
      </c>
    </row>
    <row r="132" spans="1:22" ht="17.100000000000001" customHeight="1" thickBot="1">
      <c r="A132" s="196" t="s">
        <v>30</v>
      </c>
      <c r="B132" s="196">
        <f t="shared" ref="B132:I132" si="4">SUM(B129,B131)</f>
        <v>0</v>
      </c>
      <c r="C132" s="196">
        <f t="shared" si="4"/>
        <v>0</v>
      </c>
      <c r="D132" s="196">
        <f t="shared" si="4"/>
        <v>0</v>
      </c>
      <c r="E132" s="196">
        <f t="shared" si="4"/>
        <v>0</v>
      </c>
      <c r="F132" s="196">
        <f t="shared" si="4"/>
        <v>0</v>
      </c>
      <c r="G132" s="196">
        <f t="shared" si="4"/>
        <v>0</v>
      </c>
      <c r="H132" s="196">
        <f t="shared" si="4"/>
        <v>0</v>
      </c>
      <c r="I132" s="196">
        <f t="shared" si="4"/>
        <v>0</v>
      </c>
      <c r="J132" s="198"/>
      <c r="O132" t="s">
        <v>296</v>
      </c>
      <c r="Q132" s="160"/>
    </row>
    <row r="133" spans="1:22" ht="17.100000000000001" customHeight="1" thickTop="1">
      <c r="A133" s="72"/>
      <c r="B133" s="72"/>
      <c r="C133" s="72"/>
      <c r="D133" s="72"/>
      <c r="E133" s="72"/>
      <c r="F133" s="72"/>
      <c r="G133" s="204" t="s">
        <v>152</v>
      </c>
      <c r="H133" s="204" t="s">
        <v>153</v>
      </c>
      <c r="I133" s="204" t="s">
        <v>154</v>
      </c>
      <c r="Q133" s="160"/>
      <c r="V133" s="411"/>
    </row>
    <row r="134" spans="1:22" ht="17.100000000000001" customHeight="1">
      <c r="A134" s="72"/>
      <c r="B134" s="72"/>
      <c r="C134" s="72"/>
      <c r="D134" s="72"/>
      <c r="E134" s="72"/>
      <c r="F134" s="72"/>
      <c r="G134" s="130">
        <f>I132</f>
        <v>0</v>
      </c>
      <c r="H134" s="169">
        <f>SUM(G134*13/3)</f>
        <v>0</v>
      </c>
      <c r="I134" s="130">
        <f>SUM(H134*12)</f>
        <v>0</v>
      </c>
      <c r="O134" t="s">
        <v>297</v>
      </c>
      <c r="Q134" s="160"/>
    </row>
    <row r="135" spans="1:22" ht="17.100000000000001" customHeight="1">
      <c r="A135" s="72"/>
      <c r="B135" s="72"/>
      <c r="C135" s="72"/>
      <c r="D135" s="72"/>
      <c r="E135" s="72"/>
      <c r="F135" s="72"/>
      <c r="G135" s="72"/>
      <c r="H135" s="174"/>
      <c r="I135" s="72"/>
      <c r="O135" t="s">
        <v>298</v>
      </c>
      <c r="Q135" s="361"/>
      <c r="S135" s="160"/>
      <c r="U135" s="412"/>
    </row>
    <row r="136" spans="1:22" ht="18" customHeight="1" thickBot="1">
      <c r="A136" s="1" t="s">
        <v>103</v>
      </c>
      <c r="B136" s="72"/>
      <c r="C136" s="72"/>
      <c r="D136" s="72"/>
      <c r="E136" s="72"/>
      <c r="F136" s="72"/>
    </row>
    <row r="137" spans="1:22" ht="18" customHeight="1" thickBot="1">
      <c r="A137" s="61" t="s">
        <v>104</v>
      </c>
      <c r="B137" s="62" t="s">
        <v>2</v>
      </c>
      <c r="C137" s="63" t="s">
        <v>3</v>
      </c>
      <c r="D137" s="63" t="s">
        <v>4</v>
      </c>
      <c r="E137" s="63" t="s">
        <v>5</v>
      </c>
      <c r="F137" s="63" t="s">
        <v>6</v>
      </c>
      <c r="G137" s="63" t="s">
        <v>7</v>
      </c>
      <c r="H137" s="64" t="s">
        <v>8</v>
      </c>
      <c r="I137" s="65" t="s">
        <v>9</v>
      </c>
      <c r="J137" s="66" t="s">
        <v>10</v>
      </c>
      <c r="M137" s="340"/>
      <c r="N137" s="341" t="s">
        <v>158</v>
      </c>
      <c r="O137" t="s">
        <v>299</v>
      </c>
    </row>
    <row r="138" spans="1:22" ht="18" customHeight="1">
      <c r="A138" s="41" t="s">
        <v>105</v>
      </c>
      <c r="B138" s="118" t="s">
        <v>89</v>
      </c>
      <c r="C138" s="118" t="s">
        <v>89</v>
      </c>
      <c r="D138" s="118" t="s">
        <v>89</v>
      </c>
      <c r="E138" s="118" t="s">
        <v>89</v>
      </c>
      <c r="F138" s="118" t="s">
        <v>77</v>
      </c>
      <c r="G138" s="5"/>
      <c r="H138" s="119"/>
      <c r="I138" s="118"/>
      <c r="J138" s="32"/>
      <c r="M138" s="329"/>
      <c r="N138" s="345" t="s">
        <v>161</v>
      </c>
      <c r="O138" t="s">
        <v>28</v>
      </c>
    </row>
    <row r="139" spans="1:22" ht="18" customHeight="1" thickBot="1">
      <c r="A139" s="120"/>
      <c r="B139" s="17">
        <v>7.5</v>
      </c>
      <c r="C139" s="17">
        <v>7.5</v>
      </c>
      <c r="D139" s="17">
        <v>7.5</v>
      </c>
      <c r="E139" s="17">
        <v>7.5</v>
      </c>
      <c r="F139" s="18">
        <v>7</v>
      </c>
      <c r="G139" s="19"/>
      <c r="H139" s="20"/>
      <c r="I139" s="36">
        <f>SUM(B139:H139)</f>
        <v>37</v>
      </c>
      <c r="J139" s="37"/>
      <c r="M139" s="329" t="s">
        <v>164</v>
      </c>
      <c r="N139" s="345">
        <v>0</v>
      </c>
      <c r="O139" t="s">
        <v>300</v>
      </c>
    </row>
    <row r="140" spans="1:22" ht="18" customHeight="1">
      <c r="A140" s="129" t="s">
        <v>106</v>
      </c>
      <c r="B140" s="30" t="s">
        <v>301</v>
      </c>
      <c r="C140" s="30" t="s">
        <v>301</v>
      </c>
      <c r="D140" s="30" t="s">
        <v>301</v>
      </c>
      <c r="E140" s="30" t="s">
        <v>301</v>
      </c>
      <c r="F140" s="30" t="s">
        <v>302</v>
      </c>
      <c r="G140" s="12"/>
      <c r="H140" s="13"/>
      <c r="I140" s="122"/>
      <c r="J140" s="40"/>
      <c r="M140" s="329" t="s">
        <v>167</v>
      </c>
      <c r="N140" s="345">
        <v>34</v>
      </c>
    </row>
    <row r="141" spans="1:22" ht="18" customHeight="1" thickBot="1">
      <c r="A141" s="123"/>
      <c r="B141" s="130">
        <v>7</v>
      </c>
      <c r="C141" s="130">
        <v>7</v>
      </c>
      <c r="D141" s="130">
        <v>7</v>
      </c>
      <c r="E141" s="130">
        <v>7</v>
      </c>
      <c r="F141" s="125">
        <v>6</v>
      </c>
      <c r="G141" s="126"/>
      <c r="H141" s="127"/>
      <c r="I141" s="36">
        <f>SUM(B141:H141)</f>
        <v>34</v>
      </c>
      <c r="J141" s="85"/>
      <c r="M141" s="329" t="s">
        <v>170</v>
      </c>
      <c r="N141" s="345">
        <v>0</v>
      </c>
      <c r="O141" t="s">
        <v>303</v>
      </c>
    </row>
    <row r="142" spans="1:22" ht="18" customHeight="1" thickBot="1">
      <c r="A142" s="29" t="s">
        <v>108</v>
      </c>
      <c r="B142" s="118" t="s">
        <v>109</v>
      </c>
      <c r="C142" s="118" t="s">
        <v>109</v>
      </c>
      <c r="D142" s="118" t="s">
        <v>109</v>
      </c>
      <c r="E142" s="118" t="s">
        <v>109</v>
      </c>
      <c r="F142" s="118" t="s">
        <v>110</v>
      </c>
      <c r="G142" s="118"/>
      <c r="H142" s="118"/>
      <c r="I142" s="118"/>
      <c r="J142" s="32"/>
      <c r="M142" s="331" t="s">
        <v>179</v>
      </c>
      <c r="N142" s="350">
        <f>SUM(N139:N141)</f>
        <v>34</v>
      </c>
    </row>
    <row r="143" spans="1:22" ht="18" customHeight="1" thickBot="1">
      <c r="A143" s="16"/>
      <c r="B143" s="17" t="s">
        <v>304</v>
      </c>
      <c r="C143" s="17" t="s">
        <v>304</v>
      </c>
      <c r="D143" s="17" t="s">
        <v>304</v>
      </c>
      <c r="E143" s="17" t="s">
        <v>304</v>
      </c>
      <c r="F143" s="17" t="s">
        <v>304</v>
      </c>
      <c r="G143" s="18"/>
      <c r="H143" s="35"/>
      <c r="I143" s="36">
        <f>SUM(B143:H143)</f>
        <v>0</v>
      </c>
      <c r="J143" s="37"/>
      <c r="O143" t="s">
        <v>305</v>
      </c>
    </row>
    <row r="144" spans="1:22" ht="18" customHeight="1" thickBot="1">
      <c r="A144" s="58" t="s">
        <v>30</v>
      </c>
      <c r="B144" s="58">
        <f t="shared" ref="B144:I144" si="5">SUM(B139,B141,B143)</f>
        <v>14.5</v>
      </c>
      <c r="C144" s="58">
        <f t="shared" si="5"/>
        <v>14.5</v>
      </c>
      <c r="D144" s="58">
        <f t="shared" si="5"/>
        <v>14.5</v>
      </c>
      <c r="E144" s="58">
        <f t="shared" si="5"/>
        <v>14.5</v>
      </c>
      <c r="F144" s="58">
        <f t="shared" si="5"/>
        <v>13</v>
      </c>
      <c r="G144" s="58">
        <f t="shared" si="5"/>
        <v>0</v>
      </c>
      <c r="H144" s="58">
        <f t="shared" si="5"/>
        <v>0</v>
      </c>
      <c r="I144" s="70">
        <f t="shared" si="5"/>
        <v>71</v>
      </c>
      <c r="J144" s="71"/>
    </row>
    <row r="145" spans="1:20" ht="18" customHeight="1" thickTop="1">
      <c r="A145" s="72"/>
      <c r="B145" s="72"/>
      <c r="C145" s="72"/>
      <c r="D145" s="72"/>
      <c r="E145" s="72"/>
      <c r="F145" s="139"/>
      <c r="G145" s="204" t="s">
        <v>152</v>
      </c>
      <c r="H145" s="204" t="s">
        <v>153</v>
      </c>
      <c r="I145" s="204" t="s">
        <v>154</v>
      </c>
      <c r="J145" s="73"/>
      <c r="O145" t="s">
        <v>306</v>
      </c>
      <c r="P145" s="72"/>
      <c r="T145" t="s">
        <v>195</v>
      </c>
    </row>
    <row r="146" spans="1:20" ht="18" customHeight="1">
      <c r="A146" s="72"/>
      <c r="B146" s="72"/>
      <c r="C146" s="72"/>
      <c r="D146" s="72"/>
      <c r="E146" s="72"/>
      <c r="F146" s="72"/>
      <c r="G146" s="130">
        <f>I144</f>
        <v>71</v>
      </c>
      <c r="H146" s="169">
        <f>SUM(G146*13/3)</f>
        <v>307.66666666666669</v>
      </c>
      <c r="I146" s="130">
        <f>SUM(H146*12)</f>
        <v>3692</v>
      </c>
      <c r="J146" s="73"/>
    </row>
    <row r="147" spans="1:20" ht="18" customHeight="1">
      <c r="A147" s="72"/>
      <c r="B147" s="72"/>
      <c r="C147" s="72"/>
      <c r="D147" s="72"/>
      <c r="E147" s="72"/>
      <c r="F147" s="72"/>
      <c r="G147" s="72"/>
      <c r="H147" s="174"/>
      <c r="I147" s="72"/>
      <c r="J147" s="73"/>
      <c r="O147" t="s">
        <v>307</v>
      </c>
    </row>
    <row r="148" spans="1:20" ht="18" customHeight="1" thickBot="1">
      <c r="A148" s="312" t="s">
        <v>308</v>
      </c>
      <c r="B148" s="72"/>
      <c r="C148" s="72"/>
      <c r="D148" s="72"/>
      <c r="E148" s="72"/>
      <c r="F148" s="139"/>
      <c r="G148" s="139"/>
      <c r="H148" s="139"/>
      <c r="I148" s="72"/>
      <c r="J148" s="73"/>
      <c r="N148" s="72"/>
    </row>
    <row r="149" spans="1:20" ht="18" customHeight="1" thickBot="1">
      <c r="A149" s="61" t="s">
        <v>128</v>
      </c>
      <c r="B149" s="62" t="s">
        <v>2</v>
      </c>
      <c r="C149" s="63" t="s">
        <v>3</v>
      </c>
      <c r="D149" s="63" t="s">
        <v>4</v>
      </c>
      <c r="E149" s="63" t="s">
        <v>5</v>
      </c>
      <c r="F149" s="63" t="s">
        <v>6</v>
      </c>
      <c r="G149" s="63" t="s">
        <v>7</v>
      </c>
      <c r="H149" s="64" t="s">
        <v>8</v>
      </c>
      <c r="I149" s="65" t="s">
        <v>9</v>
      </c>
      <c r="J149" s="66" t="s">
        <v>10</v>
      </c>
      <c r="N149" s="72"/>
    </row>
    <row r="150" spans="1:20" ht="18" customHeight="1">
      <c r="A150" s="29" t="s">
        <v>28</v>
      </c>
      <c r="B150" s="30" t="s">
        <v>124</v>
      </c>
      <c r="C150" s="30" t="s">
        <v>124</v>
      </c>
      <c r="D150" s="30" t="s">
        <v>124</v>
      </c>
      <c r="E150" s="30" t="s">
        <v>124</v>
      </c>
      <c r="F150" s="31" t="s">
        <v>125</v>
      </c>
      <c r="G150" s="4"/>
      <c r="H150" s="413" t="s">
        <v>28</v>
      </c>
      <c r="I150" s="7"/>
      <c r="J150" s="32" t="s">
        <v>28</v>
      </c>
      <c r="N150" s="72"/>
    </row>
    <row r="151" spans="1:20" ht="18" customHeight="1" thickBot="1">
      <c r="A151" s="315">
        <v>1</v>
      </c>
      <c r="B151" s="34">
        <v>7.75</v>
      </c>
      <c r="C151" s="34">
        <v>7.75</v>
      </c>
      <c r="D151" s="34">
        <v>7.75</v>
      </c>
      <c r="E151" s="34">
        <v>7.75</v>
      </c>
      <c r="F151" s="140">
        <v>6</v>
      </c>
      <c r="G151" s="17"/>
      <c r="H151" s="263" t="s">
        <v>28</v>
      </c>
      <c r="I151" s="34">
        <f>SUM(B151:H151)</f>
        <v>37</v>
      </c>
      <c r="J151" s="37"/>
      <c r="N151" s="72"/>
    </row>
    <row r="152" spans="1:20" ht="18" customHeight="1">
      <c r="A152" s="147" t="s">
        <v>28</v>
      </c>
      <c r="B152" s="30" t="s">
        <v>124</v>
      </c>
      <c r="C152" s="30" t="s">
        <v>124</v>
      </c>
      <c r="D152" s="30" t="s">
        <v>124</v>
      </c>
      <c r="E152" s="30" t="s">
        <v>124</v>
      </c>
      <c r="F152" s="31" t="s">
        <v>125</v>
      </c>
      <c r="G152" s="414"/>
      <c r="H152" s="11"/>
      <c r="I152" s="54"/>
      <c r="J152" s="40"/>
      <c r="N152" s="72"/>
    </row>
    <row r="153" spans="1:20" ht="18" customHeight="1" thickBot="1">
      <c r="A153" s="315">
        <v>2</v>
      </c>
      <c r="B153" s="34">
        <v>7.75</v>
      </c>
      <c r="C153" s="34">
        <v>7.75</v>
      </c>
      <c r="D153" s="34">
        <v>7.75</v>
      </c>
      <c r="E153" s="34">
        <v>7.75</v>
      </c>
      <c r="F153" s="140">
        <v>6</v>
      </c>
      <c r="G153" s="18"/>
      <c r="H153" s="140"/>
      <c r="I153" s="34">
        <f>SUM(B153:H153)</f>
        <v>37</v>
      </c>
      <c r="J153" s="142"/>
      <c r="N153" s="72"/>
    </row>
    <row r="154" spans="1:20" ht="18" customHeight="1">
      <c r="A154" s="29"/>
      <c r="B154" s="30" t="s">
        <v>124</v>
      </c>
      <c r="C154" s="30" t="s">
        <v>124</v>
      </c>
      <c r="D154" s="30" t="s">
        <v>124</v>
      </c>
      <c r="E154" s="30" t="s">
        <v>124</v>
      </c>
      <c r="F154" s="31" t="s">
        <v>125</v>
      </c>
      <c r="G154" s="118"/>
      <c r="H154" s="31"/>
      <c r="I154" s="7"/>
      <c r="J154" s="32"/>
      <c r="N154" s="72"/>
    </row>
    <row r="155" spans="1:20" ht="18" customHeight="1" thickBot="1">
      <c r="A155" s="315">
        <v>3</v>
      </c>
      <c r="B155" s="34">
        <v>7.75</v>
      </c>
      <c r="C155" s="34">
        <v>7.75</v>
      </c>
      <c r="D155" s="34">
        <v>7.75</v>
      </c>
      <c r="E155" s="34">
        <v>7.75</v>
      </c>
      <c r="F155" s="140">
        <v>6</v>
      </c>
      <c r="G155" s="17"/>
      <c r="H155" s="140"/>
      <c r="I155" s="34">
        <f>SUM(B155:H155)</f>
        <v>37</v>
      </c>
      <c r="J155" s="37"/>
    </row>
    <row r="156" spans="1:20" ht="18" customHeight="1">
      <c r="A156" s="415"/>
      <c r="B156" s="30" t="s">
        <v>124</v>
      </c>
      <c r="C156" s="30" t="s">
        <v>124</v>
      </c>
      <c r="D156" s="30" t="s">
        <v>124</v>
      </c>
      <c r="E156" s="30" t="s">
        <v>124</v>
      </c>
      <c r="F156" s="31" t="s">
        <v>125</v>
      </c>
      <c r="G156" s="11"/>
      <c r="H156" s="11"/>
      <c r="I156" s="14"/>
      <c r="J156" s="40"/>
      <c r="P156" s="72"/>
    </row>
    <row r="157" spans="1:20" ht="18" customHeight="1" thickBot="1">
      <c r="A157" s="315">
        <v>4</v>
      </c>
      <c r="B157" s="34">
        <v>7.75</v>
      </c>
      <c r="C157" s="34">
        <v>7.75</v>
      </c>
      <c r="D157" s="34">
        <v>7.75</v>
      </c>
      <c r="E157" s="34">
        <v>7.75</v>
      </c>
      <c r="F157" s="140">
        <v>6</v>
      </c>
      <c r="G157" s="140"/>
      <c r="H157" s="140"/>
      <c r="I157" s="34">
        <f>SUM(B157:H157)</f>
        <v>37</v>
      </c>
      <c r="J157" s="37"/>
      <c r="P157" s="72"/>
    </row>
    <row r="158" spans="1:20" ht="18" customHeight="1">
      <c r="A158" s="416"/>
      <c r="B158" s="30" t="s">
        <v>124</v>
      </c>
      <c r="C158" s="30" t="s">
        <v>124</v>
      </c>
      <c r="D158" s="30" t="s">
        <v>124</v>
      </c>
      <c r="E158" s="30" t="s">
        <v>124</v>
      </c>
      <c r="F158" s="31" t="s">
        <v>125</v>
      </c>
      <c r="G158" s="377"/>
      <c r="H158" s="377"/>
      <c r="I158" s="417"/>
      <c r="J158" s="418"/>
      <c r="P158" s="72"/>
    </row>
    <row r="159" spans="1:20" ht="18" customHeight="1" thickBot="1">
      <c r="A159" s="315">
        <v>5</v>
      </c>
      <c r="B159" s="34">
        <v>7.75</v>
      </c>
      <c r="C159" s="34">
        <v>7.75</v>
      </c>
      <c r="D159" s="34">
        <v>7.75</v>
      </c>
      <c r="E159" s="34">
        <v>7.75</v>
      </c>
      <c r="F159" s="140">
        <v>6</v>
      </c>
      <c r="G159" s="18"/>
      <c r="H159" s="18"/>
      <c r="I159" s="34">
        <f>SUM(B159:H159)</f>
        <v>37</v>
      </c>
      <c r="J159" s="37"/>
    </row>
    <row r="160" spans="1:20" ht="18" customHeight="1">
      <c r="A160" s="147"/>
      <c r="B160" s="30" t="s">
        <v>124</v>
      </c>
      <c r="C160" s="30" t="s">
        <v>124</v>
      </c>
      <c r="D160" s="30" t="s">
        <v>124</v>
      </c>
      <c r="E160" s="30" t="s">
        <v>124</v>
      </c>
      <c r="F160" s="31" t="s">
        <v>125</v>
      </c>
      <c r="G160" s="11"/>
      <c r="H160" s="11"/>
      <c r="I160" s="14"/>
      <c r="J160" s="40"/>
    </row>
    <row r="161" spans="1:20" ht="18" customHeight="1" thickBot="1">
      <c r="A161" s="315">
        <v>6</v>
      </c>
      <c r="B161" s="34">
        <v>7.75</v>
      </c>
      <c r="C161" s="34">
        <v>7.75</v>
      </c>
      <c r="D161" s="34">
        <v>7.75</v>
      </c>
      <c r="E161" s="34">
        <v>7.75</v>
      </c>
      <c r="F161" s="140">
        <v>6</v>
      </c>
      <c r="G161" s="140"/>
      <c r="H161" s="140"/>
      <c r="I161" s="34">
        <f>SUM(B161:H161)</f>
        <v>37</v>
      </c>
      <c r="J161" s="37"/>
    </row>
    <row r="162" spans="1:20" ht="18" customHeight="1" thickBot="1">
      <c r="A162" s="58" t="s">
        <v>30</v>
      </c>
      <c r="B162" s="58">
        <f t="shared" ref="B162:H162" si="6">SUM(B151,B153,B155,B157,B159,B161)</f>
        <v>46.5</v>
      </c>
      <c r="C162" s="58">
        <f t="shared" si="6"/>
        <v>46.5</v>
      </c>
      <c r="D162" s="58">
        <f t="shared" si="6"/>
        <v>46.5</v>
      </c>
      <c r="E162" s="58">
        <f t="shared" si="6"/>
        <v>46.5</v>
      </c>
      <c r="F162" s="58">
        <f t="shared" si="6"/>
        <v>36</v>
      </c>
      <c r="G162" s="58">
        <f t="shared" si="6"/>
        <v>0</v>
      </c>
      <c r="H162" s="58">
        <f t="shared" si="6"/>
        <v>0</v>
      </c>
      <c r="I162" s="70">
        <f>SUM(I151,I153,I155,I157,I161)</f>
        <v>185</v>
      </c>
      <c r="J162" s="71"/>
      <c r="M162" s="72"/>
      <c r="N162" s="72"/>
    </row>
    <row r="163" spans="1:20" ht="18" customHeight="1" thickTop="1">
      <c r="A163" s="312"/>
      <c r="B163" s="72"/>
      <c r="C163" s="72"/>
      <c r="D163" s="72"/>
      <c r="E163" s="72"/>
      <c r="F163" s="139"/>
      <c r="G163" s="204" t="s">
        <v>152</v>
      </c>
      <c r="H163" s="204" t="s">
        <v>153</v>
      </c>
      <c r="I163" s="204" t="s">
        <v>154</v>
      </c>
      <c r="J163" s="73"/>
      <c r="M163" s="72"/>
      <c r="N163" s="72"/>
    </row>
    <row r="164" spans="1:20" ht="18" customHeight="1">
      <c r="A164" s="312"/>
      <c r="B164" s="72"/>
      <c r="C164" s="72"/>
      <c r="D164" s="72"/>
      <c r="E164" s="72"/>
      <c r="F164" s="139"/>
      <c r="G164" s="130">
        <f>I162</f>
        <v>185</v>
      </c>
      <c r="H164" s="169">
        <f>SUM(G164*13/3)</f>
        <v>801.66666666666663</v>
      </c>
      <c r="I164" s="130">
        <f>SUM(H164*12)</f>
        <v>9620</v>
      </c>
      <c r="J164" s="73"/>
      <c r="M164" s="72"/>
      <c r="N164" s="72"/>
    </row>
    <row r="165" spans="1:20" ht="18" customHeight="1">
      <c r="A165" s="274"/>
      <c r="B165" s="72"/>
      <c r="C165" s="72"/>
      <c r="D165" s="72"/>
      <c r="E165" s="72"/>
      <c r="F165" s="139"/>
      <c r="G165" s="72"/>
      <c r="H165" s="174"/>
      <c r="I165" s="72"/>
      <c r="J165" s="73"/>
      <c r="M165" s="72"/>
      <c r="N165" s="72"/>
    </row>
    <row r="166" spans="1:20" ht="17.100000000000001" customHeight="1" thickBot="1">
      <c r="A166" s="1686" t="s">
        <v>309</v>
      </c>
      <c r="B166" s="72"/>
      <c r="C166" s="72"/>
      <c r="D166" s="72"/>
      <c r="E166" s="72"/>
      <c r="F166" s="72"/>
      <c r="O166">
        <v>37</v>
      </c>
      <c r="P166" t="s">
        <v>285</v>
      </c>
      <c r="Q166">
        <v>4</v>
      </c>
      <c r="R166" t="s">
        <v>286</v>
      </c>
      <c r="S166">
        <f>O166*Q166</f>
        <v>148</v>
      </c>
      <c r="T166" t="s">
        <v>287</v>
      </c>
    </row>
    <row r="167" spans="1:20" ht="17.100000000000001" customHeight="1" thickBot="1">
      <c r="A167" s="205" t="s">
        <v>310</v>
      </c>
      <c r="B167" s="24" t="s">
        <v>2</v>
      </c>
      <c r="C167" s="25" t="s">
        <v>3</v>
      </c>
      <c r="D167" s="25" t="s">
        <v>4</v>
      </c>
      <c r="E167" s="25" t="s">
        <v>5</v>
      </c>
      <c r="F167" s="25" t="s">
        <v>6</v>
      </c>
      <c r="G167" s="25" t="s">
        <v>7</v>
      </c>
      <c r="H167" s="26" t="s">
        <v>8</v>
      </c>
      <c r="I167" s="27" t="s">
        <v>9</v>
      </c>
      <c r="J167" s="28" t="s">
        <v>10</v>
      </c>
      <c r="M167" s="340"/>
      <c r="N167" s="341" t="s">
        <v>158</v>
      </c>
      <c r="O167" t="s">
        <v>28</v>
      </c>
    </row>
    <row r="168" spans="1:20" ht="17.100000000000001" customHeight="1">
      <c r="A168" s="419"/>
      <c r="B168" s="5" t="s">
        <v>311</v>
      </c>
      <c r="C168" s="5" t="s">
        <v>311</v>
      </c>
      <c r="D168" s="5" t="s">
        <v>311</v>
      </c>
      <c r="E168" s="5" t="s">
        <v>162</v>
      </c>
      <c r="F168" s="5" t="s">
        <v>162</v>
      </c>
      <c r="G168" s="5"/>
      <c r="H168" s="5"/>
      <c r="I168" s="346"/>
      <c r="J168" s="32"/>
      <c r="M168" s="329"/>
      <c r="N168" s="345" t="s">
        <v>161</v>
      </c>
      <c r="O168" t="s">
        <v>291</v>
      </c>
      <c r="Q168">
        <f>N174</f>
        <v>136.75</v>
      </c>
    </row>
    <row r="169" spans="1:20" ht="17.100000000000001" customHeight="1" thickBot="1">
      <c r="A169" s="420">
        <v>1</v>
      </c>
      <c r="B169" s="140">
        <v>8.5</v>
      </c>
      <c r="C169" s="140">
        <v>8.5</v>
      </c>
      <c r="D169" s="140">
        <v>8.5</v>
      </c>
      <c r="E169" s="140">
        <v>0</v>
      </c>
      <c r="F169" s="140">
        <v>0</v>
      </c>
      <c r="G169" s="140"/>
      <c r="H169" s="140"/>
      <c r="I169" s="140">
        <f>SUM(B169:H169)</f>
        <v>25.5</v>
      </c>
      <c r="J169" s="37"/>
      <c r="M169" s="329" t="s">
        <v>164</v>
      </c>
      <c r="N169" s="345">
        <f>I169</f>
        <v>25.5</v>
      </c>
    </row>
    <row r="170" spans="1:20" ht="17.100000000000001" customHeight="1">
      <c r="A170" s="419"/>
      <c r="B170" s="5" t="s">
        <v>312</v>
      </c>
      <c r="C170" s="5" t="s">
        <v>312</v>
      </c>
      <c r="D170" s="5" t="s">
        <v>312</v>
      </c>
      <c r="E170" s="5" t="s">
        <v>313</v>
      </c>
      <c r="F170" s="5" t="s">
        <v>313</v>
      </c>
      <c r="G170" s="5" t="s">
        <v>314</v>
      </c>
      <c r="H170" s="5" t="s">
        <v>314</v>
      </c>
      <c r="I170" s="346"/>
      <c r="J170" s="32"/>
      <c r="M170" s="329" t="s">
        <v>167</v>
      </c>
      <c r="N170" s="345">
        <f>I171</f>
        <v>63.75</v>
      </c>
      <c r="O170">
        <f>Q168</f>
        <v>136.75</v>
      </c>
      <c r="P170" t="s">
        <v>295</v>
      </c>
      <c r="Q170" s="160">
        <f>SUM(O170/37)</f>
        <v>3.6959459459459461</v>
      </c>
    </row>
    <row r="171" spans="1:20" ht="17.100000000000001" customHeight="1" thickBot="1">
      <c r="A171" s="420">
        <v>2</v>
      </c>
      <c r="B171" s="140">
        <v>8.25</v>
      </c>
      <c r="C171" s="140">
        <v>8.25</v>
      </c>
      <c r="D171" s="140">
        <v>8.25</v>
      </c>
      <c r="E171" s="140">
        <v>8.5</v>
      </c>
      <c r="F171" s="140">
        <v>8.5</v>
      </c>
      <c r="G171" s="140">
        <v>11</v>
      </c>
      <c r="H171" s="140">
        <v>11</v>
      </c>
      <c r="I171" s="140">
        <f>SUM(B171:H171)</f>
        <v>63.75</v>
      </c>
      <c r="J171" s="37"/>
      <c r="M171" s="329" t="s">
        <v>170</v>
      </c>
      <c r="N171" s="345">
        <f>I173</f>
        <v>0</v>
      </c>
    </row>
    <row r="172" spans="1:20" ht="17.100000000000001" customHeight="1">
      <c r="A172" s="419"/>
      <c r="B172" s="31" t="s">
        <v>162</v>
      </c>
      <c r="C172" s="31" t="s">
        <v>162</v>
      </c>
      <c r="D172" s="31" t="s">
        <v>162</v>
      </c>
      <c r="E172" s="31" t="s">
        <v>162</v>
      </c>
      <c r="F172" s="31" t="s">
        <v>162</v>
      </c>
      <c r="G172" s="31"/>
      <c r="H172" s="31"/>
      <c r="I172" s="346"/>
      <c r="J172" s="32"/>
      <c r="M172" s="329" t="s">
        <v>173</v>
      </c>
      <c r="N172" s="345">
        <f>I175</f>
        <v>47.5</v>
      </c>
      <c r="O172" s="160">
        <f>Q170</f>
        <v>3.6959459459459461</v>
      </c>
      <c r="P172" t="s">
        <v>315</v>
      </c>
      <c r="S172" s="421">
        <f>SUM(O172*3)</f>
        <v>11.087837837837839</v>
      </c>
      <c r="T172" t="s">
        <v>316</v>
      </c>
    </row>
    <row r="173" spans="1:20" ht="17.100000000000001" customHeight="1" thickBot="1">
      <c r="A173" s="420">
        <v>3</v>
      </c>
      <c r="B173" s="140">
        <v>0</v>
      </c>
      <c r="C173" s="140">
        <v>0</v>
      </c>
      <c r="D173" s="140">
        <v>0</v>
      </c>
      <c r="E173" s="140">
        <v>0</v>
      </c>
      <c r="F173" s="140">
        <v>0</v>
      </c>
      <c r="G173" s="140"/>
      <c r="H173" s="140"/>
      <c r="I173" s="140">
        <f>SUM(B173:H173)</f>
        <v>0</v>
      </c>
      <c r="J173" s="37"/>
      <c r="M173" s="422" t="s">
        <v>28</v>
      </c>
      <c r="N173" s="423">
        <f>I177</f>
        <v>0</v>
      </c>
    </row>
    <row r="174" spans="1:20" ht="17.100000000000001" customHeight="1" thickBot="1">
      <c r="A174" s="419"/>
      <c r="B174" s="5" t="s">
        <v>317</v>
      </c>
      <c r="C174" s="5" t="s">
        <v>317</v>
      </c>
      <c r="D174" s="5" t="s">
        <v>317</v>
      </c>
      <c r="E174" s="5" t="s">
        <v>317</v>
      </c>
      <c r="F174" s="5" t="s">
        <v>317</v>
      </c>
      <c r="G174" s="31"/>
      <c r="H174" s="31"/>
      <c r="I174" s="346"/>
      <c r="J174" s="32"/>
      <c r="M174" s="331" t="s">
        <v>179</v>
      </c>
      <c r="N174" s="350">
        <f>SUM(N169:N173)</f>
        <v>136.75</v>
      </c>
      <c r="O174" t="s">
        <v>28</v>
      </c>
      <c r="P174" s="354"/>
      <c r="Q174" s="354" t="s">
        <v>318</v>
      </c>
      <c r="S174" s="160">
        <f>S166-S172</f>
        <v>136.91216216216216</v>
      </c>
      <c r="T174" t="s">
        <v>319</v>
      </c>
    </row>
    <row r="175" spans="1:20" ht="17.100000000000001" customHeight="1" thickBot="1">
      <c r="A175" s="420">
        <v>4</v>
      </c>
      <c r="B175" s="140">
        <v>9.5</v>
      </c>
      <c r="C175" s="140">
        <v>9.5</v>
      </c>
      <c r="D175" s="140">
        <v>9.5</v>
      </c>
      <c r="E175" s="140">
        <v>9.5</v>
      </c>
      <c r="F175" s="140">
        <v>9.5</v>
      </c>
      <c r="G175" s="140"/>
      <c r="H175" s="140"/>
      <c r="I175" s="140">
        <f>SUM(B175:H175)</f>
        <v>47.5</v>
      </c>
      <c r="J175" s="37"/>
      <c r="S175" s="160"/>
    </row>
    <row r="176" spans="1:20" ht="17.100000000000001" customHeight="1">
      <c r="A176" s="419"/>
      <c r="B176" s="5"/>
      <c r="C176" s="5"/>
      <c r="D176" s="5"/>
      <c r="E176" s="31"/>
      <c r="F176" s="31"/>
      <c r="G176" s="31"/>
      <c r="H176" s="31"/>
      <c r="I176" s="346"/>
      <c r="J176" s="32"/>
      <c r="S176" s="160"/>
    </row>
    <row r="177" spans="1:22" ht="17.100000000000001" customHeight="1" thickBot="1">
      <c r="A177" s="420"/>
      <c r="B177" s="140"/>
      <c r="C177" s="140"/>
      <c r="D177" s="140"/>
      <c r="E177" s="140"/>
      <c r="F177" s="140"/>
      <c r="G177" s="140"/>
      <c r="H177" s="140"/>
      <c r="I177" s="140"/>
      <c r="J177" s="37"/>
      <c r="S177" s="160"/>
    </row>
    <row r="178" spans="1:22" ht="17.100000000000001" customHeight="1">
      <c r="A178" s="419"/>
      <c r="B178" s="31"/>
      <c r="C178" s="31"/>
      <c r="D178" s="31"/>
      <c r="E178" s="31"/>
      <c r="F178" s="31"/>
      <c r="G178" s="31"/>
      <c r="H178" s="31"/>
      <c r="I178" s="346"/>
      <c r="J178" s="32"/>
      <c r="S178" s="160"/>
    </row>
    <row r="179" spans="1:22" ht="17.100000000000001" customHeight="1" thickBot="1">
      <c r="A179" s="420"/>
      <c r="B179" s="140"/>
      <c r="C179" s="140"/>
      <c r="D179" s="140"/>
      <c r="E179" s="140"/>
      <c r="F179" s="140"/>
      <c r="G179" s="140"/>
      <c r="H179" s="140"/>
      <c r="I179" s="140"/>
      <c r="J179" s="37"/>
      <c r="S179" s="160"/>
    </row>
    <row r="180" spans="1:22" ht="17.100000000000001" customHeight="1">
      <c r="A180" s="419"/>
      <c r="B180" s="5"/>
      <c r="C180" s="5"/>
      <c r="D180" s="5"/>
      <c r="E180" s="5"/>
      <c r="F180" s="5"/>
      <c r="G180" s="31"/>
      <c r="H180" s="31"/>
      <c r="I180" s="346"/>
      <c r="J180" s="32" t="s">
        <v>28</v>
      </c>
      <c r="S180" s="160"/>
    </row>
    <row r="181" spans="1:22" ht="17.100000000000001" customHeight="1" thickBot="1">
      <c r="A181" s="420" t="s">
        <v>28</v>
      </c>
      <c r="B181" s="140"/>
      <c r="C181" s="140"/>
      <c r="D181" s="140"/>
      <c r="E181" s="140"/>
      <c r="F181" s="140"/>
      <c r="G181" s="140"/>
      <c r="H181" s="140"/>
      <c r="I181" s="140">
        <f>SUM(B181:H181)</f>
        <v>0</v>
      </c>
      <c r="J181" s="37"/>
      <c r="S181" s="160"/>
    </row>
    <row r="182" spans="1:22" ht="17.100000000000001" customHeight="1" thickBot="1">
      <c r="A182" s="196" t="s">
        <v>30</v>
      </c>
      <c r="B182" s="196">
        <f t="shared" ref="B182:H182" si="7">SUM(B169,B171,B173,B175)</f>
        <v>26.25</v>
      </c>
      <c r="C182" s="196">
        <f t="shared" si="7"/>
        <v>26.25</v>
      </c>
      <c r="D182" s="196">
        <f t="shared" si="7"/>
        <v>26.25</v>
      </c>
      <c r="E182" s="196">
        <f t="shared" si="7"/>
        <v>18</v>
      </c>
      <c r="F182" s="196">
        <f t="shared" si="7"/>
        <v>18</v>
      </c>
      <c r="G182" s="196">
        <f t="shared" si="7"/>
        <v>11</v>
      </c>
      <c r="H182" s="196">
        <f t="shared" si="7"/>
        <v>11</v>
      </c>
      <c r="I182" s="196">
        <f>SUM(I169,I171,I173,I175,I177,I179,I181)</f>
        <v>136.75</v>
      </c>
      <c r="J182" s="198"/>
      <c r="O182" t="s">
        <v>320</v>
      </c>
      <c r="P182">
        <f>I182</f>
        <v>136.75</v>
      </c>
      <c r="Q182" s="361" t="s">
        <v>321</v>
      </c>
      <c r="S182" s="160">
        <f>S174</f>
        <v>136.91216216216216</v>
      </c>
      <c r="T182" t="s">
        <v>322</v>
      </c>
      <c r="U182" s="412">
        <f>P182-S182</f>
        <v>-0.16216216216216139</v>
      </c>
    </row>
    <row r="183" spans="1:22" ht="17.100000000000001" customHeight="1" thickTop="1">
      <c r="A183" s="72"/>
      <c r="B183" s="72"/>
      <c r="C183" s="72"/>
      <c r="D183" s="72"/>
      <c r="E183" s="72"/>
      <c r="F183" s="72"/>
      <c r="G183" s="204" t="s">
        <v>152</v>
      </c>
      <c r="H183" s="204" t="s">
        <v>153</v>
      </c>
      <c r="I183" s="204" t="s">
        <v>154</v>
      </c>
      <c r="V183" s="411"/>
    </row>
    <row r="184" spans="1:22" ht="17.100000000000001" customHeight="1">
      <c r="A184" s="72"/>
      <c r="B184" s="72"/>
      <c r="C184" s="72"/>
      <c r="D184" s="72"/>
      <c r="E184" s="72"/>
      <c r="F184" s="72"/>
      <c r="G184" s="130">
        <f>I182</f>
        <v>136.75</v>
      </c>
      <c r="H184" s="169">
        <f>SUM(G184*13/3)</f>
        <v>592.58333333333337</v>
      </c>
      <c r="I184" s="130">
        <f>SUM(H184*12)</f>
        <v>7111</v>
      </c>
    </row>
    <row r="185" spans="1:22" ht="17.100000000000001" customHeight="1">
      <c r="A185" s="72"/>
      <c r="B185" s="72"/>
      <c r="C185" s="72"/>
      <c r="D185" s="72"/>
      <c r="E185" s="72"/>
      <c r="F185" s="72"/>
      <c r="G185" s="72"/>
      <c r="H185" s="174"/>
      <c r="I185" s="72"/>
    </row>
    <row r="186" spans="1:22" ht="17.100000000000001" customHeight="1">
      <c r="A186" s="72"/>
      <c r="B186" s="72"/>
      <c r="C186" s="72"/>
      <c r="D186" s="72"/>
      <c r="E186" s="72"/>
      <c r="F186" s="72"/>
      <c r="G186" s="72"/>
      <c r="H186" s="174"/>
      <c r="I186" s="72"/>
    </row>
    <row r="187" spans="1:22" ht="17.100000000000001" customHeight="1" thickBot="1">
      <c r="A187" s="1" t="s">
        <v>323</v>
      </c>
      <c r="B187" s="72"/>
      <c r="C187" s="72"/>
      <c r="D187" s="72"/>
      <c r="E187" s="72"/>
      <c r="F187" s="72"/>
      <c r="O187">
        <v>37</v>
      </c>
      <c r="P187" t="s">
        <v>285</v>
      </c>
      <c r="Q187">
        <v>4</v>
      </c>
      <c r="R187" t="s">
        <v>286</v>
      </c>
      <c r="S187">
        <f>O187*Q187</f>
        <v>148</v>
      </c>
      <c r="T187" t="s">
        <v>287</v>
      </c>
    </row>
    <row r="188" spans="1:22" ht="17.100000000000001" customHeight="1" thickBot="1">
      <c r="A188" s="205" t="s">
        <v>310</v>
      </c>
      <c r="B188" s="24" t="s">
        <v>2</v>
      </c>
      <c r="C188" s="25" t="s">
        <v>3</v>
      </c>
      <c r="D188" s="25" t="s">
        <v>4</v>
      </c>
      <c r="E188" s="25" t="s">
        <v>5</v>
      </c>
      <c r="F188" s="25" t="s">
        <v>6</v>
      </c>
      <c r="G188" s="25" t="s">
        <v>7</v>
      </c>
      <c r="H188" s="26" t="s">
        <v>8</v>
      </c>
      <c r="I188" s="27" t="s">
        <v>9</v>
      </c>
      <c r="J188" s="28" t="s">
        <v>10</v>
      </c>
      <c r="M188" s="340"/>
      <c r="N188" s="341" t="s">
        <v>158</v>
      </c>
      <c r="O188" t="s">
        <v>28</v>
      </c>
    </row>
    <row r="189" spans="1:22" ht="17.100000000000001" customHeight="1">
      <c r="A189" s="419"/>
      <c r="B189" s="5" t="s">
        <v>162</v>
      </c>
      <c r="C189" s="5" t="s">
        <v>162</v>
      </c>
      <c r="D189" s="5" t="s">
        <v>324</v>
      </c>
      <c r="E189" s="5" t="s">
        <v>324</v>
      </c>
      <c r="F189" s="5" t="s">
        <v>324</v>
      </c>
      <c r="G189" s="5" t="s">
        <v>325</v>
      </c>
      <c r="H189" s="5" t="s">
        <v>326</v>
      </c>
      <c r="I189" s="346"/>
      <c r="J189" s="32"/>
      <c r="M189" s="329"/>
      <c r="N189" s="345" t="s">
        <v>161</v>
      </c>
      <c r="O189" t="s">
        <v>291</v>
      </c>
      <c r="Q189">
        <f>N195</f>
        <v>102</v>
      </c>
    </row>
    <row r="190" spans="1:22" ht="17.100000000000001" customHeight="1" thickBot="1">
      <c r="A190" s="420" t="s">
        <v>327</v>
      </c>
      <c r="B190" s="140"/>
      <c r="C190" s="140"/>
      <c r="D190" s="140">
        <v>12</v>
      </c>
      <c r="E190" s="140">
        <v>12</v>
      </c>
      <c r="F190" s="140">
        <v>12</v>
      </c>
      <c r="G190" s="140">
        <v>12</v>
      </c>
      <c r="H190" s="140">
        <v>8</v>
      </c>
      <c r="I190" s="140">
        <f>SUM(B190:H190)</f>
        <v>56</v>
      </c>
      <c r="J190" s="37"/>
      <c r="M190" s="329" t="s">
        <v>164</v>
      </c>
      <c r="N190" s="345">
        <f>I190</f>
        <v>56</v>
      </c>
    </row>
    <row r="191" spans="1:22" ht="17.100000000000001" customHeight="1">
      <c r="A191" s="419"/>
      <c r="B191" s="5" t="s">
        <v>162</v>
      </c>
      <c r="C191" s="5" t="s">
        <v>162</v>
      </c>
      <c r="D191" s="5" t="s">
        <v>162</v>
      </c>
      <c r="E191" s="5" t="s">
        <v>162</v>
      </c>
      <c r="F191" s="5" t="s">
        <v>162</v>
      </c>
      <c r="G191" s="5"/>
      <c r="H191" s="5"/>
      <c r="I191" s="346"/>
      <c r="J191" s="32"/>
      <c r="M191" s="329" t="s">
        <v>167</v>
      </c>
      <c r="N191" s="345">
        <f>I192</f>
        <v>0</v>
      </c>
      <c r="O191">
        <f>Q189</f>
        <v>102</v>
      </c>
      <c r="P191" t="s">
        <v>295</v>
      </c>
      <c r="Q191" s="160">
        <f>SUM(O191/37)</f>
        <v>2.7567567567567566</v>
      </c>
    </row>
    <row r="192" spans="1:22" ht="17.100000000000001" customHeight="1" thickBot="1">
      <c r="A192" s="420" t="s">
        <v>328</v>
      </c>
      <c r="B192" s="140"/>
      <c r="C192" s="140"/>
      <c r="D192" s="140"/>
      <c r="E192" s="140"/>
      <c r="F192" s="140"/>
      <c r="G192" s="140"/>
      <c r="H192" s="140"/>
      <c r="I192" s="140">
        <f>SUM(B192:H192)</f>
        <v>0</v>
      </c>
      <c r="J192" s="37"/>
      <c r="M192" s="329" t="s">
        <v>170</v>
      </c>
      <c r="N192" s="345">
        <f>I194</f>
        <v>46</v>
      </c>
    </row>
    <row r="193" spans="1:22" ht="17.100000000000001" customHeight="1">
      <c r="A193" s="419"/>
      <c r="B193" s="5" t="s">
        <v>324</v>
      </c>
      <c r="C193" s="5" t="s">
        <v>324</v>
      </c>
      <c r="D193" s="5" t="s">
        <v>162</v>
      </c>
      <c r="E193" s="5" t="s">
        <v>162</v>
      </c>
      <c r="F193" s="5" t="s">
        <v>162</v>
      </c>
      <c r="G193" s="5" t="s">
        <v>329</v>
      </c>
      <c r="H193" s="5" t="s">
        <v>330</v>
      </c>
      <c r="I193" s="346"/>
      <c r="J193" s="32"/>
      <c r="M193" s="329" t="s">
        <v>173</v>
      </c>
      <c r="N193" s="345">
        <v>0</v>
      </c>
      <c r="O193" s="160">
        <f>Q191</f>
        <v>2.7567567567567566</v>
      </c>
      <c r="P193" t="s">
        <v>315</v>
      </c>
      <c r="S193" s="421">
        <f>SUM(O193*3)</f>
        <v>8.2702702702702702</v>
      </c>
      <c r="T193" t="s">
        <v>316</v>
      </c>
    </row>
    <row r="194" spans="1:22" ht="17.100000000000001" customHeight="1" thickBot="1">
      <c r="A194" s="420" t="s">
        <v>331</v>
      </c>
      <c r="B194" s="140">
        <v>12</v>
      </c>
      <c r="C194" s="140">
        <v>12</v>
      </c>
      <c r="D194" s="140"/>
      <c r="E194" s="140"/>
      <c r="F194" s="140"/>
      <c r="G194" s="140">
        <v>12</v>
      </c>
      <c r="H194" s="140">
        <v>10</v>
      </c>
      <c r="I194" s="140">
        <f>SUM(B194:H194)</f>
        <v>46</v>
      </c>
      <c r="J194" s="37"/>
      <c r="M194" s="422"/>
      <c r="N194" s="423"/>
    </row>
    <row r="195" spans="1:22" ht="17.100000000000001" customHeight="1" thickBot="1">
      <c r="A195" s="424"/>
      <c r="B195" s="425" t="s">
        <v>332</v>
      </c>
      <c r="C195" s="425" t="s">
        <v>333</v>
      </c>
      <c r="D195" s="425" t="s">
        <v>333</v>
      </c>
      <c r="E195" s="425" t="s">
        <v>333</v>
      </c>
      <c r="F195" s="409" t="s">
        <v>334</v>
      </c>
      <c r="G195" s="31"/>
      <c r="H195" s="31"/>
      <c r="I195" s="346"/>
      <c r="J195" s="32"/>
      <c r="M195" s="331" t="s">
        <v>179</v>
      </c>
      <c r="N195" s="350">
        <f>SUM(N190:N194)</f>
        <v>102</v>
      </c>
      <c r="O195" t="s">
        <v>28</v>
      </c>
      <c r="P195" s="354"/>
      <c r="Q195" s="354" t="s">
        <v>318</v>
      </c>
      <c r="S195" s="160">
        <f>S187-S193</f>
        <v>139.72972972972974</v>
      </c>
      <c r="T195" t="s">
        <v>319</v>
      </c>
    </row>
    <row r="196" spans="1:22" ht="17.100000000000001" customHeight="1" thickBot="1">
      <c r="A196" s="420" t="s">
        <v>335</v>
      </c>
      <c r="B196" s="18">
        <v>6.75</v>
      </c>
      <c r="C196" s="18">
        <v>7.75</v>
      </c>
      <c r="D196" s="18">
        <v>7.75</v>
      </c>
      <c r="E196" s="18">
        <v>7.75</v>
      </c>
      <c r="F196" s="18">
        <v>7.5</v>
      </c>
      <c r="G196" s="140"/>
      <c r="H196" s="140"/>
      <c r="I196" s="140">
        <f>SUM(B196:H196)</f>
        <v>37.5</v>
      </c>
      <c r="J196" s="37"/>
      <c r="S196" s="160"/>
    </row>
    <row r="197" spans="1:22" ht="17.100000000000001" customHeight="1">
      <c r="A197" s="419"/>
      <c r="B197" s="5"/>
      <c r="C197" s="5"/>
      <c r="D197" s="5"/>
      <c r="E197" s="31"/>
      <c r="F197" s="31"/>
      <c r="G197" s="31"/>
      <c r="H197" s="31"/>
      <c r="I197" s="346"/>
      <c r="J197" s="32"/>
      <c r="S197" s="160"/>
    </row>
    <row r="198" spans="1:22" ht="17.100000000000001" customHeight="1" thickBot="1">
      <c r="A198" s="426" t="s">
        <v>336</v>
      </c>
      <c r="C198" s="140"/>
      <c r="D198" s="140"/>
      <c r="E198" s="140"/>
      <c r="F198" s="140"/>
      <c r="G198" s="140"/>
      <c r="H198" s="140"/>
      <c r="I198" s="140">
        <f>SUM(A198:H198)</f>
        <v>0</v>
      </c>
      <c r="J198" s="37"/>
      <c r="S198" s="160"/>
    </row>
    <row r="199" spans="1:22" ht="17.100000000000001" customHeight="1">
      <c r="A199" s="427"/>
      <c r="B199" s="428"/>
      <c r="C199" s="428"/>
      <c r="D199" s="428"/>
      <c r="E199" s="428"/>
      <c r="F199" s="428"/>
      <c r="G199" s="428"/>
      <c r="H199" s="428"/>
      <c r="I199" s="429"/>
      <c r="J199" s="430"/>
      <c r="S199" s="160"/>
    </row>
    <row r="200" spans="1:22" ht="17.100000000000001" customHeight="1" thickBot="1">
      <c r="A200" s="431"/>
      <c r="B200" s="432"/>
      <c r="C200" s="432"/>
      <c r="D200" s="432"/>
      <c r="E200" s="432"/>
      <c r="F200" s="432"/>
      <c r="G200" s="432"/>
      <c r="H200" s="432"/>
      <c r="I200" s="432">
        <f>SUM(B200:H200)</f>
        <v>0</v>
      </c>
      <c r="J200" s="433"/>
      <c r="S200" s="160"/>
    </row>
    <row r="201" spans="1:22" ht="17.100000000000001" customHeight="1">
      <c r="A201" s="427"/>
      <c r="B201" s="434"/>
      <c r="C201" s="434"/>
      <c r="D201" s="434"/>
      <c r="E201" s="434"/>
      <c r="F201" s="434"/>
      <c r="G201" s="428"/>
      <c r="H201" s="428"/>
      <c r="I201" s="429"/>
      <c r="J201" s="430" t="s">
        <v>28</v>
      </c>
      <c r="S201" s="160"/>
    </row>
    <row r="202" spans="1:22" ht="17.100000000000001" customHeight="1" thickBot="1">
      <c r="A202" s="431" t="s">
        <v>28</v>
      </c>
      <c r="B202" s="432"/>
      <c r="C202" s="432"/>
      <c r="D202" s="432"/>
      <c r="E202" s="432"/>
      <c r="F202" s="432"/>
      <c r="G202" s="432"/>
      <c r="H202" s="432"/>
      <c r="I202" s="432">
        <f>SUM(B202:H202)</f>
        <v>0</v>
      </c>
      <c r="J202" s="433"/>
      <c r="S202" s="160"/>
    </row>
    <row r="203" spans="1:22" ht="17.100000000000001" customHeight="1" thickBot="1">
      <c r="A203" s="196" t="s">
        <v>30</v>
      </c>
      <c r="B203" s="196">
        <f t="shared" ref="B203:H203" si="8">SUM(B190,B192,B194,B196)</f>
        <v>18.75</v>
      </c>
      <c r="C203" s="196">
        <f t="shared" si="8"/>
        <v>19.75</v>
      </c>
      <c r="D203" s="196">
        <f t="shared" si="8"/>
        <v>19.75</v>
      </c>
      <c r="E203" s="196">
        <f t="shared" si="8"/>
        <v>19.75</v>
      </c>
      <c r="F203" s="196">
        <f t="shared" si="8"/>
        <v>19.5</v>
      </c>
      <c r="G203" s="196">
        <f t="shared" si="8"/>
        <v>24</v>
      </c>
      <c r="H203" s="196">
        <f t="shared" si="8"/>
        <v>18</v>
      </c>
      <c r="I203" s="196">
        <f>SUM(I190,I192,I194,I196,I198,I200,I202)</f>
        <v>139.5</v>
      </c>
      <c r="J203" s="198"/>
      <c r="O203" t="s">
        <v>320</v>
      </c>
      <c r="P203">
        <f>I203</f>
        <v>139.5</v>
      </c>
      <c r="Q203" s="361" t="s">
        <v>321</v>
      </c>
      <c r="S203" s="160">
        <f>S195</f>
        <v>139.72972972972974</v>
      </c>
      <c r="T203" t="s">
        <v>322</v>
      </c>
      <c r="U203" s="412">
        <f>P203-S203</f>
        <v>-0.22972972972974048</v>
      </c>
    </row>
    <row r="204" spans="1:22" ht="17.100000000000001" customHeight="1" thickTop="1">
      <c r="A204" s="72"/>
      <c r="B204" s="72"/>
      <c r="C204" s="72"/>
      <c r="D204" s="72"/>
      <c r="E204" s="72"/>
      <c r="F204" s="72"/>
      <c r="G204" s="204" t="s">
        <v>152</v>
      </c>
      <c r="H204" s="204" t="s">
        <v>153</v>
      </c>
      <c r="I204" s="204" t="s">
        <v>154</v>
      </c>
      <c r="V204" s="411"/>
    </row>
    <row r="205" spans="1:22" ht="17.100000000000001" customHeight="1">
      <c r="A205" s="72"/>
      <c r="B205" s="72"/>
      <c r="C205" s="72"/>
      <c r="D205" s="72"/>
      <c r="E205" s="72"/>
      <c r="F205" s="72"/>
      <c r="G205" s="130">
        <f>I203</f>
        <v>139.5</v>
      </c>
      <c r="H205" s="169">
        <f>SUM(G205*13/3)</f>
        <v>604.5</v>
      </c>
      <c r="I205" s="130">
        <f>SUM(H205*12)</f>
        <v>7254</v>
      </c>
    </row>
    <row r="206" spans="1:22" ht="18" customHeight="1" thickBot="1">
      <c r="A206" s="149" t="s">
        <v>127</v>
      </c>
      <c r="B206" s="72"/>
      <c r="C206" s="72"/>
      <c r="D206" s="72"/>
      <c r="E206" s="72"/>
      <c r="F206" s="139"/>
      <c r="G206" s="139"/>
      <c r="H206" s="139"/>
      <c r="I206" s="72"/>
      <c r="J206" s="73"/>
      <c r="K206" s="274"/>
    </row>
    <row r="207" spans="1:22" ht="18" customHeight="1" thickBot="1">
      <c r="A207" s="123" t="s">
        <v>128</v>
      </c>
      <c r="B207" s="24" t="s">
        <v>2</v>
      </c>
      <c r="C207" s="25" t="s">
        <v>3</v>
      </c>
      <c r="D207" s="25" t="s">
        <v>4</v>
      </c>
      <c r="E207" s="25" t="s">
        <v>5</v>
      </c>
      <c r="F207" s="25" t="s">
        <v>6</v>
      </c>
      <c r="G207" s="25" t="s">
        <v>7</v>
      </c>
      <c r="H207" s="26" t="s">
        <v>8</v>
      </c>
      <c r="I207" s="27" t="s">
        <v>9</v>
      </c>
      <c r="J207" s="28" t="s">
        <v>10</v>
      </c>
      <c r="K207" s="72"/>
    </row>
    <row r="208" spans="1:22" ht="18" customHeight="1">
      <c r="A208" s="29" t="s">
        <v>28</v>
      </c>
      <c r="B208" s="30" t="s">
        <v>124</v>
      </c>
      <c r="C208" s="30" t="s">
        <v>124</v>
      </c>
      <c r="D208" s="30" t="s">
        <v>124</v>
      </c>
      <c r="E208" s="30" t="s">
        <v>124</v>
      </c>
      <c r="F208" s="31" t="s">
        <v>125</v>
      </c>
      <c r="G208" s="31"/>
      <c r="H208" s="31"/>
      <c r="I208" s="7"/>
      <c r="J208" s="32"/>
    </row>
    <row r="209" spans="1:10" ht="18" customHeight="1" thickBot="1">
      <c r="A209" s="33" t="s">
        <v>28</v>
      </c>
      <c r="B209" s="34">
        <v>0</v>
      </c>
      <c r="C209" s="34">
        <v>0</v>
      </c>
      <c r="D209" s="34">
        <v>0</v>
      </c>
      <c r="E209" s="34">
        <v>0</v>
      </c>
      <c r="F209" s="34">
        <v>0</v>
      </c>
      <c r="G209" s="140"/>
      <c r="H209" s="140"/>
      <c r="I209" s="34">
        <f>SUM(B209:H209)</f>
        <v>0</v>
      </c>
      <c r="J209" s="37"/>
    </row>
    <row r="210" spans="1:10" ht="18" customHeight="1">
      <c r="A210" s="29"/>
      <c r="B210" s="30" t="s">
        <v>124</v>
      </c>
      <c r="C210" s="30" t="s">
        <v>124</v>
      </c>
      <c r="D210" s="30" t="s">
        <v>124</v>
      </c>
      <c r="E210" s="30" t="s">
        <v>124</v>
      </c>
      <c r="F210" s="31" t="s">
        <v>125</v>
      </c>
      <c r="G210" s="31"/>
      <c r="H210" s="31"/>
      <c r="I210" s="7"/>
      <c r="J210" s="32"/>
    </row>
    <row r="211" spans="1:10" ht="18" customHeight="1" thickBot="1">
      <c r="A211" s="33" t="s">
        <v>28</v>
      </c>
      <c r="B211" s="34">
        <v>0</v>
      </c>
      <c r="C211" s="34">
        <v>0</v>
      </c>
      <c r="D211" s="34">
        <v>0</v>
      </c>
      <c r="E211" s="34">
        <v>0</v>
      </c>
      <c r="F211" s="34">
        <v>0</v>
      </c>
      <c r="G211" s="140"/>
      <c r="H211" s="140"/>
      <c r="I211" s="34">
        <f>SUM(B211:H211)</f>
        <v>0</v>
      </c>
      <c r="J211" s="37"/>
    </row>
    <row r="212" spans="1:10" ht="18" customHeight="1">
      <c r="A212" s="29"/>
      <c r="B212" s="30" t="s">
        <v>124</v>
      </c>
      <c r="C212" s="30" t="s">
        <v>124</v>
      </c>
      <c r="D212" s="30" t="s">
        <v>124</v>
      </c>
      <c r="E212" s="30" t="s">
        <v>124</v>
      </c>
      <c r="F212" s="31" t="s">
        <v>125</v>
      </c>
      <c r="G212" s="31"/>
      <c r="H212" s="31"/>
      <c r="I212" s="7"/>
      <c r="J212" s="32"/>
    </row>
    <row r="213" spans="1:10" ht="18" customHeight="1" thickBot="1">
      <c r="A213" s="33"/>
      <c r="B213" s="34"/>
      <c r="C213" s="34"/>
      <c r="D213" s="34"/>
      <c r="E213" s="34"/>
      <c r="F213" s="34"/>
      <c r="G213" s="140"/>
      <c r="H213" s="140"/>
      <c r="I213" s="34">
        <f>SUM(B213:H213)</f>
        <v>0</v>
      </c>
      <c r="J213" s="37"/>
    </row>
    <row r="214" spans="1:10" ht="18" customHeight="1" thickBot="1">
      <c r="A214" s="58" t="s">
        <v>30</v>
      </c>
      <c r="B214" s="58">
        <f t="shared" ref="B214:I214" si="9">SUM(B209,B211,B213)</f>
        <v>0</v>
      </c>
      <c r="C214" s="58">
        <f t="shared" si="9"/>
        <v>0</v>
      </c>
      <c r="D214" s="58">
        <f t="shared" si="9"/>
        <v>0</v>
      </c>
      <c r="E214" s="58">
        <f t="shared" si="9"/>
        <v>0</v>
      </c>
      <c r="F214" s="58">
        <f t="shared" si="9"/>
        <v>0</v>
      </c>
      <c r="G214" s="58">
        <f t="shared" si="9"/>
        <v>0</v>
      </c>
      <c r="H214" s="58">
        <f t="shared" si="9"/>
        <v>0</v>
      </c>
      <c r="I214" s="58">
        <f t="shared" si="9"/>
        <v>0</v>
      </c>
      <c r="J214" s="71"/>
    </row>
    <row r="215" spans="1:10" ht="18" customHeight="1" thickTop="1">
      <c r="A215" s="72"/>
      <c r="B215" s="72"/>
      <c r="C215" s="72"/>
      <c r="D215" s="72"/>
      <c r="E215" s="72"/>
      <c r="F215" s="72"/>
      <c r="G215" s="204" t="s">
        <v>152</v>
      </c>
      <c r="H215" s="204" t="s">
        <v>153</v>
      </c>
      <c r="I215" s="204" t="s">
        <v>154</v>
      </c>
      <c r="J215" s="73"/>
    </row>
    <row r="216" spans="1:10" ht="18" customHeight="1">
      <c r="A216" s="72"/>
      <c r="B216" s="72"/>
      <c r="C216" s="72"/>
      <c r="D216" s="72"/>
      <c r="E216" s="72"/>
      <c r="F216" s="139"/>
      <c r="G216" s="130">
        <f>I214</f>
        <v>0</v>
      </c>
      <c r="H216" s="169">
        <f>SUM(G216*13/3)</f>
        <v>0</v>
      </c>
      <c r="I216" s="130">
        <f>SUM(H216*12)</f>
        <v>0</v>
      </c>
      <c r="J216" s="73"/>
    </row>
    <row r="217" spans="1:10" ht="18" customHeight="1">
      <c r="A217" s="72"/>
      <c r="B217" s="72"/>
      <c r="C217" s="72"/>
      <c r="D217" s="72"/>
      <c r="E217" s="72"/>
      <c r="F217" s="139"/>
      <c r="G217" s="72"/>
      <c r="H217" s="174"/>
      <c r="I217" s="72"/>
      <c r="J217" s="73"/>
    </row>
    <row r="218" spans="1:10" ht="18" customHeight="1" thickBot="1">
      <c r="A218" s="72"/>
      <c r="B218" s="72"/>
      <c r="C218" s="72"/>
      <c r="D218" s="72"/>
      <c r="E218" s="72"/>
      <c r="F218" s="139"/>
      <c r="G218" s="139"/>
      <c r="H218" s="139"/>
      <c r="I218" s="72"/>
      <c r="J218" s="73"/>
    </row>
    <row r="219" spans="1:10" ht="18" customHeight="1" thickBot="1">
      <c r="A219" s="328"/>
      <c r="B219" s="150" t="s">
        <v>2</v>
      </c>
      <c r="C219" s="63" t="s">
        <v>3</v>
      </c>
      <c r="D219" s="63" t="s">
        <v>4</v>
      </c>
      <c r="E219" s="63" t="s">
        <v>5</v>
      </c>
      <c r="F219" s="63" t="s">
        <v>6</v>
      </c>
      <c r="G219" s="63" t="s">
        <v>7</v>
      </c>
      <c r="H219" s="151" t="s">
        <v>8</v>
      </c>
      <c r="I219" s="152" t="s">
        <v>137</v>
      </c>
      <c r="J219" s="139" t="s">
        <v>28</v>
      </c>
    </row>
    <row r="220" spans="1:10" ht="18" customHeight="1">
      <c r="A220" s="329" t="s">
        <v>138</v>
      </c>
      <c r="B220" s="330">
        <f t="shared" ref="B220:I220" si="10">SUM(B4,B8,B25,B34,B70,B114,B117,B123,B132,B144,B162,B182,B203,B214)</f>
        <v>275.75</v>
      </c>
      <c r="C220" s="330">
        <f t="shared" si="10"/>
        <v>276.75</v>
      </c>
      <c r="D220" s="330">
        <f t="shared" si="10"/>
        <v>276.75</v>
      </c>
      <c r="E220" s="330">
        <f t="shared" si="10"/>
        <v>268.5</v>
      </c>
      <c r="F220" s="330">
        <f t="shared" si="10"/>
        <v>240.5</v>
      </c>
      <c r="G220" s="330">
        <f t="shared" si="10"/>
        <v>128</v>
      </c>
      <c r="H220" s="330">
        <f t="shared" si="10"/>
        <v>125</v>
      </c>
      <c r="I220" s="330">
        <f t="shared" si="10"/>
        <v>1554.25</v>
      </c>
      <c r="J220" s="72" t="s">
        <v>28</v>
      </c>
    </row>
    <row r="221" spans="1:10" ht="20.100000000000001" customHeight="1" thickBot="1">
      <c r="A221" s="331" t="s">
        <v>140</v>
      </c>
      <c r="B221" s="17">
        <f t="shared" ref="B221:I221" si="11">SUM(B220*52)</f>
        <v>14339</v>
      </c>
      <c r="C221" s="17">
        <f t="shared" si="11"/>
        <v>14391</v>
      </c>
      <c r="D221" s="17">
        <f t="shared" si="11"/>
        <v>14391</v>
      </c>
      <c r="E221" s="17">
        <f t="shared" si="11"/>
        <v>13962</v>
      </c>
      <c r="F221" s="17">
        <f t="shared" si="11"/>
        <v>12506</v>
      </c>
      <c r="G221" s="17">
        <f t="shared" si="11"/>
        <v>6656</v>
      </c>
      <c r="H221" s="17">
        <f t="shared" si="11"/>
        <v>6500</v>
      </c>
      <c r="I221" s="17">
        <f t="shared" si="11"/>
        <v>80821</v>
      </c>
    </row>
    <row r="222" spans="1:10" ht="20.100000000000001" customHeight="1" thickBot="1">
      <c r="A222" t="s">
        <v>337</v>
      </c>
      <c r="I222" s="160"/>
      <c r="J222" s="435">
        <f>SUM(I221/12)</f>
        <v>6735.083333333333</v>
      </c>
    </row>
    <row r="223" spans="1:10" ht="20.100000000000001" customHeight="1">
      <c r="A223" s="332" t="s">
        <v>338</v>
      </c>
      <c r="B223" s="45"/>
      <c r="C223" s="45"/>
      <c r="D223" s="45"/>
      <c r="E223" s="30">
        <v>56</v>
      </c>
      <c r="F223" s="45"/>
      <c r="G223" s="45"/>
      <c r="H223" s="7"/>
      <c r="I223" s="333">
        <f>SUM(E223)*26</f>
        <v>1456</v>
      </c>
    </row>
    <row r="224" spans="1:10" ht="20.100000000000001" customHeight="1">
      <c r="A224" s="334" t="s">
        <v>339</v>
      </c>
      <c r="B224" s="157"/>
      <c r="C224" s="157"/>
      <c r="D224" s="157"/>
      <c r="E224" s="157"/>
      <c r="F224" s="157"/>
      <c r="G224" s="157"/>
      <c r="H224" s="157"/>
      <c r="I224" s="335">
        <f>SUM(I223*2)</f>
        <v>2912</v>
      </c>
    </row>
    <row r="225" spans="1:10" ht="20.100000000000001" customHeight="1">
      <c r="A225" s="329" t="s">
        <v>143</v>
      </c>
      <c r="B225" s="153"/>
      <c r="C225" s="155"/>
      <c r="D225" s="157"/>
      <c r="E225" s="157"/>
      <c r="F225" s="157"/>
      <c r="G225" s="157"/>
      <c r="H225" s="157"/>
      <c r="I225" s="335">
        <f>48*12</f>
        <v>576</v>
      </c>
    </row>
    <row r="226" spans="1:10" ht="20.100000000000001" customHeight="1" thickBot="1">
      <c r="A226" s="336" t="s">
        <v>137</v>
      </c>
      <c r="B226" s="53"/>
      <c r="C226" s="53"/>
      <c r="D226" s="53"/>
      <c r="E226" s="53"/>
      <c r="F226" s="53"/>
      <c r="G226" s="53"/>
      <c r="H226" s="53"/>
      <c r="I226" s="337">
        <f>SUM(I223:I225)</f>
        <v>4944</v>
      </c>
    </row>
    <row r="227" spans="1:10" ht="20.100000000000001" customHeight="1">
      <c r="I227" s="160"/>
    </row>
    <row r="228" spans="1:10" ht="20.100000000000001" customHeight="1">
      <c r="I228" s="160"/>
    </row>
    <row r="229" spans="1:10" ht="13.5" thickBot="1">
      <c r="A229" s="158" t="s">
        <v>144</v>
      </c>
      <c r="B229" s="158"/>
      <c r="C229" s="158"/>
      <c r="D229" s="158"/>
      <c r="E229" s="158"/>
      <c r="F229" s="158"/>
      <c r="G229" s="158"/>
      <c r="H229" s="158"/>
      <c r="I229" s="161">
        <f>SUM(I221,I226)</f>
        <v>85765</v>
      </c>
      <c r="J229" t="s">
        <v>340</v>
      </c>
    </row>
    <row r="233" spans="1:10" ht="13.5" thickBot="1">
      <c r="A233" s="1" t="s">
        <v>341</v>
      </c>
      <c r="B233" s="72"/>
      <c r="C233" s="72"/>
      <c r="D233" s="72"/>
      <c r="E233" s="72"/>
      <c r="F233" s="139"/>
      <c r="G233" s="139"/>
      <c r="H233" s="139"/>
      <c r="I233" s="72"/>
      <c r="J233" s="73"/>
    </row>
    <row r="234" spans="1:10" ht="13.5" thickBot="1">
      <c r="A234" s="61" t="s">
        <v>342</v>
      </c>
      <c r="B234" s="62" t="s">
        <v>2</v>
      </c>
      <c r="C234" s="63" t="s">
        <v>3</v>
      </c>
      <c r="D234" s="63" t="s">
        <v>4</v>
      </c>
      <c r="E234" s="63" t="s">
        <v>5</v>
      </c>
      <c r="F234" s="63" t="s">
        <v>6</v>
      </c>
      <c r="G234" s="63" t="s">
        <v>7</v>
      </c>
      <c r="H234" s="64" t="s">
        <v>8</v>
      </c>
      <c r="I234" s="65" t="s">
        <v>9</v>
      </c>
      <c r="J234" s="66" t="s">
        <v>10</v>
      </c>
    </row>
    <row r="235" spans="1:10">
      <c r="A235" s="436">
        <v>3700</v>
      </c>
      <c r="B235" s="30" t="s">
        <v>343</v>
      </c>
      <c r="C235" s="30" t="s">
        <v>343</v>
      </c>
      <c r="D235" s="30" t="s">
        <v>343</v>
      </c>
      <c r="E235" s="30" t="s">
        <v>343</v>
      </c>
      <c r="F235" s="31" t="s">
        <v>344</v>
      </c>
      <c r="G235" s="4"/>
      <c r="H235" s="413" t="s">
        <v>28</v>
      </c>
      <c r="I235" s="7"/>
      <c r="J235" s="32" t="s">
        <v>28</v>
      </c>
    </row>
    <row r="236" spans="1:10" ht="13.5" thickBot="1">
      <c r="A236" s="437"/>
      <c r="B236" s="34"/>
      <c r="C236" s="34"/>
      <c r="D236" s="34"/>
      <c r="E236" s="34"/>
      <c r="F236" s="140"/>
      <c r="G236" s="17"/>
      <c r="H236" s="263" t="s">
        <v>28</v>
      </c>
      <c r="I236" s="34">
        <f>SUM(B236:H236)</f>
        <v>0</v>
      </c>
      <c r="J236" s="37"/>
    </row>
    <row r="237" spans="1:10">
      <c r="A237" s="438">
        <v>3700</v>
      </c>
      <c r="B237" s="10" t="s">
        <v>124</v>
      </c>
      <c r="C237" s="10" t="s">
        <v>124</v>
      </c>
      <c r="D237" s="10" t="s">
        <v>124</v>
      </c>
      <c r="E237" s="10" t="s">
        <v>124</v>
      </c>
      <c r="F237" s="11" t="s">
        <v>125</v>
      </c>
      <c r="G237" s="439"/>
      <c r="H237" s="440" t="s">
        <v>28</v>
      </c>
      <c r="I237" s="14"/>
      <c r="J237" s="40" t="s">
        <v>28</v>
      </c>
    </row>
    <row r="238" spans="1:10" ht="13.5" thickBot="1">
      <c r="A238" s="441" t="s">
        <v>345</v>
      </c>
      <c r="B238" s="34">
        <v>7.75</v>
      </c>
      <c r="C238" s="34">
        <v>7.75</v>
      </c>
      <c r="D238" s="34">
        <v>7.75</v>
      </c>
      <c r="E238" s="34">
        <v>7.75</v>
      </c>
      <c r="F238" s="140">
        <v>6</v>
      </c>
      <c r="G238" s="17"/>
      <c r="H238" s="263" t="s">
        <v>28</v>
      </c>
      <c r="I238" s="34">
        <f>SUM(B238:H238)</f>
        <v>37</v>
      </c>
      <c r="J238" s="37"/>
    </row>
    <row r="239" spans="1:10">
      <c r="A239" s="436">
        <v>3701</v>
      </c>
      <c r="B239" s="30" t="s">
        <v>124</v>
      </c>
      <c r="C239" s="30" t="s">
        <v>124</v>
      </c>
      <c r="D239" s="30" t="s">
        <v>124</v>
      </c>
      <c r="E239" s="30" t="s">
        <v>124</v>
      </c>
      <c r="F239" s="31" t="s">
        <v>125</v>
      </c>
      <c r="G239" s="4"/>
      <c r="H239" s="413" t="s">
        <v>28</v>
      </c>
      <c r="I239" s="7"/>
      <c r="J239" s="32" t="s">
        <v>28</v>
      </c>
    </row>
    <row r="240" spans="1:10" ht="13.5" thickBot="1">
      <c r="A240" s="437" t="s">
        <v>346</v>
      </c>
      <c r="B240" s="34">
        <v>7.75</v>
      </c>
      <c r="C240" s="34">
        <v>7.75</v>
      </c>
      <c r="D240" s="34">
        <v>7.75</v>
      </c>
      <c r="E240" s="34">
        <v>7.75</v>
      </c>
      <c r="F240" s="140">
        <v>6</v>
      </c>
      <c r="G240" s="17"/>
      <c r="H240" s="263" t="s">
        <v>28</v>
      </c>
      <c r="I240" s="34">
        <f>SUM(B240:H240)</f>
        <v>37</v>
      </c>
      <c r="J240" s="37"/>
    </row>
    <row r="241" spans="1:10">
      <c r="A241" s="436">
        <v>3701</v>
      </c>
      <c r="B241" s="30" t="s">
        <v>124</v>
      </c>
      <c r="C241" s="30" t="s">
        <v>124</v>
      </c>
      <c r="D241" s="30" t="s">
        <v>124</v>
      </c>
      <c r="E241" s="30" t="s">
        <v>124</v>
      </c>
      <c r="F241" s="31" t="s">
        <v>125</v>
      </c>
      <c r="G241" s="4"/>
      <c r="H241" s="413" t="s">
        <v>28</v>
      </c>
      <c r="I241" s="7"/>
      <c r="J241" s="32" t="s">
        <v>28</v>
      </c>
    </row>
    <row r="242" spans="1:10" ht="13.5" thickBot="1">
      <c r="A242" s="437" t="s">
        <v>347</v>
      </c>
      <c r="B242" s="34">
        <v>7.75</v>
      </c>
      <c r="C242" s="34">
        <v>7.75</v>
      </c>
      <c r="D242" s="34">
        <v>7.75</v>
      </c>
      <c r="E242" s="34">
        <v>7.75</v>
      </c>
      <c r="F242" s="140">
        <v>6</v>
      </c>
      <c r="G242" s="17"/>
      <c r="H242" s="263" t="s">
        <v>28</v>
      </c>
      <c r="I242" s="34">
        <f>SUM(B242:H242)</f>
        <v>37</v>
      </c>
      <c r="J242" s="37"/>
    </row>
    <row r="243" spans="1:10">
      <c r="A243" s="438">
        <v>3701</v>
      </c>
      <c r="B243" s="10" t="s">
        <v>124</v>
      </c>
      <c r="C243" s="10" t="s">
        <v>124</v>
      </c>
      <c r="D243" s="10" t="s">
        <v>124</v>
      </c>
      <c r="E243" s="10" t="s">
        <v>124</v>
      </c>
      <c r="F243" s="11" t="s">
        <v>125</v>
      </c>
      <c r="G243" s="439"/>
      <c r="H243" s="440" t="s">
        <v>28</v>
      </c>
      <c r="I243" s="14"/>
      <c r="J243" s="40" t="s">
        <v>28</v>
      </c>
    </row>
    <row r="244" spans="1:10" ht="13.5" thickBot="1">
      <c r="A244" s="441" t="s">
        <v>348</v>
      </c>
      <c r="B244" s="34">
        <v>7.75</v>
      </c>
      <c r="C244" s="34">
        <v>7.75</v>
      </c>
      <c r="D244" s="34">
        <v>7.75</v>
      </c>
      <c r="E244" s="34">
        <v>7.75</v>
      </c>
      <c r="F244" s="140">
        <v>6</v>
      </c>
      <c r="G244" s="17"/>
      <c r="H244" s="263" t="s">
        <v>28</v>
      </c>
      <c r="I244" s="34">
        <f>SUM(B244:H244)</f>
        <v>37</v>
      </c>
      <c r="J244" s="37"/>
    </row>
    <row r="245" spans="1:10">
      <c r="A245" s="442">
        <v>3701</v>
      </c>
      <c r="B245" s="30" t="s">
        <v>124</v>
      </c>
      <c r="C245" s="30" t="s">
        <v>124</v>
      </c>
      <c r="D245" s="30" t="s">
        <v>124</v>
      </c>
      <c r="E245" s="30" t="s">
        <v>124</v>
      </c>
      <c r="F245" s="31" t="s">
        <v>125</v>
      </c>
      <c r="G245" s="4"/>
      <c r="H245" s="413" t="s">
        <v>28</v>
      </c>
      <c r="I245" s="7"/>
      <c r="J245" s="32" t="s">
        <v>28</v>
      </c>
    </row>
    <row r="246" spans="1:10" ht="13.5" thickBot="1">
      <c r="A246" s="441"/>
      <c r="B246" s="34">
        <v>7.75</v>
      </c>
      <c r="C246" s="34">
        <v>7.75</v>
      </c>
      <c r="D246" s="34">
        <v>7.75</v>
      </c>
      <c r="E246" s="34">
        <v>7.75</v>
      </c>
      <c r="F246" s="140">
        <v>6</v>
      </c>
      <c r="G246" s="17"/>
      <c r="H246" s="263" t="s">
        <v>28</v>
      </c>
      <c r="I246" s="34">
        <f>SUM(B246:H246)</f>
        <v>37</v>
      </c>
      <c r="J246" s="37"/>
    </row>
    <row r="247" spans="1:10">
      <c r="A247" s="442">
        <v>3701</v>
      </c>
      <c r="B247" s="30" t="s">
        <v>124</v>
      </c>
      <c r="C247" s="30" t="s">
        <v>124</v>
      </c>
      <c r="D247" s="30" t="s">
        <v>124</v>
      </c>
      <c r="E247" s="30" t="s">
        <v>124</v>
      </c>
      <c r="F247" s="31" t="s">
        <v>125</v>
      </c>
      <c r="G247" s="4"/>
      <c r="H247" s="413" t="s">
        <v>28</v>
      </c>
      <c r="I247" s="7"/>
      <c r="J247" s="32" t="s">
        <v>28</v>
      </c>
    </row>
    <row r="248" spans="1:10" ht="13.5" thickBot="1">
      <c r="A248" s="441" t="s">
        <v>349</v>
      </c>
      <c r="B248" s="34">
        <v>7.75</v>
      </c>
      <c r="C248" s="34">
        <v>7.75</v>
      </c>
      <c r="D248" s="34">
        <v>7.75</v>
      </c>
      <c r="E248" s="34">
        <v>7.75</v>
      </c>
      <c r="F248" s="140">
        <v>6</v>
      </c>
      <c r="G248" s="17"/>
      <c r="H248" s="263" t="s">
        <v>28</v>
      </c>
      <c r="I248" s="34">
        <f>SUM(B248:H248)</f>
        <v>37</v>
      </c>
      <c r="J248" s="37"/>
    </row>
    <row r="249" spans="1:10">
      <c r="A249" s="442">
        <v>3701</v>
      </c>
      <c r="B249" s="30" t="s">
        <v>124</v>
      </c>
      <c r="C249" s="30" t="s">
        <v>124</v>
      </c>
      <c r="D249" s="30" t="s">
        <v>124</v>
      </c>
      <c r="E249" s="30" t="s">
        <v>124</v>
      </c>
      <c r="F249" s="31" t="s">
        <v>125</v>
      </c>
      <c r="G249" s="4"/>
      <c r="H249" s="413" t="s">
        <v>28</v>
      </c>
      <c r="I249" s="7"/>
      <c r="J249" s="32" t="s">
        <v>28</v>
      </c>
    </row>
    <row r="250" spans="1:10" ht="13.5" thickBot="1">
      <c r="A250" s="441" t="s">
        <v>350</v>
      </c>
      <c r="B250" s="34">
        <v>7.75</v>
      </c>
      <c r="C250" s="34">
        <v>7.75</v>
      </c>
      <c r="D250" s="34">
        <v>7.75</v>
      </c>
      <c r="E250" s="34">
        <v>7.75</v>
      </c>
      <c r="F250" s="140">
        <v>6</v>
      </c>
      <c r="G250" s="17"/>
      <c r="H250" s="263" t="s">
        <v>28</v>
      </c>
      <c r="I250" s="34">
        <f>SUM(B250:H250)</f>
        <v>37</v>
      </c>
      <c r="J250" s="37"/>
    </row>
    <row r="251" spans="1:10">
      <c r="A251" s="442">
        <v>3701</v>
      </c>
      <c r="B251" s="30" t="s">
        <v>124</v>
      </c>
      <c r="C251" s="30" t="s">
        <v>124</v>
      </c>
      <c r="D251" s="30" t="s">
        <v>124</v>
      </c>
      <c r="E251" s="30" t="s">
        <v>124</v>
      </c>
      <c r="F251" s="31" t="s">
        <v>125</v>
      </c>
      <c r="G251" s="4"/>
      <c r="H251" s="413" t="s">
        <v>28</v>
      </c>
      <c r="I251" s="7"/>
      <c r="J251" s="32" t="s">
        <v>28</v>
      </c>
    </row>
    <row r="252" spans="1:10" ht="13.5" thickBot="1">
      <c r="A252" s="441" t="s">
        <v>351</v>
      </c>
      <c r="B252" s="34">
        <v>7.75</v>
      </c>
      <c r="C252" s="34">
        <v>7.75</v>
      </c>
      <c r="D252" s="34">
        <v>7.75</v>
      </c>
      <c r="E252" s="34">
        <v>7.75</v>
      </c>
      <c r="F252" s="140">
        <v>6</v>
      </c>
      <c r="G252" s="17"/>
      <c r="H252" s="263" t="s">
        <v>28</v>
      </c>
      <c r="I252" s="34">
        <f>SUM(B252:H252)</f>
        <v>37</v>
      </c>
      <c r="J252" s="37"/>
    </row>
    <row r="253" spans="1:10">
      <c r="A253" s="442">
        <v>3701</v>
      </c>
      <c r="B253" s="30" t="s">
        <v>124</v>
      </c>
      <c r="C253" s="30" t="s">
        <v>124</v>
      </c>
      <c r="D253" s="30" t="s">
        <v>124</v>
      </c>
      <c r="E253" s="30" t="s">
        <v>124</v>
      </c>
      <c r="F253" s="31" t="s">
        <v>125</v>
      </c>
      <c r="G253" s="4"/>
      <c r="H253" s="413" t="s">
        <v>28</v>
      </c>
      <c r="I253" s="7"/>
      <c r="J253" s="32" t="s">
        <v>28</v>
      </c>
    </row>
    <row r="254" spans="1:10" ht="13.5" thickBot="1">
      <c r="A254" s="441" t="s">
        <v>352</v>
      </c>
      <c r="B254" s="34">
        <v>7.75</v>
      </c>
      <c r="C254" s="34">
        <v>7.75</v>
      </c>
      <c r="D254" s="34">
        <v>7.75</v>
      </c>
      <c r="E254" s="34">
        <v>7.75</v>
      </c>
      <c r="F254" s="140">
        <v>6</v>
      </c>
      <c r="G254" s="17"/>
      <c r="H254" s="263" t="s">
        <v>28</v>
      </c>
      <c r="I254" s="34">
        <f>SUM(B254:H254)</f>
        <v>37</v>
      </c>
      <c r="J254" s="37"/>
    </row>
    <row r="255" spans="1:10">
      <c r="A255" s="442">
        <v>3701</v>
      </c>
      <c r="B255" s="30" t="s">
        <v>124</v>
      </c>
      <c r="C255" s="30" t="s">
        <v>124</v>
      </c>
      <c r="D255" s="30" t="s">
        <v>124</v>
      </c>
      <c r="E255" s="30" t="s">
        <v>124</v>
      </c>
      <c r="F255" s="31" t="s">
        <v>125</v>
      </c>
      <c r="G255" s="4"/>
      <c r="H255" s="413" t="s">
        <v>28</v>
      </c>
      <c r="I255" s="7"/>
      <c r="J255" s="32" t="s">
        <v>28</v>
      </c>
    </row>
    <row r="256" spans="1:10" ht="13.5" thickBot="1">
      <c r="A256" s="441" t="s">
        <v>353</v>
      </c>
      <c r="B256" s="34">
        <v>7.75</v>
      </c>
      <c r="C256" s="34">
        <v>7.75</v>
      </c>
      <c r="D256" s="34">
        <v>7.75</v>
      </c>
      <c r="E256" s="34">
        <v>7.75</v>
      </c>
      <c r="F256" s="140">
        <v>6</v>
      </c>
      <c r="G256" s="17"/>
      <c r="H256" s="263" t="s">
        <v>28</v>
      </c>
      <c r="I256" s="34">
        <f>SUM(B256:H256)</f>
        <v>37</v>
      </c>
      <c r="J256" s="37"/>
    </row>
    <row r="257" spans="1:10">
      <c r="A257" s="442">
        <v>3701</v>
      </c>
      <c r="B257" s="30" t="s">
        <v>124</v>
      </c>
      <c r="C257" s="30" t="s">
        <v>124</v>
      </c>
      <c r="D257" s="30" t="s">
        <v>124</v>
      </c>
      <c r="E257" s="30" t="s">
        <v>124</v>
      </c>
      <c r="F257" s="31" t="s">
        <v>125</v>
      </c>
      <c r="G257" s="4"/>
      <c r="H257" s="413" t="s">
        <v>28</v>
      </c>
      <c r="I257" s="7"/>
      <c r="J257" s="32" t="s">
        <v>28</v>
      </c>
    </row>
    <row r="258" spans="1:10" ht="13.5" thickBot="1">
      <c r="A258" s="441" t="s">
        <v>354</v>
      </c>
      <c r="B258" s="34">
        <v>7.75</v>
      </c>
      <c r="C258" s="34">
        <v>7.75</v>
      </c>
      <c r="D258" s="34">
        <v>7.75</v>
      </c>
      <c r="E258" s="34">
        <v>7.75</v>
      </c>
      <c r="F258" s="140">
        <v>6</v>
      </c>
      <c r="G258" s="17"/>
      <c r="H258" s="263" t="s">
        <v>28</v>
      </c>
      <c r="I258" s="34">
        <f>SUM(B258:H258)</f>
        <v>37</v>
      </c>
      <c r="J258" s="37"/>
    </row>
    <row r="259" spans="1:10">
      <c r="A259" s="442">
        <v>3701</v>
      </c>
      <c r="B259" s="30" t="s">
        <v>124</v>
      </c>
      <c r="C259" s="30" t="s">
        <v>124</v>
      </c>
      <c r="D259" s="30" t="s">
        <v>124</v>
      </c>
      <c r="E259" s="30" t="s">
        <v>124</v>
      </c>
      <c r="F259" s="31" t="s">
        <v>125</v>
      </c>
      <c r="G259" s="4"/>
      <c r="H259" s="413" t="s">
        <v>28</v>
      </c>
      <c r="I259" s="7"/>
      <c r="J259" s="32" t="s">
        <v>28</v>
      </c>
    </row>
    <row r="260" spans="1:10" ht="13.5" thickBot="1">
      <c r="A260" s="441" t="s">
        <v>355</v>
      </c>
      <c r="B260" s="34">
        <v>7.75</v>
      </c>
      <c r="C260" s="34">
        <v>7.75</v>
      </c>
      <c r="D260" s="34">
        <v>7.75</v>
      </c>
      <c r="E260" s="34">
        <v>7.75</v>
      </c>
      <c r="F260" s="140">
        <v>6</v>
      </c>
      <c r="G260" s="17"/>
      <c r="H260" s="263" t="s">
        <v>28</v>
      </c>
      <c r="I260" s="34">
        <f>SUM(B260:H260)</f>
        <v>37</v>
      </c>
      <c r="J260" s="37"/>
    </row>
    <row r="261" spans="1:10">
      <c r="A261" s="442">
        <v>3701</v>
      </c>
      <c r="B261" s="30" t="s">
        <v>124</v>
      </c>
      <c r="C261" s="30" t="s">
        <v>124</v>
      </c>
      <c r="D261" s="30" t="s">
        <v>124</v>
      </c>
      <c r="E261" s="30" t="s">
        <v>124</v>
      </c>
      <c r="F261" s="31" t="s">
        <v>125</v>
      </c>
      <c r="G261" s="4"/>
      <c r="H261" s="413" t="s">
        <v>28</v>
      </c>
      <c r="I261" s="7"/>
      <c r="J261" s="32" t="s">
        <v>28</v>
      </c>
    </row>
    <row r="262" spans="1:10" ht="13.5" thickBot="1">
      <c r="A262" s="441"/>
      <c r="B262" s="34"/>
      <c r="C262" s="34"/>
      <c r="D262" s="34"/>
      <c r="E262" s="34"/>
      <c r="F262" s="140"/>
      <c r="G262" s="17"/>
      <c r="H262" s="263" t="s">
        <v>28</v>
      </c>
      <c r="I262" s="34">
        <f>SUM(B262:H262)</f>
        <v>0</v>
      </c>
      <c r="J262" s="37"/>
    </row>
    <row r="263" spans="1:10">
      <c r="A263" s="442">
        <v>3701</v>
      </c>
      <c r="B263" s="30" t="s">
        <v>11</v>
      </c>
      <c r="C263" s="30" t="s">
        <v>11</v>
      </c>
      <c r="D263" s="30" t="s">
        <v>11</v>
      </c>
      <c r="E263" s="30" t="s">
        <v>11</v>
      </c>
      <c r="F263" s="31" t="s">
        <v>12</v>
      </c>
      <c r="G263" s="4"/>
      <c r="H263" s="413" t="s">
        <v>28</v>
      </c>
      <c r="I263" s="7"/>
      <c r="J263" s="32" t="s">
        <v>28</v>
      </c>
    </row>
    <row r="264" spans="1:10" ht="13.5" thickBot="1">
      <c r="A264" s="441"/>
      <c r="B264" s="34"/>
      <c r="C264" s="34"/>
      <c r="D264" s="34"/>
      <c r="E264" s="34"/>
      <c r="F264" s="140"/>
      <c r="G264" s="17"/>
      <c r="H264" s="263" t="s">
        <v>28</v>
      </c>
      <c r="I264" s="34">
        <f>SUM(B264:H264)</f>
        <v>0</v>
      </c>
      <c r="J264" s="37"/>
    </row>
    <row r="265" spans="1:10" ht="13.5" thickBot="1">
      <c r="A265" s="58" t="s">
        <v>30</v>
      </c>
      <c r="B265" s="58">
        <f t="shared" ref="B265:H265" si="12">SUM(B254,B256,B258,B260,B262,B264)</f>
        <v>31</v>
      </c>
      <c r="C265" s="58">
        <f t="shared" si="12"/>
        <v>31</v>
      </c>
      <c r="D265" s="58">
        <f t="shared" si="12"/>
        <v>31</v>
      </c>
      <c r="E265" s="58">
        <f t="shared" si="12"/>
        <v>31</v>
      </c>
      <c r="F265" s="58">
        <f t="shared" si="12"/>
        <v>24</v>
      </c>
      <c r="G265" s="58">
        <f t="shared" si="12"/>
        <v>0</v>
      </c>
      <c r="H265" s="58">
        <f t="shared" si="12"/>
        <v>0</v>
      </c>
      <c r="I265" s="70">
        <f>SUM(I236,I238,I240,I242,I244,I246,I248,I250,I252,I254,I256,I258,I260,I262,I264)</f>
        <v>444</v>
      </c>
      <c r="J265" s="71"/>
    </row>
    <row r="266" spans="1:10" ht="13.5" thickTop="1">
      <c r="A266" s="312"/>
      <c r="B266" s="72"/>
      <c r="C266" s="72"/>
      <c r="D266" s="72"/>
      <c r="E266" s="72"/>
      <c r="F266" s="139"/>
      <c r="G266" s="204" t="s">
        <v>152</v>
      </c>
      <c r="H266" s="204" t="s">
        <v>153</v>
      </c>
      <c r="I266" s="204" t="s">
        <v>154</v>
      </c>
      <c r="J266" s="73"/>
    </row>
    <row r="267" spans="1:10">
      <c r="A267" s="312"/>
      <c r="B267" s="72"/>
      <c r="C267" s="72"/>
      <c r="D267" s="72"/>
      <c r="E267" s="72"/>
      <c r="F267" s="139"/>
      <c r="G267" s="130">
        <f>I265</f>
        <v>444</v>
      </c>
      <c r="H267" s="169">
        <f>SUM(G267*13/3)</f>
        <v>1924</v>
      </c>
      <c r="I267" s="130">
        <f>SUM(H267*12)</f>
        <v>23088</v>
      </c>
      <c r="J267" s="73"/>
    </row>
  </sheetData>
  <sheetProtection selectLockedCells="1" selectUnlockedCells="1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"/>
  <dimension ref="A1:J297"/>
  <sheetViews>
    <sheetView topLeftCell="A131" zoomScale="67" zoomScaleNormal="67" workbookViewId="0">
      <selection activeCell="M83" sqref="M83"/>
    </sheetView>
  </sheetViews>
  <sheetFormatPr defaultRowHeight="12.75"/>
  <cols>
    <col min="1" max="1" width="26.28515625" customWidth="1"/>
    <col min="2" max="2" width="13" customWidth="1"/>
    <col min="3" max="3" width="12.85546875" customWidth="1"/>
    <col min="4" max="4" width="12.28515625" customWidth="1"/>
    <col min="5" max="5" width="12.140625" customWidth="1"/>
    <col min="6" max="6" width="12.28515625" customWidth="1"/>
    <col min="7" max="7" width="13.28515625" customWidth="1"/>
    <col min="8" max="8" width="13.140625" customWidth="1"/>
    <col min="9" max="9" width="12.5703125" customWidth="1"/>
    <col min="10" max="10" width="26" customWidth="1"/>
  </cols>
  <sheetData>
    <row r="1" spans="1:10" ht="20.100000000000001" customHeight="1">
      <c r="A1" s="1" t="s">
        <v>0</v>
      </c>
      <c r="B1" s="1"/>
      <c r="D1" s="2"/>
      <c r="E1" s="2"/>
    </row>
    <row r="2" spans="1:10" ht="20.100000000000001" customHeight="1">
      <c r="A2" s="3" t="s">
        <v>146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0" ht="20.100000000000001" customHeight="1">
      <c r="A3" s="9"/>
      <c r="B3" s="10" t="s">
        <v>147</v>
      </c>
      <c r="C3" s="10" t="s">
        <v>147</v>
      </c>
      <c r="D3" s="10" t="s">
        <v>147</v>
      </c>
      <c r="E3" s="10" t="s">
        <v>147</v>
      </c>
      <c r="F3" s="11" t="s">
        <v>148</v>
      </c>
      <c r="G3" s="12"/>
      <c r="H3" s="13"/>
      <c r="I3" s="14"/>
      <c r="J3" s="15"/>
    </row>
    <row r="4" spans="1:10" ht="20.100000000000001" customHeight="1">
      <c r="A4" s="143" t="s">
        <v>13</v>
      </c>
      <c r="B4" s="124">
        <v>7.75</v>
      </c>
      <c r="C4" s="124">
        <v>7.75</v>
      </c>
      <c r="D4" s="124">
        <v>7.75</v>
      </c>
      <c r="E4" s="124">
        <v>7.75</v>
      </c>
      <c r="F4" s="125">
        <v>6</v>
      </c>
      <c r="G4" s="126"/>
      <c r="H4" s="127"/>
      <c r="I4" s="144">
        <f>SUM(B4:H4)</f>
        <v>37</v>
      </c>
      <c r="J4" s="162"/>
    </row>
    <row r="5" spans="1:10" ht="20.100000000000001" customHeight="1">
      <c r="A5" s="163" t="s">
        <v>356</v>
      </c>
      <c r="B5" s="164" t="s">
        <v>357</v>
      </c>
      <c r="C5" s="164" t="s">
        <v>357</v>
      </c>
      <c r="D5" s="164" t="s">
        <v>357</v>
      </c>
      <c r="E5" s="164" t="s">
        <v>357</v>
      </c>
      <c r="F5" s="164" t="s">
        <v>358</v>
      </c>
      <c r="G5" s="165"/>
      <c r="H5" s="165"/>
      <c r="I5" s="34"/>
      <c r="J5" s="166"/>
    </row>
    <row r="6" spans="1:10" ht="20.100000000000001" customHeight="1">
      <c r="A6" s="72"/>
      <c r="E6" s="72"/>
      <c r="F6" s="139"/>
      <c r="G6" s="167" t="s">
        <v>152</v>
      </c>
      <c r="H6" s="167" t="s">
        <v>153</v>
      </c>
      <c r="I6" s="167" t="s">
        <v>154</v>
      </c>
      <c r="J6" s="168"/>
    </row>
    <row r="7" spans="1:10" ht="20.100000000000001" customHeight="1">
      <c r="A7" s="72"/>
      <c r="E7" s="72"/>
      <c r="F7" s="139"/>
      <c r="G7" s="130">
        <f>I4</f>
        <v>37</v>
      </c>
      <c r="H7" s="169">
        <f>SUM(G7*13/3)</f>
        <v>160.33333333333334</v>
      </c>
      <c r="I7" s="130">
        <f>SUM(H7*12)</f>
        <v>1924</v>
      </c>
      <c r="J7" s="168"/>
    </row>
    <row r="8" spans="1:10" ht="20.100000000000001" customHeight="1">
      <c r="A8" s="60" t="s">
        <v>150</v>
      </c>
      <c r="D8" s="2"/>
      <c r="E8" s="2"/>
    </row>
    <row r="9" spans="1:10" ht="20.100000000000001" customHeight="1">
      <c r="A9" s="23" t="s">
        <v>32</v>
      </c>
      <c r="B9" s="24" t="s">
        <v>2</v>
      </c>
      <c r="C9" s="25" t="s">
        <v>3</v>
      </c>
      <c r="D9" s="25" t="s">
        <v>4</v>
      </c>
      <c r="E9" s="25" t="s">
        <v>5</v>
      </c>
      <c r="F9" s="25" t="s">
        <v>6</v>
      </c>
      <c r="G9" s="25" t="s">
        <v>7</v>
      </c>
      <c r="H9" s="26" t="s">
        <v>8</v>
      </c>
      <c r="I9" s="27" t="s">
        <v>9</v>
      </c>
      <c r="J9" s="28" t="s">
        <v>10</v>
      </c>
    </row>
    <row r="10" spans="1:10" ht="20.100000000000001" customHeight="1">
      <c r="A10" s="29"/>
      <c r="B10" s="31" t="s">
        <v>33</v>
      </c>
      <c r="C10" s="31" t="s">
        <v>33</v>
      </c>
      <c r="D10" s="31" t="s">
        <v>33</v>
      </c>
      <c r="E10" s="31" t="s">
        <v>33</v>
      </c>
      <c r="F10" s="31" t="s">
        <v>34</v>
      </c>
      <c r="G10" s="31"/>
      <c r="H10" s="31"/>
      <c r="I10" s="170"/>
      <c r="J10" s="32"/>
    </row>
    <row r="11" spans="1:10" ht="20.100000000000001" customHeight="1">
      <c r="A11" s="171" t="s">
        <v>151</v>
      </c>
      <c r="B11" s="172">
        <v>7.75</v>
      </c>
      <c r="C11" s="172">
        <v>7.75</v>
      </c>
      <c r="D11" s="172">
        <v>7.75</v>
      </c>
      <c r="E11" s="172">
        <v>7.75</v>
      </c>
      <c r="F11" s="172">
        <v>6</v>
      </c>
      <c r="G11" s="172"/>
      <c r="H11" s="172"/>
      <c r="I11" s="172">
        <f>SUM(B11:H11)</f>
        <v>37</v>
      </c>
      <c r="J11" s="173"/>
    </row>
    <row r="12" spans="1:10" ht="20.100000000000001" customHeight="1">
      <c r="A12" s="163" t="s">
        <v>356</v>
      </c>
      <c r="B12" s="164" t="s">
        <v>359</v>
      </c>
      <c r="C12" s="164" t="s">
        <v>359</v>
      </c>
      <c r="D12" s="164" t="s">
        <v>359</v>
      </c>
      <c r="E12" s="164" t="s">
        <v>359</v>
      </c>
      <c r="F12" s="164" t="s">
        <v>360</v>
      </c>
      <c r="G12" s="140"/>
      <c r="H12" s="140"/>
      <c r="I12" s="140"/>
      <c r="J12" s="142"/>
    </row>
    <row r="13" spans="1:10" ht="20.100000000000001" customHeight="1">
      <c r="A13" s="72"/>
      <c r="E13" s="72"/>
      <c r="F13" s="139"/>
      <c r="G13" s="167" t="s">
        <v>152</v>
      </c>
      <c r="H13" s="167" t="s">
        <v>153</v>
      </c>
      <c r="I13" s="167" t="s">
        <v>154</v>
      </c>
      <c r="J13" s="168"/>
    </row>
    <row r="14" spans="1:10" ht="20.100000000000001" customHeight="1">
      <c r="A14" s="72"/>
      <c r="E14" s="72"/>
      <c r="F14" s="139"/>
      <c r="G14" s="130">
        <f>I11</f>
        <v>37</v>
      </c>
      <c r="H14" s="169">
        <f>SUM(G14*13/3)</f>
        <v>160.33333333333334</v>
      </c>
      <c r="I14" s="130">
        <f>SUM(H14*12)</f>
        <v>1924</v>
      </c>
      <c r="J14" s="168"/>
    </row>
    <row r="15" spans="1:10" ht="20.100000000000001" customHeight="1">
      <c r="A15" s="72"/>
      <c r="E15" s="72"/>
      <c r="F15" s="139"/>
      <c r="G15" s="72"/>
      <c r="H15" s="174"/>
      <c r="I15" s="72"/>
      <c r="J15" s="168"/>
    </row>
    <row r="16" spans="1:10" ht="20.100000000000001" customHeight="1">
      <c r="A16" s="72"/>
      <c r="E16" s="72"/>
      <c r="F16" s="139"/>
      <c r="G16" s="72"/>
      <c r="H16" s="174"/>
      <c r="I16" s="72"/>
      <c r="J16" s="168"/>
    </row>
    <row r="17" spans="1:10" ht="20.100000000000001" customHeight="1">
      <c r="A17" s="72"/>
      <c r="E17" s="72"/>
      <c r="F17" s="139"/>
      <c r="G17" s="72"/>
      <c r="H17" s="174"/>
      <c r="I17" s="72"/>
      <c r="J17" s="168"/>
    </row>
    <row r="18" spans="1:10" ht="20.100000000000001" customHeight="1">
      <c r="A18" s="72"/>
      <c r="E18" s="72"/>
      <c r="F18" s="139"/>
      <c r="G18" s="72"/>
      <c r="H18" s="174"/>
      <c r="I18" s="72"/>
      <c r="J18" s="168"/>
    </row>
    <row r="19" spans="1:10" ht="20.100000000000001" customHeight="1">
      <c r="A19" s="72"/>
      <c r="E19" s="72"/>
      <c r="F19" s="139"/>
      <c r="G19" s="72"/>
      <c r="H19" s="174"/>
      <c r="I19" s="72"/>
      <c r="J19" s="168"/>
    </row>
    <row r="20" spans="1:10" ht="20.100000000000001" customHeight="1">
      <c r="A20" s="72"/>
      <c r="E20" s="72"/>
      <c r="F20" s="139"/>
      <c r="G20" s="72"/>
      <c r="H20" s="174"/>
      <c r="I20" s="72"/>
      <c r="J20" s="168"/>
    </row>
    <row r="21" spans="1:10" ht="20.100000000000001" customHeight="1">
      <c r="A21" s="72"/>
      <c r="E21" s="72"/>
      <c r="F21" s="139"/>
      <c r="G21" s="72"/>
      <c r="H21" s="174"/>
      <c r="I21" s="72"/>
      <c r="J21" s="168"/>
    </row>
    <row r="22" spans="1:10" ht="20.100000000000001" customHeight="1">
      <c r="A22" s="72"/>
      <c r="E22" s="72"/>
      <c r="F22" s="139"/>
      <c r="G22" s="72"/>
      <c r="H22" s="174"/>
      <c r="I22" s="72"/>
      <c r="J22" s="168"/>
    </row>
    <row r="23" spans="1:10" ht="20.100000000000001" customHeight="1">
      <c r="A23" s="72"/>
      <c r="E23" s="72"/>
      <c r="F23" s="139"/>
      <c r="G23" s="72"/>
      <c r="H23" s="174"/>
      <c r="I23" s="72"/>
      <c r="J23" s="168"/>
    </row>
    <row r="24" spans="1:10" ht="20.100000000000001" customHeight="1">
      <c r="A24" s="72"/>
      <c r="E24" s="72"/>
      <c r="F24" s="139"/>
      <c r="G24" s="72"/>
      <c r="H24" s="174"/>
      <c r="I24" s="72"/>
      <c r="J24" s="168"/>
    </row>
    <row r="25" spans="1:10" ht="20.100000000000001" customHeight="1">
      <c r="A25" s="72"/>
      <c r="E25" s="72"/>
      <c r="F25" s="139"/>
      <c r="G25" s="72"/>
      <c r="H25" s="174"/>
      <c r="I25" s="72"/>
      <c r="J25" s="168"/>
    </row>
    <row r="26" spans="1:10" ht="20.100000000000001" customHeight="1">
      <c r="A26" s="72"/>
      <c r="E26" s="72"/>
      <c r="F26" s="139"/>
      <c r="G26" s="72"/>
      <c r="H26" s="174"/>
      <c r="I26" s="72"/>
      <c r="J26" s="168"/>
    </row>
    <row r="27" spans="1:10" ht="20.100000000000001" customHeight="1">
      <c r="A27" s="72"/>
      <c r="E27" s="72"/>
      <c r="F27" s="139"/>
      <c r="G27" s="72"/>
      <c r="H27" s="174"/>
      <c r="I27" s="72"/>
      <c r="J27" s="168"/>
    </row>
    <row r="28" spans="1:10" ht="20.100000000000001" customHeight="1">
      <c r="A28" s="72"/>
      <c r="E28" s="72"/>
      <c r="F28" s="139"/>
      <c r="G28" s="72"/>
      <c r="H28" s="174"/>
      <c r="I28" s="72"/>
      <c r="J28" s="168"/>
    </row>
    <row r="29" spans="1:10" ht="20.100000000000001" customHeight="1">
      <c r="A29" s="72"/>
      <c r="E29" s="72"/>
      <c r="F29" s="139"/>
      <c r="G29" s="72"/>
      <c r="H29" s="174"/>
      <c r="I29" s="72"/>
      <c r="J29" s="168"/>
    </row>
    <row r="30" spans="1:10" ht="20.100000000000001" customHeight="1">
      <c r="A30" s="72"/>
      <c r="E30" s="72"/>
      <c r="F30" s="139"/>
      <c r="G30" s="72"/>
      <c r="H30" s="174"/>
      <c r="I30" s="72"/>
      <c r="J30" s="168"/>
    </row>
    <row r="31" spans="1:10" ht="20.100000000000001" customHeight="1">
      <c r="A31" s="72"/>
      <c r="E31" s="72"/>
      <c r="F31" s="139"/>
      <c r="G31" s="72"/>
      <c r="H31" s="174"/>
      <c r="I31" s="72"/>
      <c r="J31" s="168"/>
    </row>
    <row r="32" spans="1:10" ht="20.100000000000001" customHeight="1">
      <c r="A32" s="72"/>
      <c r="E32" s="72"/>
      <c r="F32" s="139"/>
      <c r="G32" s="72"/>
      <c r="H32" s="174"/>
      <c r="I32" s="72"/>
      <c r="J32" s="168"/>
    </row>
    <row r="33" spans="1:10" ht="20.100000000000001" customHeight="1">
      <c r="A33" s="1" t="s">
        <v>14</v>
      </c>
      <c r="B33" s="1"/>
      <c r="D33" s="2"/>
      <c r="E33" s="2"/>
    </row>
    <row r="34" spans="1:10" ht="18" customHeight="1">
      <c r="A34" s="23" t="s">
        <v>15</v>
      </c>
      <c r="B34" s="24" t="s">
        <v>2</v>
      </c>
      <c r="C34" s="25" t="s">
        <v>3</v>
      </c>
      <c r="D34" s="25" t="s">
        <v>4</v>
      </c>
      <c r="E34" s="25" t="s">
        <v>5</v>
      </c>
      <c r="F34" s="25" t="s">
        <v>6</v>
      </c>
      <c r="G34" s="25" t="s">
        <v>7</v>
      </c>
      <c r="H34" s="26" t="s">
        <v>8</v>
      </c>
      <c r="I34" s="27" t="s">
        <v>9</v>
      </c>
      <c r="J34" s="28" t="s">
        <v>10</v>
      </c>
    </row>
    <row r="35" spans="1:10" ht="18" customHeight="1">
      <c r="A35" s="175" t="s">
        <v>28</v>
      </c>
      <c r="B35" s="5" t="s">
        <v>155</v>
      </c>
      <c r="C35" s="5" t="s">
        <v>155</v>
      </c>
      <c r="D35" s="5" t="s">
        <v>155</v>
      </c>
      <c r="E35" s="5" t="s">
        <v>155</v>
      </c>
      <c r="F35" s="5" t="s">
        <v>155</v>
      </c>
      <c r="G35" s="5" t="s">
        <v>156</v>
      </c>
      <c r="H35" s="5" t="s">
        <v>156</v>
      </c>
      <c r="I35" s="170"/>
      <c r="J35" s="176" t="s">
        <v>157</v>
      </c>
    </row>
    <row r="36" spans="1:10" ht="18" customHeight="1">
      <c r="A36" s="177" t="s">
        <v>159</v>
      </c>
      <c r="B36" s="178">
        <v>8.25</v>
      </c>
      <c r="C36" s="178">
        <v>8.25</v>
      </c>
      <c r="D36" s="125">
        <v>8.25</v>
      </c>
      <c r="E36" s="125">
        <v>8.25</v>
      </c>
      <c r="F36" s="125">
        <v>8.25</v>
      </c>
      <c r="G36" s="125">
        <v>12.25</v>
      </c>
      <c r="H36" s="125">
        <v>12.25</v>
      </c>
      <c r="I36" s="179">
        <f>SUM(B36:H36)</f>
        <v>65.75</v>
      </c>
      <c r="J36" s="180" t="s">
        <v>160</v>
      </c>
    </row>
    <row r="37" spans="1:10" ht="18" customHeight="1">
      <c r="A37" s="181" t="s">
        <v>356</v>
      </c>
      <c r="B37" s="182" t="s">
        <v>361</v>
      </c>
      <c r="C37" s="182" t="s">
        <v>361</v>
      </c>
      <c r="D37" s="182" t="s">
        <v>361</v>
      </c>
      <c r="E37" s="182" t="s">
        <v>361</v>
      </c>
      <c r="F37" s="182" t="s">
        <v>361</v>
      </c>
      <c r="G37" s="182" t="s">
        <v>362</v>
      </c>
      <c r="H37" s="182" t="s">
        <v>363</v>
      </c>
      <c r="I37" s="178"/>
      <c r="J37" s="183"/>
    </row>
    <row r="38" spans="1:10" ht="18" customHeight="1">
      <c r="A38" s="175" t="s">
        <v>28</v>
      </c>
      <c r="B38" s="30" t="s">
        <v>162</v>
      </c>
      <c r="C38" s="30" t="s">
        <v>162</v>
      </c>
      <c r="D38" s="30" t="s">
        <v>162</v>
      </c>
      <c r="E38" s="30" t="s">
        <v>162</v>
      </c>
      <c r="F38" s="30" t="s">
        <v>162</v>
      </c>
      <c r="G38" s="170"/>
      <c r="H38" s="170"/>
      <c r="I38" s="170"/>
      <c r="J38" s="184" t="s">
        <v>163</v>
      </c>
    </row>
    <row r="39" spans="1:10" ht="18" customHeight="1">
      <c r="A39" s="185" t="s">
        <v>165</v>
      </c>
      <c r="B39" s="172"/>
      <c r="C39" s="172"/>
      <c r="D39" s="172"/>
      <c r="E39" s="172"/>
      <c r="F39" s="172"/>
      <c r="G39" s="186"/>
      <c r="H39" s="186"/>
      <c r="I39" s="172">
        <f>SUM(B39:H39)</f>
        <v>0</v>
      </c>
      <c r="J39" s="187" t="s">
        <v>166</v>
      </c>
    </row>
    <row r="40" spans="1:10" ht="18" customHeight="1">
      <c r="A40" s="181" t="s">
        <v>356</v>
      </c>
      <c r="B40" s="182" t="s">
        <v>364</v>
      </c>
      <c r="C40" s="182" t="s">
        <v>364</v>
      </c>
      <c r="D40" s="182" t="s">
        <v>364</v>
      </c>
      <c r="E40" s="182" t="s">
        <v>364</v>
      </c>
      <c r="F40" s="182" t="s">
        <v>364</v>
      </c>
      <c r="G40" s="188"/>
      <c r="H40" s="188"/>
      <c r="I40" s="178"/>
      <c r="J40" s="183"/>
    </row>
    <row r="41" spans="1:10" ht="18" customHeight="1">
      <c r="A41" s="175" t="s">
        <v>28</v>
      </c>
      <c r="B41" s="5" t="s">
        <v>168</v>
      </c>
      <c r="C41" s="5" t="s">
        <v>168</v>
      </c>
      <c r="D41" s="5" t="s">
        <v>168</v>
      </c>
      <c r="E41" s="5" t="s">
        <v>168</v>
      </c>
      <c r="F41" s="5" t="s">
        <v>168</v>
      </c>
      <c r="G41" s="189"/>
      <c r="H41" s="189"/>
      <c r="I41" s="170"/>
      <c r="J41" s="184" t="s">
        <v>169</v>
      </c>
    </row>
    <row r="42" spans="1:10" ht="18" customHeight="1">
      <c r="A42" s="190" t="s">
        <v>171</v>
      </c>
      <c r="B42" s="172">
        <v>8.25</v>
      </c>
      <c r="C42" s="172">
        <v>8.25</v>
      </c>
      <c r="D42" s="172">
        <v>8.25</v>
      </c>
      <c r="E42" s="172">
        <v>8.25</v>
      </c>
      <c r="F42" s="172">
        <v>8.25</v>
      </c>
      <c r="G42" s="172"/>
      <c r="H42" s="172"/>
      <c r="I42" s="172">
        <f>SUM(B42:H42)</f>
        <v>41.25</v>
      </c>
      <c r="J42" s="187"/>
    </row>
    <row r="43" spans="1:10" ht="18" customHeight="1">
      <c r="A43" s="181" t="s">
        <v>356</v>
      </c>
      <c r="B43" s="182" t="s">
        <v>365</v>
      </c>
      <c r="C43" s="182" t="s">
        <v>365</v>
      </c>
      <c r="D43" s="182" t="s">
        <v>365</v>
      </c>
      <c r="E43" s="182" t="s">
        <v>365</v>
      </c>
      <c r="F43" s="182" t="s">
        <v>365</v>
      </c>
      <c r="G43" s="178"/>
      <c r="H43" s="178"/>
      <c r="I43" s="178"/>
      <c r="J43" s="183" t="s">
        <v>172</v>
      </c>
    </row>
    <row r="44" spans="1:10" ht="18" customHeight="1">
      <c r="A44" s="175" t="s">
        <v>28</v>
      </c>
      <c r="B44" s="5" t="s">
        <v>174</v>
      </c>
      <c r="C44" s="5" t="s">
        <v>174</v>
      </c>
      <c r="D44" s="5" t="s">
        <v>174</v>
      </c>
      <c r="E44" s="5" t="s">
        <v>174</v>
      </c>
      <c r="F44" s="5" t="s">
        <v>174</v>
      </c>
      <c r="G44" s="189" t="s">
        <v>175</v>
      </c>
      <c r="H44" s="189" t="s">
        <v>175</v>
      </c>
      <c r="I44" s="170"/>
      <c r="J44" s="46"/>
    </row>
    <row r="45" spans="1:10" ht="18" customHeight="1">
      <c r="A45" s="185" t="s">
        <v>177</v>
      </c>
      <c r="B45" s="172">
        <v>8</v>
      </c>
      <c r="C45" s="172">
        <v>8</v>
      </c>
      <c r="D45" s="172">
        <v>8</v>
      </c>
      <c r="E45" s="172">
        <v>8</v>
      </c>
      <c r="F45" s="172">
        <v>8</v>
      </c>
      <c r="G45" s="172">
        <v>12.25</v>
      </c>
      <c r="H45" s="172">
        <v>12.25</v>
      </c>
      <c r="I45" s="172">
        <f>SUM(B45:H45)</f>
        <v>64.5</v>
      </c>
      <c r="J45" s="191"/>
    </row>
    <row r="46" spans="1:10" ht="18" customHeight="1">
      <c r="A46" s="181" t="s">
        <v>356</v>
      </c>
      <c r="B46" s="182" t="s">
        <v>366</v>
      </c>
      <c r="C46" s="182" t="s">
        <v>366</v>
      </c>
      <c r="D46" s="182" t="s">
        <v>366</v>
      </c>
      <c r="E46" s="182" t="s">
        <v>366</v>
      </c>
      <c r="F46" s="182" t="s">
        <v>366</v>
      </c>
      <c r="G46" s="182" t="s">
        <v>367</v>
      </c>
      <c r="H46" s="182" t="s">
        <v>367</v>
      </c>
      <c r="I46" s="178"/>
      <c r="J46" s="136"/>
    </row>
    <row r="47" spans="1:10" ht="18" customHeight="1">
      <c r="A47" s="175" t="s">
        <v>28</v>
      </c>
      <c r="B47" s="30" t="s">
        <v>162</v>
      </c>
      <c r="C47" s="30" t="s">
        <v>162</v>
      </c>
      <c r="D47" s="30" t="s">
        <v>162</v>
      </c>
      <c r="E47" s="30" t="s">
        <v>162</v>
      </c>
      <c r="F47" s="30" t="s">
        <v>162</v>
      </c>
      <c r="G47" s="192"/>
      <c r="H47" s="170"/>
      <c r="I47" s="170"/>
      <c r="J47" s="46"/>
    </row>
    <row r="48" spans="1:10" ht="18" customHeight="1">
      <c r="A48" s="185" t="s">
        <v>180</v>
      </c>
      <c r="B48" s="130"/>
      <c r="C48" s="130"/>
      <c r="D48" s="130"/>
      <c r="E48" s="130"/>
      <c r="F48" s="130"/>
      <c r="G48" s="193"/>
      <c r="H48" s="186"/>
      <c r="I48" s="172">
        <f>SUM(B48:H48)</f>
        <v>0</v>
      </c>
      <c r="J48" s="191"/>
    </row>
    <row r="49" spans="1:10" ht="18" customHeight="1">
      <c r="A49" s="181" t="s">
        <v>356</v>
      </c>
      <c r="B49" s="182" t="s">
        <v>364</v>
      </c>
      <c r="C49" s="182" t="s">
        <v>364</v>
      </c>
      <c r="D49" s="182" t="s">
        <v>364</v>
      </c>
      <c r="E49" s="182" t="s">
        <v>364</v>
      </c>
      <c r="F49" s="182" t="s">
        <v>364</v>
      </c>
      <c r="G49" s="188"/>
      <c r="H49" s="188"/>
      <c r="I49" s="178" t="s">
        <v>28</v>
      </c>
      <c r="J49" s="136"/>
    </row>
    <row r="50" spans="1:10" ht="18" customHeight="1">
      <c r="A50" s="175" t="s">
        <v>28</v>
      </c>
      <c r="B50" s="5" t="s">
        <v>368</v>
      </c>
      <c r="C50" s="5" t="s">
        <v>368</v>
      </c>
      <c r="D50" s="5" t="s">
        <v>368</v>
      </c>
      <c r="E50" s="5" t="s">
        <v>368</v>
      </c>
      <c r="F50" s="5" t="s">
        <v>368</v>
      </c>
      <c r="G50" s="170"/>
      <c r="H50" s="170"/>
      <c r="I50" s="170"/>
      <c r="J50" s="46"/>
    </row>
    <row r="51" spans="1:10" ht="18" customHeight="1">
      <c r="A51" s="185" t="s">
        <v>369</v>
      </c>
      <c r="B51" s="172">
        <v>7.25</v>
      </c>
      <c r="C51" s="172">
        <v>7.25</v>
      </c>
      <c r="D51" s="172">
        <v>7.25</v>
      </c>
      <c r="E51" s="172">
        <v>7.25</v>
      </c>
      <c r="F51" s="172">
        <v>7.25</v>
      </c>
      <c r="G51" s="186"/>
      <c r="H51" s="193"/>
      <c r="I51" s="172">
        <f>SUM(B51:H51)</f>
        <v>36.25</v>
      </c>
      <c r="J51" s="191"/>
    </row>
    <row r="52" spans="1:10" ht="18" customHeight="1">
      <c r="A52" s="163" t="s">
        <v>356</v>
      </c>
      <c r="B52" s="165" t="s">
        <v>370</v>
      </c>
      <c r="C52" s="165" t="s">
        <v>370</v>
      </c>
      <c r="D52" s="165" t="s">
        <v>370</v>
      </c>
      <c r="E52" s="165" t="s">
        <v>370</v>
      </c>
      <c r="F52" s="165" t="s">
        <v>370</v>
      </c>
      <c r="G52" s="194"/>
      <c r="H52" s="195"/>
      <c r="I52" s="140"/>
      <c r="J52" s="49"/>
    </row>
    <row r="53" spans="1:10" ht="18" customHeight="1">
      <c r="A53" s="196" t="s">
        <v>30</v>
      </c>
      <c r="B53" s="197">
        <f t="shared" ref="B53:I53" si="0">SUM(B36,B39,B42,B45,B48,B51)</f>
        <v>31.75</v>
      </c>
      <c r="C53" s="197">
        <f t="shared" si="0"/>
        <v>31.75</v>
      </c>
      <c r="D53" s="197">
        <f t="shared" si="0"/>
        <v>31.75</v>
      </c>
      <c r="E53" s="197">
        <f t="shared" si="0"/>
        <v>31.75</v>
      </c>
      <c r="F53" s="197">
        <f t="shared" si="0"/>
        <v>31.75</v>
      </c>
      <c r="G53" s="197">
        <f t="shared" si="0"/>
        <v>24.5</v>
      </c>
      <c r="H53" s="197">
        <f t="shared" si="0"/>
        <v>24.5</v>
      </c>
      <c r="I53" s="197">
        <f t="shared" si="0"/>
        <v>207.75</v>
      </c>
      <c r="J53" s="198"/>
    </row>
    <row r="54" spans="1:10" ht="18" customHeight="1">
      <c r="A54" s="60" t="s">
        <v>31</v>
      </c>
      <c r="D54" s="2"/>
      <c r="E54" s="2"/>
    </row>
    <row r="55" spans="1:10" ht="18" customHeight="1">
      <c r="A55" s="23" t="s">
        <v>32</v>
      </c>
      <c r="B55" s="24" t="s">
        <v>2</v>
      </c>
      <c r="C55" s="25" t="s">
        <v>3</v>
      </c>
      <c r="D55" s="25" t="s">
        <v>4</v>
      </c>
      <c r="E55" s="25" t="s">
        <v>5</v>
      </c>
      <c r="F55" s="25" t="s">
        <v>6</v>
      </c>
      <c r="G55" s="25" t="s">
        <v>7</v>
      </c>
      <c r="H55" s="26" t="s">
        <v>8</v>
      </c>
      <c r="I55" s="27" t="s">
        <v>9</v>
      </c>
      <c r="J55" s="28" t="s">
        <v>10</v>
      </c>
    </row>
    <row r="56" spans="1:10" ht="18" customHeight="1">
      <c r="A56" s="29"/>
      <c r="B56" s="31" t="s">
        <v>33</v>
      </c>
      <c r="C56" s="31" t="s">
        <v>33</v>
      </c>
      <c r="D56" s="31" t="s">
        <v>33</v>
      </c>
      <c r="E56" s="31" t="s">
        <v>33</v>
      </c>
      <c r="F56" s="31" t="s">
        <v>34</v>
      </c>
      <c r="G56" s="31"/>
      <c r="H56" s="31"/>
      <c r="I56" s="170"/>
      <c r="J56" s="32"/>
    </row>
    <row r="57" spans="1:10" ht="18" customHeight="1">
      <c r="A57" s="171" t="s">
        <v>189</v>
      </c>
      <c r="B57" s="172">
        <v>7.75</v>
      </c>
      <c r="C57" s="172">
        <v>7.75</v>
      </c>
      <c r="D57" s="172">
        <v>7.75</v>
      </c>
      <c r="E57" s="172">
        <v>7.75</v>
      </c>
      <c r="F57" s="172">
        <v>6</v>
      </c>
      <c r="G57" s="172"/>
      <c r="H57" s="172"/>
      <c r="I57" s="172">
        <f>SUM(B57:H57)</f>
        <v>37</v>
      </c>
      <c r="J57" s="173"/>
    </row>
    <row r="58" spans="1:10" ht="18" customHeight="1">
      <c r="A58" s="181" t="s">
        <v>356</v>
      </c>
      <c r="B58" s="199" t="s">
        <v>359</v>
      </c>
      <c r="C58" s="199" t="s">
        <v>359</v>
      </c>
      <c r="D58" s="199" t="s">
        <v>359</v>
      </c>
      <c r="E58" s="199" t="s">
        <v>359</v>
      </c>
      <c r="F58" s="199" t="s">
        <v>360</v>
      </c>
      <c r="G58" s="178"/>
      <c r="H58" s="178"/>
      <c r="I58" s="178"/>
      <c r="J58" s="200"/>
    </row>
    <row r="59" spans="1:10" ht="18" customHeight="1">
      <c r="A59" s="29"/>
      <c r="B59" s="31" t="s">
        <v>33</v>
      </c>
      <c r="C59" s="31" t="s">
        <v>33</v>
      </c>
      <c r="D59" s="31" t="s">
        <v>33</v>
      </c>
      <c r="E59" s="31" t="s">
        <v>33</v>
      </c>
      <c r="F59" s="31" t="s">
        <v>34</v>
      </c>
      <c r="G59" s="31"/>
      <c r="H59" s="31"/>
      <c r="I59" s="170"/>
      <c r="J59" s="32"/>
    </row>
    <row r="60" spans="1:10" ht="18" customHeight="1">
      <c r="A60" s="171" t="s">
        <v>191</v>
      </c>
      <c r="B60" s="172">
        <v>7.75</v>
      </c>
      <c r="C60" s="172">
        <v>7.75</v>
      </c>
      <c r="D60" s="172">
        <v>7.75</v>
      </c>
      <c r="E60" s="172">
        <v>7.75</v>
      </c>
      <c r="F60" s="172">
        <v>6</v>
      </c>
      <c r="G60" s="172"/>
      <c r="H60" s="172"/>
      <c r="I60" s="172">
        <f>SUM(B60:H60)</f>
        <v>37</v>
      </c>
      <c r="J60" s="173"/>
    </row>
    <row r="61" spans="1:10" ht="18" customHeight="1">
      <c r="A61" s="181" t="s">
        <v>356</v>
      </c>
      <c r="B61" s="199" t="s">
        <v>359</v>
      </c>
      <c r="C61" s="199" t="s">
        <v>359</v>
      </c>
      <c r="D61" s="199" t="s">
        <v>359</v>
      </c>
      <c r="E61" s="199" t="s">
        <v>359</v>
      </c>
      <c r="F61" s="199" t="s">
        <v>360</v>
      </c>
      <c r="G61" s="178"/>
      <c r="H61" s="178"/>
      <c r="I61" s="188"/>
      <c r="J61" s="200"/>
    </row>
    <row r="62" spans="1:10" ht="18" customHeight="1">
      <c r="A62" s="201"/>
      <c r="B62" s="31" t="s">
        <v>33</v>
      </c>
      <c r="C62" s="31" t="s">
        <v>33</v>
      </c>
      <c r="D62" s="31" t="s">
        <v>33</v>
      </c>
      <c r="E62" s="31" t="s">
        <v>33</v>
      </c>
      <c r="F62" s="31" t="s">
        <v>34</v>
      </c>
      <c r="G62" s="31"/>
      <c r="H62" s="31"/>
      <c r="I62" s="170"/>
      <c r="J62" s="32"/>
    </row>
    <row r="63" spans="1:10" ht="18" customHeight="1">
      <c r="A63" s="171" t="s">
        <v>192</v>
      </c>
      <c r="B63" s="172">
        <v>7.75</v>
      </c>
      <c r="C63" s="172">
        <v>7.75</v>
      </c>
      <c r="D63" s="172">
        <v>7.75</v>
      </c>
      <c r="E63" s="172">
        <v>7.75</v>
      </c>
      <c r="F63" s="172">
        <v>6</v>
      </c>
      <c r="G63" s="172"/>
      <c r="H63" s="172"/>
      <c r="I63" s="172">
        <f>SUM(B63:H63)</f>
        <v>37</v>
      </c>
      <c r="J63" s="173"/>
    </row>
    <row r="64" spans="1:10" ht="18" customHeight="1">
      <c r="A64" s="163" t="s">
        <v>356</v>
      </c>
      <c r="B64" s="164" t="s">
        <v>359</v>
      </c>
      <c r="C64" s="164" t="s">
        <v>359</v>
      </c>
      <c r="D64" s="164" t="s">
        <v>359</v>
      </c>
      <c r="E64" s="164" t="s">
        <v>359</v>
      </c>
      <c r="F64" s="164" t="s">
        <v>360</v>
      </c>
      <c r="G64" s="140"/>
      <c r="H64" s="140"/>
      <c r="I64" s="194"/>
      <c r="J64" s="142"/>
    </row>
    <row r="65" spans="1:10" ht="18" customHeight="1">
      <c r="A65" s="196" t="s">
        <v>30</v>
      </c>
      <c r="B65" s="202">
        <f t="shared" ref="B65:I65" si="1">SUM(B57,B60,B63)</f>
        <v>23.25</v>
      </c>
      <c r="C65" s="202">
        <f t="shared" si="1"/>
        <v>23.25</v>
      </c>
      <c r="D65" s="202">
        <f t="shared" si="1"/>
        <v>23.25</v>
      </c>
      <c r="E65" s="202">
        <f t="shared" si="1"/>
        <v>23.25</v>
      </c>
      <c r="F65" s="202">
        <f t="shared" si="1"/>
        <v>18</v>
      </c>
      <c r="G65" s="202">
        <f t="shared" si="1"/>
        <v>0</v>
      </c>
      <c r="H65" s="202">
        <f t="shared" si="1"/>
        <v>0</v>
      </c>
      <c r="I65" s="197">
        <f t="shared" si="1"/>
        <v>111</v>
      </c>
      <c r="J65" s="203"/>
    </row>
    <row r="66" spans="1:10" ht="18" customHeight="1">
      <c r="A66" s="72"/>
      <c r="B66" s="72"/>
      <c r="C66" s="72"/>
      <c r="D66" s="72"/>
      <c r="E66" s="72"/>
      <c r="F66" s="72"/>
      <c r="G66" s="204" t="s">
        <v>152</v>
      </c>
      <c r="H66" s="204" t="s">
        <v>153</v>
      </c>
      <c r="I66" s="204" t="s">
        <v>154</v>
      </c>
      <c r="J66" s="73"/>
    </row>
    <row r="67" spans="1:10" ht="18" customHeight="1">
      <c r="A67" s="72"/>
      <c r="B67" s="72"/>
      <c r="C67" s="72"/>
      <c r="D67" s="72"/>
      <c r="E67" s="72"/>
      <c r="F67" s="72"/>
      <c r="G67" s="130">
        <f>I53+I65</f>
        <v>318.75</v>
      </c>
      <c r="H67" s="169">
        <f>SUM(G67*13/3)</f>
        <v>1381.25</v>
      </c>
      <c r="I67" s="130">
        <f>SUM(H67*12)</f>
        <v>16575</v>
      </c>
      <c r="J67" s="73"/>
    </row>
    <row r="68" spans="1:10" ht="18" customHeight="1">
      <c r="A68" s="72"/>
      <c r="B68" s="72"/>
      <c r="C68" s="72"/>
      <c r="D68" s="72"/>
      <c r="E68" s="72"/>
      <c r="F68" s="72"/>
      <c r="G68" s="72"/>
      <c r="H68" s="174"/>
      <c r="I68" s="72"/>
      <c r="J68" s="73"/>
    </row>
    <row r="69" spans="1:10" ht="17.45" customHeight="1">
      <c r="A69" s="1" t="s">
        <v>197</v>
      </c>
      <c r="B69" s="72"/>
      <c r="C69" s="72"/>
      <c r="D69" s="72"/>
      <c r="E69" s="72"/>
      <c r="F69" s="72"/>
    </row>
    <row r="70" spans="1:10" ht="17.45" customHeight="1">
      <c r="A70" s="205" t="s">
        <v>198</v>
      </c>
      <c r="B70" s="24" t="s">
        <v>2</v>
      </c>
      <c r="C70" s="25" t="s">
        <v>3</v>
      </c>
      <c r="D70" s="25" t="s">
        <v>4</v>
      </c>
      <c r="E70" s="25" t="s">
        <v>5</v>
      </c>
      <c r="F70" s="25" t="s">
        <v>6</v>
      </c>
      <c r="G70" s="25" t="s">
        <v>7</v>
      </c>
      <c r="H70" s="206" t="s">
        <v>8</v>
      </c>
      <c r="I70" s="207" t="s">
        <v>9</v>
      </c>
      <c r="J70" s="208" t="s">
        <v>10</v>
      </c>
    </row>
    <row r="71" spans="1:10" ht="17.45" customHeight="1">
      <c r="A71" s="209"/>
      <c r="B71" s="210" t="s">
        <v>200</v>
      </c>
      <c r="C71" s="210" t="s">
        <v>200</v>
      </c>
      <c r="D71" s="210" t="s">
        <v>200</v>
      </c>
      <c r="E71" s="210" t="s">
        <v>200</v>
      </c>
      <c r="F71" s="210" t="s">
        <v>200</v>
      </c>
      <c r="G71" s="211" t="s">
        <v>201</v>
      </c>
      <c r="H71" s="211" t="s">
        <v>201</v>
      </c>
      <c r="I71" s="212"/>
      <c r="J71" s="213"/>
    </row>
    <row r="72" spans="1:10" ht="17.45" customHeight="1">
      <c r="A72" s="214" t="s">
        <v>371</v>
      </c>
      <c r="B72" s="215" t="s">
        <v>372</v>
      </c>
      <c r="C72" s="215" t="s">
        <v>372</v>
      </c>
      <c r="D72" s="215" t="s">
        <v>372</v>
      </c>
      <c r="E72" s="215" t="s">
        <v>372</v>
      </c>
      <c r="F72" s="215" t="s">
        <v>372</v>
      </c>
      <c r="G72" s="216" t="s">
        <v>373</v>
      </c>
      <c r="H72" s="216" t="s">
        <v>373</v>
      </c>
      <c r="I72" s="217"/>
      <c r="J72" s="218"/>
    </row>
    <row r="73" spans="1:10" ht="17.45" customHeight="1">
      <c r="A73" s="95" t="s">
        <v>43</v>
      </c>
      <c r="B73" s="219">
        <v>8.25</v>
      </c>
      <c r="C73" s="219">
        <v>8.25</v>
      </c>
      <c r="D73" s="219">
        <v>8.25</v>
      </c>
      <c r="E73" s="219">
        <v>8.25</v>
      </c>
      <c r="F73" s="219">
        <v>8.25</v>
      </c>
      <c r="G73" s="220">
        <v>12.25</v>
      </c>
      <c r="H73" s="220">
        <v>12.25</v>
      </c>
      <c r="I73" s="17">
        <f>SUM(B73:H73)</f>
        <v>65.75</v>
      </c>
      <c r="J73" s="221" t="s">
        <v>204</v>
      </c>
    </row>
    <row r="74" spans="1:10" ht="17.45" customHeight="1">
      <c r="A74" s="209"/>
      <c r="B74" s="222" t="s">
        <v>206</v>
      </c>
      <c r="C74" s="222" t="s">
        <v>206</v>
      </c>
      <c r="D74" s="222" t="s">
        <v>206</v>
      </c>
      <c r="E74" s="222" t="s">
        <v>206</v>
      </c>
      <c r="F74" s="222" t="s">
        <v>206</v>
      </c>
      <c r="G74" s="223" t="s">
        <v>207</v>
      </c>
      <c r="H74" s="224" t="s">
        <v>207</v>
      </c>
      <c r="I74" s="207"/>
      <c r="J74" s="213"/>
    </row>
    <row r="75" spans="1:10" ht="17.45" customHeight="1">
      <c r="A75" s="214" t="s">
        <v>371</v>
      </c>
      <c r="B75" s="225" t="s">
        <v>374</v>
      </c>
      <c r="C75" s="225" t="s">
        <v>374</v>
      </c>
      <c r="D75" s="225" t="s">
        <v>374</v>
      </c>
      <c r="E75" s="225" t="s">
        <v>374</v>
      </c>
      <c r="F75" s="225" t="s">
        <v>374</v>
      </c>
      <c r="G75" s="226" t="s">
        <v>375</v>
      </c>
      <c r="H75" s="226" t="s">
        <v>375</v>
      </c>
      <c r="I75" s="227"/>
      <c r="J75" s="218"/>
    </row>
    <row r="76" spans="1:10" ht="17.45" customHeight="1">
      <c r="A76" s="95" t="s">
        <v>209</v>
      </c>
      <c r="B76" s="91">
        <v>7</v>
      </c>
      <c r="C76" s="91">
        <v>7</v>
      </c>
      <c r="D76" s="91">
        <v>7</v>
      </c>
      <c r="E76" s="91">
        <v>7</v>
      </c>
      <c r="F76" s="91">
        <v>7</v>
      </c>
      <c r="G76" s="228">
        <v>11</v>
      </c>
      <c r="H76" s="229">
        <v>11</v>
      </c>
      <c r="I76" s="17">
        <f>SUM(B76:H76)</f>
        <v>57</v>
      </c>
      <c r="J76" s="221" t="s">
        <v>210</v>
      </c>
    </row>
    <row r="77" spans="1:10" ht="17.45" customHeight="1">
      <c r="A77" s="209"/>
      <c r="B77" s="230" t="s">
        <v>212</v>
      </c>
      <c r="C77" s="230" t="s">
        <v>212</v>
      </c>
      <c r="D77" s="230" t="s">
        <v>212</v>
      </c>
      <c r="E77" s="230" t="s">
        <v>212</v>
      </c>
      <c r="F77" s="230" t="s">
        <v>212</v>
      </c>
      <c r="G77" s="224" t="s">
        <v>213</v>
      </c>
      <c r="H77" s="224" t="s">
        <v>213</v>
      </c>
      <c r="I77" s="207"/>
      <c r="J77" s="213"/>
    </row>
    <row r="78" spans="1:10" ht="17.45" customHeight="1">
      <c r="A78" s="214" t="s">
        <v>371</v>
      </c>
      <c r="B78" s="231" t="s">
        <v>376</v>
      </c>
      <c r="C78" s="231" t="s">
        <v>376</v>
      </c>
      <c r="D78" s="231" t="s">
        <v>376</v>
      </c>
      <c r="E78" s="231" t="s">
        <v>376</v>
      </c>
      <c r="F78" s="231" t="s">
        <v>376</v>
      </c>
      <c r="G78" s="232" t="s">
        <v>377</v>
      </c>
      <c r="H78" s="232" t="s">
        <v>377</v>
      </c>
      <c r="I78" s="227"/>
      <c r="J78" s="218"/>
    </row>
    <row r="79" spans="1:10" ht="17.45" customHeight="1">
      <c r="A79" s="95" t="s">
        <v>214</v>
      </c>
      <c r="B79" s="233">
        <v>8</v>
      </c>
      <c r="C79" s="233">
        <v>8</v>
      </c>
      <c r="D79" s="233">
        <v>8</v>
      </c>
      <c r="E79" s="233">
        <v>8</v>
      </c>
      <c r="F79" s="233">
        <v>8</v>
      </c>
      <c r="G79" s="228">
        <v>12</v>
      </c>
      <c r="H79" s="228">
        <v>12</v>
      </c>
      <c r="I79" s="17">
        <f>SUM(B79:H79)</f>
        <v>64</v>
      </c>
      <c r="J79" s="221" t="s">
        <v>215</v>
      </c>
    </row>
    <row r="80" spans="1:10" ht="17.45" customHeight="1">
      <c r="A80" s="209"/>
      <c r="B80" s="30" t="s">
        <v>16</v>
      </c>
      <c r="C80" s="30" t="s">
        <v>16</v>
      </c>
      <c r="D80" s="30" t="s">
        <v>16</v>
      </c>
      <c r="E80" s="30" t="s">
        <v>16</v>
      </c>
      <c r="F80" s="30" t="s">
        <v>16</v>
      </c>
      <c r="G80" s="234"/>
      <c r="H80" s="235"/>
      <c r="I80" s="236"/>
      <c r="J80" s="213"/>
    </row>
    <row r="81" spans="1:10" ht="17.45" customHeight="1">
      <c r="A81" s="214" t="s">
        <v>371</v>
      </c>
      <c r="B81" s="124"/>
      <c r="C81" s="124"/>
      <c r="D81" s="124"/>
      <c r="E81" s="124"/>
      <c r="F81" s="124"/>
      <c r="G81" s="139"/>
      <c r="H81" s="139"/>
      <c r="I81" s="144"/>
      <c r="J81" s="218"/>
    </row>
    <row r="82" spans="1:10" ht="17.45" customHeight="1">
      <c r="A82" s="95" t="s">
        <v>378</v>
      </c>
      <c r="B82" s="34"/>
      <c r="C82" s="34"/>
      <c r="D82" s="34"/>
      <c r="E82" s="34"/>
      <c r="F82" s="34"/>
      <c r="G82" s="18"/>
      <c r="H82" s="237"/>
      <c r="I82" s="17">
        <f>SUM(B82:H82)</f>
        <v>0</v>
      </c>
      <c r="J82" s="221" t="s">
        <v>218</v>
      </c>
    </row>
    <row r="83" spans="1:10" ht="17.45" customHeight="1">
      <c r="A83" s="209"/>
      <c r="B83" s="30" t="s">
        <v>16</v>
      </c>
      <c r="C83" s="30" t="s">
        <v>16</v>
      </c>
      <c r="D83" s="30" t="s">
        <v>16</v>
      </c>
      <c r="E83" s="30" t="s">
        <v>16</v>
      </c>
      <c r="F83" s="30" t="s">
        <v>16</v>
      </c>
      <c r="G83" s="207"/>
      <c r="H83" s="238"/>
      <c r="I83" s="207"/>
      <c r="J83" s="213"/>
    </row>
    <row r="84" spans="1:10" ht="17.45" customHeight="1">
      <c r="A84" s="214" t="s">
        <v>371</v>
      </c>
      <c r="B84" s="124"/>
      <c r="C84" s="124"/>
      <c r="D84" s="124"/>
      <c r="E84" s="124"/>
      <c r="F84" s="124"/>
      <c r="G84" s="227"/>
      <c r="H84" s="239"/>
      <c r="I84" s="227"/>
      <c r="J84" s="218"/>
    </row>
    <row r="85" spans="1:10" ht="17.45" customHeight="1">
      <c r="A85" s="95" t="s">
        <v>222</v>
      </c>
      <c r="B85" s="34"/>
      <c r="C85" s="34"/>
      <c r="D85" s="34"/>
      <c r="E85" s="34"/>
      <c r="F85" s="34"/>
      <c r="G85" s="138"/>
      <c r="H85" s="240"/>
      <c r="I85" s="17">
        <f>SUM(B85:H85)</f>
        <v>0</v>
      </c>
      <c r="J85" s="221" t="s">
        <v>219</v>
      </c>
    </row>
    <row r="86" spans="1:10" ht="17.45" customHeight="1">
      <c r="A86" s="205"/>
      <c r="B86" s="30" t="s">
        <v>16</v>
      </c>
      <c r="C86" s="30" t="s">
        <v>16</v>
      </c>
      <c r="D86" s="30" t="s">
        <v>16</v>
      </c>
      <c r="E86" s="30" t="s">
        <v>16</v>
      </c>
      <c r="F86" s="30" t="s">
        <v>16</v>
      </c>
      <c r="G86" s="241" t="s">
        <v>224</v>
      </c>
      <c r="H86" s="242" t="s">
        <v>225</v>
      </c>
      <c r="I86" s="207"/>
      <c r="J86" s="243"/>
    </row>
    <row r="87" spans="1:10" ht="17.45" customHeight="1">
      <c r="A87" s="214" t="s">
        <v>371</v>
      </c>
      <c r="B87" s="124"/>
      <c r="C87" s="124"/>
      <c r="D87" s="124"/>
      <c r="E87" s="124"/>
      <c r="F87" s="124"/>
      <c r="G87" s="244" t="s">
        <v>379</v>
      </c>
      <c r="H87" s="244" t="s">
        <v>379</v>
      </c>
      <c r="I87" s="227"/>
      <c r="J87" s="245"/>
    </row>
    <row r="88" spans="1:10" ht="17.45" customHeight="1">
      <c r="A88" s="95" t="s">
        <v>228</v>
      </c>
      <c r="B88" s="34"/>
      <c r="C88" s="34"/>
      <c r="D88" s="34"/>
      <c r="E88" s="34"/>
      <c r="F88" s="34"/>
      <c r="G88" s="246">
        <v>12.25</v>
      </c>
      <c r="H88" s="247">
        <v>12.25</v>
      </c>
      <c r="I88" s="17">
        <f>SUM(B88:H88)</f>
        <v>24.5</v>
      </c>
      <c r="J88" s="221" t="s">
        <v>229</v>
      </c>
    </row>
    <row r="89" spans="1:10" ht="17.45" customHeight="1">
      <c r="A89" s="209"/>
      <c r="B89" s="248" t="s">
        <v>231</v>
      </c>
      <c r="C89" s="248" t="s">
        <v>231</v>
      </c>
      <c r="D89" s="248" t="s">
        <v>231</v>
      </c>
      <c r="E89" s="248" t="s">
        <v>231</v>
      </c>
      <c r="F89" s="248" t="s">
        <v>232</v>
      </c>
      <c r="G89" s="241" t="s">
        <v>233</v>
      </c>
      <c r="H89" s="242" t="s">
        <v>233</v>
      </c>
      <c r="I89" s="207"/>
      <c r="J89" s="213"/>
    </row>
    <row r="90" spans="1:10" ht="17.45" customHeight="1">
      <c r="A90" s="214" t="s">
        <v>371</v>
      </c>
      <c r="B90" s="249" t="s">
        <v>380</v>
      </c>
      <c r="C90" s="249" t="s">
        <v>380</v>
      </c>
      <c r="D90" s="249" t="s">
        <v>380</v>
      </c>
      <c r="E90" s="249" t="s">
        <v>380</v>
      </c>
      <c r="F90" s="249" t="s">
        <v>381</v>
      </c>
      <c r="G90" s="244" t="s">
        <v>382</v>
      </c>
      <c r="H90" s="244" t="s">
        <v>382</v>
      </c>
      <c r="I90" s="227"/>
      <c r="J90" s="218"/>
    </row>
    <row r="91" spans="1:10" ht="17.45" customHeight="1">
      <c r="A91" s="95" t="s">
        <v>61</v>
      </c>
      <c r="B91" s="250">
        <v>7</v>
      </c>
      <c r="C91" s="250">
        <v>7</v>
      </c>
      <c r="D91" s="250">
        <v>7</v>
      </c>
      <c r="E91" s="250">
        <v>7</v>
      </c>
      <c r="F91" s="250">
        <v>6.5</v>
      </c>
      <c r="G91" s="246">
        <v>12</v>
      </c>
      <c r="H91" s="247">
        <v>12</v>
      </c>
      <c r="I91" s="17">
        <f>SUM(B91:H91)</f>
        <v>58.5</v>
      </c>
      <c r="J91" s="221" t="s">
        <v>236</v>
      </c>
    </row>
    <row r="92" spans="1:10" ht="17.45" customHeight="1">
      <c r="A92" s="209"/>
      <c r="B92" s="251" t="s">
        <v>239</v>
      </c>
      <c r="C92" s="251" t="s">
        <v>239</v>
      </c>
      <c r="D92" s="251" t="s">
        <v>239</v>
      </c>
      <c r="E92" s="251" t="s">
        <v>239</v>
      </c>
      <c r="F92" s="251" t="s">
        <v>239</v>
      </c>
      <c r="G92" s="241" t="s">
        <v>240</v>
      </c>
      <c r="H92" s="242" t="s">
        <v>233</v>
      </c>
      <c r="I92" s="252"/>
      <c r="J92" s="213"/>
    </row>
    <row r="93" spans="1:10" ht="17.45" customHeight="1">
      <c r="A93" s="214" t="s">
        <v>371</v>
      </c>
      <c r="B93" s="253" t="s">
        <v>383</v>
      </c>
      <c r="C93" s="253" t="s">
        <v>383</v>
      </c>
      <c r="D93" s="253" t="s">
        <v>383</v>
      </c>
      <c r="E93" s="253" t="s">
        <v>383</v>
      </c>
      <c r="F93" s="253" t="s">
        <v>383</v>
      </c>
      <c r="G93" s="244" t="s">
        <v>384</v>
      </c>
      <c r="H93" s="254" t="s">
        <v>382</v>
      </c>
      <c r="I93" s="124"/>
      <c r="J93" s="218"/>
    </row>
    <row r="94" spans="1:10" ht="17.45" customHeight="1">
      <c r="A94" s="95" t="s">
        <v>243</v>
      </c>
      <c r="B94" s="255">
        <v>7</v>
      </c>
      <c r="C94" s="255">
        <v>7</v>
      </c>
      <c r="D94" s="255">
        <v>7</v>
      </c>
      <c r="E94" s="255">
        <v>7</v>
      </c>
      <c r="F94" s="255">
        <v>7</v>
      </c>
      <c r="G94" s="256">
        <v>9</v>
      </c>
      <c r="H94" s="247">
        <v>12</v>
      </c>
      <c r="I94" s="17">
        <f>SUM(B94:H94)</f>
        <v>56</v>
      </c>
      <c r="J94" s="221" t="s">
        <v>220</v>
      </c>
    </row>
    <row r="95" spans="1:10" ht="17.45" customHeight="1">
      <c r="A95" s="209"/>
      <c r="B95" s="257" t="s">
        <v>246</v>
      </c>
      <c r="C95" s="257" t="s">
        <v>246</v>
      </c>
      <c r="D95" s="257" t="s">
        <v>246</v>
      </c>
      <c r="E95" s="257" t="s">
        <v>246</v>
      </c>
      <c r="F95" s="257" t="s">
        <v>246</v>
      </c>
      <c r="G95" s="24"/>
      <c r="H95" s="258"/>
      <c r="I95" s="207"/>
      <c r="J95" s="213"/>
    </row>
    <row r="96" spans="1:10" ht="17.45" customHeight="1">
      <c r="A96" s="214" t="s">
        <v>371</v>
      </c>
      <c r="B96" s="259" t="s">
        <v>385</v>
      </c>
      <c r="C96" s="259" t="s">
        <v>385</v>
      </c>
      <c r="D96" s="259" t="s">
        <v>385</v>
      </c>
      <c r="E96" s="259" t="s">
        <v>385</v>
      </c>
      <c r="F96" s="259" t="s">
        <v>385</v>
      </c>
      <c r="G96" s="260"/>
      <c r="H96" s="261"/>
      <c r="I96" s="227"/>
      <c r="J96" s="218"/>
    </row>
    <row r="97" spans="1:10" ht="17.45" customHeight="1">
      <c r="A97" s="95" t="s">
        <v>248</v>
      </c>
      <c r="B97" s="262">
        <v>8</v>
      </c>
      <c r="C97" s="262">
        <v>8</v>
      </c>
      <c r="D97" s="262">
        <v>8</v>
      </c>
      <c r="E97" s="262">
        <v>8</v>
      </c>
      <c r="F97" s="262">
        <v>8</v>
      </c>
      <c r="G97" s="17"/>
      <c r="H97" s="263"/>
      <c r="I97" s="17">
        <f>SUM(B97:H97)</f>
        <v>40</v>
      </c>
      <c r="J97" s="221" t="s">
        <v>237</v>
      </c>
    </row>
    <row r="98" spans="1:10" ht="17.45" customHeight="1">
      <c r="A98" s="209"/>
      <c r="B98" s="30" t="s">
        <v>16</v>
      </c>
      <c r="C98" s="30" t="s">
        <v>16</v>
      </c>
      <c r="D98" s="30" t="s">
        <v>16</v>
      </c>
      <c r="E98" s="30" t="s">
        <v>16</v>
      </c>
      <c r="F98" s="30" t="s">
        <v>16</v>
      </c>
      <c r="G98" s="234"/>
      <c r="H98" s="235"/>
      <c r="I98" s="212"/>
      <c r="J98" s="213"/>
    </row>
    <row r="99" spans="1:10" ht="17.45" customHeight="1">
      <c r="A99" s="214" t="s">
        <v>371</v>
      </c>
      <c r="B99" s="124"/>
      <c r="C99" s="124"/>
      <c r="D99" s="124"/>
      <c r="E99" s="124"/>
      <c r="F99" s="124"/>
      <c r="G99" s="139"/>
      <c r="H99" s="125"/>
      <c r="I99" s="217"/>
      <c r="J99" s="218"/>
    </row>
    <row r="100" spans="1:10" ht="17.45" customHeight="1">
      <c r="A100" s="95" t="s">
        <v>251</v>
      </c>
      <c r="B100" s="133"/>
      <c r="C100" s="133"/>
      <c r="D100" s="133"/>
      <c r="E100" s="133"/>
      <c r="F100" s="133"/>
      <c r="G100" s="18"/>
      <c r="H100" s="237"/>
      <c r="I100" s="17">
        <f>SUM(B100:H100)</f>
        <v>0</v>
      </c>
      <c r="J100" s="221" t="s">
        <v>173</v>
      </c>
    </row>
    <row r="101" spans="1:10" ht="17.45" customHeight="1">
      <c r="A101" s="209"/>
      <c r="B101" s="30" t="s">
        <v>16</v>
      </c>
      <c r="C101" s="30" t="s">
        <v>16</v>
      </c>
      <c r="D101" s="30" t="s">
        <v>16</v>
      </c>
      <c r="E101" s="30" t="s">
        <v>16</v>
      </c>
      <c r="F101" s="30" t="s">
        <v>16</v>
      </c>
      <c r="G101" s="207"/>
      <c r="H101" s="238"/>
      <c r="I101" s="207"/>
      <c r="J101" s="213"/>
    </row>
    <row r="102" spans="1:10" ht="17.45" customHeight="1">
      <c r="A102" s="214" t="s">
        <v>371</v>
      </c>
      <c r="B102" s="124"/>
      <c r="C102" s="124"/>
      <c r="D102" s="124"/>
      <c r="E102" s="124"/>
      <c r="F102" s="124"/>
      <c r="G102" s="227"/>
      <c r="H102" s="239"/>
      <c r="I102" s="227"/>
      <c r="J102" s="218"/>
    </row>
    <row r="103" spans="1:10" ht="17.45" customHeight="1">
      <c r="A103" s="111" t="s">
        <v>270</v>
      </c>
      <c r="B103" s="133"/>
      <c r="C103" s="133"/>
      <c r="D103" s="34"/>
      <c r="E103" s="34"/>
      <c r="F103" s="34"/>
      <c r="G103" s="227"/>
      <c r="H103" s="239"/>
      <c r="I103" s="124">
        <f>SUM(B103:H103)</f>
        <v>0</v>
      </c>
      <c r="J103" s="264" t="s">
        <v>223</v>
      </c>
    </row>
    <row r="104" spans="1:10" ht="17.45" customHeight="1">
      <c r="A104" s="209" t="s">
        <v>28</v>
      </c>
      <c r="B104" s="265" t="s">
        <v>256</v>
      </c>
      <c r="C104" s="265" t="s">
        <v>256</v>
      </c>
      <c r="D104" s="265" t="s">
        <v>256</v>
      </c>
      <c r="E104" s="265" t="s">
        <v>256</v>
      </c>
      <c r="F104" s="265" t="s">
        <v>256</v>
      </c>
      <c r="G104" s="266"/>
      <c r="H104" s="238"/>
      <c r="I104" s="207"/>
      <c r="J104" s="213" t="s">
        <v>28</v>
      </c>
    </row>
    <row r="105" spans="1:10" ht="17.45" customHeight="1">
      <c r="A105" s="214" t="s">
        <v>371</v>
      </c>
      <c r="B105" s="267" t="s">
        <v>386</v>
      </c>
      <c r="C105" s="267" t="s">
        <v>386</v>
      </c>
      <c r="D105" s="267" t="s">
        <v>386</v>
      </c>
      <c r="E105" s="267" t="s">
        <v>386</v>
      </c>
      <c r="F105" s="267" t="s">
        <v>386</v>
      </c>
      <c r="G105" s="268"/>
      <c r="H105" s="239"/>
      <c r="I105" s="227"/>
      <c r="J105" s="218"/>
    </row>
    <row r="106" spans="1:10" ht="17.45" customHeight="1">
      <c r="A106" s="146" t="s">
        <v>257</v>
      </c>
      <c r="B106" s="269">
        <v>8</v>
      </c>
      <c r="C106" s="269">
        <v>8</v>
      </c>
      <c r="D106" s="269">
        <v>8</v>
      </c>
      <c r="E106" s="269">
        <v>8</v>
      </c>
      <c r="F106" s="269">
        <v>8</v>
      </c>
      <c r="G106" s="227"/>
      <c r="H106" s="239"/>
      <c r="I106" s="124">
        <f>SUM(B106:H106)</f>
        <v>40</v>
      </c>
      <c r="J106" s="245" t="s">
        <v>258</v>
      </c>
    </row>
    <row r="107" spans="1:10" ht="17.45" customHeight="1">
      <c r="A107" s="209"/>
      <c r="B107" s="270" t="s">
        <v>260</v>
      </c>
      <c r="C107" s="270" t="s">
        <v>260</v>
      </c>
      <c r="D107" s="270" t="s">
        <v>260</v>
      </c>
      <c r="E107" s="270" t="s">
        <v>260</v>
      </c>
      <c r="F107" s="270" t="s">
        <v>260</v>
      </c>
      <c r="G107" s="271"/>
      <c r="H107" s="272"/>
      <c r="I107" s="212"/>
      <c r="J107" s="213"/>
    </row>
    <row r="108" spans="1:10" ht="17.45" customHeight="1">
      <c r="A108" s="214" t="s">
        <v>371</v>
      </c>
      <c r="B108" s="273" t="s">
        <v>387</v>
      </c>
      <c r="C108" s="273" t="s">
        <v>387</v>
      </c>
      <c r="D108" s="273" t="s">
        <v>387</v>
      </c>
      <c r="E108" s="273" t="s">
        <v>387</v>
      </c>
      <c r="F108" s="273" t="s">
        <v>387</v>
      </c>
      <c r="G108" s="274"/>
      <c r="H108" s="260"/>
      <c r="I108" s="217"/>
      <c r="J108" s="218"/>
    </row>
    <row r="109" spans="1:10" ht="17.45" customHeight="1">
      <c r="A109" s="95" t="s">
        <v>71</v>
      </c>
      <c r="B109" s="275">
        <v>7</v>
      </c>
      <c r="C109" s="275">
        <v>7</v>
      </c>
      <c r="D109" s="275">
        <v>7</v>
      </c>
      <c r="E109" s="275">
        <v>7</v>
      </c>
      <c r="F109" s="275">
        <v>7</v>
      </c>
      <c r="G109" s="17"/>
      <c r="H109" s="263"/>
      <c r="I109" s="17">
        <f>SUM(B109:H109)</f>
        <v>35</v>
      </c>
      <c r="J109" s="221" t="s">
        <v>261</v>
      </c>
    </row>
    <row r="110" spans="1:10" ht="17.45" customHeight="1">
      <c r="A110" s="209"/>
      <c r="B110" s="276" t="s">
        <v>263</v>
      </c>
      <c r="C110" s="276" t="s">
        <v>263</v>
      </c>
      <c r="D110" s="276" t="s">
        <v>263</v>
      </c>
      <c r="E110" s="276" t="s">
        <v>263</v>
      </c>
      <c r="F110" s="276" t="s">
        <v>263</v>
      </c>
      <c r="G110" s="24"/>
      <c r="H110" s="258"/>
      <c r="I110" s="27"/>
      <c r="J110" s="213"/>
    </row>
    <row r="111" spans="1:10" ht="17.45" customHeight="1">
      <c r="A111" s="214" t="s">
        <v>371</v>
      </c>
      <c r="B111" s="277" t="s">
        <v>388</v>
      </c>
      <c r="C111" s="277" t="s">
        <v>388</v>
      </c>
      <c r="D111" s="277" t="s">
        <v>388</v>
      </c>
      <c r="E111" s="277" t="s">
        <v>388</v>
      </c>
      <c r="F111" s="277" t="s">
        <v>388</v>
      </c>
      <c r="G111" s="260"/>
      <c r="H111" s="261"/>
      <c r="I111" s="217"/>
      <c r="J111" s="218"/>
    </row>
    <row r="112" spans="1:10" ht="17.45" customHeight="1">
      <c r="A112" s="115" t="s">
        <v>72</v>
      </c>
      <c r="B112" s="278">
        <v>7.5</v>
      </c>
      <c r="C112" s="278">
        <v>7.5</v>
      </c>
      <c r="D112" s="278">
        <v>7.5</v>
      </c>
      <c r="E112" s="278">
        <v>7.5</v>
      </c>
      <c r="F112" s="278">
        <v>7.5</v>
      </c>
      <c r="G112" s="17"/>
      <c r="H112" s="263"/>
      <c r="I112" s="36">
        <f>SUM(B112:H112)</f>
        <v>37.5</v>
      </c>
      <c r="J112" s="279" t="s">
        <v>264</v>
      </c>
    </row>
    <row r="113" spans="1:10" ht="17.45" customHeight="1">
      <c r="A113" s="209"/>
      <c r="B113" s="280" t="s">
        <v>266</v>
      </c>
      <c r="C113" s="281" t="s">
        <v>266</v>
      </c>
      <c r="D113" s="281" t="s">
        <v>266</v>
      </c>
      <c r="E113" s="281" t="s">
        <v>266</v>
      </c>
      <c r="F113" s="281" t="s">
        <v>266</v>
      </c>
      <c r="G113" s="24"/>
      <c r="H113" s="258"/>
      <c r="I113" s="236"/>
      <c r="J113" s="213"/>
    </row>
    <row r="114" spans="1:10" ht="17.45" customHeight="1">
      <c r="A114" s="214" t="s">
        <v>371</v>
      </c>
      <c r="B114" s="282" t="s">
        <v>389</v>
      </c>
      <c r="C114" s="282" t="s">
        <v>389</v>
      </c>
      <c r="D114" s="282" t="s">
        <v>389</v>
      </c>
      <c r="E114" s="282" t="s">
        <v>389</v>
      </c>
      <c r="F114" s="282" t="s">
        <v>389</v>
      </c>
      <c r="G114" s="260"/>
      <c r="H114" s="261"/>
      <c r="I114" s="283"/>
      <c r="J114" s="218"/>
    </row>
    <row r="115" spans="1:10" ht="17.45" customHeight="1">
      <c r="A115" s="95" t="s">
        <v>73</v>
      </c>
      <c r="B115" s="284">
        <v>8</v>
      </c>
      <c r="C115" s="284">
        <v>8</v>
      </c>
      <c r="D115" s="284">
        <v>8</v>
      </c>
      <c r="E115" s="284">
        <v>8</v>
      </c>
      <c r="F115" s="284">
        <v>8</v>
      </c>
      <c r="G115" s="17"/>
      <c r="H115" s="17"/>
      <c r="I115" s="285">
        <f>SUM(B115:H115)</f>
        <v>40</v>
      </c>
      <c r="J115" s="221" t="s">
        <v>267</v>
      </c>
    </row>
    <row r="116" spans="1:10" ht="17.45" customHeight="1">
      <c r="A116" s="196" t="s">
        <v>30</v>
      </c>
      <c r="B116" s="286">
        <f t="shared" ref="B116:I116" si="2">SUM(B73,B76,B79,B82,B85,B88,B91,B94,B97,B100,B103,B106,B109,B112,B115)</f>
        <v>75.75</v>
      </c>
      <c r="C116" s="286">
        <f t="shared" si="2"/>
        <v>75.75</v>
      </c>
      <c r="D116" s="286">
        <f t="shared" si="2"/>
        <v>75.75</v>
      </c>
      <c r="E116" s="286">
        <f t="shared" si="2"/>
        <v>75.75</v>
      </c>
      <c r="F116" s="286">
        <f t="shared" si="2"/>
        <v>75.25</v>
      </c>
      <c r="G116" s="286">
        <f t="shared" si="2"/>
        <v>68.5</v>
      </c>
      <c r="H116" s="286">
        <f t="shared" si="2"/>
        <v>71.5</v>
      </c>
      <c r="I116" s="286">
        <f t="shared" si="2"/>
        <v>518.25</v>
      </c>
      <c r="J116" s="198"/>
    </row>
    <row r="117" spans="1:10" ht="17.45" customHeight="1">
      <c r="A117" s="72"/>
      <c r="B117" s="72"/>
      <c r="C117" s="72"/>
      <c r="D117" s="72"/>
      <c r="E117" s="72"/>
      <c r="F117" s="72"/>
      <c r="G117" s="204" t="s">
        <v>152</v>
      </c>
      <c r="H117" s="204" t="s">
        <v>153</v>
      </c>
      <c r="I117" s="204" t="s">
        <v>154</v>
      </c>
    </row>
    <row r="118" spans="1:10" ht="17.45" customHeight="1">
      <c r="A118" s="274"/>
      <c r="B118" s="274"/>
      <c r="C118" s="274"/>
      <c r="D118" s="274"/>
      <c r="E118" s="274"/>
      <c r="F118" s="72"/>
      <c r="G118" s="130">
        <f>I116</f>
        <v>518.25</v>
      </c>
      <c r="H118" s="169">
        <f>SUM(G118*13/3)</f>
        <v>2245.75</v>
      </c>
      <c r="I118" s="130">
        <f>SUM(H118*12)</f>
        <v>26949</v>
      </c>
    </row>
    <row r="119" spans="1:10" ht="17.45" customHeight="1">
      <c r="A119" s="72"/>
      <c r="B119" s="72"/>
      <c r="C119" s="72"/>
      <c r="D119" s="72"/>
      <c r="E119" s="72"/>
      <c r="F119" s="72"/>
      <c r="G119" s="72"/>
      <c r="H119" s="174"/>
      <c r="I119" s="72"/>
    </row>
    <row r="120" spans="1:10" ht="17.45" customHeight="1">
      <c r="A120" s="72"/>
      <c r="B120" s="72"/>
      <c r="C120" s="72"/>
      <c r="D120" s="72"/>
      <c r="E120" s="72"/>
      <c r="F120" s="72"/>
      <c r="G120" s="72"/>
      <c r="H120" s="174"/>
      <c r="I120" s="72"/>
    </row>
    <row r="121" spans="1:10" ht="17.45" customHeight="1">
      <c r="A121" s="72"/>
      <c r="B121" s="72"/>
      <c r="C121" s="72"/>
      <c r="D121" s="72" t="s">
        <v>390</v>
      </c>
      <c r="E121" s="72"/>
      <c r="F121" s="72"/>
      <c r="G121" s="72"/>
      <c r="H121" s="174"/>
      <c r="I121" s="72"/>
    </row>
    <row r="122" spans="1:10" ht="17.45" customHeight="1">
      <c r="A122" s="287"/>
      <c r="B122" s="210" t="s">
        <v>200</v>
      </c>
      <c r="C122" s="210" t="s">
        <v>200</v>
      </c>
      <c r="D122" s="210" t="s">
        <v>200</v>
      </c>
      <c r="E122" s="210" t="s">
        <v>200</v>
      </c>
      <c r="F122" s="210" t="s">
        <v>200</v>
      </c>
      <c r="G122" s="288" t="s">
        <v>201</v>
      </c>
      <c r="H122" s="289" t="s">
        <v>201</v>
      </c>
      <c r="I122" s="72"/>
    </row>
    <row r="123" spans="1:10" ht="17.45" customHeight="1">
      <c r="A123" s="95" t="s">
        <v>43</v>
      </c>
      <c r="B123" s="219">
        <v>8.25</v>
      </c>
      <c r="C123" s="219">
        <v>8.25</v>
      </c>
      <c r="D123" s="219">
        <v>8.25</v>
      </c>
      <c r="E123" s="219">
        <v>8.25</v>
      </c>
      <c r="F123" s="219">
        <v>8.25</v>
      </c>
      <c r="G123" s="290">
        <v>12.25</v>
      </c>
      <c r="H123" s="291">
        <v>12.25</v>
      </c>
      <c r="I123" s="72"/>
    </row>
    <row r="124" spans="1:10" ht="17.45" customHeight="1">
      <c r="A124" s="287"/>
      <c r="B124" s="30" t="s">
        <v>16</v>
      </c>
      <c r="C124" s="30" t="s">
        <v>16</v>
      </c>
      <c r="D124" s="30" t="s">
        <v>16</v>
      </c>
      <c r="E124" s="30" t="s">
        <v>16</v>
      </c>
      <c r="F124" s="30" t="s">
        <v>16</v>
      </c>
      <c r="G124" s="31"/>
      <c r="H124" s="292"/>
      <c r="I124" s="72"/>
    </row>
    <row r="125" spans="1:10" ht="17.45" customHeight="1">
      <c r="A125" s="95" t="s">
        <v>378</v>
      </c>
      <c r="B125" s="34"/>
      <c r="C125" s="34"/>
      <c r="D125" s="34"/>
      <c r="E125" s="34"/>
      <c r="F125" s="34"/>
      <c r="G125" s="140"/>
      <c r="H125" s="293"/>
      <c r="I125" s="72"/>
    </row>
    <row r="126" spans="1:10" ht="17.45" customHeight="1">
      <c r="A126" s="287"/>
      <c r="B126" s="248" t="s">
        <v>231</v>
      </c>
      <c r="C126" s="248" t="s">
        <v>231</v>
      </c>
      <c r="D126" s="248" t="s">
        <v>231</v>
      </c>
      <c r="E126" s="248" t="s">
        <v>231</v>
      </c>
      <c r="F126" s="248" t="s">
        <v>232</v>
      </c>
      <c r="G126" s="241" t="s">
        <v>233</v>
      </c>
      <c r="H126" s="242" t="s">
        <v>233</v>
      </c>
      <c r="I126" s="72"/>
    </row>
    <row r="127" spans="1:10" ht="17.45" customHeight="1">
      <c r="A127" s="95" t="s">
        <v>61</v>
      </c>
      <c r="B127" s="250">
        <v>7</v>
      </c>
      <c r="C127" s="250">
        <v>7</v>
      </c>
      <c r="D127" s="250">
        <v>7</v>
      </c>
      <c r="E127" s="250">
        <v>7</v>
      </c>
      <c r="F127" s="250">
        <v>6.5</v>
      </c>
      <c r="G127" s="246">
        <v>12</v>
      </c>
      <c r="H127" s="247">
        <v>12</v>
      </c>
      <c r="I127" s="72"/>
    </row>
    <row r="128" spans="1:10" ht="17.45" customHeight="1">
      <c r="A128" s="287"/>
      <c r="B128" s="30" t="s">
        <v>16</v>
      </c>
      <c r="C128" s="30" t="s">
        <v>16</v>
      </c>
      <c r="D128" s="30" t="s">
        <v>16</v>
      </c>
      <c r="E128" s="30" t="s">
        <v>16</v>
      </c>
      <c r="F128" s="30" t="s">
        <v>16</v>
      </c>
      <c r="G128" s="31"/>
      <c r="H128" s="292"/>
      <c r="I128" s="72"/>
    </row>
    <row r="129" spans="1:9" ht="17.45" customHeight="1">
      <c r="A129" s="95" t="s">
        <v>251</v>
      </c>
      <c r="B129" s="34"/>
      <c r="C129" s="34"/>
      <c r="D129" s="34"/>
      <c r="E129" s="34"/>
      <c r="F129" s="34"/>
      <c r="G129" s="140"/>
      <c r="H129" s="293"/>
      <c r="I129" s="72"/>
    </row>
    <row r="130" spans="1:9" ht="17.45" customHeight="1">
      <c r="A130" s="287"/>
      <c r="B130" s="270" t="s">
        <v>260</v>
      </c>
      <c r="C130" s="270" t="s">
        <v>260</v>
      </c>
      <c r="D130" s="270" t="s">
        <v>260</v>
      </c>
      <c r="E130" s="270" t="s">
        <v>260</v>
      </c>
      <c r="F130" s="270" t="s">
        <v>260</v>
      </c>
      <c r="G130" s="4"/>
      <c r="H130" s="294"/>
      <c r="I130" s="72"/>
    </row>
    <row r="131" spans="1:9" ht="17.45" customHeight="1">
      <c r="A131" s="95" t="s">
        <v>71</v>
      </c>
      <c r="B131" s="275">
        <v>7</v>
      </c>
      <c r="C131" s="275">
        <v>7</v>
      </c>
      <c r="D131" s="275">
        <v>7</v>
      </c>
      <c r="E131" s="275">
        <v>7</v>
      </c>
      <c r="F131" s="275">
        <v>7</v>
      </c>
      <c r="G131" s="34"/>
      <c r="H131" s="295"/>
      <c r="I131" s="72"/>
    </row>
    <row r="132" spans="1:9" ht="17.45" customHeight="1">
      <c r="A132" s="287"/>
      <c r="B132" s="222" t="s">
        <v>206</v>
      </c>
      <c r="C132" s="222" t="s">
        <v>206</v>
      </c>
      <c r="D132" s="222" t="s">
        <v>206</v>
      </c>
      <c r="E132" s="222" t="s">
        <v>206</v>
      </c>
      <c r="F132" s="222" t="s">
        <v>206</v>
      </c>
      <c r="G132" s="223" t="s">
        <v>207</v>
      </c>
      <c r="H132" s="224" t="s">
        <v>207</v>
      </c>
      <c r="I132" s="72"/>
    </row>
    <row r="133" spans="1:9" ht="17.45" customHeight="1">
      <c r="A133" s="95" t="s">
        <v>209</v>
      </c>
      <c r="B133" s="91">
        <v>7</v>
      </c>
      <c r="C133" s="91">
        <v>7</v>
      </c>
      <c r="D133" s="91">
        <v>7</v>
      </c>
      <c r="E133" s="91">
        <v>7</v>
      </c>
      <c r="F133" s="91">
        <v>7</v>
      </c>
      <c r="G133" s="228">
        <v>11</v>
      </c>
      <c r="H133" s="229">
        <v>11</v>
      </c>
      <c r="I133" s="72"/>
    </row>
    <row r="134" spans="1:9" ht="17.45" customHeight="1">
      <c r="A134" s="287"/>
      <c r="B134" s="30" t="s">
        <v>16</v>
      </c>
      <c r="C134" s="30" t="s">
        <v>16</v>
      </c>
      <c r="D134" s="30" t="s">
        <v>16</v>
      </c>
      <c r="E134" s="30" t="s">
        <v>16</v>
      </c>
      <c r="F134" s="30" t="s">
        <v>16</v>
      </c>
      <c r="G134" s="45"/>
      <c r="H134" s="46"/>
      <c r="I134" s="72"/>
    </row>
    <row r="135" spans="1:9" ht="17.45" customHeight="1">
      <c r="A135" s="95" t="s">
        <v>222</v>
      </c>
      <c r="B135" s="34"/>
      <c r="C135" s="34"/>
      <c r="D135" s="34"/>
      <c r="E135" s="34"/>
      <c r="F135" s="34"/>
      <c r="G135" s="52"/>
      <c r="H135" s="49"/>
      <c r="I135" s="72"/>
    </row>
    <row r="136" spans="1:9" ht="17.45" customHeight="1">
      <c r="A136" s="287"/>
      <c r="B136" s="251" t="s">
        <v>239</v>
      </c>
      <c r="C136" s="251" t="s">
        <v>239</v>
      </c>
      <c r="D136" s="251" t="s">
        <v>239</v>
      </c>
      <c r="E136" s="251" t="s">
        <v>239</v>
      </c>
      <c r="F136" s="251" t="s">
        <v>239</v>
      </c>
      <c r="G136" s="241" t="s">
        <v>240</v>
      </c>
      <c r="H136" s="242" t="s">
        <v>233</v>
      </c>
      <c r="I136" s="72"/>
    </row>
    <row r="137" spans="1:9" ht="17.45" customHeight="1">
      <c r="A137" s="95" t="s">
        <v>243</v>
      </c>
      <c r="B137" s="255">
        <v>7</v>
      </c>
      <c r="C137" s="255">
        <v>7</v>
      </c>
      <c r="D137" s="255">
        <v>7</v>
      </c>
      <c r="E137" s="255">
        <v>7</v>
      </c>
      <c r="F137" s="255">
        <v>7</v>
      </c>
      <c r="G137" s="256">
        <v>9</v>
      </c>
      <c r="H137" s="247">
        <v>12</v>
      </c>
      <c r="I137" s="72"/>
    </row>
    <row r="138" spans="1:9" ht="17.45" customHeight="1">
      <c r="A138" s="287"/>
      <c r="B138" s="30" t="s">
        <v>16</v>
      </c>
      <c r="C138" s="30" t="s">
        <v>16</v>
      </c>
      <c r="D138" s="30" t="s">
        <v>16</v>
      </c>
      <c r="E138" s="30" t="s">
        <v>16</v>
      </c>
      <c r="F138" s="30" t="s">
        <v>16</v>
      </c>
      <c r="G138" s="45"/>
      <c r="H138" s="46"/>
      <c r="I138" s="72"/>
    </row>
    <row r="139" spans="1:9" ht="17.45" customHeight="1">
      <c r="A139" s="111" t="s">
        <v>270</v>
      </c>
      <c r="B139" s="34"/>
      <c r="C139" s="34"/>
      <c r="D139" s="34"/>
      <c r="E139" s="34"/>
      <c r="F139" s="34"/>
      <c r="G139" s="52"/>
      <c r="H139" s="49"/>
      <c r="I139" s="72"/>
    </row>
    <row r="140" spans="1:9" ht="17.45" customHeight="1">
      <c r="A140" s="287"/>
      <c r="B140" s="276" t="s">
        <v>263</v>
      </c>
      <c r="C140" s="276" t="s">
        <v>263</v>
      </c>
      <c r="D140" s="276" t="s">
        <v>263</v>
      </c>
      <c r="E140" s="276" t="s">
        <v>263</v>
      </c>
      <c r="F140" s="276" t="s">
        <v>263</v>
      </c>
      <c r="G140" s="4"/>
      <c r="H140" s="294"/>
      <c r="I140" s="72"/>
    </row>
    <row r="141" spans="1:9" ht="17.45" customHeight="1">
      <c r="A141" s="115" t="s">
        <v>72</v>
      </c>
      <c r="B141" s="278">
        <v>7.5</v>
      </c>
      <c r="C141" s="278">
        <v>7.5</v>
      </c>
      <c r="D141" s="278">
        <v>7.5</v>
      </c>
      <c r="E141" s="278">
        <v>7.5</v>
      </c>
      <c r="F141" s="278">
        <v>7.5</v>
      </c>
      <c r="G141" s="34"/>
      <c r="H141" s="295"/>
      <c r="I141" s="72"/>
    </row>
    <row r="142" spans="1:9" ht="17.45" customHeight="1">
      <c r="A142" s="287"/>
      <c r="B142" s="230" t="s">
        <v>212</v>
      </c>
      <c r="C142" s="230" t="s">
        <v>212</v>
      </c>
      <c r="D142" s="230" t="s">
        <v>212</v>
      </c>
      <c r="E142" s="230" t="s">
        <v>212</v>
      </c>
      <c r="F142" s="230" t="s">
        <v>212</v>
      </c>
      <c r="G142" s="224" t="s">
        <v>213</v>
      </c>
      <c r="H142" s="224" t="s">
        <v>213</v>
      </c>
      <c r="I142" s="72"/>
    </row>
    <row r="143" spans="1:9" ht="17.45" customHeight="1">
      <c r="A143" s="95" t="s">
        <v>214</v>
      </c>
      <c r="B143" s="233">
        <v>8</v>
      </c>
      <c r="C143" s="233">
        <v>8</v>
      </c>
      <c r="D143" s="233">
        <v>8</v>
      </c>
      <c r="E143" s="233">
        <v>8</v>
      </c>
      <c r="F143" s="233">
        <v>8</v>
      </c>
      <c r="G143" s="228">
        <v>12</v>
      </c>
      <c r="H143" s="228">
        <v>12</v>
      </c>
      <c r="I143" s="72"/>
    </row>
    <row r="144" spans="1:9" ht="17.45" customHeight="1">
      <c r="A144" s="296"/>
      <c r="B144" s="30" t="s">
        <v>16</v>
      </c>
      <c r="C144" s="30" t="s">
        <v>16</v>
      </c>
      <c r="D144" s="30" t="s">
        <v>16</v>
      </c>
      <c r="E144" s="30" t="s">
        <v>16</v>
      </c>
      <c r="F144" s="30" t="s">
        <v>16</v>
      </c>
      <c r="G144" s="241" t="s">
        <v>224</v>
      </c>
      <c r="H144" s="242" t="s">
        <v>225</v>
      </c>
      <c r="I144" s="72"/>
    </row>
    <row r="145" spans="1:10" ht="17.45" customHeight="1">
      <c r="A145" s="95" t="s">
        <v>228</v>
      </c>
      <c r="B145" s="34"/>
      <c r="C145" s="34"/>
      <c r="D145" s="34"/>
      <c r="E145" s="34"/>
      <c r="F145" s="34"/>
      <c r="G145" s="246">
        <v>12.25</v>
      </c>
      <c r="H145" s="247">
        <v>12.25</v>
      </c>
      <c r="I145" s="72"/>
    </row>
    <row r="146" spans="1:10" ht="17.45" customHeight="1">
      <c r="A146" s="287"/>
      <c r="B146" s="257" t="s">
        <v>246</v>
      </c>
      <c r="C146" s="257" t="s">
        <v>246</v>
      </c>
      <c r="D146" s="257" t="s">
        <v>246</v>
      </c>
      <c r="E146" s="257" t="s">
        <v>246</v>
      </c>
      <c r="F146" s="257" t="s">
        <v>246</v>
      </c>
      <c r="G146" s="24"/>
      <c r="H146" s="258"/>
      <c r="I146" s="72"/>
    </row>
    <row r="147" spans="1:10" ht="17.45" customHeight="1">
      <c r="A147" s="95" t="s">
        <v>248</v>
      </c>
      <c r="B147" s="262">
        <v>8</v>
      </c>
      <c r="C147" s="262">
        <v>8</v>
      </c>
      <c r="D147" s="262">
        <v>8</v>
      </c>
      <c r="E147" s="262">
        <v>8</v>
      </c>
      <c r="F147" s="262">
        <v>8</v>
      </c>
      <c r="G147" s="17"/>
      <c r="H147" s="263"/>
      <c r="I147" s="72"/>
    </row>
    <row r="148" spans="1:10" ht="17.45" customHeight="1">
      <c r="A148" s="287" t="s">
        <v>28</v>
      </c>
      <c r="B148" s="265" t="s">
        <v>256</v>
      </c>
      <c r="C148" s="265" t="s">
        <v>256</v>
      </c>
      <c r="D148" s="265" t="s">
        <v>256</v>
      </c>
      <c r="E148" s="265" t="s">
        <v>256</v>
      </c>
      <c r="F148" s="265" t="s">
        <v>256</v>
      </c>
      <c r="G148" s="50"/>
      <c r="H148" s="46"/>
      <c r="I148" s="72"/>
    </row>
    <row r="149" spans="1:10" ht="17.45" customHeight="1">
      <c r="A149" s="146" t="s">
        <v>257</v>
      </c>
      <c r="B149" s="269">
        <v>8</v>
      </c>
      <c r="C149" s="269">
        <v>8</v>
      </c>
      <c r="D149" s="269">
        <v>8</v>
      </c>
      <c r="E149" s="269">
        <v>8</v>
      </c>
      <c r="F149" s="269">
        <v>8</v>
      </c>
      <c r="G149" s="52"/>
      <c r="H149" s="49"/>
      <c r="I149" s="72"/>
    </row>
    <row r="150" spans="1:10" ht="17.45" customHeight="1">
      <c r="A150" s="287"/>
      <c r="B150" s="280" t="s">
        <v>266</v>
      </c>
      <c r="C150" s="281" t="s">
        <v>266</v>
      </c>
      <c r="D150" s="281" t="s">
        <v>266</v>
      </c>
      <c r="E150" s="281" t="s">
        <v>266</v>
      </c>
      <c r="F150" s="281" t="s">
        <v>266</v>
      </c>
      <c r="G150" s="4"/>
      <c r="H150" s="294"/>
      <c r="I150" s="72"/>
    </row>
    <row r="151" spans="1:10" ht="17.45" customHeight="1">
      <c r="A151" s="95" t="s">
        <v>73</v>
      </c>
      <c r="B151" s="284">
        <v>8</v>
      </c>
      <c r="C151" s="284">
        <v>8</v>
      </c>
      <c r="D151" s="284">
        <v>8</v>
      </c>
      <c r="E151" s="284">
        <v>8</v>
      </c>
      <c r="F151" s="284">
        <v>8</v>
      </c>
      <c r="G151" s="34"/>
      <c r="H151" s="295"/>
      <c r="I151" s="72"/>
    </row>
    <row r="152" spans="1:10" ht="17.45" customHeight="1">
      <c r="A152" s="72"/>
      <c r="B152" s="72"/>
      <c r="C152" s="72"/>
      <c r="D152" s="72"/>
      <c r="E152" s="72"/>
      <c r="F152" s="72"/>
      <c r="G152" s="72"/>
      <c r="H152" s="174"/>
      <c r="I152" s="72"/>
    </row>
    <row r="153" spans="1:10" ht="17.45" customHeight="1">
      <c r="A153" s="72"/>
      <c r="B153" s="72"/>
      <c r="C153" s="72"/>
      <c r="D153" s="72"/>
      <c r="E153" s="72"/>
      <c r="F153" s="72"/>
      <c r="G153" s="72"/>
      <c r="H153" s="174"/>
      <c r="I153" s="72"/>
    </row>
    <row r="154" spans="1:10" ht="17.100000000000001" customHeight="1">
      <c r="A154" s="1" t="s">
        <v>271</v>
      </c>
      <c r="B154" s="72"/>
      <c r="C154" s="72"/>
      <c r="D154" s="72"/>
      <c r="E154" s="72"/>
      <c r="F154" s="72"/>
    </row>
    <row r="155" spans="1:10" ht="17.100000000000001" customHeight="1">
      <c r="A155" s="23" t="s">
        <v>272</v>
      </c>
      <c r="B155" s="24" t="s">
        <v>2</v>
      </c>
      <c r="C155" s="25" t="s">
        <v>3</v>
      </c>
      <c r="D155" s="25" t="s">
        <v>4</v>
      </c>
      <c r="E155" s="25" t="s">
        <v>5</v>
      </c>
      <c r="F155" s="25" t="s">
        <v>6</v>
      </c>
      <c r="G155" s="25" t="s">
        <v>7</v>
      </c>
      <c r="H155" s="26" t="s">
        <v>8</v>
      </c>
      <c r="I155" s="27" t="s">
        <v>9</v>
      </c>
      <c r="J155" s="28" t="s">
        <v>10</v>
      </c>
    </row>
    <row r="156" spans="1:10" ht="17.100000000000001" customHeight="1">
      <c r="A156" s="29" t="s">
        <v>28</v>
      </c>
      <c r="B156" s="4" t="s">
        <v>391</v>
      </c>
      <c r="C156" s="4" t="s">
        <v>391</v>
      </c>
      <c r="D156" s="4" t="s">
        <v>391</v>
      </c>
      <c r="E156" s="4" t="s">
        <v>391</v>
      </c>
      <c r="F156" s="4" t="s">
        <v>392</v>
      </c>
      <c r="G156" s="5"/>
      <c r="H156" s="5"/>
      <c r="I156" s="30"/>
      <c r="J156" s="32"/>
    </row>
    <row r="157" spans="1:10" ht="17.100000000000001" customHeight="1">
      <c r="A157" s="171" t="s">
        <v>117</v>
      </c>
      <c r="B157" s="130">
        <v>7.75</v>
      </c>
      <c r="C157" s="130">
        <v>7.75</v>
      </c>
      <c r="D157" s="130">
        <v>7.75</v>
      </c>
      <c r="E157" s="130">
        <v>7.75</v>
      </c>
      <c r="F157" s="130">
        <v>6</v>
      </c>
      <c r="G157" s="297"/>
      <c r="H157" s="297"/>
      <c r="I157" s="130">
        <f>SUM(B157:H157)</f>
        <v>37</v>
      </c>
      <c r="J157" s="173"/>
    </row>
    <row r="158" spans="1:10" ht="17.100000000000001" customHeight="1">
      <c r="A158" s="298"/>
      <c r="B158" s="199" t="s">
        <v>393</v>
      </c>
      <c r="C158" s="199" t="s">
        <v>393</v>
      </c>
      <c r="D158" s="199" t="s">
        <v>393</v>
      </c>
      <c r="E158" s="199" t="s">
        <v>393</v>
      </c>
      <c r="F158" s="199" t="s">
        <v>394</v>
      </c>
      <c r="G158" s="182"/>
      <c r="H158" s="182"/>
      <c r="I158" s="133"/>
      <c r="J158" s="200"/>
    </row>
    <row r="159" spans="1:10" ht="17.100000000000001" customHeight="1">
      <c r="A159" s="201" t="s">
        <v>146</v>
      </c>
      <c r="B159" s="4" t="s">
        <v>2</v>
      </c>
      <c r="C159" s="5" t="s">
        <v>3</v>
      </c>
      <c r="D159" s="5" t="s">
        <v>4</v>
      </c>
      <c r="E159" s="5" t="s">
        <v>5</v>
      </c>
      <c r="F159" s="5" t="s">
        <v>6</v>
      </c>
      <c r="G159" s="5" t="s">
        <v>7</v>
      </c>
      <c r="H159" s="5" t="s">
        <v>8</v>
      </c>
      <c r="I159" s="45" t="s">
        <v>9</v>
      </c>
      <c r="J159" s="8" t="s">
        <v>10</v>
      </c>
    </row>
    <row r="160" spans="1:10" ht="17.100000000000001" customHeight="1">
      <c r="A160" s="171" t="s">
        <v>28</v>
      </c>
      <c r="B160" s="299" t="s">
        <v>395</v>
      </c>
      <c r="C160" s="299" t="s">
        <v>395</v>
      </c>
      <c r="D160" s="299" t="s">
        <v>395</v>
      </c>
      <c r="E160" s="299" t="s">
        <v>395</v>
      </c>
      <c r="F160" s="299" t="s">
        <v>396</v>
      </c>
      <c r="G160" s="297"/>
      <c r="H160" s="297"/>
      <c r="I160" s="130"/>
      <c r="J160" s="173"/>
    </row>
    <row r="161" spans="1:10" ht="17.100000000000001" customHeight="1">
      <c r="A161" s="130" t="s">
        <v>279</v>
      </c>
      <c r="B161" s="299" t="s">
        <v>357</v>
      </c>
      <c r="C161" s="299" t="s">
        <v>357</v>
      </c>
      <c r="D161" s="299" t="s">
        <v>357</v>
      </c>
      <c r="E161" s="299" t="s">
        <v>357</v>
      </c>
      <c r="F161" s="299" t="s">
        <v>358</v>
      </c>
      <c r="G161" s="297"/>
      <c r="H161" s="297"/>
      <c r="I161" s="130"/>
      <c r="J161" s="173"/>
    </row>
    <row r="162" spans="1:10" ht="17.100000000000001" customHeight="1">
      <c r="A162" s="124"/>
      <c r="B162" s="124">
        <v>7.75</v>
      </c>
      <c r="C162" s="124">
        <v>7.75</v>
      </c>
      <c r="D162" s="124">
        <v>7.75</v>
      </c>
      <c r="E162" s="124">
        <v>7.75</v>
      </c>
      <c r="F162" s="124">
        <v>6</v>
      </c>
      <c r="G162" s="126"/>
      <c r="H162" s="127"/>
      <c r="I162" s="144">
        <f>SUM(B162:H162)</f>
        <v>37</v>
      </c>
      <c r="J162" s="85"/>
    </row>
    <row r="163" spans="1:10" ht="17.100000000000001" customHeight="1">
      <c r="A163" s="300" t="s">
        <v>30</v>
      </c>
      <c r="B163" s="301">
        <f>SUM(B157,B162)</f>
        <v>15.5</v>
      </c>
      <c r="C163" s="301">
        <f>SUM(C157,C162)</f>
        <v>15.5</v>
      </c>
      <c r="D163" s="301">
        <f>SUM(D157,D162)</f>
        <v>15.5</v>
      </c>
      <c r="E163" s="301">
        <f>SUM(E157,E162)</f>
        <v>15.5</v>
      </c>
      <c r="F163" s="301">
        <f>SUM(F157,F162)</f>
        <v>12</v>
      </c>
      <c r="G163" s="63"/>
      <c r="H163" s="302"/>
      <c r="I163" s="303">
        <f>SUM(B163:H163)</f>
        <v>74</v>
      </c>
      <c r="J163" s="304"/>
    </row>
    <row r="164" spans="1:10" ht="17.100000000000001" customHeight="1">
      <c r="A164" s="274"/>
      <c r="B164" s="72"/>
      <c r="C164" s="72"/>
      <c r="D164" s="72"/>
      <c r="E164" s="72"/>
      <c r="F164" s="139"/>
      <c r="G164" s="204" t="s">
        <v>152</v>
      </c>
      <c r="H164" s="204" t="s">
        <v>153</v>
      </c>
      <c r="I164" s="204" t="s">
        <v>154</v>
      </c>
      <c r="J164" s="73"/>
    </row>
    <row r="165" spans="1:10" ht="17.100000000000001" customHeight="1">
      <c r="A165" s="274"/>
      <c r="B165" s="72"/>
      <c r="C165" s="72"/>
      <c r="D165" s="72"/>
      <c r="E165" s="72"/>
      <c r="F165" s="139"/>
      <c r="G165" s="130">
        <f>SUM(I163)</f>
        <v>74</v>
      </c>
      <c r="H165" s="169">
        <f>SUM(G165*13/3)</f>
        <v>320.66666666666669</v>
      </c>
      <c r="I165" s="130">
        <f>SUM(H165*12)</f>
        <v>3848</v>
      </c>
      <c r="J165" s="73"/>
    </row>
    <row r="166" spans="1:10" ht="17.100000000000001" customHeight="1">
      <c r="A166" s="1" t="s">
        <v>280</v>
      </c>
      <c r="B166" s="72"/>
      <c r="C166" s="72"/>
      <c r="D166" s="72"/>
      <c r="E166" s="72"/>
      <c r="F166" s="72"/>
    </row>
    <row r="167" spans="1:10" ht="17.100000000000001" customHeight="1">
      <c r="A167" s="201" t="s">
        <v>281</v>
      </c>
      <c r="B167" s="4" t="s">
        <v>2</v>
      </c>
      <c r="C167" s="5" t="s">
        <v>3</v>
      </c>
      <c r="D167" s="5" t="s">
        <v>4</v>
      </c>
      <c r="E167" s="5" t="s">
        <v>5</v>
      </c>
      <c r="F167" s="5" t="s">
        <v>6</v>
      </c>
      <c r="G167" s="5" t="s">
        <v>7</v>
      </c>
      <c r="H167" s="5" t="s">
        <v>8</v>
      </c>
      <c r="I167" s="45" t="s">
        <v>9</v>
      </c>
      <c r="J167" s="8" t="s">
        <v>10</v>
      </c>
    </row>
    <row r="168" spans="1:10" ht="17.100000000000001" customHeight="1">
      <c r="A168" s="171" t="s">
        <v>28</v>
      </c>
      <c r="B168" s="130" t="s">
        <v>282</v>
      </c>
      <c r="C168" s="130" t="s">
        <v>282</v>
      </c>
      <c r="D168" s="130" t="s">
        <v>282</v>
      </c>
      <c r="E168" s="130" t="s">
        <v>282</v>
      </c>
      <c r="F168" s="130" t="s">
        <v>283</v>
      </c>
      <c r="G168" s="297"/>
      <c r="H168" s="297"/>
      <c r="I168" s="130"/>
      <c r="J168" s="173"/>
    </row>
    <row r="169" spans="1:10" ht="17.100000000000001" customHeight="1">
      <c r="A169" s="171" t="s">
        <v>119</v>
      </c>
      <c r="B169" s="130">
        <v>8</v>
      </c>
      <c r="C169" s="130">
        <v>8</v>
      </c>
      <c r="D169" s="130">
        <v>8</v>
      </c>
      <c r="E169" s="130">
        <v>8</v>
      </c>
      <c r="F169" s="130">
        <v>5</v>
      </c>
      <c r="G169" s="297"/>
      <c r="H169" s="297"/>
      <c r="I169" s="130">
        <f>SUM(B169:H169)</f>
        <v>37</v>
      </c>
      <c r="J169" s="173"/>
    </row>
    <row r="170" spans="1:10" ht="17.100000000000001" customHeight="1">
      <c r="A170" s="33"/>
      <c r="B170" s="164" t="s">
        <v>397</v>
      </c>
      <c r="C170" s="164" t="s">
        <v>397</v>
      </c>
      <c r="D170" s="164" t="s">
        <v>397</v>
      </c>
      <c r="E170" s="164" t="s">
        <v>397</v>
      </c>
      <c r="F170" s="164" t="s">
        <v>398</v>
      </c>
      <c r="G170" s="165"/>
      <c r="H170" s="165"/>
      <c r="I170" s="34"/>
      <c r="J170" s="142"/>
    </row>
    <row r="171" spans="1:10" ht="17.100000000000001" customHeight="1">
      <c r="A171" s="274"/>
      <c r="B171" s="72"/>
      <c r="C171" s="72"/>
      <c r="D171" s="72"/>
      <c r="E171" s="72"/>
      <c r="F171" s="139"/>
      <c r="G171" s="167" t="s">
        <v>152</v>
      </c>
      <c r="H171" s="167" t="s">
        <v>153</v>
      </c>
      <c r="I171" s="167" t="s">
        <v>154</v>
      </c>
      <c r="J171" s="73"/>
    </row>
    <row r="172" spans="1:10" ht="15.75" customHeight="1">
      <c r="A172" s="274"/>
      <c r="B172" s="72"/>
      <c r="C172" s="72"/>
      <c r="D172" s="72"/>
      <c r="E172" s="72"/>
      <c r="F172" s="139"/>
      <c r="G172" s="130">
        <f>I169</f>
        <v>37</v>
      </c>
      <c r="H172" s="169">
        <f>SUM(G172*13/3)</f>
        <v>160.33333333333334</v>
      </c>
      <c r="I172" s="130">
        <f>SUM(H172*12)</f>
        <v>1924</v>
      </c>
      <c r="J172" s="73"/>
    </row>
    <row r="173" spans="1:10" ht="15.75" customHeight="1">
      <c r="A173" s="274"/>
      <c r="B173" s="72"/>
      <c r="C173" s="72"/>
      <c r="D173" s="72"/>
      <c r="E173" s="72"/>
      <c r="F173" s="139"/>
      <c r="G173" s="72"/>
      <c r="H173" s="174"/>
      <c r="I173" s="72"/>
      <c r="J173" s="73"/>
    </row>
    <row r="174" spans="1:10" ht="15.75" customHeight="1">
      <c r="A174" s="274"/>
      <c r="B174" s="72"/>
      <c r="C174" s="72"/>
      <c r="D174" s="72"/>
      <c r="E174" s="72"/>
      <c r="F174" s="139"/>
      <c r="G174" s="72"/>
      <c r="H174" s="174"/>
      <c r="I174" s="72"/>
      <c r="J174" s="73"/>
    </row>
    <row r="175" spans="1:10" ht="15.75" customHeight="1">
      <c r="A175" s="274"/>
      <c r="B175" s="72"/>
      <c r="C175" s="72"/>
      <c r="D175" s="72"/>
      <c r="E175" s="72"/>
      <c r="F175" s="139"/>
      <c r="G175" s="72"/>
      <c r="H175" s="174"/>
      <c r="I175" s="72"/>
      <c r="J175" s="73"/>
    </row>
    <row r="176" spans="1:10" ht="15.75" customHeight="1">
      <c r="A176" s="274"/>
      <c r="B176" s="72"/>
      <c r="C176" s="72"/>
      <c r="D176" s="72"/>
      <c r="E176" s="72"/>
      <c r="F176" s="139"/>
      <c r="G176" s="72"/>
      <c r="H176" s="174"/>
      <c r="I176" s="72"/>
      <c r="J176" s="73"/>
    </row>
    <row r="177" spans="1:10" ht="15.75" customHeight="1">
      <c r="A177" s="274"/>
      <c r="B177" s="72"/>
      <c r="C177" s="72"/>
      <c r="D177" s="72"/>
      <c r="E177" s="72"/>
      <c r="F177" s="139"/>
      <c r="G177" s="72"/>
      <c r="H177" s="174"/>
      <c r="I177" s="72"/>
      <c r="J177" s="73"/>
    </row>
    <row r="178" spans="1:10" ht="15.75" customHeight="1">
      <c r="A178" s="274"/>
      <c r="B178" s="72"/>
      <c r="C178" s="72"/>
      <c r="D178" s="72"/>
      <c r="E178" s="72"/>
      <c r="F178" s="139"/>
      <c r="G178" s="72"/>
      <c r="H178" s="174"/>
      <c r="I178" s="72"/>
      <c r="J178" s="73"/>
    </row>
    <row r="179" spans="1:10" ht="15.75" customHeight="1">
      <c r="A179" s="274"/>
      <c r="B179" s="72"/>
      <c r="C179" s="72"/>
      <c r="D179" s="72"/>
      <c r="E179" s="72"/>
      <c r="F179" s="139"/>
      <c r="G179" s="72"/>
      <c r="H179" s="174"/>
      <c r="I179" s="72"/>
      <c r="J179" s="73"/>
    </row>
    <row r="180" spans="1:10" ht="17.100000000000001" customHeight="1">
      <c r="A180" s="72"/>
      <c r="B180" s="72"/>
      <c r="C180" s="72"/>
      <c r="D180" s="72"/>
      <c r="E180" s="72"/>
      <c r="F180" s="72"/>
      <c r="G180" s="72"/>
      <c r="H180" s="174"/>
      <c r="I180" s="72"/>
      <c r="J180" s="73"/>
    </row>
    <row r="181" spans="1:10" ht="17.100000000000001" customHeight="1">
      <c r="A181" s="1" t="s">
        <v>399</v>
      </c>
      <c r="B181" s="72"/>
      <c r="C181" s="72"/>
      <c r="D181" s="72"/>
      <c r="E181" s="72"/>
      <c r="F181" s="72"/>
    </row>
    <row r="182" spans="1:10" ht="17.100000000000001" customHeight="1">
      <c r="A182" s="23" t="s">
        <v>123</v>
      </c>
      <c r="B182" s="24" t="s">
        <v>2</v>
      </c>
      <c r="C182" s="25" t="s">
        <v>3</v>
      </c>
      <c r="D182" s="25" t="s">
        <v>4</v>
      </c>
      <c r="E182" s="25" t="s">
        <v>5</v>
      </c>
      <c r="F182" s="25" t="s">
        <v>6</v>
      </c>
      <c r="G182" s="25" t="s">
        <v>7</v>
      </c>
      <c r="H182" s="26" t="s">
        <v>8</v>
      </c>
      <c r="I182" s="27" t="s">
        <v>9</v>
      </c>
      <c r="J182" s="28" t="s">
        <v>10</v>
      </c>
    </row>
    <row r="183" spans="1:10" ht="17.100000000000001" customHeight="1">
      <c r="A183" s="29" t="s">
        <v>87</v>
      </c>
      <c r="B183" s="30" t="s">
        <v>288</v>
      </c>
      <c r="C183" s="30" t="s">
        <v>288</v>
      </c>
      <c r="D183" s="30" t="s">
        <v>288</v>
      </c>
      <c r="E183" s="30" t="s">
        <v>288</v>
      </c>
      <c r="F183" s="305" t="s">
        <v>289</v>
      </c>
      <c r="G183" s="5"/>
      <c r="H183" s="5"/>
      <c r="I183" s="30"/>
      <c r="J183" s="32" t="s">
        <v>28</v>
      </c>
    </row>
    <row r="184" spans="1:10" ht="17.100000000000001" customHeight="1">
      <c r="A184" s="306"/>
      <c r="B184" s="130">
        <v>8</v>
      </c>
      <c r="C184" s="130">
        <v>8</v>
      </c>
      <c r="D184" s="130">
        <v>8</v>
      </c>
      <c r="E184" s="130">
        <v>8</v>
      </c>
      <c r="F184" s="307">
        <v>7</v>
      </c>
      <c r="G184" s="297"/>
      <c r="H184" s="297"/>
      <c r="I184" s="130">
        <f>SUM(B184:H184)</f>
        <v>39</v>
      </c>
      <c r="J184" s="173"/>
    </row>
    <row r="185" spans="1:10" ht="17.100000000000001" customHeight="1">
      <c r="A185" s="181"/>
      <c r="B185" s="199" t="s">
        <v>400</v>
      </c>
      <c r="C185" s="199" t="s">
        <v>400</v>
      </c>
      <c r="D185" s="199" t="s">
        <v>400</v>
      </c>
      <c r="E185" s="199" t="s">
        <v>400</v>
      </c>
      <c r="F185" s="308" t="s">
        <v>401</v>
      </c>
      <c r="G185" s="182"/>
      <c r="H185" s="182"/>
      <c r="I185" s="133"/>
      <c r="J185" s="200"/>
    </row>
    <row r="186" spans="1:10" ht="17.100000000000001" customHeight="1">
      <c r="A186" s="29" t="s">
        <v>91</v>
      </c>
      <c r="B186" s="30" t="s">
        <v>292</v>
      </c>
      <c r="C186" s="30" t="s">
        <v>292</v>
      </c>
      <c r="D186" s="30" t="s">
        <v>292</v>
      </c>
      <c r="E186" s="30" t="s">
        <v>292</v>
      </c>
      <c r="F186" s="100" t="s">
        <v>293</v>
      </c>
      <c r="G186" s="5"/>
      <c r="H186" s="5"/>
      <c r="I186" s="30"/>
      <c r="J186" s="32"/>
    </row>
    <row r="187" spans="1:10" ht="17.100000000000001" customHeight="1">
      <c r="A187" s="306"/>
      <c r="B187" s="130">
        <v>6.5</v>
      </c>
      <c r="C187" s="130">
        <v>6.5</v>
      </c>
      <c r="D187" s="130">
        <v>6.5</v>
      </c>
      <c r="E187" s="130">
        <v>6.5</v>
      </c>
      <c r="F187" s="309">
        <v>6.25</v>
      </c>
      <c r="G187" s="297"/>
      <c r="H187" s="297"/>
      <c r="I187" s="130">
        <f>SUM(B187:H187)</f>
        <v>32.25</v>
      </c>
      <c r="J187" s="173"/>
    </row>
    <row r="188" spans="1:10" ht="17.100000000000001" customHeight="1">
      <c r="A188" s="163"/>
      <c r="B188" s="164" t="s">
        <v>402</v>
      </c>
      <c r="C188" s="164" t="s">
        <v>402</v>
      </c>
      <c r="D188" s="164" t="s">
        <v>402</v>
      </c>
      <c r="E188" s="164" t="s">
        <v>402</v>
      </c>
      <c r="F188" s="310" t="s">
        <v>403</v>
      </c>
      <c r="G188" s="165"/>
      <c r="H188" s="165"/>
      <c r="I188" s="34"/>
      <c r="J188" s="142"/>
    </row>
    <row r="189" spans="1:10" ht="17.100000000000001" customHeight="1">
      <c r="A189" s="196" t="s">
        <v>30</v>
      </c>
      <c r="B189" s="196">
        <f t="shared" ref="B189:I189" si="3">SUM(B184,B187)</f>
        <v>14.5</v>
      </c>
      <c r="C189" s="196">
        <f t="shared" si="3"/>
        <v>14.5</v>
      </c>
      <c r="D189" s="196">
        <f t="shared" si="3"/>
        <v>14.5</v>
      </c>
      <c r="E189" s="196">
        <f t="shared" si="3"/>
        <v>14.5</v>
      </c>
      <c r="F189" s="196">
        <f t="shared" si="3"/>
        <v>13.25</v>
      </c>
      <c r="G189" s="196">
        <f t="shared" si="3"/>
        <v>0</v>
      </c>
      <c r="H189" s="196">
        <f t="shared" si="3"/>
        <v>0</v>
      </c>
      <c r="I189" s="196">
        <f t="shared" si="3"/>
        <v>71.25</v>
      </c>
      <c r="J189" s="198"/>
    </row>
    <row r="190" spans="1:10" ht="17.100000000000001" customHeight="1">
      <c r="A190" s="72"/>
      <c r="B190" s="72"/>
      <c r="C190" s="72"/>
      <c r="D190" s="72"/>
      <c r="E190" s="72"/>
      <c r="F190" s="72"/>
      <c r="G190" s="204" t="s">
        <v>152</v>
      </c>
      <c r="H190" s="204" t="s">
        <v>153</v>
      </c>
      <c r="I190" s="204" t="s">
        <v>154</v>
      </c>
    </row>
    <row r="191" spans="1:10" ht="17.100000000000001" customHeight="1">
      <c r="A191" s="72"/>
      <c r="B191" s="72"/>
      <c r="C191" s="72"/>
      <c r="D191" s="72"/>
      <c r="E191" s="72"/>
      <c r="F191" s="72"/>
      <c r="G191" s="130">
        <f>I189</f>
        <v>71.25</v>
      </c>
      <c r="H191" s="169">
        <f>SUM(G191*13/3)</f>
        <v>308.75</v>
      </c>
      <c r="I191" s="130">
        <f>SUM(H191*12)</f>
        <v>3705</v>
      </c>
    </row>
    <row r="192" spans="1:10" ht="17.100000000000001" customHeight="1">
      <c r="A192" s="72"/>
      <c r="B192" s="72"/>
      <c r="C192" s="72"/>
      <c r="D192" s="72"/>
      <c r="E192" s="72"/>
      <c r="F192" s="72"/>
      <c r="G192" s="72"/>
      <c r="H192" s="174"/>
      <c r="I192" s="72"/>
    </row>
    <row r="193" spans="1:10" ht="18" customHeight="1">
      <c r="A193" s="1" t="s">
        <v>103</v>
      </c>
      <c r="B193" s="72"/>
      <c r="C193" s="72"/>
      <c r="D193" s="72"/>
      <c r="E193" s="72"/>
      <c r="F193" s="72"/>
    </row>
    <row r="194" spans="1:10" ht="18" customHeight="1">
      <c r="A194" s="23" t="s">
        <v>104</v>
      </c>
      <c r="B194" s="24" t="s">
        <v>2</v>
      </c>
      <c r="C194" s="25" t="s">
        <v>3</v>
      </c>
      <c r="D194" s="25" t="s">
        <v>4</v>
      </c>
      <c r="E194" s="25" t="s">
        <v>5</v>
      </c>
      <c r="F194" s="25" t="s">
        <v>6</v>
      </c>
      <c r="G194" s="25" t="s">
        <v>7</v>
      </c>
      <c r="H194" s="26" t="s">
        <v>8</v>
      </c>
      <c r="I194" s="27" t="s">
        <v>9</v>
      </c>
      <c r="J194" s="28" t="s">
        <v>10</v>
      </c>
    </row>
    <row r="195" spans="1:10" ht="18" customHeight="1">
      <c r="A195" s="29" t="s">
        <v>105</v>
      </c>
      <c r="B195" s="30" t="s">
        <v>89</v>
      </c>
      <c r="C195" s="30" t="s">
        <v>89</v>
      </c>
      <c r="D195" s="30" t="s">
        <v>89</v>
      </c>
      <c r="E195" s="30" t="s">
        <v>89</v>
      </c>
      <c r="F195" s="30" t="s">
        <v>77</v>
      </c>
      <c r="G195" s="5"/>
      <c r="H195" s="5"/>
      <c r="I195" s="30"/>
      <c r="J195" s="32"/>
    </row>
    <row r="196" spans="1:10" ht="18" customHeight="1">
      <c r="A196" s="306"/>
      <c r="B196" s="130">
        <v>7.5</v>
      </c>
      <c r="C196" s="130">
        <v>7.5</v>
      </c>
      <c r="D196" s="130">
        <v>7.5</v>
      </c>
      <c r="E196" s="130">
        <v>7.5</v>
      </c>
      <c r="F196" s="172">
        <v>7</v>
      </c>
      <c r="G196" s="297"/>
      <c r="H196" s="297"/>
      <c r="I196" s="130">
        <f>SUM(B196:H196)</f>
        <v>37</v>
      </c>
      <c r="J196" s="173"/>
    </row>
    <row r="197" spans="1:10" ht="18" customHeight="1">
      <c r="A197" s="181"/>
      <c r="B197" s="199" t="s">
        <v>404</v>
      </c>
      <c r="C197" s="199" t="s">
        <v>404</v>
      </c>
      <c r="D197" s="199" t="s">
        <v>404</v>
      </c>
      <c r="E197" s="199" t="s">
        <v>404</v>
      </c>
      <c r="F197" s="199" t="s">
        <v>405</v>
      </c>
      <c r="G197" s="182"/>
      <c r="H197" s="182"/>
      <c r="I197" s="133"/>
      <c r="J197" s="200"/>
    </row>
    <row r="198" spans="1:10" ht="18" customHeight="1">
      <c r="A198" s="29" t="s">
        <v>106</v>
      </c>
      <c r="B198" s="30" t="s">
        <v>301</v>
      </c>
      <c r="C198" s="30" t="s">
        <v>301</v>
      </c>
      <c r="D198" s="30" t="s">
        <v>301</v>
      </c>
      <c r="E198" s="30" t="s">
        <v>301</v>
      </c>
      <c r="F198" s="30" t="s">
        <v>302</v>
      </c>
      <c r="G198" s="5"/>
      <c r="H198" s="5"/>
      <c r="I198" s="30"/>
      <c r="J198" s="32"/>
    </row>
    <row r="199" spans="1:10" ht="18" customHeight="1">
      <c r="A199" s="306"/>
      <c r="B199" s="130">
        <v>7</v>
      </c>
      <c r="C199" s="130">
        <v>7</v>
      </c>
      <c r="D199" s="130">
        <v>7</v>
      </c>
      <c r="E199" s="130">
        <v>7</v>
      </c>
      <c r="F199" s="172">
        <v>6</v>
      </c>
      <c r="G199" s="297"/>
      <c r="H199" s="297"/>
      <c r="I199" s="130">
        <f>SUM(B199:H199)</f>
        <v>34</v>
      </c>
      <c r="J199" s="173"/>
    </row>
    <row r="200" spans="1:10" ht="18" customHeight="1">
      <c r="A200" s="181"/>
      <c r="B200" s="199" t="s">
        <v>406</v>
      </c>
      <c r="C200" s="199" t="s">
        <v>406</v>
      </c>
      <c r="D200" s="199" t="s">
        <v>406</v>
      </c>
      <c r="E200" s="199" t="s">
        <v>406</v>
      </c>
      <c r="F200" s="199" t="s">
        <v>407</v>
      </c>
      <c r="G200" s="182"/>
      <c r="H200" s="182"/>
      <c r="I200" s="133"/>
      <c r="J200" s="200"/>
    </row>
    <row r="201" spans="1:10" ht="18" customHeight="1">
      <c r="A201" s="29" t="s">
        <v>108</v>
      </c>
      <c r="B201" s="30" t="s">
        <v>109</v>
      </c>
      <c r="C201" s="30" t="s">
        <v>109</v>
      </c>
      <c r="D201" s="30" t="s">
        <v>109</v>
      </c>
      <c r="E201" s="30" t="s">
        <v>109</v>
      </c>
      <c r="F201" s="30" t="s">
        <v>110</v>
      </c>
      <c r="G201" s="30"/>
      <c r="H201" s="30"/>
      <c r="I201" s="30"/>
      <c r="J201" s="32"/>
    </row>
    <row r="202" spans="1:10" ht="18" customHeight="1">
      <c r="A202" s="171"/>
      <c r="B202" s="130" t="s">
        <v>304</v>
      </c>
      <c r="C202" s="130" t="s">
        <v>304</v>
      </c>
      <c r="D202" s="130" t="s">
        <v>304</v>
      </c>
      <c r="E202" s="130" t="s">
        <v>304</v>
      </c>
      <c r="F202" s="130" t="s">
        <v>304</v>
      </c>
      <c r="G202" s="172"/>
      <c r="H202" s="172"/>
      <c r="I202" s="130">
        <f>SUM(B202:H202)</f>
        <v>0</v>
      </c>
      <c r="J202" s="173"/>
    </row>
    <row r="203" spans="1:10" ht="18" customHeight="1">
      <c r="A203" s="33"/>
      <c r="B203" s="164" t="s">
        <v>408</v>
      </c>
      <c r="C203" s="164" t="s">
        <v>408</v>
      </c>
      <c r="D203" s="164" t="s">
        <v>408</v>
      </c>
      <c r="E203" s="164" t="s">
        <v>408</v>
      </c>
      <c r="F203" s="164" t="s">
        <v>409</v>
      </c>
      <c r="G203" s="140"/>
      <c r="H203" s="140"/>
      <c r="I203" s="34"/>
      <c r="J203" s="142"/>
    </row>
    <row r="204" spans="1:10" ht="18" customHeight="1">
      <c r="A204" s="196" t="s">
        <v>30</v>
      </c>
      <c r="B204" s="196">
        <f t="shared" ref="B204:I204" si="4">SUM(B196,B199,B202)</f>
        <v>14.5</v>
      </c>
      <c r="C204" s="196">
        <f t="shared" si="4"/>
        <v>14.5</v>
      </c>
      <c r="D204" s="196">
        <f t="shared" si="4"/>
        <v>14.5</v>
      </c>
      <c r="E204" s="196">
        <f t="shared" si="4"/>
        <v>14.5</v>
      </c>
      <c r="F204" s="196">
        <f t="shared" si="4"/>
        <v>13</v>
      </c>
      <c r="G204" s="196">
        <f t="shared" si="4"/>
        <v>0</v>
      </c>
      <c r="H204" s="196">
        <f t="shared" si="4"/>
        <v>0</v>
      </c>
      <c r="I204" s="311">
        <f t="shared" si="4"/>
        <v>71</v>
      </c>
      <c r="J204" s="203"/>
    </row>
    <row r="205" spans="1:10" ht="18" customHeight="1">
      <c r="A205" s="72"/>
      <c r="B205" s="72"/>
      <c r="C205" s="72"/>
      <c r="D205" s="72"/>
      <c r="E205" s="72"/>
      <c r="F205" s="139"/>
      <c r="G205" s="204" t="s">
        <v>152</v>
      </c>
      <c r="H205" s="204" t="s">
        <v>153</v>
      </c>
      <c r="I205" s="204" t="s">
        <v>154</v>
      </c>
      <c r="J205" s="73"/>
    </row>
    <row r="206" spans="1:10" ht="18" customHeight="1">
      <c r="A206" s="72"/>
      <c r="B206" s="72"/>
      <c r="C206" s="72"/>
      <c r="D206" s="72"/>
      <c r="E206" s="72"/>
      <c r="F206" s="72"/>
      <c r="G206" s="130">
        <f>I204</f>
        <v>71</v>
      </c>
      <c r="H206" s="169">
        <f>SUM(G206*13/3)</f>
        <v>307.66666666666669</v>
      </c>
      <c r="I206" s="130">
        <f>SUM(H206*12)</f>
        <v>3692</v>
      </c>
      <c r="J206" s="73"/>
    </row>
    <row r="207" spans="1:10" ht="18" customHeight="1">
      <c r="A207" s="72"/>
      <c r="B207" s="72"/>
      <c r="C207" s="72"/>
      <c r="D207" s="72"/>
      <c r="E207" s="72"/>
      <c r="F207" s="72"/>
      <c r="G207" s="72"/>
      <c r="H207" s="174"/>
      <c r="I207" s="72"/>
      <c r="J207" s="73"/>
    </row>
    <row r="208" spans="1:10" ht="18" customHeight="1">
      <c r="A208" s="72"/>
      <c r="B208" s="72"/>
      <c r="C208" s="72"/>
      <c r="D208" s="72"/>
      <c r="E208" s="72"/>
      <c r="F208" s="72"/>
      <c r="G208" s="72"/>
      <c r="H208" s="174"/>
      <c r="I208" s="72"/>
      <c r="J208" s="73"/>
    </row>
    <row r="209" spans="1:10" ht="18" customHeight="1">
      <c r="A209" s="72"/>
      <c r="B209" s="72"/>
      <c r="C209" s="72"/>
      <c r="D209" s="72"/>
      <c r="E209" s="72"/>
      <c r="F209" s="72"/>
      <c r="G209" s="72"/>
      <c r="H209" s="174"/>
      <c r="I209" s="72"/>
      <c r="J209" s="73"/>
    </row>
    <row r="210" spans="1:10" ht="18" customHeight="1">
      <c r="A210" s="72"/>
      <c r="B210" s="72"/>
      <c r="C210" s="72"/>
      <c r="D210" s="72"/>
      <c r="E210" s="72"/>
      <c r="F210" s="72"/>
      <c r="G210" s="72"/>
      <c r="H210" s="174"/>
      <c r="I210" s="72"/>
      <c r="J210" s="73"/>
    </row>
    <row r="211" spans="1:10" ht="18" customHeight="1">
      <c r="A211" s="72"/>
      <c r="B211" s="72"/>
      <c r="C211" s="72"/>
      <c r="D211" s="72"/>
      <c r="E211" s="72"/>
      <c r="F211" s="72"/>
      <c r="G211" s="72"/>
      <c r="H211" s="174"/>
      <c r="I211" s="72"/>
      <c r="J211" s="73"/>
    </row>
    <row r="212" spans="1:10" ht="18" customHeight="1">
      <c r="A212" s="72"/>
      <c r="B212" s="72"/>
      <c r="C212" s="72"/>
      <c r="D212" s="72"/>
      <c r="E212" s="72"/>
      <c r="F212" s="72"/>
      <c r="G212" s="72"/>
      <c r="H212" s="174"/>
      <c r="I212" s="72"/>
      <c r="J212" s="73"/>
    </row>
    <row r="213" spans="1:10" ht="18" customHeight="1">
      <c r="A213" s="72"/>
      <c r="B213" s="72"/>
      <c r="C213" s="72"/>
      <c r="D213" s="72"/>
      <c r="E213" s="72"/>
      <c r="F213" s="72"/>
      <c r="G213" s="72"/>
      <c r="H213" s="174"/>
      <c r="I213" s="72"/>
      <c r="J213" s="73"/>
    </row>
    <row r="214" spans="1:10" ht="18" customHeight="1">
      <c r="A214" s="72"/>
      <c r="B214" s="72"/>
      <c r="C214" s="72"/>
      <c r="D214" s="72"/>
      <c r="E214" s="72"/>
      <c r="F214" s="72"/>
      <c r="G214" s="72"/>
      <c r="H214" s="174"/>
      <c r="I214" s="72"/>
      <c r="J214" s="73"/>
    </row>
    <row r="215" spans="1:10" ht="18" customHeight="1">
      <c r="A215" s="72"/>
      <c r="B215" s="72"/>
      <c r="C215" s="72"/>
      <c r="D215" s="72"/>
      <c r="E215" s="72"/>
      <c r="F215" s="72"/>
      <c r="G215" s="72"/>
      <c r="H215" s="174"/>
      <c r="I215" s="72"/>
      <c r="J215" s="73"/>
    </row>
    <row r="216" spans="1:10" ht="18" customHeight="1">
      <c r="A216" s="72"/>
      <c r="B216" s="72"/>
      <c r="C216" s="72"/>
      <c r="D216" s="72"/>
      <c r="E216" s="72"/>
      <c r="F216" s="72"/>
      <c r="G216" s="72"/>
      <c r="H216" s="174"/>
      <c r="I216" s="72"/>
      <c r="J216" s="73"/>
    </row>
    <row r="217" spans="1:10" ht="18" customHeight="1">
      <c r="A217" s="72"/>
      <c r="B217" s="72"/>
      <c r="C217" s="72"/>
      <c r="D217" s="72"/>
      <c r="E217" s="72"/>
      <c r="F217" s="72"/>
      <c r="G217" s="72"/>
      <c r="H217" s="174"/>
      <c r="I217" s="72"/>
      <c r="J217" s="73"/>
    </row>
    <row r="218" spans="1:10" ht="18" customHeight="1">
      <c r="A218" s="312" t="s">
        <v>308</v>
      </c>
      <c r="B218" s="72"/>
      <c r="C218" s="72"/>
      <c r="D218" s="72"/>
      <c r="E218" s="72"/>
      <c r="F218" s="139"/>
      <c r="G218" s="139"/>
      <c r="H218" s="139"/>
      <c r="I218" s="72"/>
      <c r="J218" s="73"/>
    </row>
    <row r="219" spans="1:10" ht="18" customHeight="1">
      <c r="A219" s="23" t="s">
        <v>128</v>
      </c>
      <c r="B219" s="24" t="s">
        <v>2</v>
      </c>
      <c r="C219" s="25" t="s">
        <v>3</v>
      </c>
      <c r="D219" s="25" t="s">
        <v>4</v>
      </c>
      <c r="E219" s="25" t="s">
        <v>5</v>
      </c>
      <c r="F219" s="25" t="s">
        <v>6</v>
      </c>
      <c r="G219" s="25" t="s">
        <v>7</v>
      </c>
      <c r="H219" s="26" t="s">
        <v>8</v>
      </c>
      <c r="I219" s="27" t="s">
        <v>9</v>
      </c>
      <c r="J219" s="28" t="s">
        <v>10</v>
      </c>
    </row>
    <row r="220" spans="1:10" ht="18" customHeight="1">
      <c r="A220" s="29" t="s">
        <v>28</v>
      </c>
      <c r="B220" s="30" t="s">
        <v>124</v>
      </c>
      <c r="C220" s="30" t="s">
        <v>124</v>
      </c>
      <c r="D220" s="30" t="s">
        <v>124</v>
      </c>
      <c r="E220" s="30" t="s">
        <v>124</v>
      </c>
      <c r="F220" s="31" t="s">
        <v>125</v>
      </c>
      <c r="G220" s="4"/>
      <c r="H220" s="4" t="s">
        <v>28</v>
      </c>
      <c r="I220" s="45"/>
      <c r="J220" s="32" t="s">
        <v>28</v>
      </c>
    </row>
    <row r="221" spans="1:10" ht="18" customHeight="1">
      <c r="A221" s="313">
        <v>1</v>
      </c>
      <c r="B221" s="130">
        <v>7.75</v>
      </c>
      <c r="C221" s="130">
        <v>7.75</v>
      </c>
      <c r="D221" s="130">
        <v>7.75</v>
      </c>
      <c r="E221" s="130">
        <v>7.75</v>
      </c>
      <c r="F221" s="172">
        <v>6</v>
      </c>
      <c r="G221" s="130"/>
      <c r="H221" s="130" t="s">
        <v>28</v>
      </c>
      <c r="I221" s="130">
        <f>SUM(B221:H221)</f>
        <v>37</v>
      </c>
      <c r="J221" s="173"/>
    </row>
    <row r="222" spans="1:10" ht="18" customHeight="1">
      <c r="A222" s="314"/>
      <c r="B222" s="199" t="s">
        <v>410</v>
      </c>
      <c r="C222" s="199" t="s">
        <v>410</v>
      </c>
      <c r="D222" s="199" t="s">
        <v>410</v>
      </c>
      <c r="E222" s="199" t="s">
        <v>410</v>
      </c>
      <c r="F222" s="199" t="s">
        <v>411</v>
      </c>
      <c r="G222" s="199"/>
      <c r="H222" s="199" t="s">
        <v>28</v>
      </c>
      <c r="I222" s="133"/>
      <c r="J222" s="200"/>
    </row>
    <row r="223" spans="1:10" ht="18" customHeight="1">
      <c r="A223" s="29" t="s">
        <v>28</v>
      </c>
      <c r="B223" s="30" t="s">
        <v>124</v>
      </c>
      <c r="C223" s="30" t="s">
        <v>124</v>
      </c>
      <c r="D223" s="30" t="s">
        <v>124</v>
      </c>
      <c r="E223" s="30" t="s">
        <v>124</v>
      </c>
      <c r="F223" s="31" t="s">
        <v>125</v>
      </c>
      <c r="G223" s="30"/>
      <c r="H223" s="31"/>
      <c r="I223" s="45"/>
      <c r="J223" s="32"/>
    </row>
    <row r="224" spans="1:10" ht="18" customHeight="1">
      <c r="A224" s="313">
        <v>2</v>
      </c>
      <c r="B224" s="130">
        <v>7.75</v>
      </c>
      <c r="C224" s="130">
        <v>7.75</v>
      </c>
      <c r="D224" s="130">
        <v>7.75</v>
      </c>
      <c r="E224" s="130">
        <v>7.75</v>
      </c>
      <c r="F224" s="172">
        <v>6</v>
      </c>
      <c r="G224" s="172"/>
      <c r="H224" s="172"/>
      <c r="I224" s="130">
        <f>SUM(B224:H224)</f>
        <v>37</v>
      </c>
      <c r="J224" s="173"/>
    </row>
    <row r="225" spans="1:10" ht="18" customHeight="1">
      <c r="A225" s="314"/>
      <c r="B225" s="199" t="s">
        <v>410</v>
      </c>
      <c r="C225" s="199" t="s">
        <v>410</v>
      </c>
      <c r="D225" s="199" t="s">
        <v>410</v>
      </c>
      <c r="E225" s="199" t="s">
        <v>410</v>
      </c>
      <c r="F225" s="199" t="s">
        <v>411</v>
      </c>
      <c r="G225" s="182"/>
      <c r="H225" s="178"/>
      <c r="I225" s="133"/>
      <c r="J225" s="200"/>
    </row>
    <row r="226" spans="1:10" ht="18" customHeight="1">
      <c r="A226" s="29"/>
      <c r="B226" s="30" t="s">
        <v>124</v>
      </c>
      <c r="C226" s="30" t="s">
        <v>124</v>
      </c>
      <c r="D226" s="30" t="s">
        <v>124</v>
      </c>
      <c r="E226" s="30" t="s">
        <v>124</v>
      </c>
      <c r="F226" s="31" t="s">
        <v>125</v>
      </c>
      <c r="G226" s="30"/>
      <c r="H226" s="31"/>
      <c r="I226" s="45"/>
      <c r="J226" s="32"/>
    </row>
    <row r="227" spans="1:10" ht="18" customHeight="1">
      <c r="A227" s="313">
        <v>3</v>
      </c>
      <c r="B227" s="130">
        <v>7.75</v>
      </c>
      <c r="C227" s="130">
        <v>7.75</v>
      </c>
      <c r="D227" s="130">
        <v>7.75</v>
      </c>
      <c r="E227" s="130">
        <v>7.75</v>
      </c>
      <c r="F227" s="172">
        <v>6</v>
      </c>
      <c r="G227" s="130"/>
      <c r="H227" s="172"/>
      <c r="I227" s="130">
        <f>SUM(B227:H227)</f>
        <v>37</v>
      </c>
      <c r="J227" s="173"/>
    </row>
    <row r="228" spans="1:10" ht="18" customHeight="1">
      <c r="A228" s="314"/>
      <c r="B228" s="199" t="s">
        <v>410</v>
      </c>
      <c r="C228" s="199" t="s">
        <v>410</v>
      </c>
      <c r="D228" s="199" t="s">
        <v>410</v>
      </c>
      <c r="E228" s="199" t="s">
        <v>410</v>
      </c>
      <c r="F228" s="199" t="s">
        <v>411</v>
      </c>
      <c r="G228" s="133"/>
      <c r="H228" s="178"/>
      <c r="I228" s="133"/>
      <c r="J228" s="200"/>
    </row>
    <row r="229" spans="1:10" ht="18" customHeight="1">
      <c r="A229" s="287"/>
      <c r="B229" s="30" t="s">
        <v>124</v>
      </c>
      <c r="C229" s="30" t="s">
        <v>124</v>
      </c>
      <c r="D229" s="30" t="s">
        <v>124</v>
      </c>
      <c r="E229" s="30" t="s">
        <v>124</v>
      </c>
      <c r="F229" s="31" t="s">
        <v>125</v>
      </c>
      <c r="G229" s="31"/>
      <c r="H229" s="31"/>
      <c r="I229" s="45"/>
      <c r="J229" s="32"/>
    </row>
    <row r="230" spans="1:10" ht="18" customHeight="1">
      <c r="A230" s="313">
        <v>4</v>
      </c>
      <c r="B230" s="130">
        <v>7.75</v>
      </c>
      <c r="C230" s="130">
        <v>7.75</v>
      </c>
      <c r="D230" s="130">
        <v>7.75</v>
      </c>
      <c r="E230" s="130">
        <v>7.75</v>
      </c>
      <c r="F230" s="172">
        <v>6</v>
      </c>
      <c r="G230" s="172"/>
      <c r="H230" s="172"/>
      <c r="I230" s="130">
        <f>SUM(B230:H230)</f>
        <v>37</v>
      </c>
      <c r="J230" s="173"/>
    </row>
    <row r="231" spans="1:10" ht="18" customHeight="1">
      <c r="A231" s="314"/>
      <c r="B231" s="199" t="s">
        <v>410</v>
      </c>
      <c r="C231" s="199" t="s">
        <v>410</v>
      </c>
      <c r="D231" s="199" t="s">
        <v>410</v>
      </c>
      <c r="E231" s="199" t="s">
        <v>410</v>
      </c>
      <c r="F231" s="199" t="s">
        <v>411</v>
      </c>
      <c r="G231" s="178"/>
      <c r="H231" s="178"/>
      <c r="I231" s="133"/>
      <c r="J231" s="200"/>
    </row>
    <row r="232" spans="1:10" ht="18" customHeight="1">
      <c r="A232" s="29"/>
      <c r="B232" s="30" t="s">
        <v>124</v>
      </c>
      <c r="C232" s="30" t="s">
        <v>124</v>
      </c>
      <c r="D232" s="30" t="s">
        <v>124</v>
      </c>
      <c r="E232" s="30" t="s">
        <v>124</v>
      </c>
      <c r="F232" s="31" t="s">
        <v>125</v>
      </c>
      <c r="G232" s="31"/>
      <c r="H232" s="31"/>
      <c r="I232" s="45"/>
      <c r="J232" s="32"/>
    </row>
    <row r="233" spans="1:10" ht="18" customHeight="1">
      <c r="A233" s="313">
        <v>5</v>
      </c>
      <c r="B233" s="130">
        <v>7.75</v>
      </c>
      <c r="C233" s="130">
        <v>7.75</v>
      </c>
      <c r="D233" s="130">
        <v>7.75</v>
      </c>
      <c r="E233" s="130">
        <v>7.75</v>
      </c>
      <c r="F233" s="172">
        <v>6</v>
      </c>
      <c r="G233" s="172"/>
      <c r="H233" s="172"/>
      <c r="I233" s="130">
        <f>SUM(B233:H233)</f>
        <v>37</v>
      </c>
      <c r="J233" s="173"/>
    </row>
    <row r="234" spans="1:10" ht="18" customHeight="1">
      <c r="A234" s="315"/>
      <c r="B234" s="164" t="s">
        <v>410</v>
      </c>
      <c r="C234" s="164" t="s">
        <v>410</v>
      </c>
      <c r="D234" s="164" t="s">
        <v>410</v>
      </c>
      <c r="E234" s="164" t="s">
        <v>410</v>
      </c>
      <c r="F234" s="164" t="s">
        <v>411</v>
      </c>
      <c r="G234" s="140"/>
      <c r="H234" s="140"/>
      <c r="I234" s="34"/>
      <c r="J234" s="142"/>
    </row>
    <row r="235" spans="1:10" ht="18" customHeight="1">
      <c r="A235" s="29"/>
      <c r="B235" s="30" t="s">
        <v>124</v>
      </c>
      <c r="C235" s="30" t="s">
        <v>124</v>
      </c>
      <c r="D235" s="30" t="s">
        <v>124</v>
      </c>
      <c r="E235" s="30" t="s">
        <v>124</v>
      </c>
      <c r="F235" s="31" t="s">
        <v>125</v>
      </c>
      <c r="G235" s="31"/>
      <c r="H235" s="31"/>
      <c r="I235" s="45"/>
      <c r="J235" s="32"/>
    </row>
    <row r="236" spans="1:10" ht="18" customHeight="1">
      <c r="A236" s="313">
        <v>6</v>
      </c>
      <c r="B236" s="130">
        <v>7.75</v>
      </c>
      <c r="C236" s="130">
        <v>7.75</v>
      </c>
      <c r="D236" s="130">
        <v>7.75</v>
      </c>
      <c r="E236" s="130">
        <v>7.75</v>
      </c>
      <c r="F236" s="172">
        <v>6</v>
      </c>
      <c r="G236" s="172"/>
      <c r="H236" s="172"/>
      <c r="I236" s="130">
        <f>SUM(B236:H236)</f>
        <v>37</v>
      </c>
      <c r="J236" s="173"/>
    </row>
    <row r="237" spans="1:10" ht="18" customHeight="1">
      <c r="A237" s="315"/>
      <c r="B237" s="164" t="s">
        <v>410</v>
      </c>
      <c r="C237" s="164" t="s">
        <v>410</v>
      </c>
      <c r="D237" s="164" t="s">
        <v>410</v>
      </c>
      <c r="E237" s="164" t="s">
        <v>410</v>
      </c>
      <c r="F237" s="164" t="s">
        <v>411</v>
      </c>
      <c r="G237" s="140"/>
      <c r="H237" s="140"/>
      <c r="I237" s="34"/>
      <c r="J237" s="142"/>
    </row>
    <row r="238" spans="1:10" ht="18" customHeight="1">
      <c r="A238" s="196" t="s">
        <v>30</v>
      </c>
      <c r="B238" s="196">
        <f t="shared" ref="B238:H238" si="5">SUM(B221,B224,B227,B230,B233,B236)</f>
        <v>46.5</v>
      </c>
      <c r="C238" s="196">
        <f t="shared" si="5"/>
        <v>46.5</v>
      </c>
      <c r="D238" s="196">
        <f t="shared" si="5"/>
        <v>46.5</v>
      </c>
      <c r="E238" s="196">
        <f t="shared" si="5"/>
        <v>46.5</v>
      </c>
      <c r="F238" s="196">
        <f t="shared" si="5"/>
        <v>36</v>
      </c>
      <c r="G238" s="196">
        <f t="shared" si="5"/>
        <v>0</v>
      </c>
      <c r="H238" s="196">
        <f t="shared" si="5"/>
        <v>0</v>
      </c>
      <c r="I238" s="311">
        <f>SUM(I221,I224,I227,I230,I236)</f>
        <v>185</v>
      </c>
      <c r="J238" s="203"/>
    </row>
    <row r="239" spans="1:10" ht="18" customHeight="1">
      <c r="A239" s="312"/>
      <c r="B239" s="72"/>
      <c r="C239" s="72"/>
      <c r="D239" s="72"/>
      <c r="E239" s="72"/>
      <c r="F239" s="139"/>
      <c r="G239" s="204" t="s">
        <v>152</v>
      </c>
      <c r="H239" s="204" t="s">
        <v>153</v>
      </c>
      <c r="I239" s="204" t="s">
        <v>154</v>
      </c>
      <c r="J239" s="73"/>
    </row>
    <row r="240" spans="1:10" ht="18" customHeight="1">
      <c r="A240" s="312"/>
      <c r="B240" s="72"/>
      <c r="C240" s="72"/>
      <c r="D240" s="72"/>
      <c r="E240" s="72"/>
      <c r="F240" s="139"/>
      <c r="G240" s="130">
        <f>I238</f>
        <v>185</v>
      </c>
      <c r="H240" s="169">
        <f>SUM(G240*13/3)</f>
        <v>801.66666666666663</v>
      </c>
      <c r="I240" s="130">
        <f>SUM(H240*12)</f>
        <v>9620</v>
      </c>
      <c r="J240" s="73"/>
    </row>
    <row r="241" spans="1:10" ht="18" customHeight="1">
      <c r="A241" s="312"/>
      <c r="B241" s="72"/>
      <c r="C241" s="72"/>
      <c r="D241" s="72"/>
      <c r="E241" s="72"/>
      <c r="F241" s="139"/>
      <c r="G241" s="72"/>
      <c r="H241" s="174"/>
      <c r="I241" s="72"/>
      <c r="J241" s="73"/>
    </row>
    <row r="242" spans="1:10" ht="18" customHeight="1">
      <c r="A242" t="s">
        <v>412</v>
      </c>
      <c r="B242" s="72"/>
      <c r="C242" s="72"/>
      <c r="D242" s="72"/>
      <c r="E242" s="72"/>
      <c r="F242" s="139"/>
      <c r="G242" s="139"/>
      <c r="H242" s="139"/>
      <c r="I242" s="72"/>
      <c r="J242" s="73"/>
    </row>
    <row r="243" spans="1:10" ht="18" customHeight="1">
      <c r="A243" s="316" t="s">
        <v>413</v>
      </c>
      <c r="B243" s="24" t="s">
        <v>2</v>
      </c>
      <c r="C243" s="25" t="s">
        <v>3</v>
      </c>
      <c r="D243" s="25" t="s">
        <v>4</v>
      </c>
      <c r="E243" s="25" t="s">
        <v>5</v>
      </c>
      <c r="F243" s="25" t="s">
        <v>6</v>
      </c>
      <c r="G243" s="25" t="s">
        <v>7</v>
      </c>
      <c r="H243" s="26" t="s">
        <v>8</v>
      </c>
      <c r="I243" s="27" t="s">
        <v>9</v>
      </c>
      <c r="J243" s="28" t="s">
        <v>10</v>
      </c>
    </row>
    <row r="244" spans="1:10" ht="18" customHeight="1">
      <c r="A244" s="317" t="s">
        <v>414</v>
      </c>
      <c r="B244" s="50" t="s">
        <v>415</v>
      </c>
      <c r="C244" s="192" t="s">
        <v>416</v>
      </c>
      <c r="D244" s="50" t="s">
        <v>415</v>
      </c>
      <c r="E244" s="50" t="s">
        <v>415</v>
      </c>
      <c r="F244" s="45" t="s">
        <v>417</v>
      </c>
      <c r="G244" s="192"/>
      <c r="H244" s="50"/>
      <c r="I244" s="45"/>
      <c r="J244" s="32" t="s">
        <v>28</v>
      </c>
    </row>
    <row r="245" spans="1:10" ht="18" customHeight="1">
      <c r="A245" s="318" t="s">
        <v>28</v>
      </c>
      <c r="B245" s="319" t="s">
        <v>418</v>
      </c>
      <c r="C245" s="319" t="s">
        <v>418</v>
      </c>
      <c r="D245" s="319" t="s">
        <v>418</v>
      </c>
      <c r="E245" s="319" t="s">
        <v>418</v>
      </c>
      <c r="F245" s="319" t="s">
        <v>419</v>
      </c>
      <c r="G245" s="193"/>
      <c r="H245" s="153"/>
      <c r="I245" s="319"/>
      <c r="J245" s="173"/>
    </row>
    <row r="246" spans="1:10" ht="18" customHeight="1">
      <c r="A246" s="320"/>
      <c r="B246" s="321">
        <v>7.5</v>
      </c>
      <c r="C246" s="321">
        <v>7.5</v>
      </c>
      <c r="D246" s="321">
        <v>7.5</v>
      </c>
      <c r="E246" s="321">
        <v>7.5</v>
      </c>
      <c r="F246" s="321">
        <v>7</v>
      </c>
      <c r="G246" s="322"/>
      <c r="H246" s="52"/>
      <c r="I246" s="321"/>
      <c r="J246" s="323"/>
    </row>
    <row r="247" spans="1:10" ht="18" customHeight="1">
      <c r="A247" s="196" t="s">
        <v>30</v>
      </c>
      <c r="B247" s="324">
        <f>B246</f>
        <v>7.5</v>
      </c>
      <c r="C247" s="324">
        <f>C246</f>
        <v>7.5</v>
      </c>
      <c r="D247" s="324">
        <f>D246</f>
        <v>7.5</v>
      </c>
      <c r="E247" s="324">
        <f>E246</f>
        <v>7.5</v>
      </c>
      <c r="F247" s="324">
        <f>F246</f>
        <v>7</v>
      </c>
      <c r="G247" s="196">
        <f>SUM(G230,G236,G239,G242,G245)</f>
        <v>0</v>
      </c>
      <c r="H247" s="196">
        <f>SUM(H230,H236,H239,H242,H245)</f>
        <v>0</v>
      </c>
      <c r="I247" s="325">
        <v>37</v>
      </c>
      <c r="J247" s="203"/>
    </row>
    <row r="248" spans="1:10" ht="18" customHeight="1">
      <c r="A248" s="312"/>
      <c r="B248" s="72"/>
      <c r="C248" s="72"/>
      <c r="D248" s="72"/>
      <c r="E248" s="72"/>
      <c r="F248" s="139"/>
      <c r="G248" s="204" t="s">
        <v>152</v>
      </c>
      <c r="H248" s="204" t="s">
        <v>153</v>
      </c>
      <c r="I248" s="204" t="s">
        <v>154</v>
      </c>
      <c r="J248" s="73"/>
    </row>
    <row r="249" spans="1:10" ht="18" customHeight="1">
      <c r="A249" s="312"/>
      <c r="B249" s="72"/>
      <c r="C249" s="72"/>
      <c r="D249" s="72"/>
      <c r="E249" s="72"/>
      <c r="F249" s="139"/>
      <c r="G249" s="130">
        <f>I247</f>
        <v>37</v>
      </c>
      <c r="H249" s="169">
        <f>SUM(G249*13/3)</f>
        <v>160.33333333333334</v>
      </c>
      <c r="I249" s="130">
        <f>SUM(H249*12)</f>
        <v>1924</v>
      </c>
      <c r="J249" s="73"/>
    </row>
    <row r="250" spans="1:10" ht="18" customHeight="1">
      <c r="A250" s="312"/>
      <c r="B250" s="72"/>
      <c r="C250" s="72"/>
      <c r="D250" s="72"/>
      <c r="E250" s="72"/>
      <c r="F250" s="139"/>
      <c r="G250" s="139"/>
      <c r="H250" s="139"/>
      <c r="I250" s="72"/>
      <c r="J250" s="73"/>
    </row>
    <row r="251" spans="1:10" ht="18" customHeight="1">
      <c r="A251" s="312"/>
      <c r="B251" s="72"/>
      <c r="C251" s="72"/>
      <c r="D251" s="72"/>
      <c r="E251" s="72"/>
      <c r="F251" s="139"/>
      <c r="G251" s="139"/>
      <c r="H251" s="139"/>
      <c r="I251" s="72"/>
      <c r="J251" s="73"/>
    </row>
    <row r="252" spans="1:10" ht="18" customHeight="1">
      <c r="A252" s="312"/>
      <c r="B252" s="72"/>
      <c r="C252" s="72"/>
      <c r="D252" s="72"/>
      <c r="E252" s="72"/>
      <c r="F252" s="139"/>
      <c r="G252" s="139"/>
      <c r="H252" s="139"/>
      <c r="I252" s="72"/>
      <c r="J252" s="73"/>
    </row>
    <row r="253" spans="1:10" ht="18" customHeight="1">
      <c r="A253" s="312"/>
      <c r="B253" s="72"/>
      <c r="C253" s="72"/>
      <c r="D253" s="72"/>
      <c r="E253" s="72"/>
      <c r="F253" s="139"/>
      <c r="G253" s="139"/>
      <c r="H253" s="139"/>
      <c r="I253" s="72"/>
      <c r="J253" s="73"/>
    </row>
    <row r="254" spans="1:10" ht="20.100000000000001" customHeight="1">
      <c r="A254" s="312" t="s">
        <v>420</v>
      </c>
      <c r="B254" s="72"/>
      <c r="C254" s="72"/>
      <c r="D254" s="72"/>
      <c r="E254" s="72"/>
      <c r="F254" s="139"/>
      <c r="G254" s="139"/>
      <c r="H254" s="139"/>
      <c r="I254" s="72"/>
      <c r="J254" s="73"/>
    </row>
    <row r="255" spans="1:10" ht="20.100000000000001" customHeight="1">
      <c r="A255" s="205" t="s">
        <v>421</v>
      </c>
      <c r="B255" s="24" t="s">
        <v>2</v>
      </c>
      <c r="C255" s="25" t="s">
        <v>3</v>
      </c>
      <c r="D255" s="25" t="s">
        <v>4</v>
      </c>
      <c r="E255" s="25" t="s">
        <v>5</v>
      </c>
      <c r="F255" s="25" t="s">
        <v>6</v>
      </c>
      <c r="G255" s="25" t="s">
        <v>7</v>
      </c>
      <c r="H255" s="26" t="s">
        <v>8</v>
      </c>
      <c r="I255" s="27" t="s">
        <v>9</v>
      </c>
      <c r="J255" s="28" t="s">
        <v>10</v>
      </c>
    </row>
    <row r="256" spans="1:10" ht="20.100000000000001" customHeight="1">
      <c r="A256" s="29" t="s">
        <v>28</v>
      </c>
      <c r="B256" s="5" t="s">
        <v>422</v>
      </c>
      <c r="C256" s="5" t="s">
        <v>422</v>
      </c>
      <c r="D256" s="5" t="s">
        <v>422</v>
      </c>
      <c r="E256" s="5" t="s">
        <v>422</v>
      </c>
      <c r="F256" s="5" t="s">
        <v>422</v>
      </c>
      <c r="G256" s="5"/>
      <c r="H256" s="5"/>
      <c r="I256" s="7"/>
      <c r="J256" s="32"/>
    </row>
    <row r="257" spans="1:10" ht="20.100000000000001" customHeight="1">
      <c r="A257" s="313" t="s">
        <v>423</v>
      </c>
      <c r="B257" s="172">
        <v>8.5</v>
      </c>
      <c r="C257" s="172">
        <v>8.5</v>
      </c>
      <c r="D257" s="172">
        <v>8.5</v>
      </c>
      <c r="E257" s="172">
        <v>8.5</v>
      </c>
      <c r="F257" s="172">
        <v>8.5</v>
      </c>
      <c r="G257" s="172"/>
      <c r="H257" s="172"/>
      <c r="I257" s="130">
        <f>SUM(B257:H257)</f>
        <v>42.5</v>
      </c>
      <c r="J257" s="173"/>
    </row>
    <row r="258" spans="1:10" ht="20.100000000000001" customHeight="1">
      <c r="A258" s="314"/>
      <c r="B258" s="260" t="s">
        <v>424</v>
      </c>
      <c r="C258" s="260" t="s">
        <v>424</v>
      </c>
      <c r="D258" s="260" t="s">
        <v>424</v>
      </c>
      <c r="E258" s="260" t="s">
        <v>424</v>
      </c>
      <c r="F258" s="260" t="s">
        <v>424</v>
      </c>
      <c r="G258" s="260"/>
      <c r="H258" s="260"/>
      <c r="I258" s="124"/>
      <c r="J258" s="85"/>
    </row>
    <row r="259" spans="1:10" ht="20.100000000000001" customHeight="1">
      <c r="A259" s="29" t="s">
        <v>28</v>
      </c>
      <c r="B259" s="5" t="s">
        <v>425</v>
      </c>
      <c r="C259" s="5" t="s">
        <v>425</v>
      </c>
      <c r="D259" s="5" t="s">
        <v>425</v>
      </c>
      <c r="E259" s="5" t="s">
        <v>425</v>
      </c>
      <c r="F259" s="5" t="s">
        <v>425</v>
      </c>
      <c r="G259" s="5" t="s">
        <v>426</v>
      </c>
      <c r="H259" s="5" t="s">
        <v>426</v>
      </c>
      <c r="I259" s="7"/>
      <c r="J259" s="32" t="s">
        <v>427</v>
      </c>
    </row>
    <row r="260" spans="1:10" ht="20.100000000000001" customHeight="1">
      <c r="A260" s="313" t="s">
        <v>428</v>
      </c>
      <c r="B260" s="130">
        <v>7</v>
      </c>
      <c r="C260" s="130">
        <v>7</v>
      </c>
      <c r="D260" s="130">
        <v>7</v>
      </c>
      <c r="E260" s="130">
        <v>7</v>
      </c>
      <c r="F260" s="130">
        <v>7</v>
      </c>
      <c r="G260" s="172">
        <v>12</v>
      </c>
      <c r="H260" s="172">
        <v>12</v>
      </c>
      <c r="I260" s="130">
        <f>SUM(B260:H260)</f>
        <v>59</v>
      </c>
      <c r="J260" s="173" t="s">
        <v>429</v>
      </c>
    </row>
    <row r="261" spans="1:10" ht="20.100000000000001" customHeight="1">
      <c r="A261" s="314"/>
      <c r="B261" s="260" t="s">
        <v>430</v>
      </c>
      <c r="C261" s="260" t="s">
        <v>430</v>
      </c>
      <c r="D261" s="260" t="s">
        <v>430</v>
      </c>
      <c r="E261" s="260" t="s">
        <v>430</v>
      </c>
      <c r="F261" s="260" t="s">
        <v>430</v>
      </c>
      <c r="G261" s="260" t="s">
        <v>431</v>
      </c>
      <c r="H261" s="260" t="s">
        <v>431</v>
      </c>
      <c r="I261" s="124"/>
      <c r="J261" s="85"/>
    </row>
    <row r="262" spans="1:10" ht="20.100000000000001" customHeight="1">
      <c r="A262" s="29"/>
      <c r="B262" s="30" t="s">
        <v>162</v>
      </c>
      <c r="C262" s="30" t="s">
        <v>162</v>
      </c>
      <c r="D262" s="30" t="s">
        <v>162</v>
      </c>
      <c r="E262" s="30" t="s">
        <v>162</v>
      </c>
      <c r="F262" s="30" t="s">
        <v>162</v>
      </c>
      <c r="G262" s="31"/>
      <c r="H262" s="31"/>
      <c r="I262" s="7"/>
      <c r="J262" s="32"/>
    </row>
    <row r="263" spans="1:10" ht="20.100000000000001" customHeight="1">
      <c r="A263" s="313" t="s">
        <v>432</v>
      </c>
      <c r="B263" s="130"/>
      <c r="C263" s="130"/>
      <c r="D263" s="130"/>
      <c r="E263" s="130"/>
      <c r="F263" s="130"/>
      <c r="G263" s="172"/>
      <c r="H263" s="172"/>
      <c r="I263" s="130">
        <f>SUM(B263:H263)</f>
        <v>0</v>
      </c>
      <c r="J263" s="173"/>
    </row>
    <row r="264" spans="1:10" ht="20.100000000000001" customHeight="1">
      <c r="A264" s="314"/>
      <c r="B264" s="326" t="s">
        <v>433</v>
      </c>
      <c r="C264" s="326" t="s">
        <v>433</v>
      </c>
      <c r="D264" s="326" t="s">
        <v>433</v>
      </c>
      <c r="E264" s="326" t="s">
        <v>433</v>
      </c>
      <c r="F264" s="326" t="s">
        <v>433</v>
      </c>
      <c r="G264" s="124"/>
      <c r="H264" s="125"/>
      <c r="I264" s="124"/>
      <c r="J264" s="85"/>
    </row>
    <row r="265" spans="1:10" ht="20.100000000000001" customHeight="1">
      <c r="A265" s="287"/>
      <c r="B265" s="5" t="s">
        <v>434</v>
      </c>
      <c r="C265" s="5" t="s">
        <v>434</v>
      </c>
      <c r="D265" s="5" t="s">
        <v>434</v>
      </c>
      <c r="E265" s="5" t="s">
        <v>434</v>
      </c>
      <c r="F265" s="5" t="s">
        <v>434</v>
      </c>
      <c r="G265" s="31"/>
      <c r="H265" s="31"/>
      <c r="I265" s="7"/>
      <c r="J265" s="32" t="s">
        <v>28</v>
      </c>
    </row>
    <row r="266" spans="1:10" ht="20.100000000000001" customHeight="1">
      <c r="A266" s="313" t="s">
        <v>435</v>
      </c>
      <c r="B266" s="130">
        <v>7.75</v>
      </c>
      <c r="C266" s="130">
        <v>7.75</v>
      </c>
      <c r="D266" s="130">
        <v>7.75</v>
      </c>
      <c r="E266" s="130">
        <v>7.75</v>
      </c>
      <c r="F266" s="130">
        <v>7.75</v>
      </c>
      <c r="G266" s="172"/>
      <c r="H266" s="172"/>
      <c r="I266" s="130">
        <f>SUM(B266:H266)</f>
        <v>38.75</v>
      </c>
      <c r="J266" s="173"/>
    </row>
    <row r="267" spans="1:10" ht="20.100000000000001" customHeight="1">
      <c r="A267" s="314"/>
      <c r="B267" s="260" t="s">
        <v>436</v>
      </c>
      <c r="C267" s="260" t="s">
        <v>436</v>
      </c>
      <c r="D267" s="260" t="s">
        <v>436</v>
      </c>
      <c r="E267" s="260" t="s">
        <v>436</v>
      </c>
      <c r="F267" s="260" t="s">
        <v>436</v>
      </c>
      <c r="G267" s="125"/>
      <c r="H267" s="125"/>
      <c r="I267" s="124"/>
      <c r="J267" s="85"/>
    </row>
    <row r="268" spans="1:10" ht="20.100000000000001" customHeight="1">
      <c r="A268" s="29"/>
      <c r="B268" s="30"/>
      <c r="C268" s="30"/>
      <c r="D268" s="30"/>
      <c r="E268" s="30"/>
      <c r="F268" s="30"/>
      <c r="G268" s="30"/>
      <c r="H268" s="30"/>
      <c r="I268" s="7"/>
      <c r="J268" s="32" t="s">
        <v>28</v>
      </c>
    </row>
    <row r="269" spans="1:10" ht="20.100000000000001" customHeight="1">
      <c r="A269" s="313" t="s">
        <v>437</v>
      </c>
      <c r="B269" s="130"/>
      <c r="C269" s="130"/>
      <c r="D269" s="130"/>
      <c r="E269" s="130"/>
      <c r="F269" s="130"/>
      <c r="G269" s="172"/>
      <c r="H269" s="172"/>
      <c r="I269" s="130">
        <f>SUM(B269:H269)</f>
        <v>0</v>
      </c>
      <c r="J269" s="173" t="s">
        <v>28</v>
      </c>
    </row>
    <row r="270" spans="1:10" ht="20.100000000000001" customHeight="1">
      <c r="A270" s="315"/>
      <c r="B270" s="260" t="s">
        <v>438</v>
      </c>
      <c r="C270" s="260" t="s">
        <v>438</v>
      </c>
      <c r="D270" s="260" t="s">
        <v>438</v>
      </c>
      <c r="E270" s="260" t="s">
        <v>438</v>
      </c>
      <c r="F270" s="260" t="s">
        <v>438</v>
      </c>
      <c r="G270" s="126"/>
      <c r="H270" s="126"/>
      <c r="I270" s="17"/>
      <c r="J270" s="37"/>
    </row>
    <row r="271" spans="1:10" ht="20.100000000000001" customHeight="1">
      <c r="A271" s="327"/>
      <c r="B271" s="30"/>
      <c r="C271" s="30"/>
      <c r="D271" s="30"/>
      <c r="E271" s="30"/>
      <c r="F271" s="30"/>
      <c r="G271" s="30"/>
      <c r="H271" s="30"/>
      <c r="I271" s="7"/>
      <c r="J271" s="32" t="s">
        <v>28</v>
      </c>
    </row>
    <row r="272" spans="1:10" ht="20.100000000000001" customHeight="1">
      <c r="A272" s="327" t="s">
        <v>439</v>
      </c>
      <c r="B272" s="130"/>
      <c r="C272" s="130"/>
      <c r="D272" s="130"/>
      <c r="E272" s="130"/>
      <c r="F272" s="130"/>
      <c r="G272" s="172"/>
      <c r="H272" s="172"/>
      <c r="I272" s="130">
        <f>SUM(B272:H272)</f>
        <v>0</v>
      </c>
      <c r="J272" s="173"/>
    </row>
    <row r="273" spans="1:10" ht="20.100000000000001" customHeight="1">
      <c r="A273" s="327"/>
      <c r="B273" s="326"/>
      <c r="C273" s="326"/>
      <c r="D273" s="326"/>
      <c r="E273" s="326"/>
      <c r="F273" s="326"/>
      <c r="G273" s="126"/>
      <c r="H273" s="126"/>
      <c r="I273" s="124"/>
      <c r="J273" s="85"/>
    </row>
    <row r="274" spans="1:10" ht="20.100000000000001" customHeight="1">
      <c r="A274" s="29"/>
      <c r="B274" s="30"/>
      <c r="C274" s="30"/>
      <c r="D274" s="30"/>
      <c r="E274" s="30"/>
      <c r="F274" s="30"/>
      <c r="G274" s="31"/>
      <c r="H274" s="31"/>
      <c r="I274" s="7"/>
      <c r="J274" s="32"/>
    </row>
    <row r="275" spans="1:10" ht="20.100000000000001" customHeight="1">
      <c r="A275" s="313" t="s">
        <v>440</v>
      </c>
      <c r="B275" s="130"/>
      <c r="C275" s="130"/>
      <c r="D275" s="130"/>
      <c r="E275" s="130"/>
      <c r="F275" s="130"/>
      <c r="G275" s="172"/>
      <c r="H275" s="172"/>
      <c r="I275" s="130">
        <f>SUM(B275:H275)</f>
        <v>0</v>
      </c>
      <c r="J275" s="173"/>
    </row>
    <row r="276" spans="1:10" ht="20.100000000000001" customHeight="1">
      <c r="A276" s="315"/>
      <c r="B276" s="326"/>
      <c r="C276" s="326"/>
      <c r="D276" s="326"/>
      <c r="E276" s="326"/>
      <c r="F276" s="326"/>
      <c r="G276" s="18"/>
      <c r="H276" s="18"/>
      <c r="I276" s="17"/>
      <c r="J276" s="37"/>
    </row>
    <row r="277" spans="1:10" ht="20.100000000000001" customHeight="1">
      <c r="A277" s="196" t="s">
        <v>30</v>
      </c>
      <c r="B277" s="196">
        <f t="shared" ref="B277:I277" si="6">SUM(B257,B260,B263,B266,B269,B272,B275)</f>
        <v>23.25</v>
      </c>
      <c r="C277" s="196">
        <f t="shared" si="6"/>
        <v>23.25</v>
      </c>
      <c r="D277" s="196">
        <f t="shared" si="6"/>
        <v>23.25</v>
      </c>
      <c r="E277" s="196">
        <f t="shared" si="6"/>
        <v>23.25</v>
      </c>
      <c r="F277" s="196">
        <f t="shared" si="6"/>
        <v>23.25</v>
      </c>
      <c r="G277" s="196">
        <f t="shared" si="6"/>
        <v>12</v>
      </c>
      <c r="H277" s="196">
        <f t="shared" si="6"/>
        <v>12</v>
      </c>
      <c r="I277" s="196">
        <f t="shared" si="6"/>
        <v>140.25</v>
      </c>
      <c r="J277" s="203"/>
    </row>
    <row r="278" spans="1:10" ht="20.100000000000001" customHeight="1">
      <c r="A278" s="312"/>
      <c r="B278" s="72"/>
      <c r="C278" s="72"/>
      <c r="D278" s="72"/>
      <c r="E278" s="72"/>
      <c r="F278" s="139"/>
      <c r="G278" s="204" t="s">
        <v>152</v>
      </c>
      <c r="H278" s="204" t="s">
        <v>153</v>
      </c>
      <c r="I278" s="204" t="s">
        <v>154</v>
      </c>
      <c r="J278" s="73"/>
    </row>
    <row r="279" spans="1:10" ht="20.100000000000001" customHeight="1">
      <c r="A279" s="312"/>
      <c r="B279" s="72"/>
      <c r="C279" s="72"/>
      <c r="D279" s="72"/>
      <c r="E279" s="72"/>
      <c r="F279" s="139"/>
      <c r="G279" s="130">
        <f>I277</f>
        <v>140.25</v>
      </c>
      <c r="H279" s="169">
        <f>SUM(G279*13/3)</f>
        <v>607.75</v>
      </c>
      <c r="I279" s="130">
        <f>SUM(H279*12)</f>
        <v>7293</v>
      </c>
      <c r="J279" s="73"/>
    </row>
    <row r="280" spans="1:10" ht="20.100000000000001" customHeight="1">
      <c r="A280" s="72"/>
      <c r="B280" s="72"/>
      <c r="C280" s="72"/>
      <c r="D280" s="72"/>
      <c r="E280" s="72"/>
      <c r="F280" s="139"/>
      <c r="G280" s="139"/>
      <c r="H280" s="139"/>
      <c r="I280" s="72"/>
      <c r="J280" s="73"/>
    </row>
    <row r="281" spans="1:10" ht="20.100000000000001" customHeight="1">
      <c r="A281" s="72"/>
      <c r="B281" s="72"/>
      <c r="C281" s="72"/>
      <c r="D281" s="72"/>
      <c r="E281" s="72"/>
      <c r="F281" s="139"/>
      <c r="G281" s="139"/>
      <c r="H281" s="139"/>
      <c r="I281" s="72"/>
      <c r="J281" s="73"/>
    </row>
    <row r="282" spans="1:10" ht="20.100000000000001" customHeight="1">
      <c r="A282" s="72"/>
      <c r="B282" s="72"/>
      <c r="C282" s="72"/>
      <c r="D282" s="72"/>
      <c r="E282" s="72"/>
      <c r="F282" s="139"/>
      <c r="G282" s="139"/>
      <c r="H282" s="139"/>
      <c r="I282" s="72"/>
      <c r="J282" s="73"/>
    </row>
    <row r="283" spans="1:10" ht="20.100000000000001" customHeight="1">
      <c r="A283" s="72"/>
      <c r="B283" s="72"/>
      <c r="C283" s="72"/>
      <c r="D283" s="72"/>
      <c r="E283" s="72"/>
      <c r="F283" s="139"/>
      <c r="G283" s="139"/>
      <c r="H283" s="139"/>
      <c r="I283" s="72"/>
      <c r="J283" s="73"/>
    </row>
    <row r="284" spans="1:10" ht="20.100000000000001" customHeight="1">
      <c r="A284" s="72"/>
      <c r="B284" s="274"/>
      <c r="C284" s="274"/>
      <c r="D284" s="274"/>
      <c r="E284" s="274"/>
      <c r="F284" s="274"/>
      <c r="G284" s="139"/>
      <c r="H284" s="139"/>
      <c r="I284" s="72"/>
      <c r="J284" s="73"/>
    </row>
    <row r="285" spans="1:10" ht="20.100000000000001" customHeight="1">
      <c r="A285" s="72"/>
      <c r="B285" s="72"/>
      <c r="C285" s="72"/>
      <c r="D285" s="72"/>
      <c r="E285" s="72"/>
      <c r="F285" s="139"/>
      <c r="G285" s="139"/>
      <c r="H285" s="139"/>
      <c r="I285" s="72"/>
      <c r="J285" s="73"/>
    </row>
    <row r="286" spans="1:10" ht="20.100000000000001" customHeight="1">
      <c r="A286" s="328"/>
      <c r="B286" s="150" t="s">
        <v>2</v>
      </c>
      <c r="C286" s="63" t="s">
        <v>3</v>
      </c>
      <c r="D286" s="63" t="s">
        <v>4</v>
      </c>
      <c r="E286" s="63" t="s">
        <v>5</v>
      </c>
      <c r="F286" s="63" t="s">
        <v>6</v>
      </c>
      <c r="G286" s="63" t="s">
        <v>7</v>
      </c>
      <c r="H286" s="151" t="s">
        <v>8</v>
      </c>
      <c r="I286" s="152" t="s">
        <v>137</v>
      </c>
      <c r="J286" s="73"/>
    </row>
    <row r="287" spans="1:10" ht="20.100000000000001" customHeight="1">
      <c r="A287" s="329" t="s">
        <v>138</v>
      </c>
      <c r="B287" s="330">
        <f t="shared" ref="B287:I287" si="7">SUM(B4,B11,B53,B65,B116,B163,B169,B189,B204,B238,B247,B277)</f>
        <v>276</v>
      </c>
      <c r="C287" s="330">
        <f t="shared" si="7"/>
        <v>276</v>
      </c>
      <c r="D287" s="330">
        <f t="shared" si="7"/>
        <v>276</v>
      </c>
      <c r="E287" s="330">
        <f t="shared" si="7"/>
        <v>276</v>
      </c>
      <c r="F287" s="330">
        <f t="shared" si="7"/>
        <v>246.5</v>
      </c>
      <c r="G287" s="330">
        <f t="shared" si="7"/>
        <v>105</v>
      </c>
      <c r="H287" s="330">
        <f t="shared" si="7"/>
        <v>108</v>
      </c>
      <c r="I287" s="330">
        <f t="shared" si="7"/>
        <v>1526.5</v>
      </c>
      <c r="J287" s="73"/>
    </row>
    <row r="288" spans="1:10" ht="20.100000000000001" customHeight="1">
      <c r="A288" s="331" t="s">
        <v>140</v>
      </c>
      <c r="B288" s="17">
        <f t="shared" ref="B288:I288" si="8">SUM(B287*52)</f>
        <v>14352</v>
      </c>
      <c r="C288" s="17">
        <f t="shared" si="8"/>
        <v>14352</v>
      </c>
      <c r="D288" s="17">
        <f t="shared" si="8"/>
        <v>14352</v>
      </c>
      <c r="E288" s="17">
        <f t="shared" si="8"/>
        <v>14352</v>
      </c>
      <c r="F288" s="17">
        <f t="shared" si="8"/>
        <v>12818</v>
      </c>
      <c r="G288" s="17">
        <f t="shared" si="8"/>
        <v>5460</v>
      </c>
      <c r="H288" s="17">
        <f t="shared" si="8"/>
        <v>5616</v>
      </c>
      <c r="I288" s="17">
        <f t="shared" si="8"/>
        <v>79378</v>
      </c>
      <c r="J288" s="73"/>
    </row>
    <row r="289" spans="1:10" ht="20.100000000000001" customHeight="1">
      <c r="J289" s="73"/>
    </row>
    <row r="290" spans="1:10" ht="20.100000000000001" customHeight="1">
      <c r="J290" s="139" t="s">
        <v>28</v>
      </c>
    </row>
    <row r="291" spans="1:10" ht="20.100000000000001" customHeight="1">
      <c r="A291" s="332" t="s">
        <v>338</v>
      </c>
      <c r="B291" s="45"/>
      <c r="C291" s="45"/>
      <c r="D291" s="45"/>
      <c r="E291" s="30">
        <v>56</v>
      </c>
      <c r="F291" s="45"/>
      <c r="G291" s="45"/>
      <c r="H291" s="7"/>
      <c r="I291" s="333">
        <f>SUM(E291)*26</f>
        <v>1456</v>
      </c>
      <c r="J291" s="72" t="s">
        <v>28</v>
      </c>
    </row>
    <row r="292" spans="1:10" ht="20.100000000000001" customHeight="1">
      <c r="A292" s="334" t="s">
        <v>339</v>
      </c>
      <c r="B292" s="157"/>
      <c r="C292" s="157"/>
      <c r="D292" s="157"/>
      <c r="E292" s="157"/>
      <c r="F292" s="157"/>
      <c r="G292" s="157"/>
      <c r="H292" s="157"/>
      <c r="I292" s="335">
        <f>SUM(I291*2)</f>
        <v>2912</v>
      </c>
    </row>
    <row r="293" spans="1:10" ht="20.100000000000001" customHeight="1">
      <c r="A293" s="329" t="s">
        <v>143</v>
      </c>
      <c r="B293" s="153"/>
      <c r="C293" s="155"/>
      <c r="D293" s="157"/>
      <c r="E293" s="157"/>
      <c r="F293" s="157"/>
      <c r="G293" s="157"/>
      <c r="H293" s="157"/>
      <c r="I293" s="335">
        <f>48*12</f>
        <v>576</v>
      </c>
    </row>
    <row r="294" spans="1:10" ht="20.100000000000001" customHeight="1">
      <c r="A294" s="336" t="s">
        <v>137</v>
      </c>
      <c r="B294" s="53"/>
      <c r="C294" s="53"/>
      <c r="D294" s="53"/>
      <c r="E294" s="53"/>
      <c r="F294" s="53"/>
      <c r="G294" s="53"/>
      <c r="H294" s="53"/>
      <c r="I294" s="337">
        <f>SUM(I291:I293)</f>
        <v>4944</v>
      </c>
    </row>
    <row r="295" spans="1:10" ht="20.100000000000001" customHeight="1">
      <c r="I295" s="160"/>
    </row>
    <row r="296" spans="1:10" ht="20.100000000000001" customHeight="1">
      <c r="I296" s="160"/>
    </row>
    <row r="297" spans="1:10" ht="20.100000000000001" customHeight="1">
      <c r="A297" s="158" t="s">
        <v>144</v>
      </c>
      <c r="B297" s="158"/>
      <c r="C297" s="158"/>
      <c r="D297" s="158"/>
      <c r="E297" s="158"/>
      <c r="F297" s="158"/>
      <c r="G297" s="158"/>
      <c r="H297" s="158"/>
      <c r="I297" s="161">
        <f>SUM(I288+I294)</f>
        <v>84322</v>
      </c>
      <c r="J297" t="s">
        <v>441</v>
      </c>
    </row>
  </sheetData>
  <sheetProtection password="CC44" sheet="1" objects="1" scenarios="1"/>
  <phoneticPr fontId="8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3"/>
  <dimension ref="A1:AF267"/>
  <sheetViews>
    <sheetView topLeftCell="E160" zoomScale="67" zoomScaleNormal="67" workbookViewId="0">
      <selection activeCell="D165" sqref="D165"/>
    </sheetView>
  </sheetViews>
  <sheetFormatPr defaultRowHeight="12.75"/>
  <cols>
    <col min="1" max="1" width="26.28515625" customWidth="1"/>
    <col min="2" max="2" width="14" customWidth="1"/>
    <col min="3" max="4" width="15.7109375" bestFit="1" customWidth="1"/>
    <col min="5" max="6" width="15" bestFit="1" customWidth="1"/>
    <col min="7" max="7" width="13.28515625" customWidth="1"/>
    <col min="8" max="8" width="13.140625" customWidth="1"/>
    <col min="9" max="9" width="12.5703125" customWidth="1"/>
    <col min="10" max="10" width="26" customWidth="1"/>
    <col min="14" max="14" width="16.5703125" customWidth="1"/>
    <col min="15" max="15" width="15.42578125" customWidth="1"/>
    <col min="17" max="17" width="9.85546875" customWidth="1"/>
    <col min="20" max="20" width="10.28515625" customWidth="1"/>
    <col min="23" max="23" width="15.85546875" customWidth="1"/>
    <col min="24" max="24" width="19.28515625" customWidth="1"/>
    <col min="25" max="25" width="11.28515625" customWidth="1"/>
  </cols>
  <sheetData>
    <row r="1" spans="1:15" ht="20.100000000000001" customHeight="1">
      <c r="A1" s="1" t="s">
        <v>0</v>
      </c>
      <c r="B1" s="1"/>
      <c r="D1" s="2"/>
      <c r="E1" s="2"/>
    </row>
    <row r="2" spans="1:15" ht="20.100000000000001" customHeight="1">
      <c r="A2" s="3" t="s">
        <v>146</v>
      </c>
      <c r="B2" s="4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6" t="s">
        <v>8</v>
      </c>
      <c r="I2" s="7" t="s">
        <v>9</v>
      </c>
      <c r="J2" s="8" t="s">
        <v>10</v>
      </c>
    </row>
    <row r="3" spans="1:15" ht="20.100000000000001" customHeight="1">
      <c r="A3" s="9"/>
      <c r="B3" s="10" t="s">
        <v>147</v>
      </c>
      <c r="C3" s="10" t="s">
        <v>147</v>
      </c>
      <c r="D3" s="10" t="s">
        <v>147</v>
      </c>
      <c r="E3" s="10" t="s">
        <v>147</v>
      </c>
      <c r="F3" s="11" t="s">
        <v>148</v>
      </c>
      <c r="G3" s="12"/>
      <c r="H3" s="13"/>
      <c r="I3" s="14"/>
      <c r="J3" s="15"/>
    </row>
    <row r="4" spans="1:15" ht="20.100000000000001" customHeight="1">
      <c r="A4" s="338" t="s">
        <v>149</v>
      </c>
      <c r="B4" s="17">
        <v>7.75</v>
      </c>
      <c r="C4" s="17">
        <v>7.75</v>
      </c>
      <c r="D4" s="17">
        <v>7.75</v>
      </c>
      <c r="E4" s="17">
        <v>7.75</v>
      </c>
      <c r="F4" s="18">
        <v>6</v>
      </c>
      <c r="G4" s="19"/>
      <c r="H4" s="20"/>
      <c r="I4" s="21">
        <f>SUM(B4:H4)</f>
        <v>37</v>
      </c>
      <c r="J4" s="22"/>
    </row>
    <row r="5" spans="1:15" ht="20.100000000000001" customHeight="1">
      <c r="A5" s="1" t="s">
        <v>150</v>
      </c>
      <c r="B5" s="1"/>
      <c r="D5" s="2"/>
      <c r="E5" s="2"/>
    </row>
    <row r="6" spans="1:15" ht="20.100000000000001" customHeight="1">
      <c r="A6" s="201" t="s">
        <v>32</v>
      </c>
      <c r="B6" s="4" t="s">
        <v>2</v>
      </c>
      <c r="C6" s="5" t="s">
        <v>3</v>
      </c>
      <c r="D6" s="5" t="s">
        <v>4</v>
      </c>
      <c r="E6" s="5" t="s">
        <v>5</v>
      </c>
      <c r="F6" s="5" t="s">
        <v>6</v>
      </c>
      <c r="G6" s="5" t="s">
        <v>7</v>
      </c>
      <c r="H6" s="5" t="s">
        <v>8</v>
      </c>
      <c r="I6" s="45" t="s">
        <v>9</v>
      </c>
      <c r="J6" s="8" t="s">
        <v>10</v>
      </c>
    </row>
    <row r="7" spans="1:15" ht="20.100000000000001" customHeight="1">
      <c r="A7" s="306"/>
      <c r="B7" s="172" t="s">
        <v>33</v>
      </c>
      <c r="C7" s="172" t="s">
        <v>33</v>
      </c>
      <c r="D7" s="172" t="s">
        <v>33</v>
      </c>
      <c r="E7" s="172" t="s">
        <v>33</v>
      </c>
      <c r="F7" s="172" t="s">
        <v>34</v>
      </c>
      <c r="G7" s="297"/>
      <c r="H7" s="297"/>
      <c r="I7" s="153"/>
      <c r="J7" s="339"/>
    </row>
    <row r="8" spans="1:15" ht="20.100000000000001" customHeight="1">
      <c r="A8" s="338" t="s">
        <v>151</v>
      </c>
      <c r="B8" s="140">
        <v>7.75</v>
      </c>
      <c r="C8" s="140">
        <v>7.75</v>
      </c>
      <c r="D8" s="140">
        <v>7.75</v>
      </c>
      <c r="E8" s="140">
        <v>7.75</v>
      </c>
      <c r="F8" s="140">
        <v>6</v>
      </c>
      <c r="G8" s="19"/>
      <c r="H8" s="20"/>
      <c r="I8" s="21">
        <f>SUM(B8:H8)</f>
        <v>37</v>
      </c>
      <c r="J8" s="22"/>
    </row>
    <row r="9" spans="1:15" ht="20.100000000000001" customHeight="1">
      <c r="A9" s="72"/>
      <c r="E9" s="72"/>
      <c r="F9" s="139"/>
      <c r="G9" s="204" t="s">
        <v>152</v>
      </c>
      <c r="H9" s="204" t="s">
        <v>153</v>
      </c>
      <c r="I9" s="204" t="s">
        <v>154</v>
      </c>
      <c r="J9" s="168"/>
    </row>
    <row r="10" spans="1:15" ht="20.100000000000001" customHeight="1">
      <c r="A10" s="72"/>
      <c r="E10" s="72"/>
      <c r="F10" s="139"/>
      <c r="G10" s="130">
        <f>I4+I8</f>
        <v>74</v>
      </c>
      <c r="H10" s="169">
        <f>SUM(G10*13/3)</f>
        <v>320.66666666666669</v>
      </c>
      <c r="I10" s="130">
        <f>SUM(H10*12)</f>
        <v>3848</v>
      </c>
      <c r="J10" s="168"/>
    </row>
    <row r="11" spans="1:15" ht="20.100000000000001" customHeight="1">
      <c r="A11" s="1686" t="s">
        <v>14</v>
      </c>
      <c r="B11" s="1"/>
      <c r="D11" s="2"/>
      <c r="E11" s="2"/>
    </row>
    <row r="12" spans="1:15" ht="18" customHeight="1">
      <c r="A12" s="23" t="s">
        <v>15</v>
      </c>
      <c r="B12" s="24" t="s">
        <v>2</v>
      </c>
      <c r="C12" s="25" t="s">
        <v>3</v>
      </c>
      <c r="D12" s="25" t="s">
        <v>4</v>
      </c>
      <c r="E12" s="25" t="s">
        <v>5</v>
      </c>
      <c r="F12" s="25" t="s">
        <v>6</v>
      </c>
      <c r="G12" s="25" t="s">
        <v>7</v>
      </c>
      <c r="H12" s="26" t="s">
        <v>8</v>
      </c>
      <c r="I12" s="27" t="s">
        <v>9</v>
      </c>
      <c r="J12" s="28" t="s">
        <v>10</v>
      </c>
    </row>
    <row r="13" spans="1:15" ht="18" customHeight="1">
      <c r="A13" s="175" t="s">
        <v>28</v>
      </c>
      <c r="B13" s="5" t="s">
        <v>155</v>
      </c>
      <c r="C13" s="5" t="s">
        <v>155</v>
      </c>
      <c r="D13" s="5" t="s">
        <v>155</v>
      </c>
      <c r="E13" s="5" t="s">
        <v>155</v>
      </c>
      <c r="F13" s="5" t="s">
        <v>155</v>
      </c>
      <c r="G13" s="5" t="s">
        <v>156</v>
      </c>
      <c r="H13" s="5" t="s">
        <v>156</v>
      </c>
      <c r="I13" s="170"/>
      <c r="J13" s="176" t="s">
        <v>157</v>
      </c>
      <c r="M13" s="340"/>
      <c r="N13" s="341" t="s">
        <v>158</v>
      </c>
    </row>
    <row r="14" spans="1:15" ht="18" customHeight="1">
      <c r="A14" s="342" t="s">
        <v>159</v>
      </c>
      <c r="B14" s="140">
        <v>8.25</v>
      </c>
      <c r="C14" s="140">
        <v>8.25</v>
      </c>
      <c r="D14" s="18">
        <v>8.25</v>
      </c>
      <c r="E14" s="18">
        <v>8.25</v>
      </c>
      <c r="F14" s="18">
        <v>8.25</v>
      </c>
      <c r="G14" s="18">
        <v>12.25</v>
      </c>
      <c r="H14" s="18">
        <v>12.25</v>
      </c>
      <c r="I14" s="343">
        <f>SUM(B14:H14)</f>
        <v>65.75</v>
      </c>
      <c r="J14" s="344" t="s">
        <v>160</v>
      </c>
      <c r="K14" s="179"/>
      <c r="M14" s="329"/>
      <c r="N14" s="345" t="s">
        <v>161</v>
      </c>
      <c r="O14" s="72"/>
    </row>
    <row r="15" spans="1:15" ht="18" customHeight="1">
      <c r="A15" s="175" t="s">
        <v>28</v>
      </c>
      <c r="B15" s="30" t="s">
        <v>162</v>
      </c>
      <c r="C15" s="30" t="s">
        <v>162</v>
      </c>
      <c r="D15" s="30" t="s">
        <v>162</v>
      </c>
      <c r="E15" s="30" t="s">
        <v>162</v>
      </c>
      <c r="F15" s="30" t="s">
        <v>162</v>
      </c>
      <c r="G15" s="170"/>
      <c r="H15" s="170"/>
      <c r="I15" s="346"/>
      <c r="J15" s="184" t="s">
        <v>163</v>
      </c>
      <c r="K15" s="72"/>
      <c r="M15" s="329" t="s">
        <v>164</v>
      </c>
      <c r="N15" s="345">
        <f>I14</f>
        <v>65.75</v>
      </c>
      <c r="O15" s="72"/>
    </row>
    <row r="16" spans="1:15" ht="18" customHeight="1">
      <c r="A16" s="342" t="s">
        <v>165</v>
      </c>
      <c r="B16" s="140"/>
      <c r="C16" s="140"/>
      <c r="D16" s="140"/>
      <c r="E16" s="140"/>
      <c r="F16" s="140"/>
      <c r="G16" s="194"/>
      <c r="H16" s="194"/>
      <c r="I16" s="343">
        <f>SUM(B16:H16)</f>
        <v>0</v>
      </c>
      <c r="J16" s="344" t="s">
        <v>166</v>
      </c>
      <c r="K16" s="72"/>
      <c r="M16" s="329" t="s">
        <v>167</v>
      </c>
      <c r="N16" s="345">
        <f>I16</f>
        <v>0</v>
      </c>
      <c r="O16" s="72"/>
    </row>
    <row r="17" spans="1:17" ht="18" customHeight="1">
      <c r="A17" s="175" t="s">
        <v>28</v>
      </c>
      <c r="B17" s="5" t="s">
        <v>168</v>
      </c>
      <c r="C17" s="5" t="s">
        <v>168</v>
      </c>
      <c r="D17" s="5" t="s">
        <v>168</v>
      </c>
      <c r="E17" s="5" t="s">
        <v>168</v>
      </c>
      <c r="F17" s="5" t="s">
        <v>168</v>
      </c>
      <c r="G17" s="189"/>
      <c r="H17" s="189"/>
      <c r="I17" s="346"/>
      <c r="J17" s="184" t="s">
        <v>169</v>
      </c>
      <c r="K17" s="72"/>
      <c r="M17" s="329" t="s">
        <v>170</v>
      </c>
      <c r="N17" s="345">
        <v>0</v>
      </c>
      <c r="O17" s="72"/>
    </row>
    <row r="18" spans="1:17" ht="18" customHeight="1">
      <c r="A18" s="347" t="s">
        <v>171</v>
      </c>
      <c r="B18" s="18">
        <v>8.25</v>
      </c>
      <c r="C18" s="18">
        <v>8.25</v>
      </c>
      <c r="D18" s="18">
        <v>8.25</v>
      </c>
      <c r="E18" s="18">
        <v>8.25</v>
      </c>
      <c r="F18" s="18">
        <v>8.25</v>
      </c>
      <c r="G18" s="140"/>
      <c r="H18" s="140"/>
      <c r="I18" s="343">
        <f>SUM(B18:H18)</f>
        <v>41.25</v>
      </c>
      <c r="J18" s="344" t="s">
        <v>172</v>
      </c>
      <c r="K18" s="144"/>
      <c r="M18" s="329" t="s">
        <v>173</v>
      </c>
      <c r="N18" s="345">
        <f>I20</f>
        <v>64.5</v>
      </c>
      <c r="O18" s="72"/>
    </row>
    <row r="19" spans="1:17" ht="18" customHeight="1">
      <c r="A19" s="348" t="s">
        <v>28</v>
      </c>
      <c r="B19" s="5" t="s">
        <v>174</v>
      </c>
      <c r="C19" s="5" t="s">
        <v>174</v>
      </c>
      <c r="D19" s="5" t="s">
        <v>174</v>
      </c>
      <c r="E19" s="5" t="s">
        <v>174</v>
      </c>
      <c r="F19" s="5" t="s">
        <v>174</v>
      </c>
      <c r="G19" s="189" t="s">
        <v>175</v>
      </c>
      <c r="H19" s="189" t="s">
        <v>175</v>
      </c>
      <c r="I19" s="346"/>
      <c r="J19" s="46"/>
      <c r="K19" s="72"/>
      <c r="M19" s="329" t="s">
        <v>176</v>
      </c>
      <c r="N19" s="345">
        <v>0</v>
      </c>
      <c r="O19" s="72"/>
    </row>
    <row r="20" spans="1:17" ht="18" customHeight="1">
      <c r="A20" s="342" t="s">
        <v>177</v>
      </c>
      <c r="B20" s="140">
        <v>8</v>
      </c>
      <c r="C20" s="140">
        <v>8</v>
      </c>
      <c r="D20" s="140">
        <v>8</v>
      </c>
      <c r="E20" s="140">
        <v>8</v>
      </c>
      <c r="F20" s="140">
        <v>8</v>
      </c>
      <c r="G20" s="172">
        <v>12.25</v>
      </c>
      <c r="H20" s="172">
        <v>12.25</v>
      </c>
      <c r="I20" s="343">
        <f>SUM(B20:H20)</f>
        <v>64.5</v>
      </c>
      <c r="J20" s="49"/>
      <c r="K20" s="72"/>
      <c r="M20" s="329" t="s">
        <v>178</v>
      </c>
      <c r="N20" s="345">
        <f>I24</f>
        <v>36.25</v>
      </c>
      <c r="O20" s="72"/>
    </row>
    <row r="21" spans="1:17" ht="18" customHeight="1">
      <c r="A21" s="175" t="s">
        <v>28</v>
      </c>
      <c r="B21" s="30" t="s">
        <v>162</v>
      </c>
      <c r="C21" s="30" t="s">
        <v>162</v>
      </c>
      <c r="D21" s="30" t="s">
        <v>162</v>
      </c>
      <c r="E21" s="30" t="s">
        <v>162</v>
      </c>
      <c r="F21" s="30" t="s">
        <v>162</v>
      </c>
      <c r="G21" s="192"/>
      <c r="H21" s="349"/>
      <c r="I21" s="346"/>
      <c r="J21" s="46"/>
      <c r="K21" s="72"/>
      <c r="M21" s="331" t="s">
        <v>179</v>
      </c>
      <c r="N21" s="350">
        <f>SUM(N15:N20)</f>
        <v>166.5</v>
      </c>
      <c r="O21" s="72"/>
    </row>
    <row r="22" spans="1:17" ht="18" customHeight="1">
      <c r="A22" s="342" t="s">
        <v>180</v>
      </c>
      <c r="B22" s="124"/>
      <c r="C22" s="124"/>
      <c r="D22" s="124"/>
      <c r="E22" s="124"/>
      <c r="F22" s="124"/>
      <c r="G22" s="194"/>
      <c r="H22" s="351"/>
      <c r="I22" s="343">
        <f>SUM(B22:H22)</f>
        <v>0</v>
      </c>
      <c r="J22" s="49"/>
      <c r="K22" s="72"/>
    </row>
    <row r="23" spans="1:17" ht="18" customHeight="1">
      <c r="A23" s="175" t="s">
        <v>28</v>
      </c>
      <c r="B23" s="5" t="s">
        <v>442</v>
      </c>
      <c r="C23" s="5" t="s">
        <v>442</v>
      </c>
      <c r="D23" s="5" t="s">
        <v>442</v>
      </c>
      <c r="E23" s="5" t="s">
        <v>442</v>
      </c>
      <c r="F23" s="5" t="s">
        <v>442</v>
      </c>
      <c r="G23" s="170"/>
      <c r="H23" s="349"/>
      <c r="I23" s="346"/>
      <c r="J23" s="46" t="s">
        <v>182</v>
      </c>
      <c r="K23" s="72"/>
      <c r="M23" t="s">
        <v>183</v>
      </c>
      <c r="N23" t="s">
        <v>184</v>
      </c>
      <c r="P23">
        <v>222</v>
      </c>
      <c r="Q23" t="s">
        <v>185</v>
      </c>
    </row>
    <row r="24" spans="1:17" ht="18" customHeight="1">
      <c r="A24" s="342" t="s">
        <v>186</v>
      </c>
      <c r="B24" s="140">
        <v>7.25</v>
      </c>
      <c r="C24" s="140">
        <v>7.25</v>
      </c>
      <c r="D24" s="140">
        <v>7.25</v>
      </c>
      <c r="E24" s="140">
        <v>7.25</v>
      </c>
      <c r="F24" s="140">
        <v>7.25</v>
      </c>
      <c r="G24" s="194"/>
      <c r="H24" s="352"/>
      <c r="I24" s="343">
        <f>SUM(B24:H24)</f>
        <v>36.25</v>
      </c>
      <c r="J24" s="49"/>
      <c r="K24" s="72"/>
      <c r="O24" t="s">
        <v>28</v>
      </c>
    </row>
    <row r="25" spans="1:17" ht="18" customHeight="1">
      <c r="A25" s="58" t="s">
        <v>30</v>
      </c>
      <c r="B25" s="353">
        <f t="shared" ref="B25:I25" si="0">SUM(B14,B16,B18,B20,B22,B24)</f>
        <v>31.75</v>
      </c>
      <c r="C25" s="353">
        <f t="shared" si="0"/>
        <v>31.75</v>
      </c>
      <c r="D25" s="353">
        <f t="shared" si="0"/>
        <v>31.75</v>
      </c>
      <c r="E25" s="353">
        <f t="shared" si="0"/>
        <v>31.75</v>
      </c>
      <c r="F25" s="353">
        <f t="shared" si="0"/>
        <v>31.75</v>
      </c>
      <c r="G25" s="353">
        <f t="shared" si="0"/>
        <v>24.5</v>
      </c>
      <c r="H25" s="353">
        <f t="shared" si="0"/>
        <v>24.5</v>
      </c>
      <c r="I25" s="353">
        <f t="shared" si="0"/>
        <v>207.75</v>
      </c>
      <c r="J25" s="59"/>
      <c r="K25" s="72"/>
      <c r="M25" t="s">
        <v>187</v>
      </c>
      <c r="O25" s="354">
        <f>N21</f>
        <v>166.5</v>
      </c>
    </row>
    <row r="26" spans="1:17" ht="18" customHeight="1">
      <c r="A26" s="60" t="s">
        <v>31</v>
      </c>
      <c r="D26" s="2"/>
      <c r="E26" s="2"/>
    </row>
    <row r="27" spans="1:17" ht="18" customHeight="1">
      <c r="A27" s="23" t="s">
        <v>32</v>
      </c>
      <c r="B27" s="24" t="s">
        <v>2</v>
      </c>
      <c r="C27" s="25" t="s">
        <v>3</v>
      </c>
      <c r="D27" s="25" t="s">
        <v>4</v>
      </c>
      <c r="E27" s="25" t="s">
        <v>5</v>
      </c>
      <c r="F27" s="25" t="s">
        <v>6</v>
      </c>
      <c r="G27" s="25" t="s">
        <v>7</v>
      </c>
      <c r="H27" s="26" t="s">
        <v>8</v>
      </c>
      <c r="I27" s="27" t="s">
        <v>9</v>
      </c>
      <c r="J27" s="28" t="s">
        <v>10</v>
      </c>
      <c r="M27">
        <f>O25</f>
        <v>166.5</v>
      </c>
      <c r="N27" t="s">
        <v>188</v>
      </c>
      <c r="P27" s="160">
        <f>SUM(N21/37)</f>
        <v>4.5</v>
      </c>
      <c r="Q27" t="s">
        <v>185</v>
      </c>
    </row>
    <row r="28" spans="1:17" ht="18" customHeight="1">
      <c r="A28" s="29"/>
      <c r="B28" s="31" t="s">
        <v>33</v>
      </c>
      <c r="C28" s="31" t="s">
        <v>33</v>
      </c>
      <c r="D28" s="31" t="s">
        <v>33</v>
      </c>
      <c r="E28" s="31" t="s">
        <v>33</v>
      </c>
      <c r="F28" s="31" t="s">
        <v>34</v>
      </c>
      <c r="G28" s="31"/>
      <c r="H28" s="31"/>
      <c r="I28" s="170"/>
      <c r="J28" s="32"/>
    </row>
    <row r="29" spans="1:17" ht="18" customHeight="1">
      <c r="A29" s="33" t="s">
        <v>189</v>
      </c>
      <c r="B29" s="140">
        <v>7.75</v>
      </c>
      <c r="C29" s="140">
        <v>7.75</v>
      </c>
      <c r="D29" s="140">
        <v>7.75</v>
      </c>
      <c r="E29" s="140">
        <v>7.75</v>
      </c>
      <c r="F29" s="140">
        <v>6</v>
      </c>
      <c r="G29" s="140"/>
      <c r="H29" s="140"/>
      <c r="I29" s="140">
        <f>SUM(B29:H29)</f>
        <v>37</v>
      </c>
      <c r="J29" s="142"/>
      <c r="M29" s="160">
        <f>P27</f>
        <v>4.5</v>
      </c>
      <c r="N29" t="s">
        <v>190</v>
      </c>
      <c r="P29" s="160">
        <f>SUM(P27*3)</f>
        <v>13.5</v>
      </c>
      <c r="Q29" t="s">
        <v>185</v>
      </c>
    </row>
    <row r="30" spans="1:17" ht="18" customHeight="1">
      <c r="A30" s="29"/>
      <c r="B30" s="31" t="s">
        <v>33</v>
      </c>
      <c r="C30" s="31" t="s">
        <v>33</v>
      </c>
      <c r="D30" s="31" t="s">
        <v>33</v>
      </c>
      <c r="E30" s="31" t="s">
        <v>33</v>
      </c>
      <c r="F30" s="31" t="s">
        <v>34</v>
      </c>
      <c r="G30" s="31"/>
      <c r="H30" s="31"/>
      <c r="I30" s="170"/>
      <c r="J30" s="32"/>
      <c r="M30" s="160"/>
      <c r="P30" s="160"/>
    </row>
    <row r="31" spans="1:17" ht="18" customHeight="1">
      <c r="A31" s="16" t="s">
        <v>191</v>
      </c>
      <c r="B31" s="140">
        <v>7.75</v>
      </c>
      <c r="C31" s="140">
        <v>7.75</v>
      </c>
      <c r="D31" s="140">
        <v>7.75</v>
      </c>
      <c r="E31" s="140">
        <v>7.75</v>
      </c>
      <c r="F31" s="140">
        <v>6</v>
      </c>
      <c r="G31" s="140"/>
      <c r="H31" s="140"/>
      <c r="I31" s="140">
        <f>SUM(B31:H31)</f>
        <v>37</v>
      </c>
      <c r="J31" s="142"/>
      <c r="M31" s="160"/>
      <c r="P31" s="160"/>
    </row>
    <row r="32" spans="1:17" ht="18" customHeight="1">
      <c r="A32" s="38"/>
      <c r="B32" s="11" t="s">
        <v>33</v>
      </c>
      <c r="C32" s="11" t="s">
        <v>33</v>
      </c>
      <c r="D32" s="11" t="s">
        <v>33</v>
      </c>
      <c r="E32" s="11" t="s">
        <v>33</v>
      </c>
      <c r="F32" s="11" t="s">
        <v>34</v>
      </c>
      <c r="G32" s="11"/>
      <c r="H32" s="39"/>
      <c r="I32" s="355"/>
      <c r="J32" s="40"/>
    </row>
    <row r="33" spans="1:25" ht="18" customHeight="1">
      <c r="A33" s="16" t="s">
        <v>192</v>
      </c>
      <c r="B33" s="140">
        <v>7.75</v>
      </c>
      <c r="C33" s="140">
        <v>7.75</v>
      </c>
      <c r="D33" s="140">
        <v>7.75</v>
      </c>
      <c r="E33" s="140">
        <v>7.75</v>
      </c>
      <c r="F33" s="140">
        <v>6</v>
      </c>
      <c r="G33" s="18"/>
      <c r="H33" s="35"/>
      <c r="I33" s="343">
        <f>SUM(B33:H33)</f>
        <v>37</v>
      </c>
      <c r="J33" s="37"/>
      <c r="M33">
        <f>P23</f>
        <v>222</v>
      </c>
      <c r="N33" t="s">
        <v>193</v>
      </c>
      <c r="P33" s="356">
        <f>P29</f>
        <v>13.5</v>
      </c>
      <c r="Q33" t="s">
        <v>194</v>
      </c>
      <c r="R33" s="160">
        <f>SUM(M33-P33)</f>
        <v>208.5</v>
      </c>
      <c r="S33" t="s">
        <v>195</v>
      </c>
    </row>
    <row r="34" spans="1:25" ht="18" customHeight="1">
      <c r="A34" s="58" t="s">
        <v>30</v>
      </c>
      <c r="B34" s="357">
        <f t="shared" ref="B34:I34" si="1">SUM(B29,B31,B33)</f>
        <v>23.25</v>
      </c>
      <c r="C34" s="357">
        <f t="shared" si="1"/>
        <v>23.25</v>
      </c>
      <c r="D34" s="357">
        <f t="shared" si="1"/>
        <v>23.25</v>
      </c>
      <c r="E34" s="357">
        <f t="shared" si="1"/>
        <v>23.25</v>
      </c>
      <c r="F34" s="357">
        <f t="shared" si="1"/>
        <v>18</v>
      </c>
      <c r="G34" s="357">
        <f t="shared" si="1"/>
        <v>0</v>
      </c>
      <c r="H34" s="357">
        <f t="shared" si="1"/>
        <v>0</v>
      </c>
      <c r="I34" s="357">
        <f t="shared" si="1"/>
        <v>111</v>
      </c>
      <c r="J34" s="71"/>
    </row>
    <row r="35" spans="1:25" ht="18" customHeight="1">
      <c r="A35" s="72"/>
      <c r="B35" s="72"/>
      <c r="C35" s="72"/>
      <c r="D35" s="72"/>
      <c r="E35" s="72"/>
      <c r="F35" s="72"/>
      <c r="G35" s="204" t="s">
        <v>152</v>
      </c>
      <c r="H35" s="204" t="s">
        <v>153</v>
      </c>
      <c r="I35" s="204" t="s">
        <v>154</v>
      </c>
      <c r="J35" s="73"/>
      <c r="M35">
        <f>I25</f>
        <v>207.75</v>
      </c>
      <c r="N35" t="s">
        <v>196</v>
      </c>
      <c r="O35" s="160">
        <f>R33</f>
        <v>208.5</v>
      </c>
      <c r="P35" s="358">
        <f>SUM(M35-O35)</f>
        <v>-0.75</v>
      </c>
    </row>
    <row r="36" spans="1:25" ht="18" customHeight="1">
      <c r="A36" s="72"/>
      <c r="B36" s="72"/>
      <c r="C36" s="72"/>
      <c r="D36" s="72"/>
      <c r="E36" s="72"/>
      <c r="F36" s="72"/>
      <c r="G36" s="130">
        <f>I25+I34</f>
        <v>318.75</v>
      </c>
      <c r="H36" s="169">
        <f>SUM(G36*13/3)</f>
        <v>1381.25</v>
      </c>
      <c r="I36" s="130">
        <f>SUM(H36*12)</f>
        <v>16575</v>
      </c>
      <c r="J36" s="73"/>
    </row>
    <row r="37" spans="1:25" ht="18" customHeight="1">
      <c r="A37" s="72"/>
      <c r="B37" s="72"/>
      <c r="C37" s="72"/>
      <c r="D37" s="72"/>
      <c r="E37" s="72"/>
      <c r="F37" s="72"/>
      <c r="G37" s="72"/>
      <c r="H37" s="174"/>
      <c r="I37" s="72"/>
      <c r="J37" s="73"/>
    </row>
    <row r="38" spans="1:25" ht="17.45" customHeight="1">
      <c r="A38" s="1686" t="s">
        <v>197</v>
      </c>
      <c r="B38" s="72"/>
      <c r="C38" s="72"/>
      <c r="D38" s="72"/>
      <c r="E38" s="72"/>
      <c r="F38" s="72"/>
    </row>
    <row r="39" spans="1:25" ht="17.45" customHeight="1">
      <c r="A39" s="205" t="s">
        <v>198</v>
      </c>
      <c r="B39" s="24" t="s">
        <v>2</v>
      </c>
      <c r="C39" s="25" t="s">
        <v>3</v>
      </c>
      <c r="D39" s="25" t="s">
        <v>4</v>
      </c>
      <c r="E39" s="25" t="s">
        <v>5</v>
      </c>
      <c r="F39" s="25" t="s">
        <v>6</v>
      </c>
      <c r="G39" s="25" t="s">
        <v>7</v>
      </c>
      <c r="H39" s="206" t="s">
        <v>8</v>
      </c>
      <c r="I39" s="207" t="s">
        <v>9</v>
      </c>
      <c r="J39" s="208" t="s">
        <v>10</v>
      </c>
      <c r="K39" t="s">
        <v>28</v>
      </c>
      <c r="M39" s="359" t="s">
        <v>158</v>
      </c>
      <c r="N39" s="360"/>
      <c r="P39" s="361"/>
      <c r="Q39" s="361"/>
      <c r="R39" s="361"/>
      <c r="S39" t="s">
        <v>199</v>
      </c>
      <c r="V39" s="1" t="s">
        <v>28</v>
      </c>
    </row>
    <row r="40" spans="1:25" ht="17.45" customHeight="1">
      <c r="A40" s="362" t="s">
        <v>40</v>
      </c>
      <c r="B40" s="210" t="s">
        <v>200</v>
      </c>
      <c r="C40" s="210" t="s">
        <v>200</v>
      </c>
      <c r="D40" s="210" t="s">
        <v>200</v>
      </c>
      <c r="E40" s="210" t="s">
        <v>200</v>
      </c>
      <c r="F40" s="210" t="s">
        <v>200</v>
      </c>
      <c r="G40" s="211" t="s">
        <v>201</v>
      </c>
      <c r="H40" s="211" t="s">
        <v>201</v>
      </c>
      <c r="I40" s="207"/>
      <c r="J40" s="363" t="s">
        <v>40</v>
      </c>
      <c r="M40" s="364"/>
      <c r="N40" s="365" t="s">
        <v>202</v>
      </c>
      <c r="S40" s="366" t="s">
        <v>203</v>
      </c>
      <c r="T40" s="367"/>
      <c r="U40" s="368"/>
      <c r="V40" s="368"/>
      <c r="W40" s="361"/>
      <c r="Y40" s="72"/>
    </row>
    <row r="41" spans="1:25" ht="17.45" customHeight="1">
      <c r="A41" s="95" t="s">
        <v>43</v>
      </c>
      <c r="B41" s="219">
        <v>8.25</v>
      </c>
      <c r="C41" s="219">
        <v>8.25</v>
      </c>
      <c r="D41" s="219">
        <v>8.25</v>
      </c>
      <c r="E41" s="219">
        <v>8.25</v>
      </c>
      <c r="F41" s="219">
        <v>8.25</v>
      </c>
      <c r="G41" s="220">
        <v>12.25</v>
      </c>
      <c r="H41" s="220">
        <v>12.25</v>
      </c>
      <c r="I41" s="17">
        <f>SUM(B41:H41)</f>
        <v>65.75</v>
      </c>
      <c r="J41" s="221" t="s">
        <v>204</v>
      </c>
      <c r="M41" s="329" t="s">
        <v>164</v>
      </c>
      <c r="N41" s="345">
        <f>I41</f>
        <v>65.75</v>
      </c>
      <c r="S41" s="369" t="s">
        <v>205</v>
      </c>
      <c r="T41" s="370"/>
      <c r="U41" s="370"/>
      <c r="V41" s="370"/>
      <c r="Y41" s="72"/>
    </row>
    <row r="42" spans="1:25" ht="17.45" customHeight="1">
      <c r="A42" s="209"/>
      <c r="B42" s="222" t="s">
        <v>206</v>
      </c>
      <c r="C42" s="222" t="s">
        <v>206</v>
      </c>
      <c r="D42" s="222" t="s">
        <v>206</v>
      </c>
      <c r="E42" s="222" t="s">
        <v>206</v>
      </c>
      <c r="F42" s="222" t="s">
        <v>206</v>
      </c>
      <c r="G42" s="223" t="s">
        <v>207</v>
      </c>
      <c r="H42" s="224" t="s">
        <v>207</v>
      </c>
      <c r="I42" s="207"/>
      <c r="J42" s="213"/>
      <c r="M42" s="329" t="s">
        <v>167</v>
      </c>
      <c r="N42" s="345">
        <f>I47</f>
        <v>0</v>
      </c>
      <c r="S42" s="371" t="s">
        <v>208</v>
      </c>
      <c r="T42" s="372"/>
      <c r="U42" s="372"/>
      <c r="V42" s="372"/>
      <c r="Y42" s="72"/>
    </row>
    <row r="43" spans="1:25" ht="17.45" customHeight="1">
      <c r="A43" s="95" t="s">
        <v>209</v>
      </c>
      <c r="B43" s="91">
        <v>7</v>
      </c>
      <c r="C43" s="91">
        <v>7</v>
      </c>
      <c r="D43" s="91">
        <v>7</v>
      </c>
      <c r="E43" s="91">
        <v>7</v>
      </c>
      <c r="F43" s="91">
        <v>7</v>
      </c>
      <c r="G43" s="228">
        <v>11</v>
      </c>
      <c r="H43" s="229">
        <v>11</v>
      </c>
      <c r="I43" s="17">
        <f>SUM(B43:H43)</f>
        <v>57</v>
      </c>
      <c r="J43" s="221" t="s">
        <v>210</v>
      </c>
      <c r="K43" s="1" t="s">
        <v>28</v>
      </c>
      <c r="M43" s="329" t="s">
        <v>170</v>
      </c>
      <c r="N43" s="345">
        <f>I53</f>
        <v>58.5</v>
      </c>
      <c r="S43" s="373" t="s">
        <v>211</v>
      </c>
      <c r="T43" s="374"/>
      <c r="U43" s="374"/>
      <c r="V43" s="374"/>
      <c r="Y43" s="72"/>
    </row>
    <row r="44" spans="1:25" ht="17.45" customHeight="1">
      <c r="A44" s="209"/>
      <c r="B44" s="230" t="s">
        <v>212</v>
      </c>
      <c r="C44" s="230" t="s">
        <v>212</v>
      </c>
      <c r="D44" s="230" t="s">
        <v>212</v>
      </c>
      <c r="E44" s="230" t="s">
        <v>212</v>
      </c>
      <c r="F44" s="230" t="s">
        <v>212</v>
      </c>
      <c r="G44" s="224" t="s">
        <v>213</v>
      </c>
      <c r="H44" s="224" t="s">
        <v>213</v>
      </c>
      <c r="I44" s="207"/>
      <c r="J44" s="213"/>
      <c r="M44" s="329" t="s">
        <v>173</v>
      </c>
      <c r="N44" s="345">
        <f>I59</f>
        <v>0</v>
      </c>
      <c r="S44" s="375"/>
      <c r="T44" s="376"/>
      <c r="Y44" s="72"/>
    </row>
    <row r="45" spans="1:25" ht="17.45" customHeight="1">
      <c r="A45" s="95" t="s">
        <v>214</v>
      </c>
      <c r="B45" s="233">
        <v>8</v>
      </c>
      <c r="C45" s="233">
        <v>8</v>
      </c>
      <c r="D45" s="233">
        <v>8</v>
      </c>
      <c r="E45" s="233">
        <v>8</v>
      </c>
      <c r="F45" s="233">
        <v>8</v>
      </c>
      <c r="G45" s="228">
        <v>12</v>
      </c>
      <c r="H45" s="228">
        <v>12</v>
      </c>
      <c r="I45" s="17">
        <f>SUM(B45:H45)</f>
        <v>64</v>
      </c>
      <c r="J45" s="221" t="s">
        <v>215</v>
      </c>
      <c r="M45" s="329" t="s">
        <v>176</v>
      </c>
      <c r="N45" s="345">
        <v>0</v>
      </c>
      <c r="Y45" s="72"/>
    </row>
    <row r="46" spans="1:25" ht="17.45" customHeight="1">
      <c r="A46" s="362" t="s">
        <v>52</v>
      </c>
      <c r="B46" s="30" t="s">
        <v>16</v>
      </c>
      <c r="C46" s="30" t="s">
        <v>16</v>
      </c>
      <c r="D46" s="30" t="s">
        <v>16</v>
      </c>
      <c r="E46" s="30" t="s">
        <v>16</v>
      </c>
      <c r="F46" s="30" t="s">
        <v>16</v>
      </c>
      <c r="G46" s="377"/>
      <c r="H46" s="378"/>
      <c r="I46" s="252"/>
      <c r="J46" s="363" t="s">
        <v>52</v>
      </c>
      <c r="M46" s="329" t="s">
        <v>178</v>
      </c>
      <c r="N46" s="345">
        <f>I43</f>
        <v>57</v>
      </c>
      <c r="S46" s="379" t="s">
        <v>216</v>
      </c>
      <c r="T46" s="380"/>
      <c r="U46" s="380"/>
      <c r="V46" s="380"/>
      <c r="Y46" s="72"/>
    </row>
    <row r="47" spans="1:25" ht="17.45" customHeight="1">
      <c r="A47" s="95" t="s">
        <v>217</v>
      </c>
      <c r="B47" s="34"/>
      <c r="C47" s="34"/>
      <c r="D47" s="34"/>
      <c r="E47" s="34"/>
      <c r="F47" s="34"/>
      <c r="G47" s="18"/>
      <c r="H47" s="237"/>
      <c r="I47" s="17">
        <f>SUM(B47:H47)</f>
        <v>0</v>
      </c>
      <c r="J47" s="221" t="s">
        <v>218</v>
      </c>
      <c r="M47" s="329" t="s">
        <v>219</v>
      </c>
      <c r="N47" s="345">
        <f>I49</f>
        <v>0</v>
      </c>
      <c r="S47" s="1"/>
      <c r="Y47" s="72"/>
    </row>
    <row r="48" spans="1:25" ht="17.45" customHeight="1">
      <c r="A48" s="209"/>
      <c r="B48" s="30" t="s">
        <v>16</v>
      </c>
      <c r="C48" s="30" t="s">
        <v>16</v>
      </c>
      <c r="D48" s="30" t="s">
        <v>16</v>
      </c>
      <c r="E48" s="30" t="s">
        <v>16</v>
      </c>
      <c r="F48" s="30" t="s">
        <v>16</v>
      </c>
      <c r="G48" s="207"/>
      <c r="H48" s="238"/>
      <c r="I48" s="207"/>
      <c r="J48" s="213"/>
      <c r="M48" s="329" t="s">
        <v>220</v>
      </c>
      <c r="N48" s="345">
        <f>I55</f>
        <v>56</v>
      </c>
      <c r="S48" s="379" t="s">
        <v>221</v>
      </c>
      <c r="T48" s="380"/>
      <c r="U48" s="380"/>
      <c r="V48" s="380"/>
      <c r="Y48" s="72"/>
    </row>
    <row r="49" spans="1:32" ht="17.45" customHeight="1">
      <c r="A49" s="95" t="s">
        <v>222</v>
      </c>
      <c r="B49" s="34"/>
      <c r="C49" s="34"/>
      <c r="D49" s="34"/>
      <c r="E49" s="34"/>
      <c r="F49" s="34"/>
      <c r="G49" s="138"/>
      <c r="H49" s="240"/>
      <c r="I49" s="17">
        <f>SUM(B49:H49)</f>
        <v>0</v>
      </c>
      <c r="J49" s="221" t="s">
        <v>219</v>
      </c>
      <c r="M49" s="329" t="s">
        <v>223</v>
      </c>
      <c r="N49" s="345">
        <f>I61</f>
        <v>0</v>
      </c>
      <c r="S49" s="1"/>
      <c r="Y49" s="72"/>
    </row>
    <row r="50" spans="1:32" ht="17.45" customHeight="1">
      <c r="A50" s="205"/>
      <c r="B50" s="30" t="s">
        <v>16</v>
      </c>
      <c r="C50" s="30" t="s">
        <v>16</v>
      </c>
      <c r="D50" s="30" t="s">
        <v>16</v>
      </c>
      <c r="E50" s="30" t="s">
        <v>16</v>
      </c>
      <c r="F50" s="30" t="s">
        <v>16</v>
      </c>
      <c r="G50" s="241" t="s">
        <v>224</v>
      </c>
      <c r="H50" s="242" t="s">
        <v>225</v>
      </c>
      <c r="I50" s="207"/>
      <c r="J50" s="243"/>
      <c r="M50" s="329" t="s">
        <v>226</v>
      </c>
      <c r="N50" s="345">
        <f>I67</f>
        <v>37.5</v>
      </c>
      <c r="S50" s="379" t="s">
        <v>227</v>
      </c>
      <c r="T50" s="380"/>
      <c r="U50" s="380"/>
      <c r="V50" s="380"/>
      <c r="Y50" s="72"/>
    </row>
    <row r="51" spans="1:32" ht="17.45" customHeight="1">
      <c r="A51" s="95" t="s">
        <v>228</v>
      </c>
      <c r="B51" s="34"/>
      <c r="C51" s="34"/>
      <c r="D51" s="34"/>
      <c r="E51" s="34"/>
      <c r="F51" s="34"/>
      <c r="G51" s="246">
        <v>12.25</v>
      </c>
      <c r="H51" s="247">
        <v>12.25</v>
      </c>
      <c r="I51" s="17">
        <f>SUM(B51:H51)</f>
        <v>24.5</v>
      </c>
      <c r="J51" s="221" t="s">
        <v>229</v>
      </c>
      <c r="M51" s="329" t="s">
        <v>230</v>
      </c>
      <c r="N51" s="345">
        <f>I45</f>
        <v>64</v>
      </c>
      <c r="Y51" s="72"/>
    </row>
    <row r="52" spans="1:32" ht="17.45" customHeight="1">
      <c r="A52" s="362" t="s">
        <v>59</v>
      </c>
      <c r="B52" s="248" t="s">
        <v>231</v>
      </c>
      <c r="C52" s="248" t="s">
        <v>231</v>
      </c>
      <c r="D52" s="248" t="s">
        <v>231</v>
      </c>
      <c r="E52" s="248" t="s">
        <v>231</v>
      </c>
      <c r="F52" s="248" t="s">
        <v>232</v>
      </c>
      <c r="G52" s="241" t="s">
        <v>233</v>
      </c>
      <c r="H52" s="242" t="s">
        <v>233</v>
      </c>
      <c r="I52" s="207"/>
      <c r="J52" s="363" t="s">
        <v>59</v>
      </c>
      <c r="K52" s="1" t="s">
        <v>28</v>
      </c>
      <c r="M52" s="329" t="s">
        <v>234</v>
      </c>
      <c r="N52" s="345">
        <f>I51</f>
        <v>24.5</v>
      </c>
      <c r="S52" t="s">
        <v>235</v>
      </c>
      <c r="Y52" s="72"/>
    </row>
    <row r="53" spans="1:32" ht="17.45" customHeight="1">
      <c r="A53" s="95" t="s">
        <v>61</v>
      </c>
      <c r="B53" s="250">
        <v>7</v>
      </c>
      <c r="C53" s="250">
        <v>7</v>
      </c>
      <c r="D53" s="250">
        <v>7</v>
      </c>
      <c r="E53" s="250">
        <v>7</v>
      </c>
      <c r="F53" s="250">
        <v>6.5</v>
      </c>
      <c r="G53" s="246">
        <v>12</v>
      </c>
      <c r="H53" s="247">
        <v>12</v>
      </c>
      <c r="I53" s="17">
        <f>SUM(B53:H53)</f>
        <v>58.5</v>
      </c>
      <c r="J53" s="221" t="s">
        <v>236</v>
      </c>
      <c r="M53" s="329" t="s">
        <v>237</v>
      </c>
      <c r="N53" s="345">
        <f>I57</f>
        <v>40</v>
      </c>
      <c r="S53" s="381" t="s">
        <v>238</v>
      </c>
      <c r="T53" s="382"/>
      <c r="U53" s="382"/>
      <c r="V53" s="382"/>
      <c r="Y53" s="72"/>
    </row>
    <row r="54" spans="1:32" ht="17.45" customHeight="1">
      <c r="A54" s="209"/>
      <c r="B54" s="251" t="s">
        <v>239</v>
      </c>
      <c r="C54" s="251" t="s">
        <v>239</v>
      </c>
      <c r="D54" s="251" t="s">
        <v>239</v>
      </c>
      <c r="E54" s="251" t="s">
        <v>239</v>
      </c>
      <c r="F54" s="251" t="s">
        <v>239</v>
      </c>
      <c r="G54" s="241" t="s">
        <v>240</v>
      </c>
      <c r="H54" s="242" t="s">
        <v>233</v>
      </c>
      <c r="I54" s="252"/>
      <c r="J54" s="213"/>
      <c r="M54" s="329" t="s">
        <v>241</v>
      </c>
      <c r="N54" s="345">
        <f>I63</f>
        <v>40</v>
      </c>
      <c r="S54" s="383" t="s">
        <v>242</v>
      </c>
      <c r="T54" s="384"/>
      <c r="U54" s="384"/>
      <c r="V54" s="384"/>
      <c r="Y54" s="72"/>
    </row>
    <row r="55" spans="1:32" ht="17.45" customHeight="1">
      <c r="A55" s="146" t="s">
        <v>243</v>
      </c>
      <c r="B55" s="255">
        <v>7</v>
      </c>
      <c r="C55" s="255">
        <v>7</v>
      </c>
      <c r="D55" s="255">
        <v>7</v>
      </c>
      <c r="E55" s="255">
        <v>7</v>
      </c>
      <c r="F55" s="255">
        <v>7</v>
      </c>
      <c r="G55" s="256">
        <v>9</v>
      </c>
      <c r="H55" s="247">
        <v>12</v>
      </c>
      <c r="I55" s="17">
        <f>SUM(B55:H55)</f>
        <v>56</v>
      </c>
      <c r="J55" s="221" t="s">
        <v>220</v>
      </c>
      <c r="M55" s="329" t="s">
        <v>244</v>
      </c>
      <c r="N55" s="345">
        <v>0</v>
      </c>
      <c r="S55" s="385" t="s">
        <v>245</v>
      </c>
      <c r="T55" s="386"/>
      <c r="U55" s="387"/>
      <c r="V55" s="387"/>
      <c r="Y55" s="72"/>
    </row>
    <row r="56" spans="1:32" ht="17.45" customHeight="1">
      <c r="A56" s="209"/>
      <c r="B56" s="257" t="s">
        <v>246</v>
      </c>
      <c r="C56" s="257" t="s">
        <v>246</v>
      </c>
      <c r="D56" s="257" t="s">
        <v>246</v>
      </c>
      <c r="E56" s="257" t="s">
        <v>246</v>
      </c>
      <c r="F56" s="257" t="s">
        <v>246</v>
      </c>
      <c r="G56" s="377"/>
      <c r="H56" s="378"/>
      <c r="I56" s="207"/>
      <c r="J56" s="213"/>
      <c r="M56" s="331" t="s">
        <v>179</v>
      </c>
      <c r="N56" s="350">
        <f>SUM(N41:N55)</f>
        <v>443.25</v>
      </c>
      <c r="S56" s="388" t="s">
        <v>247</v>
      </c>
      <c r="T56" s="389"/>
      <c r="U56" s="389"/>
      <c r="V56" s="389"/>
      <c r="Y56" s="72"/>
    </row>
    <row r="57" spans="1:32" ht="17.45" customHeight="1">
      <c r="A57" s="95" t="s">
        <v>248</v>
      </c>
      <c r="B57" s="262">
        <v>8</v>
      </c>
      <c r="C57" s="262">
        <v>8</v>
      </c>
      <c r="D57" s="262">
        <v>8</v>
      </c>
      <c r="E57" s="262">
        <v>8</v>
      </c>
      <c r="F57" s="262">
        <v>8</v>
      </c>
      <c r="G57" s="125"/>
      <c r="H57" s="390"/>
      <c r="I57" s="17">
        <f>SUM(B57:H57)</f>
        <v>40</v>
      </c>
      <c r="J57" s="221" t="s">
        <v>237</v>
      </c>
      <c r="N57" s="72"/>
      <c r="S57" s="375"/>
      <c r="T57" s="376"/>
      <c r="Y57" s="72"/>
      <c r="AE57" s="274"/>
      <c r="AF57" s="274"/>
    </row>
    <row r="58" spans="1:32" ht="17.45" customHeight="1">
      <c r="A58" s="362" t="s">
        <v>64</v>
      </c>
      <c r="B58" s="30" t="s">
        <v>16</v>
      </c>
      <c r="C58" s="30" t="s">
        <v>16</v>
      </c>
      <c r="D58" s="30" t="s">
        <v>16</v>
      </c>
      <c r="E58" s="30" t="s">
        <v>16</v>
      </c>
      <c r="F58" s="30" t="s">
        <v>16</v>
      </c>
      <c r="G58" s="377"/>
      <c r="H58" s="378"/>
      <c r="I58" s="207"/>
      <c r="J58" s="363" t="s">
        <v>64</v>
      </c>
      <c r="M58" t="s">
        <v>183</v>
      </c>
      <c r="N58" t="s">
        <v>249</v>
      </c>
      <c r="P58">
        <v>555</v>
      </c>
      <c r="Q58" t="s">
        <v>185</v>
      </c>
      <c r="S58" t="s">
        <v>250</v>
      </c>
      <c r="AE58" s="72"/>
      <c r="AF58" s="72"/>
    </row>
    <row r="59" spans="1:32" ht="17.45" customHeight="1">
      <c r="A59" s="146" t="s">
        <v>251</v>
      </c>
      <c r="B59" s="133"/>
      <c r="C59" s="133"/>
      <c r="D59" s="133"/>
      <c r="E59" s="133"/>
      <c r="F59" s="133"/>
      <c r="G59" s="125"/>
      <c r="H59" s="390"/>
      <c r="I59" s="124">
        <f>SUM(B59:H59)</f>
        <v>0</v>
      </c>
      <c r="J59" s="221" t="s">
        <v>173</v>
      </c>
      <c r="O59" t="s">
        <v>28</v>
      </c>
      <c r="S59" s="391" t="s">
        <v>252</v>
      </c>
      <c r="T59" s="392"/>
    </row>
    <row r="60" spans="1:32" ht="17.45" customHeight="1">
      <c r="A60" s="209"/>
      <c r="B60" s="30" t="s">
        <v>16</v>
      </c>
      <c r="C60" s="30" t="s">
        <v>16</v>
      </c>
      <c r="D60" s="30" t="s">
        <v>16</v>
      </c>
      <c r="E60" s="30" t="s">
        <v>16</v>
      </c>
      <c r="F60" s="30" t="s">
        <v>16</v>
      </c>
      <c r="G60" s="207"/>
      <c r="H60" s="238"/>
      <c r="I60" s="207"/>
      <c r="J60" s="213"/>
      <c r="M60" t="s">
        <v>187</v>
      </c>
      <c r="O60" s="354">
        <f>N56</f>
        <v>443.25</v>
      </c>
      <c r="S60" s="393" t="s">
        <v>253</v>
      </c>
      <c r="T60" s="394"/>
    </row>
    <row r="61" spans="1:32" ht="17.45" customHeight="1">
      <c r="A61" s="111" t="s">
        <v>254</v>
      </c>
      <c r="B61" s="133"/>
      <c r="C61" s="133"/>
      <c r="D61" s="34"/>
      <c r="E61" s="34"/>
      <c r="F61" s="34"/>
      <c r="G61" s="227"/>
      <c r="H61" s="239"/>
      <c r="I61" s="124">
        <f>SUM(B61:H61)</f>
        <v>0</v>
      </c>
      <c r="J61" s="279" t="s">
        <v>223</v>
      </c>
      <c r="S61" s="395" t="s">
        <v>255</v>
      </c>
      <c r="T61" s="396"/>
      <c r="AE61" s="127"/>
      <c r="AF61" s="127"/>
    </row>
    <row r="62" spans="1:32" ht="17.45" customHeight="1">
      <c r="A62" s="209" t="s">
        <v>28</v>
      </c>
      <c r="B62" s="265" t="s">
        <v>256</v>
      </c>
      <c r="C62" s="265" t="s">
        <v>256</v>
      </c>
      <c r="D62" s="265" t="s">
        <v>256</v>
      </c>
      <c r="E62" s="265" t="s">
        <v>256</v>
      </c>
      <c r="F62" s="265" t="s">
        <v>256</v>
      </c>
      <c r="G62" s="266"/>
      <c r="H62" s="238"/>
      <c r="I62" s="207"/>
      <c r="J62" s="213" t="s">
        <v>28</v>
      </c>
      <c r="M62">
        <f>O60</f>
        <v>443.25</v>
      </c>
      <c r="N62" t="s">
        <v>188</v>
      </c>
      <c r="P62" s="160">
        <f>SUM(M62/37)</f>
        <v>11.97972972972973</v>
      </c>
      <c r="Q62" t="s">
        <v>185</v>
      </c>
      <c r="AE62" s="139"/>
      <c r="AF62" s="139"/>
    </row>
    <row r="63" spans="1:32" ht="17.45" customHeight="1">
      <c r="A63" s="146" t="s">
        <v>257</v>
      </c>
      <c r="B63" s="397">
        <v>8</v>
      </c>
      <c r="C63" s="397">
        <v>8</v>
      </c>
      <c r="D63" s="397">
        <v>8</v>
      </c>
      <c r="E63" s="397">
        <v>8</v>
      </c>
      <c r="F63" s="397">
        <v>8</v>
      </c>
      <c r="G63" s="227"/>
      <c r="H63" s="239"/>
      <c r="I63" s="124">
        <f>SUM(B63:H63)</f>
        <v>40</v>
      </c>
      <c r="J63" s="221" t="s">
        <v>258</v>
      </c>
      <c r="S63" s="398" t="s">
        <v>259</v>
      </c>
      <c r="T63" s="399"/>
      <c r="U63" s="400"/>
    </row>
    <row r="64" spans="1:32" ht="17.45" customHeight="1">
      <c r="A64" s="362" t="s">
        <v>70</v>
      </c>
      <c r="B64" s="270" t="s">
        <v>260</v>
      </c>
      <c r="C64" s="270" t="s">
        <v>260</v>
      </c>
      <c r="D64" s="270" t="s">
        <v>260</v>
      </c>
      <c r="E64" s="270" t="s">
        <v>260</v>
      </c>
      <c r="F64" s="270" t="s">
        <v>260</v>
      </c>
      <c r="G64" s="24"/>
      <c r="H64" s="258"/>
      <c r="I64" s="207"/>
      <c r="J64" s="363" t="s">
        <v>70</v>
      </c>
      <c r="M64" s="160">
        <f>P62</f>
        <v>11.97972972972973</v>
      </c>
      <c r="N64" t="s">
        <v>190</v>
      </c>
      <c r="P64" s="160">
        <f>SUM(P62*3)</f>
        <v>35.939189189189193</v>
      </c>
      <c r="Q64" t="s">
        <v>185</v>
      </c>
    </row>
    <row r="65" spans="1:31" ht="17.45" customHeight="1">
      <c r="A65" s="146" t="s">
        <v>71</v>
      </c>
      <c r="B65" s="275">
        <v>7</v>
      </c>
      <c r="C65" s="275">
        <v>7</v>
      </c>
      <c r="D65" s="275">
        <v>7</v>
      </c>
      <c r="E65" s="275">
        <v>7</v>
      </c>
      <c r="F65" s="275">
        <v>7</v>
      </c>
      <c r="G65" s="124"/>
      <c r="H65" s="401"/>
      <c r="I65" s="124">
        <f>SUM(B65:H65)</f>
        <v>35</v>
      </c>
      <c r="J65" s="245" t="s">
        <v>261</v>
      </c>
      <c r="S65" s="398" t="s">
        <v>262</v>
      </c>
      <c r="T65" s="399"/>
      <c r="U65" s="400"/>
    </row>
    <row r="66" spans="1:31" ht="17.45" customHeight="1">
      <c r="A66" s="209"/>
      <c r="B66" s="276" t="s">
        <v>263</v>
      </c>
      <c r="C66" s="276" t="s">
        <v>263</v>
      </c>
      <c r="D66" s="276" t="s">
        <v>263</v>
      </c>
      <c r="E66" s="276" t="s">
        <v>263</v>
      </c>
      <c r="F66" s="276" t="s">
        <v>263</v>
      </c>
      <c r="G66" s="24"/>
      <c r="H66" s="258"/>
      <c r="I66" s="212"/>
      <c r="J66" s="213"/>
      <c r="M66">
        <f>P58</f>
        <v>555</v>
      </c>
      <c r="N66" t="s">
        <v>193</v>
      </c>
      <c r="P66" s="356">
        <f>P64</f>
        <v>35.939189189189193</v>
      </c>
      <c r="Q66" t="s">
        <v>194</v>
      </c>
      <c r="R66" s="402">
        <f>SUM(M66-P66)</f>
        <v>519.06081081081084</v>
      </c>
    </row>
    <row r="67" spans="1:31" ht="17.45" customHeight="1">
      <c r="A67" s="115" t="s">
        <v>72</v>
      </c>
      <c r="B67" s="278">
        <v>7.5</v>
      </c>
      <c r="C67" s="278">
        <v>7.5</v>
      </c>
      <c r="D67" s="278">
        <v>7.5</v>
      </c>
      <c r="E67" s="278">
        <v>7.5</v>
      </c>
      <c r="F67" s="278">
        <v>7.5</v>
      </c>
      <c r="G67" s="17"/>
      <c r="H67" s="263"/>
      <c r="I67" s="285">
        <f>SUM(B67:H67)</f>
        <v>37.5</v>
      </c>
      <c r="J67" s="279" t="s">
        <v>264</v>
      </c>
      <c r="S67" s="403" t="s">
        <v>265</v>
      </c>
      <c r="T67" s="404"/>
      <c r="U67" s="405"/>
      <c r="AE67" s="127"/>
    </row>
    <row r="68" spans="1:31" ht="17.45" customHeight="1">
      <c r="A68" s="209"/>
      <c r="B68" s="280" t="s">
        <v>266</v>
      </c>
      <c r="C68" s="281" t="s">
        <v>266</v>
      </c>
      <c r="D68" s="281" t="s">
        <v>266</v>
      </c>
      <c r="E68" s="281" t="s">
        <v>266</v>
      </c>
      <c r="F68" s="281" t="s">
        <v>266</v>
      </c>
      <c r="G68" s="24"/>
      <c r="H68" s="258"/>
      <c r="I68" s="236"/>
      <c r="J68" s="213"/>
      <c r="M68" s="160">
        <f>I70</f>
        <v>518.25</v>
      </c>
      <c r="N68" t="s">
        <v>196</v>
      </c>
      <c r="O68" s="356">
        <f>R66</f>
        <v>519.06081081081084</v>
      </c>
      <c r="P68" s="358">
        <f>SUM(M68-O68)</f>
        <v>-0.81081081081083539</v>
      </c>
      <c r="S68" s="375"/>
      <c r="T68" s="376"/>
      <c r="AE68" s="139"/>
    </row>
    <row r="69" spans="1:31" ht="17.45" customHeight="1">
      <c r="A69" s="95" t="s">
        <v>73</v>
      </c>
      <c r="B69" s="284">
        <v>8</v>
      </c>
      <c r="C69" s="284">
        <v>8</v>
      </c>
      <c r="D69" s="284">
        <v>8</v>
      </c>
      <c r="E69" s="284">
        <v>8</v>
      </c>
      <c r="F69" s="284">
        <v>8</v>
      </c>
      <c r="G69" s="17"/>
      <c r="H69" s="17"/>
      <c r="I69" s="285">
        <f>SUM(B69:H69)</f>
        <v>40</v>
      </c>
      <c r="J69" s="221" t="s">
        <v>267</v>
      </c>
    </row>
    <row r="70" spans="1:31" ht="17.45" customHeight="1">
      <c r="A70" s="196" t="s">
        <v>30</v>
      </c>
      <c r="B70" s="286">
        <f t="shared" ref="B70:I70" si="2">SUM(B41,B43,B45,B47,B49,B51,B53,B55,B57,B59,B61,B63,B65,B67,B69)</f>
        <v>75.75</v>
      </c>
      <c r="C70" s="286">
        <f t="shared" si="2"/>
        <v>75.75</v>
      </c>
      <c r="D70" s="286">
        <f t="shared" si="2"/>
        <v>75.75</v>
      </c>
      <c r="E70" s="286">
        <f t="shared" si="2"/>
        <v>75.75</v>
      </c>
      <c r="F70" s="286">
        <f t="shared" si="2"/>
        <v>75.25</v>
      </c>
      <c r="G70" s="286">
        <f t="shared" si="2"/>
        <v>68.5</v>
      </c>
      <c r="H70" s="286">
        <f t="shared" si="2"/>
        <v>71.5</v>
      </c>
      <c r="I70" s="286">
        <f t="shared" si="2"/>
        <v>518.25</v>
      </c>
      <c r="J70" s="198"/>
    </row>
    <row r="71" spans="1:31" ht="17.45" customHeight="1">
      <c r="A71" s="72"/>
      <c r="B71" s="72"/>
      <c r="C71" s="72"/>
      <c r="D71" s="72"/>
      <c r="E71" s="72"/>
      <c r="F71" s="72"/>
      <c r="G71" s="204" t="s">
        <v>152</v>
      </c>
      <c r="H71" s="204" t="s">
        <v>153</v>
      </c>
      <c r="I71" s="204" t="s">
        <v>154</v>
      </c>
      <c r="M71" s="274"/>
      <c r="N71" s="274"/>
      <c r="O71" s="274"/>
      <c r="P71" s="274"/>
      <c r="Q71" s="274"/>
      <c r="R71" s="274"/>
    </row>
    <row r="72" spans="1:31" ht="17.45" customHeight="1">
      <c r="A72" s="72"/>
      <c r="B72" s="127"/>
      <c r="C72" s="127"/>
      <c r="D72" s="127"/>
      <c r="E72" s="127"/>
      <c r="F72" s="127"/>
      <c r="G72" s="130">
        <f>I70</f>
        <v>518.25</v>
      </c>
      <c r="H72" s="169">
        <f>SUM(G72*13/3)</f>
        <v>2245.75</v>
      </c>
      <c r="I72" s="130">
        <f>SUM(H72*12)</f>
        <v>26949</v>
      </c>
      <c r="M72" s="72"/>
      <c r="N72" s="72"/>
      <c r="O72" s="72"/>
      <c r="P72" s="72"/>
      <c r="Q72" s="72"/>
      <c r="R72" s="72"/>
    </row>
    <row r="73" spans="1:31" ht="17.45" customHeight="1">
      <c r="A73" s="72"/>
      <c r="B73" s="139"/>
      <c r="C73" s="139"/>
      <c r="D73" s="139"/>
      <c r="E73" s="139"/>
      <c r="F73" s="139"/>
      <c r="G73" s="72"/>
      <c r="H73" s="174"/>
      <c r="I73" s="72"/>
      <c r="N73" s="72"/>
      <c r="O73" s="72"/>
      <c r="P73" s="72"/>
      <c r="Q73" s="72"/>
      <c r="R73" s="72"/>
    </row>
    <row r="74" spans="1:31" ht="17.45" customHeight="1">
      <c r="A74" s="72"/>
      <c r="B74" s="72"/>
      <c r="C74" s="72"/>
      <c r="D74" s="72"/>
      <c r="E74" s="72"/>
      <c r="F74" s="72"/>
      <c r="G74" s="72"/>
      <c r="H74" s="174"/>
      <c r="I74" s="72"/>
      <c r="N74" s="72"/>
      <c r="O74" s="72"/>
      <c r="P74" s="72"/>
      <c r="Q74" s="72"/>
      <c r="R74" s="72"/>
    </row>
    <row r="75" spans="1:31" ht="17.100000000000001" customHeight="1">
      <c r="A75" s="1686" t="s">
        <v>268</v>
      </c>
      <c r="B75" s="72"/>
      <c r="C75" s="72"/>
      <c r="D75" s="72"/>
      <c r="E75" s="72"/>
      <c r="F75" s="72"/>
      <c r="N75" s="72"/>
      <c r="O75" s="72"/>
      <c r="P75" s="72"/>
      <c r="Q75" s="72"/>
      <c r="R75" s="72"/>
    </row>
    <row r="76" spans="1:31" ht="17.100000000000001" customHeight="1">
      <c r="A76" s="205" t="s">
        <v>198</v>
      </c>
      <c r="B76" s="24" t="s">
        <v>2</v>
      </c>
      <c r="C76" s="25" t="s">
        <v>3</v>
      </c>
      <c r="D76" s="25" t="s">
        <v>4</v>
      </c>
      <c r="E76" s="25" t="s">
        <v>5</v>
      </c>
      <c r="F76" s="25" t="s">
        <v>6</v>
      </c>
      <c r="G76" s="25" t="s">
        <v>7</v>
      </c>
      <c r="H76" s="206" t="s">
        <v>8</v>
      </c>
      <c r="I76" s="207" t="s">
        <v>9</v>
      </c>
      <c r="J76" s="208" t="s">
        <v>10</v>
      </c>
      <c r="N76" s="72"/>
      <c r="O76" s="72"/>
      <c r="P76" s="72"/>
      <c r="Q76" s="72"/>
      <c r="R76" s="72"/>
    </row>
    <row r="77" spans="1:31" ht="17.100000000000001" customHeight="1">
      <c r="A77" s="209"/>
      <c r="B77" s="210" t="s">
        <v>200</v>
      </c>
      <c r="C77" s="210" t="s">
        <v>200</v>
      </c>
      <c r="D77" s="210" t="s">
        <v>200</v>
      </c>
      <c r="E77" s="210" t="s">
        <v>200</v>
      </c>
      <c r="F77" s="210" t="s">
        <v>200</v>
      </c>
      <c r="G77" s="211" t="s">
        <v>201</v>
      </c>
      <c r="H77" s="211" t="s">
        <v>201</v>
      </c>
      <c r="I77" s="212"/>
      <c r="J77" s="213"/>
      <c r="N77" s="72"/>
      <c r="O77" s="72"/>
      <c r="P77" s="72"/>
      <c r="Q77" s="72"/>
      <c r="R77" s="72"/>
    </row>
    <row r="78" spans="1:31" ht="17.100000000000001" customHeight="1">
      <c r="A78" s="95" t="s">
        <v>43</v>
      </c>
      <c r="B78" s="219">
        <v>8.25</v>
      </c>
      <c r="C78" s="219">
        <v>8.25</v>
      </c>
      <c r="D78" s="219">
        <v>8.25</v>
      </c>
      <c r="E78" s="219">
        <v>8.25</v>
      </c>
      <c r="F78" s="219">
        <v>8.25</v>
      </c>
      <c r="G78" s="220">
        <v>12.25</v>
      </c>
      <c r="H78" s="220">
        <v>12.25</v>
      </c>
      <c r="I78" s="17">
        <f>SUM(B78:H78)</f>
        <v>65.75</v>
      </c>
      <c r="J78" s="221" t="s">
        <v>204</v>
      </c>
      <c r="N78" s="72"/>
      <c r="O78" s="72"/>
      <c r="P78" s="72"/>
      <c r="Q78" s="72"/>
      <c r="R78" s="72"/>
    </row>
    <row r="79" spans="1:31" ht="17.100000000000001" customHeight="1">
      <c r="A79" s="209"/>
      <c r="B79" s="30" t="s">
        <v>16</v>
      </c>
      <c r="C79" s="30" t="s">
        <v>16</v>
      </c>
      <c r="D79" s="30" t="s">
        <v>16</v>
      </c>
      <c r="E79" s="30" t="s">
        <v>16</v>
      </c>
      <c r="F79" s="30" t="s">
        <v>16</v>
      </c>
      <c r="G79" s="234"/>
      <c r="H79" s="235"/>
      <c r="I79" s="236"/>
      <c r="J79" s="213"/>
      <c r="L79" s="127"/>
      <c r="M79" s="127"/>
      <c r="N79" s="127"/>
      <c r="O79" s="72"/>
      <c r="P79" s="72"/>
      <c r="Q79" s="72"/>
      <c r="R79" s="72"/>
    </row>
    <row r="80" spans="1:31" ht="17.100000000000001" customHeight="1">
      <c r="A80" s="95" t="s">
        <v>269</v>
      </c>
      <c r="B80" s="34"/>
      <c r="C80" s="34"/>
      <c r="D80" s="34"/>
      <c r="E80" s="34"/>
      <c r="F80" s="34"/>
      <c r="G80" s="18"/>
      <c r="H80" s="237"/>
      <c r="I80" s="17">
        <f>SUM(B80:H80)</f>
        <v>0</v>
      </c>
      <c r="J80" s="221" t="s">
        <v>218</v>
      </c>
      <c r="L80" s="139"/>
      <c r="M80" s="139"/>
      <c r="N80" s="139"/>
      <c r="O80" s="72"/>
      <c r="P80" s="72"/>
      <c r="Q80" s="72"/>
      <c r="R80" s="72"/>
    </row>
    <row r="81" spans="1:18" ht="17.100000000000001" customHeight="1">
      <c r="A81" s="209"/>
      <c r="B81" s="248" t="s">
        <v>231</v>
      </c>
      <c r="C81" s="248" t="s">
        <v>231</v>
      </c>
      <c r="D81" s="248" t="s">
        <v>231</v>
      </c>
      <c r="E81" s="248" t="s">
        <v>231</v>
      </c>
      <c r="F81" s="248" t="s">
        <v>232</v>
      </c>
      <c r="G81" s="241" t="s">
        <v>233</v>
      </c>
      <c r="H81" s="242" t="s">
        <v>233</v>
      </c>
      <c r="I81" s="207"/>
      <c r="J81" s="213"/>
      <c r="N81" s="72"/>
      <c r="O81" s="72"/>
      <c r="P81" s="72"/>
      <c r="Q81" s="72"/>
      <c r="R81" s="72"/>
    </row>
    <row r="82" spans="1:18" ht="17.100000000000001" customHeight="1">
      <c r="A82" s="95" t="s">
        <v>61</v>
      </c>
      <c r="B82" s="250">
        <v>7</v>
      </c>
      <c r="C82" s="250">
        <v>7</v>
      </c>
      <c r="D82" s="250">
        <v>7</v>
      </c>
      <c r="E82" s="250">
        <v>7</v>
      </c>
      <c r="F82" s="250">
        <v>6.5</v>
      </c>
      <c r="G82" s="246">
        <v>12</v>
      </c>
      <c r="H82" s="247">
        <v>12</v>
      </c>
      <c r="I82" s="17">
        <f>SUM(B82:H82)</f>
        <v>58.5</v>
      </c>
      <c r="J82" s="221" t="s">
        <v>236</v>
      </c>
      <c r="N82" s="72"/>
      <c r="O82" s="72"/>
      <c r="P82" s="72"/>
      <c r="Q82" s="72"/>
      <c r="R82" s="72"/>
    </row>
    <row r="83" spans="1:18" ht="17.100000000000001" customHeight="1">
      <c r="A83" s="209"/>
      <c r="B83" s="30" t="s">
        <v>16</v>
      </c>
      <c r="C83" s="30" t="s">
        <v>16</v>
      </c>
      <c r="D83" s="30" t="s">
        <v>16</v>
      </c>
      <c r="E83" s="30" t="s">
        <v>16</v>
      </c>
      <c r="F83" s="30" t="s">
        <v>16</v>
      </c>
      <c r="G83" s="234"/>
      <c r="H83" s="235"/>
      <c r="I83" s="212"/>
      <c r="J83" s="213"/>
      <c r="N83" s="72"/>
      <c r="O83" s="72"/>
      <c r="P83" s="72"/>
      <c r="Q83" s="72"/>
      <c r="R83" s="72"/>
    </row>
    <row r="84" spans="1:18" ht="17.100000000000001" customHeight="1">
      <c r="A84" s="95" t="s">
        <v>251</v>
      </c>
      <c r="B84" s="133"/>
      <c r="C84" s="133"/>
      <c r="D84" s="133"/>
      <c r="E84" s="133"/>
      <c r="F84" s="133"/>
      <c r="G84" s="18"/>
      <c r="H84" s="237"/>
      <c r="I84" s="17">
        <f>SUM(B84:H84)</f>
        <v>0</v>
      </c>
      <c r="J84" s="221" t="s">
        <v>173</v>
      </c>
      <c r="N84" s="72"/>
      <c r="O84" s="72"/>
      <c r="P84" s="72"/>
      <c r="Q84" s="72"/>
      <c r="R84" s="72"/>
    </row>
    <row r="85" spans="1:18" ht="17.100000000000001" customHeight="1">
      <c r="A85" s="209"/>
      <c r="B85" s="270" t="s">
        <v>260</v>
      </c>
      <c r="C85" s="270" t="s">
        <v>260</v>
      </c>
      <c r="D85" s="270" t="s">
        <v>260</v>
      </c>
      <c r="E85" s="270" t="s">
        <v>260</v>
      </c>
      <c r="F85" s="270" t="s">
        <v>260</v>
      </c>
      <c r="G85" s="271"/>
      <c r="H85" s="272"/>
      <c r="I85" s="212"/>
      <c r="J85" s="213"/>
      <c r="N85" s="72"/>
      <c r="O85" s="72"/>
      <c r="P85" s="72"/>
      <c r="Q85" s="72"/>
      <c r="R85" s="72"/>
    </row>
    <row r="86" spans="1:18" ht="17.100000000000001" customHeight="1">
      <c r="A86" s="95" t="s">
        <v>71</v>
      </c>
      <c r="B86" s="275">
        <v>7</v>
      </c>
      <c r="C86" s="275">
        <v>7</v>
      </c>
      <c r="D86" s="275">
        <v>7</v>
      </c>
      <c r="E86" s="275">
        <v>7</v>
      </c>
      <c r="F86" s="275">
        <v>7</v>
      </c>
      <c r="G86" s="17"/>
      <c r="H86" s="263"/>
      <c r="I86" s="17">
        <f>SUM(B86:H86)</f>
        <v>35</v>
      </c>
      <c r="J86" s="221" t="s">
        <v>261</v>
      </c>
      <c r="N86" s="72"/>
      <c r="O86" s="72"/>
      <c r="P86" s="72"/>
      <c r="Q86" s="72"/>
      <c r="R86" s="72"/>
    </row>
    <row r="87" spans="1:18" ht="17.100000000000001" customHeight="1">
      <c r="A87" s="209"/>
      <c r="B87" s="222" t="s">
        <v>206</v>
      </c>
      <c r="C87" s="222" t="s">
        <v>206</v>
      </c>
      <c r="D87" s="222" t="s">
        <v>206</v>
      </c>
      <c r="E87" s="222" t="s">
        <v>206</v>
      </c>
      <c r="F87" s="222" t="s">
        <v>206</v>
      </c>
      <c r="G87" s="223" t="s">
        <v>207</v>
      </c>
      <c r="H87" s="224" t="s">
        <v>207</v>
      </c>
      <c r="I87" s="207"/>
      <c r="J87" s="213"/>
      <c r="N87" s="72"/>
      <c r="O87" s="72"/>
      <c r="P87" s="72"/>
      <c r="Q87" s="72"/>
      <c r="R87" s="72"/>
    </row>
    <row r="88" spans="1:18" ht="17.100000000000001" customHeight="1">
      <c r="A88" s="95" t="s">
        <v>209</v>
      </c>
      <c r="B88" s="91">
        <v>7</v>
      </c>
      <c r="C88" s="91">
        <v>7</v>
      </c>
      <c r="D88" s="91">
        <v>7</v>
      </c>
      <c r="E88" s="91">
        <v>7</v>
      </c>
      <c r="F88" s="91">
        <v>7</v>
      </c>
      <c r="G88" s="228">
        <v>11</v>
      </c>
      <c r="H88" s="229">
        <v>11</v>
      </c>
      <c r="I88" s="17">
        <f>SUM(B88:H88)</f>
        <v>57</v>
      </c>
      <c r="J88" s="221" t="s">
        <v>210</v>
      </c>
      <c r="N88" s="72"/>
      <c r="O88" s="72"/>
      <c r="P88" s="72"/>
      <c r="Q88" s="72"/>
      <c r="R88" s="72"/>
    </row>
    <row r="89" spans="1:18" ht="17.100000000000001" customHeight="1">
      <c r="A89" s="209"/>
      <c r="B89" s="30" t="s">
        <v>16</v>
      </c>
      <c r="C89" s="30" t="s">
        <v>16</v>
      </c>
      <c r="D89" s="30" t="s">
        <v>16</v>
      </c>
      <c r="E89" s="30" t="s">
        <v>16</v>
      </c>
      <c r="F89" s="30" t="s">
        <v>16</v>
      </c>
      <c r="G89" s="207"/>
      <c r="H89" s="238"/>
      <c r="I89" s="207"/>
      <c r="J89" s="213"/>
      <c r="N89" s="72"/>
      <c r="O89" s="72"/>
      <c r="P89" s="72"/>
      <c r="Q89" s="72"/>
      <c r="R89" s="72"/>
    </row>
    <row r="90" spans="1:18" ht="17.100000000000001" customHeight="1">
      <c r="A90" s="95" t="s">
        <v>222</v>
      </c>
      <c r="B90" s="34"/>
      <c r="C90" s="34"/>
      <c r="D90" s="34"/>
      <c r="E90" s="34"/>
      <c r="F90" s="34"/>
      <c r="G90" s="138"/>
      <c r="H90" s="240"/>
      <c r="I90" s="17">
        <f>SUM(B90:H90)</f>
        <v>0</v>
      </c>
      <c r="J90" s="221" t="s">
        <v>219</v>
      </c>
      <c r="N90" s="72"/>
      <c r="O90" s="72"/>
      <c r="P90" s="72"/>
      <c r="Q90" s="72"/>
      <c r="R90" s="72"/>
    </row>
    <row r="91" spans="1:18" ht="17.100000000000001" customHeight="1">
      <c r="A91" s="209"/>
      <c r="B91" s="251" t="s">
        <v>239</v>
      </c>
      <c r="C91" s="251" t="s">
        <v>239</v>
      </c>
      <c r="D91" s="251" t="s">
        <v>239</v>
      </c>
      <c r="E91" s="251" t="s">
        <v>239</v>
      </c>
      <c r="F91" s="251" t="s">
        <v>239</v>
      </c>
      <c r="G91" s="241" t="s">
        <v>240</v>
      </c>
      <c r="H91" s="242" t="s">
        <v>233</v>
      </c>
      <c r="I91" s="252"/>
      <c r="J91" s="213"/>
      <c r="N91" s="72"/>
      <c r="O91" s="72"/>
      <c r="P91" s="72"/>
      <c r="Q91" s="72"/>
      <c r="R91" s="72"/>
    </row>
    <row r="92" spans="1:18" ht="17.100000000000001" customHeight="1">
      <c r="A92" s="95" t="s">
        <v>243</v>
      </c>
      <c r="B92" s="255">
        <v>7</v>
      </c>
      <c r="C92" s="255">
        <v>7</v>
      </c>
      <c r="D92" s="255">
        <v>7</v>
      </c>
      <c r="E92" s="255">
        <v>7</v>
      </c>
      <c r="F92" s="255">
        <v>7</v>
      </c>
      <c r="G92" s="256">
        <v>9</v>
      </c>
      <c r="H92" s="247">
        <v>12</v>
      </c>
      <c r="I92" s="17">
        <f>SUM(B92:H92)</f>
        <v>56</v>
      </c>
      <c r="J92" s="221" t="s">
        <v>220</v>
      </c>
      <c r="L92" s="127"/>
      <c r="M92" s="127"/>
      <c r="N92" s="127"/>
      <c r="O92" s="72"/>
      <c r="P92" s="72"/>
      <c r="Q92" s="72"/>
      <c r="R92" s="72"/>
    </row>
    <row r="93" spans="1:18" ht="17.100000000000001" customHeight="1">
      <c r="A93" s="209"/>
      <c r="B93" s="30" t="s">
        <v>16</v>
      </c>
      <c r="C93" s="30" t="s">
        <v>16</v>
      </c>
      <c r="D93" s="30" t="s">
        <v>16</v>
      </c>
      <c r="E93" s="30" t="s">
        <v>16</v>
      </c>
      <c r="F93" s="30" t="s">
        <v>16</v>
      </c>
      <c r="G93" s="207"/>
      <c r="H93" s="238"/>
      <c r="I93" s="207"/>
      <c r="J93" s="213"/>
      <c r="L93" s="139"/>
      <c r="M93" s="139"/>
      <c r="N93" s="139"/>
      <c r="O93" s="72"/>
      <c r="P93" s="72"/>
      <c r="Q93" s="72"/>
      <c r="R93" s="72"/>
    </row>
    <row r="94" spans="1:18" ht="17.100000000000001" customHeight="1">
      <c r="A94" s="111" t="s">
        <v>270</v>
      </c>
      <c r="B94" s="133"/>
      <c r="C94" s="133"/>
      <c r="D94" s="34"/>
      <c r="E94" s="34"/>
      <c r="F94" s="34"/>
      <c r="G94" s="227"/>
      <c r="H94" s="239"/>
      <c r="I94" s="124">
        <f>SUM(B94:H94)</f>
        <v>0</v>
      </c>
      <c r="J94" s="264" t="s">
        <v>223</v>
      </c>
      <c r="N94" s="72"/>
      <c r="O94" s="72"/>
      <c r="P94" s="72"/>
      <c r="Q94" s="72"/>
      <c r="R94" s="72"/>
    </row>
    <row r="95" spans="1:18" ht="17.100000000000001" customHeight="1">
      <c r="A95" s="209"/>
      <c r="B95" s="276" t="s">
        <v>263</v>
      </c>
      <c r="C95" s="276" t="s">
        <v>263</v>
      </c>
      <c r="D95" s="276" t="s">
        <v>263</v>
      </c>
      <c r="E95" s="276" t="s">
        <v>263</v>
      </c>
      <c r="F95" s="276" t="s">
        <v>263</v>
      </c>
      <c r="G95" s="24"/>
      <c r="H95" s="258"/>
      <c r="I95" s="27"/>
      <c r="J95" s="213"/>
      <c r="N95" s="274"/>
      <c r="O95" s="274"/>
      <c r="P95" s="72"/>
      <c r="Q95" s="72"/>
      <c r="R95" s="72"/>
    </row>
    <row r="96" spans="1:18" ht="17.100000000000001" customHeight="1">
      <c r="A96" s="115" t="s">
        <v>72</v>
      </c>
      <c r="B96" s="278">
        <v>7.5</v>
      </c>
      <c r="C96" s="278">
        <v>7.5</v>
      </c>
      <c r="D96" s="278">
        <v>7.5</v>
      </c>
      <c r="E96" s="278">
        <v>7.5</v>
      </c>
      <c r="F96" s="278">
        <v>7.5</v>
      </c>
      <c r="G96" s="17"/>
      <c r="H96" s="263"/>
      <c r="I96" s="36">
        <f>SUM(B96:H96)</f>
        <v>37.5</v>
      </c>
      <c r="J96" s="279" t="s">
        <v>264</v>
      </c>
      <c r="L96" s="274"/>
      <c r="M96" s="274"/>
      <c r="N96" s="72"/>
      <c r="O96" s="72"/>
      <c r="P96" s="274"/>
      <c r="Q96" s="72"/>
      <c r="R96" s="72"/>
    </row>
    <row r="97" spans="1:19" ht="17.100000000000001" customHeight="1">
      <c r="A97" s="209"/>
      <c r="B97" s="230" t="s">
        <v>212</v>
      </c>
      <c r="C97" s="230" t="s">
        <v>212</v>
      </c>
      <c r="D97" s="230" t="s">
        <v>212</v>
      </c>
      <c r="E97" s="230" t="s">
        <v>212</v>
      </c>
      <c r="F97" s="230" t="s">
        <v>212</v>
      </c>
      <c r="G97" s="224" t="s">
        <v>213</v>
      </c>
      <c r="H97" s="224" t="s">
        <v>213</v>
      </c>
      <c r="I97" s="207"/>
      <c r="J97" s="213"/>
      <c r="L97" s="72"/>
      <c r="M97" s="72"/>
      <c r="N97" s="72"/>
      <c r="O97" s="72"/>
      <c r="P97" s="72"/>
      <c r="Q97" s="72"/>
      <c r="R97" s="72"/>
    </row>
    <row r="98" spans="1:19" ht="17.100000000000001" customHeight="1">
      <c r="A98" s="95" t="s">
        <v>214</v>
      </c>
      <c r="B98" s="233">
        <v>8</v>
      </c>
      <c r="C98" s="233">
        <v>8</v>
      </c>
      <c r="D98" s="233">
        <v>8</v>
      </c>
      <c r="E98" s="233">
        <v>8</v>
      </c>
      <c r="F98" s="233">
        <v>8</v>
      </c>
      <c r="G98" s="228">
        <v>12</v>
      </c>
      <c r="H98" s="228">
        <v>12</v>
      </c>
      <c r="I98" s="17">
        <f>SUM(B98:H98)</f>
        <v>64</v>
      </c>
      <c r="J98" s="221" t="s">
        <v>215</v>
      </c>
      <c r="N98" s="72"/>
      <c r="O98" s="72"/>
      <c r="P98" s="72"/>
      <c r="Q98" s="72"/>
      <c r="R98" s="72"/>
    </row>
    <row r="99" spans="1:19" ht="17.100000000000001" customHeight="1">
      <c r="A99" s="205"/>
      <c r="B99" s="30" t="s">
        <v>16</v>
      </c>
      <c r="C99" s="30" t="s">
        <v>16</v>
      </c>
      <c r="D99" s="30" t="s">
        <v>16</v>
      </c>
      <c r="E99" s="30" t="s">
        <v>16</v>
      </c>
      <c r="F99" s="30" t="s">
        <v>16</v>
      </c>
      <c r="G99" s="241" t="s">
        <v>224</v>
      </c>
      <c r="H99" s="242" t="s">
        <v>225</v>
      </c>
      <c r="I99" s="207"/>
      <c r="J99" s="243"/>
      <c r="N99" s="72"/>
      <c r="O99" s="72"/>
      <c r="P99" s="72"/>
      <c r="Q99" s="72"/>
      <c r="R99" s="72"/>
    </row>
    <row r="100" spans="1:19" ht="17.100000000000001" customHeight="1">
      <c r="A100" s="95" t="s">
        <v>228</v>
      </c>
      <c r="B100" s="34"/>
      <c r="C100" s="34"/>
      <c r="D100" s="34"/>
      <c r="E100" s="34"/>
      <c r="F100" s="34"/>
      <c r="G100" s="246">
        <v>12.25</v>
      </c>
      <c r="H100" s="247">
        <v>12.25</v>
      </c>
      <c r="I100" s="17">
        <f>SUM(B100:H100)</f>
        <v>24.5</v>
      </c>
      <c r="J100" s="221" t="s">
        <v>229</v>
      </c>
      <c r="N100" s="72"/>
      <c r="O100" s="72"/>
      <c r="P100" s="72"/>
      <c r="Q100" s="72"/>
      <c r="R100" s="72"/>
    </row>
    <row r="101" spans="1:19" ht="17.100000000000001" customHeight="1">
      <c r="A101" s="209"/>
      <c r="B101" s="257" t="s">
        <v>246</v>
      </c>
      <c r="C101" s="257" t="s">
        <v>246</v>
      </c>
      <c r="D101" s="257" t="s">
        <v>246</v>
      </c>
      <c r="E101" s="257" t="s">
        <v>246</v>
      </c>
      <c r="F101" s="257" t="s">
        <v>246</v>
      </c>
      <c r="G101" s="24"/>
      <c r="H101" s="258"/>
      <c r="I101" s="207"/>
      <c r="J101" s="213"/>
      <c r="N101" s="72"/>
      <c r="O101" s="72"/>
      <c r="P101" s="72"/>
      <c r="Q101" s="72"/>
      <c r="R101" s="72"/>
    </row>
    <row r="102" spans="1:19" ht="17.100000000000001" customHeight="1">
      <c r="A102" s="95" t="s">
        <v>248</v>
      </c>
      <c r="B102" s="262">
        <v>8</v>
      </c>
      <c r="C102" s="262">
        <v>8</v>
      </c>
      <c r="D102" s="262">
        <v>8</v>
      </c>
      <c r="E102" s="262">
        <v>8</v>
      </c>
      <c r="F102" s="262">
        <v>8</v>
      </c>
      <c r="G102" s="17"/>
      <c r="H102" s="263"/>
      <c r="I102" s="17">
        <f>SUM(B102:H102)</f>
        <v>40</v>
      </c>
      <c r="J102" s="221" t="s">
        <v>237</v>
      </c>
      <c r="N102" s="72"/>
      <c r="O102" s="72"/>
      <c r="P102" s="72"/>
      <c r="Q102" s="72"/>
      <c r="R102" s="72"/>
    </row>
    <row r="103" spans="1:19" ht="17.100000000000001" customHeight="1">
      <c r="A103" s="209" t="s">
        <v>28</v>
      </c>
      <c r="B103" s="265" t="s">
        <v>256</v>
      </c>
      <c r="C103" s="265" t="s">
        <v>256</v>
      </c>
      <c r="D103" s="265" t="s">
        <v>256</v>
      </c>
      <c r="E103" s="265" t="s">
        <v>256</v>
      </c>
      <c r="F103" s="265" t="s">
        <v>256</v>
      </c>
      <c r="G103" s="266"/>
      <c r="H103" s="238"/>
      <c r="I103" s="207"/>
      <c r="J103" s="213" t="s">
        <v>28</v>
      </c>
      <c r="N103" s="72"/>
      <c r="O103" s="72"/>
      <c r="P103" s="72"/>
      <c r="Q103" s="72"/>
      <c r="R103" s="72"/>
    </row>
    <row r="104" spans="1:19" ht="17.100000000000001" customHeight="1">
      <c r="A104" s="146" t="s">
        <v>257</v>
      </c>
      <c r="B104" s="269">
        <v>8</v>
      </c>
      <c r="C104" s="269">
        <v>8</v>
      </c>
      <c r="D104" s="269">
        <v>8</v>
      </c>
      <c r="E104" s="269">
        <v>8</v>
      </c>
      <c r="F104" s="269">
        <v>8</v>
      </c>
      <c r="G104" s="227"/>
      <c r="H104" s="239"/>
      <c r="I104" s="124">
        <f>SUM(B104:H104)</f>
        <v>40</v>
      </c>
      <c r="J104" s="245" t="s">
        <v>258</v>
      </c>
      <c r="N104" s="72"/>
      <c r="O104" s="72"/>
      <c r="P104" s="72"/>
      <c r="Q104" s="72"/>
      <c r="R104" s="72"/>
    </row>
    <row r="105" spans="1:19" ht="17.100000000000001" customHeight="1">
      <c r="A105" s="209"/>
      <c r="B105" s="280" t="s">
        <v>266</v>
      </c>
      <c r="C105" s="281" t="s">
        <v>266</v>
      </c>
      <c r="D105" s="281" t="s">
        <v>266</v>
      </c>
      <c r="E105" s="281" t="s">
        <v>266</v>
      </c>
      <c r="F105" s="281" t="s">
        <v>266</v>
      </c>
      <c r="G105" s="24"/>
      <c r="H105" s="258"/>
      <c r="I105" s="236"/>
      <c r="J105" s="213"/>
      <c r="N105" s="72"/>
      <c r="O105" s="72"/>
      <c r="P105" s="72"/>
      <c r="Q105" s="72"/>
      <c r="R105" s="72"/>
    </row>
    <row r="106" spans="1:19" ht="17.100000000000001" customHeight="1">
      <c r="A106" s="95" t="s">
        <v>73</v>
      </c>
      <c r="B106" s="284">
        <v>8</v>
      </c>
      <c r="C106" s="284">
        <v>8</v>
      </c>
      <c r="D106" s="284">
        <v>8</v>
      </c>
      <c r="E106" s="284">
        <v>8</v>
      </c>
      <c r="F106" s="284">
        <v>8</v>
      </c>
      <c r="G106" s="17"/>
      <c r="H106" s="17"/>
      <c r="I106" s="285">
        <f>SUM(B106:H106)</f>
        <v>40</v>
      </c>
      <c r="J106" s="221" t="s">
        <v>267</v>
      </c>
      <c r="N106" s="72"/>
      <c r="O106" s="72"/>
      <c r="P106" s="72"/>
      <c r="Q106" s="72"/>
      <c r="R106" s="72"/>
    </row>
    <row r="107" spans="1:19" ht="17.45" customHeight="1">
      <c r="A107" s="196" t="s">
        <v>30</v>
      </c>
      <c r="B107" s="286">
        <f t="shared" ref="B107:I107" si="3">SUM(B78,B80,B82,B84,B86,B88,B90,B92,B94,B96,B98,B100,B102,B104,B106)</f>
        <v>75.75</v>
      </c>
      <c r="C107" s="286">
        <f t="shared" si="3"/>
        <v>75.75</v>
      </c>
      <c r="D107" s="286">
        <f t="shared" si="3"/>
        <v>75.75</v>
      </c>
      <c r="E107" s="286">
        <f t="shared" si="3"/>
        <v>75.75</v>
      </c>
      <c r="F107" s="286">
        <f t="shared" si="3"/>
        <v>75.25</v>
      </c>
      <c r="G107" s="286">
        <f t="shared" si="3"/>
        <v>68.5</v>
      </c>
      <c r="H107" s="286">
        <f t="shared" si="3"/>
        <v>71.5</v>
      </c>
      <c r="I107" s="286">
        <f t="shared" si="3"/>
        <v>518.25</v>
      </c>
      <c r="J107" s="198"/>
      <c r="N107" s="72"/>
      <c r="O107" s="72"/>
      <c r="P107" s="72"/>
      <c r="Q107" s="72"/>
      <c r="R107" s="72"/>
    </row>
    <row r="108" spans="1:19" ht="17.45" customHeight="1">
      <c r="A108" s="72"/>
      <c r="B108" s="72"/>
      <c r="C108" s="72"/>
      <c r="D108" s="72"/>
      <c r="E108" s="72"/>
      <c r="F108" s="72"/>
      <c r="G108" s="204" t="s">
        <v>152</v>
      </c>
      <c r="H108" s="204" t="s">
        <v>153</v>
      </c>
      <c r="I108" s="204" t="s">
        <v>154</v>
      </c>
      <c r="N108" s="72"/>
      <c r="O108" s="72"/>
      <c r="P108" s="72"/>
      <c r="Q108" s="72"/>
      <c r="R108" s="72"/>
    </row>
    <row r="109" spans="1:19" ht="17.45" customHeight="1">
      <c r="A109" s="274"/>
      <c r="B109" s="274"/>
      <c r="C109" s="274"/>
      <c r="D109" s="274"/>
      <c r="E109" s="274"/>
      <c r="F109" s="72"/>
      <c r="G109" s="130">
        <f>I107</f>
        <v>518.25</v>
      </c>
      <c r="H109" s="169">
        <f>SUM(G109*13/3)</f>
        <v>2245.75</v>
      </c>
      <c r="I109" s="130">
        <f>SUM(H109*12)</f>
        <v>26949</v>
      </c>
      <c r="N109" s="72"/>
      <c r="O109" s="72"/>
      <c r="P109" s="72"/>
      <c r="Q109" s="72"/>
      <c r="R109" s="72"/>
    </row>
    <row r="110" spans="1:19" ht="17.45" customHeight="1">
      <c r="A110" s="406"/>
      <c r="B110" s="406"/>
      <c r="C110" s="406"/>
      <c r="D110" s="406"/>
      <c r="E110" s="406"/>
      <c r="F110" s="72"/>
      <c r="G110" s="72"/>
      <c r="H110" s="174"/>
      <c r="I110" s="72"/>
      <c r="N110" s="72"/>
      <c r="O110" s="72"/>
      <c r="P110" s="72"/>
      <c r="Q110" s="72"/>
      <c r="R110" s="72"/>
    </row>
    <row r="111" spans="1:19" ht="17.100000000000001" customHeight="1">
      <c r="A111" s="1" t="s">
        <v>271</v>
      </c>
      <c r="B111" s="72"/>
      <c r="C111" s="72"/>
      <c r="D111" s="72"/>
      <c r="E111" s="72"/>
      <c r="F111" s="72"/>
      <c r="L111" s="72"/>
      <c r="M111" s="274"/>
      <c r="N111" s="274"/>
      <c r="O111" s="274"/>
      <c r="P111" s="274"/>
      <c r="Q111" s="274"/>
      <c r="R111" s="274"/>
      <c r="S111" s="407"/>
    </row>
    <row r="112" spans="1:19" ht="17.100000000000001" customHeight="1">
      <c r="A112" s="61" t="s">
        <v>272</v>
      </c>
      <c r="B112" s="62" t="s">
        <v>2</v>
      </c>
      <c r="C112" s="63" t="s">
        <v>3</v>
      </c>
      <c r="D112" s="63" t="s">
        <v>4</v>
      </c>
      <c r="E112" s="63" t="s">
        <v>5</v>
      </c>
      <c r="F112" s="63" t="s">
        <v>6</v>
      </c>
      <c r="G112" s="63" t="s">
        <v>7</v>
      </c>
      <c r="H112" s="64" t="s">
        <v>8</v>
      </c>
      <c r="I112" s="65" t="s">
        <v>9</v>
      </c>
      <c r="J112" s="66" t="s">
        <v>10</v>
      </c>
      <c r="L112" s="274"/>
      <c r="M112" s="72"/>
      <c r="N112" s="72"/>
      <c r="O112" s="72"/>
      <c r="P112" s="72"/>
      <c r="Q112" s="72"/>
      <c r="R112" s="72"/>
      <c r="S112" s="408"/>
    </row>
    <row r="113" spans="1:20" ht="17.100000000000001" customHeight="1">
      <c r="A113" s="41" t="s">
        <v>28</v>
      </c>
      <c r="B113" s="10" t="s">
        <v>273</v>
      </c>
      <c r="C113" s="10" t="s">
        <v>273</v>
      </c>
      <c r="D113" s="10" t="s">
        <v>273</v>
      </c>
      <c r="E113" s="10" t="s">
        <v>273</v>
      </c>
      <c r="F113" s="10" t="s">
        <v>274</v>
      </c>
      <c r="G113" s="5"/>
      <c r="H113" s="119"/>
      <c r="I113" s="118"/>
      <c r="J113" s="32" t="s">
        <v>275</v>
      </c>
      <c r="L113" s="72"/>
      <c r="M113" s="127"/>
      <c r="N113" s="127"/>
      <c r="O113" s="127"/>
      <c r="P113" s="127"/>
      <c r="Q113" s="127"/>
      <c r="R113" s="407"/>
      <c r="S113" s="407"/>
    </row>
    <row r="114" spans="1:20" ht="17.100000000000001" customHeight="1">
      <c r="A114" s="16" t="s">
        <v>117</v>
      </c>
      <c r="B114" s="17">
        <v>7.75</v>
      </c>
      <c r="C114" s="17">
        <v>7.75</v>
      </c>
      <c r="D114" s="17">
        <v>7.75</v>
      </c>
      <c r="E114" s="17">
        <v>7.75</v>
      </c>
      <c r="F114" s="17">
        <v>6</v>
      </c>
      <c r="G114" s="19"/>
      <c r="H114" s="20"/>
      <c r="I114" s="36">
        <f>SUM(B114:H114)</f>
        <v>37</v>
      </c>
      <c r="J114" s="37" t="s">
        <v>276</v>
      </c>
      <c r="L114" s="274"/>
      <c r="M114" s="139"/>
      <c r="N114" s="139"/>
      <c r="O114" s="139"/>
      <c r="P114" s="139"/>
      <c r="Q114" s="139"/>
      <c r="R114" s="408"/>
      <c r="S114" s="408"/>
    </row>
    <row r="115" spans="1:20" ht="17.100000000000001" customHeight="1">
      <c r="A115" s="61" t="s">
        <v>146</v>
      </c>
      <c r="B115" s="62" t="s">
        <v>2</v>
      </c>
      <c r="C115" s="63" t="s">
        <v>3</v>
      </c>
      <c r="D115" s="63" t="s">
        <v>4</v>
      </c>
      <c r="E115" s="63" t="s">
        <v>5</v>
      </c>
      <c r="F115" s="63" t="s">
        <v>6</v>
      </c>
      <c r="G115" s="63" t="s">
        <v>7</v>
      </c>
      <c r="H115" s="64" t="s">
        <v>8</v>
      </c>
      <c r="I115" s="65" t="s">
        <v>9</v>
      </c>
      <c r="J115" s="66" t="s">
        <v>10</v>
      </c>
      <c r="L115" s="274"/>
      <c r="M115" s="139"/>
      <c r="N115" s="139"/>
      <c r="O115" s="139"/>
      <c r="P115" s="139"/>
      <c r="Q115" s="139"/>
      <c r="R115" s="408"/>
      <c r="S115" s="408"/>
    </row>
    <row r="116" spans="1:20" ht="17.100000000000001" customHeight="1">
      <c r="A116" s="41" t="s">
        <v>28</v>
      </c>
      <c r="B116" s="10" t="s">
        <v>277</v>
      </c>
      <c r="C116" s="10" t="s">
        <v>277</v>
      </c>
      <c r="D116" s="10" t="s">
        <v>277</v>
      </c>
      <c r="E116" s="10" t="s">
        <v>277</v>
      </c>
      <c r="F116" s="10" t="s">
        <v>278</v>
      </c>
      <c r="G116" s="5"/>
      <c r="H116" s="119"/>
      <c r="I116" s="118"/>
      <c r="J116" s="32" t="s">
        <v>275</v>
      </c>
      <c r="L116" s="274"/>
      <c r="M116" s="139"/>
      <c r="N116" s="139"/>
      <c r="O116" s="139"/>
      <c r="P116" s="139"/>
      <c r="Q116" s="139"/>
      <c r="R116" s="408"/>
      <c r="S116" s="408"/>
    </row>
    <row r="117" spans="1:20" ht="17.100000000000001" customHeight="1">
      <c r="A117" s="16" t="s">
        <v>279</v>
      </c>
      <c r="B117" s="17">
        <v>7.75</v>
      </c>
      <c r="C117" s="17">
        <v>7.75</v>
      </c>
      <c r="D117" s="17">
        <v>7.75</v>
      </c>
      <c r="E117" s="17">
        <v>7.75</v>
      </c>
      <c r="F117" s="17">
        <v>6</v>
      </c>
      <c r="G117" s="19"/>
      <c r="H117" s="20"/>
      <c r="I117" s="36">
        <f>SUM(B117:H117)</f>
        <v>37</v>
      </c>
      <c r="J117" s="37" t="s">
        <v>276</v>
      </c>
      <c r="L117" s="274"/>
      <c r="M117" s="139"/>
      <c r="N117" s="139"/>
      <c r="O117" s="139"/>
      <c r="P117" s="139"/>
      <c r="Q117" s="139"/>
      <c r="R117" s="408"/>
      <c r="S117" s="408"/>
    </row>
    <row r="118" spans="1:20" ht="17.100000000000001" customHeight="1">
      <c r="A118" s="274"/>
      <c r="B118" s="72"/>
      <c r="C118" s="72"/>
      <c r="D118" s="72"/>
      <c r="E118" s="72"/>
      <c r="F118" s="139"/>
      <c r="G118" s="204" t="s">
        <v>152</v>
      </c>
      <c r="H118" s="204" t="s">
        <v>153</v>
      </c>
      <c r="I118" s="204" t="s">
        <v>154</v>
      </c>
      <c r="J118" s="73"/>
      <c r="L118" s="72"/>
      <c r="M118" s="127"/>
      <c r="N118" s="127"/>
      <c r="O118" s="127"/>
      <c r="P118" s="127"/>
      <c r="Q118" s="127"/>
      <c r="R118" s="407"/>
      <c r="S118" s="407"/>
    </row>
    <row r="119" spans="1:20" ht="17.100000000000001" customHeight="1">
      <c r="A119" s="274"/>
      <c r="B119" s="72"/>
      <c r="C119" s="72"/>
      <c r="D119" s="72"/>
      <c r="E119" s="72"/>
      <c r="F119" s="139"/>
      <c r="G119" s="130">
        <f>SUM(I114,I117)</f>
        <v>74</v>
      </c>
      <c r="H119" s="169">
        <f>SUM(G119*13/3)</f>
        <v>320.66666666666669</v>
      </c>
      <c r="I119" s="130">
        <f>SUM(H119*12)</f>
        <v>3848</v>
      </c>
      <c r="J119" s="73"/>
      <c r="M119" s="139"/>
      <c r="N119" s="139"/>
      <c r="O119" s="139"/>
      <c r="P119" s="139"/>
      <c r="Q119" s="139"/>
      <c r="R119" s="408"/>
      <c r="S119" s="408"/>
    </row>
    <row r="120" spans="1:20" ht="17.100000000000001" customHeight="1">
      <c r="A120" s="1" t="s">
        <v>280</v>
      </c>
      <c r="B120" s="72"/>
      <c r="C120" s="72"/>
      <c r="D120" s="72"/>
      <c r="E120" s="72"/>
      <c r="F120" s="72"/>
    </row>
    <row r="121" spans="1:20" ht="17.100000000000001" customHeight="1">
      <c r="A121" s="61" t="s">
        <v>281</v>
      </c>
      <c r="B121" s="62" t="s">
        <v>2</v>
      </c>
      <c r="C121" s="63" t="s">
        <v>3</v>
      </c>
      <c r="D121" s="63" t="s">
        <v>4</v>
      </c>
      <c r="E121" s="63" t="s">
        <v>5</v>
      </c>
      <c r="F121" s="63" t="s">
        <v>6</v>
      </c>
      <c r="G121" s="63" t="s">
        <v>7</v>
      </c>
      <c r="H121" s="64" t="s">
        <v>8</v>
      </c>
      <c r="I121" s="65" t="s">
        <v>9</v>
      </c>
      <c r="J121" s="66" t="s">
        <v>10</v>
      </c>
    </row>
    <row r="122" spans="1:20" ht="17.100000000000001" customHeight="1">
      <c r="A122" s="41" t="s">
        <v>28</v>
      </c>
      <c r="B122" s="10" t="s">
        <v>282</v>
      </c>
      <c r="C122" s="10" t="s">
        <v>282</v>
      </c>
      <c r="D122" s="10" t="s">
        <v>282</v>
      </c>
      <c r="E122" s="10" t="s">
        <v>282</v>
      </c>
      <c r="F122" s="10" t="s">
        <v>283</v>
      </c>
      <c r="G122" s="5"/>
      <c r="H122" s="119"/>
      <c r="I122" s="118"/>
      <c r="J122" s="32"/>
    </row>
    <row r="123" spans="1:20" ht="17.100000000000001" customHeight="1">
      <c r="A123" s="16" t="s">
        <v>119</v>
      </c>
      <c r="B123" s="17">
        <v>8</v>
      </c>
      <c r="C123" s="17">
        <v>8</v>
      </c>
      <c r="D123" s="17">
        <v>8</v>
      </c>
      <c r="E123" s="17">
        <v>8</v>
      </c>
      <c r="F123" s="17">
        <v>5</v>
      </c>
      <c r="G123" s="19"/>
      <c r="H123" s="20"/>
      <c r="I123" s="36">
        <f>SUM(B123:H123)</f>
        <v>37</v>
      </c>
      <c r="J123" s="37"/>
      <c r="L123" s="274"/>
      <c r="M123" s="274"/>
      <c r="N123" s="274"/>
      <c r="O123" s="274"/>
      <c r="P123" s="274"/>
    </row>
    <row r="124" spans="1:20" ht="17.100000000000001" customHeight="1">
      <c r="A124" s="274"/>
      <c r="B124" s="72"/>
      <c r="C124" s="72"/>
      <c r="D124" s="72"/>
      <c r="E124" s="72"/>
      <c r="F124" s="139"/>
      <c r="G124" s="204" t="s">
        <v>152</v>
      </c>
      <c r="H124" s="204" t="s">
        <v>153</v>
      </c>
      <c r="I124" s="204" t="s">
        <v>154</v>
      </c>
      <c r="J124" s="73"/>
      <c r="L124" s="72"/>
      <c r="M124" s="72"/>
      <c r="N124" s="72"/>
      <c r="O124" s="72"/>
      <c r="P124" s="72"/>
    </row>
    <row r="125" spans="1:20" ht="17.100000000000001" customHeight="1">
      <c r="A125" s="274"/>
      <c r="B125" s="72"/>
      <c r="C125" s="72"/>
      <c r="D125" s="72"/>
      <c r="E125" s="72"/>
      <c r="F125" s="139"/>
      <c r="G125" s="130">
        <f>I123</f>
        <v>37</v>
      </c>
      <c r="H125" s="169">
        <f>SUM(G125*13/3)</f>
        <v>160.33333333333334</v>
      </c>
      <c r="I125" s="130">
        <f>SUM(H125*12)</f>
        <v>1924</v>
      </c>
      <c r="J125" s="73"/>
      <c r="L125" s="274"/>
      <c r="M125" s="274"/>
      <c r="N125" s="274"/>
      <c r="O125" s="274"/>
      <c r="P125" s="274"/>
    </row>
    <row r="126" spans="1:20" ht="17.100000000000001" customHeight="1">
      <c r="A126" s="1" t="s">
        <v>284</v>
      </c>
      <c r="B126" s="72"/>
      <c r="C126" s="72"/>
      <c r="D126" s="72"/>
      <c r="E126" s="72"/>
      <c r="F126" s="72"/>
    </row>
    <row r="127" spans="1:20" ht="17.100000000000001" customHeight="1">
      <c r="A127" s="23" t="s">
        <v>123</v>
      </c>
      <c r="B127" s="24" t="s">
        <v>2</v>
      </c>
      <c r="C127" s="25" t="s">
        <v>3</v>
      </c>
      <c r="D127" s="25" t="s">
        <v>4</v>
      </c>
      <c r="E127" s="25" t="s">
        <v>5</v>
      </c>
      <c r="F127" s="25" t="s">
        <v>6</v>
      </c>
      <c r="G127" s="25" t="s">
        <v>7</v>
      </c>
      <c r="H127" s="26" t="s">
        <v>8</v>
      </c>
      <c r="I127" s="27" t="s">
        <v>9</v>
      </c>
      <c r="J127" s="28" t="s">
        <v>10</v>
      </c>
      <c r="M127" s="340"/>
      <c r="N127" s="341" t="s">
        <v>158</v>
      </c>
      <c r="O127">
        <v>37</v>
      </c>
      <c r="P127" t="s">
        <v>285</v>
      </c>
      <c r="Q127">
        <v>2</v>
      </c>
      <c r="R127" t="s">
        <v>286</v>
      </c>
      <c r="S127">
        <f>O127*Q127</f>
        <v>74</v>
      </c>
      <c r="T127" t="s">
        <v>287</v>
      </c>
    </row>
    <row r="128" spans="1:20" ht="17.100000000000001" customHeight="1">
      <c r="A128" s="29" t="s">
        <v>87</v>
      </c>
      <c r="B128" s="30" t="s">
        <v>288</v>
      </c>
      <c r="C128" s="30" t="s">
        <v>288</v>
      </c>
      <c r="D128" s="30" t="s">
        <v>288</v>
      </c>
      <c r="E128" s="30" t="s">
        <v>288</v>
      </c>
      <c r="F128" s="409" t="s">
        <v>289</v>
      </c>
      <c r="G128" s="5"/>
      <c r="H128" s="5"/>
      <c r="I128" s="30"/>
      <c r="J128" s="32" t="s">
        <v>290</v>
      </c>
      <c r="M128" s="329"/>
      <c r="N128" s="345" t="s">
        <v>161</v>
      </c>
      <c r="O128" t="s">
        <v>28</v>
      </c>
    </row>
    <row r="129" spans="1:22" ht="17.100000000000001" customHeight="1">
      <c r="A129" s="181"/>
      <c r="B129" s="133">
        <v>0</v>
      </c>
      <c r="C129" s="133">
        <v>0</v>
      </c>
      <c r="D129" s="133">
        <v>0</v>
      </c>
      <c r="E129" s="133">
        <v>0</v>
      </c>
      <c r="F129" s="178">
        <v>0</v>
      </c>
      <c r="G129" s="182"/>
      <c r="H129" s="182"/>
      <c r="I129" s="133">
        <f>SUM(B129:H129)</f>
        <v>0</v>
      </c>
      <c r="J129" s="200"/>
      <c r="M129" s="329" t="s">
        <v>164</v>
      </c>
      <c r="N129" s="345">
        <v>0</v>
      </c>
      <c r="O129" t="s">
        <v>291</v>
      </c>
      <c r="Q129">
        <f>I131</f>
        <v>0</v>
      </c>
    </row>
    <row r="130" spans="1:22" ht="17.100000000000001" customHeight="1">
      <c r="A130" s="29" t="s">
        <v>91</v>
      </c>
      <c r="B130" s="30" t="s">
        <v>292</v>
      </c>
      <c r="C130" s="30" t="s">
        <v>292</v>
      </c>
      <c r="D130" s="30" t="s">
        <v>292</v>
      </c>
      <c r="E130" s="30" t="s">
        <v>292</v>
      </c>
      <c r="F130" s="30" t="s">
        <v>293</v>
      </c>
      <c r="G130" s="410"/>
      <c r="H130" s="410"/>
      <c r="I130" s="30"/>
      <c r="J130" s="32" t="s">
        <v>294</v>
      </c>
      <c r="M130" s="329" t="s">
        <v>167</v>
      </c>
      <c r="N130" s="345">
        <f>I131</f>
        <v>0</v>
      </c>
    </row>
    <row r="131" spans="1:22" ht="17.100000000000001" customHeight="1">
      <c r="A131" s="163"/>
      <c r="B131" s="34">
        <v>0</v>
      </c>
      <c r="C131" s="34">
        <v>0</v>
      </c>
      <c r="D131" s="34">
        <v>0</v>
      </c>
      <c r="E131" s="34">
        <v>0</v>
      </c>
      <c r="F131" s="34">
        <v>0</v>
      </c>
      <c r="G131" s="140"/>
      <c r="H131" s="140"/>
      <c r="I131" s="34">
        <f>SUM(B131:H131)</f>
        <v>0</v>
      </c>
      <c r="J131" s="142"/>
      <c r="M131" s="329" t="s">
        <v>170</v>
      </c>
      <c r="N131" s="345">
        <v>0</v>
      </c>
      <c r="O131">
        <f>Q129</f>
        <v>0</v>
      </c>
      <c r="P131" t="s">
        <v>295</v>
      </c>
      <c r="Q131" s="160">
        <f>SUM(O131/37)</f>
        <v>0</v>
      </c>
    </row>
    <row r="132" spans="1:22" ht="17.100000000000001" customHeight="1">
      <c r="A132" s="196" t="s">
        <v>30</v>
      </c>
      <c r="B132" s="196">
        <f t="shared" ref="B132:I132" si="4">SUM(B129,B131)</f>
        <v>0</v>
      </c>
      <c r="C132" s="196">
        <f t="shared" si="4"/>
        <v>0</v>
      </c>
      <c r="D132" s="196">
        <f t="shared" si="4"/>
        <v>0</v>
      </c>
      <c r="E132" s="196">
        <f t="shared" si="4"/>
        <v>0</v>
      </c>
      <c r="F132" s="196">
        <f t="shared" si="4"/>
        <v>0</v>
      </c>
      <c r="G132" s="196">
        <f t="shared" si="4"/>
        <v>0</v>
      </c>
      <c r="H132" s="196">
        <f t="shared" si="4"/>
        <v>0</v>
      </c>
      <c r="I132" s="196">
        <f t="shared" si="4"/>
        <v>0</v>
      </c>
      <c r="J132" s="198"/>
      <c r="O132" t="s">
        <v>296</v>
      </c>
      <c r="Q132" s="160"/>
    </row>
    <row r="133" spans="1:22" ht="17.100000000000001" customHeight="1">
      <c r="A133" s="72"/>
      <c r="B133" s="72"/>
      <c r="C133" s="72"/>
      <c r="D133" s="72"/>
      <c r="E133" s="72"/>
      <c r="F133" s="72"/>
      <c r="G133" s="204" t="s">
        <v>152</v>
      </c>
      <c r="H133" s="204" t="s">
        <v>153</v>
      </c>
      <c r="I133" s="204" t="s">
        <v>154</v>
      </c>
      <c r="Q133" s="160"/>
      <c r="V133" s="411"/>
    </row>
    <row r="134" spans="1:22" ht="17.100000000000001" customHeight="1">
      <c r="A134" s="72"/>
      <c r="B134" s="72"/>
      <c r="C134" s="72"/>
      <c r="D134" s="72"/>
      <c r="E134" s="72"/>
      <c r="F134" s="72"/>
      <c r="G134" s="130">
        <f>I132</f>
        <v>0</v>
      </c>
      <c r="H134" s="169">
        <f>SUM(G134*13/3)</f>
        <v>0</v>
      </c>
      <c r="I134" s="130">
        <f>SUM(H134*12)</f>
        <v>0</v>
      </c>
      <c r="O134" t="s">
        <v>297</v>
      </c>
      <c r="Q134" s="160"/>
    </row>
    <row r="135" spans="1:22" ht="17.100000000000001" customHeight="1">
      <c r="A135" s="72"/>
      <c r="B135" s="72"/>
      <c r="C135" s="72"/>
      <c r="D135" s="72"/>
      <c r="E135" s="72"/>
      <c r="F135" s="72"/>
      <c r="G135" s="72"/>
      <c r="H135" s="174"/>
      <c r="I135" s="72"/>
      <c r="O135" t="s">
        <v>298</v>
      </c>
      <c r="Q135" s="361"/>
      <c r="S135" s="160"/>
      <c r="U135" s="412"/>
    </row>
    <row r="136" spans="1:22" ht="18" customHeight="1">
      <c r="A136" s="1" t="s">
        <v>103</v>
      </c>
      <c r="B136" s="72"/>
      <c r="C136" s="72"/>
      <c r="D136" s="72"/>
      <c r="E136" s="72"/>
      <c r="F136" s="72"/>
    </row>
    <row r="137" spans="1:22" ht="18" customHeight="1">
      <c r="A137" s="61" t="s">
        <v>104</v>
      </c>
      <c r="B137" s="62" t="s">
        <v>2</v>
      </c>
      <c r="C137" s="63" t="s">
        <v>3</v>
      </c>
      <c r="D137" s="63" t="s">
        <v>4</v>
      </c>
      <c r="E137" s="63" t="s">
        <v>5</v>
      </c>
      <c r="F137" s="63" t="s">
        <v>6</v>
      </c>
      <c r="G137" s="63" t="s">
        <v>7</v>
      </c>
      <c r="H137" s="64" t="s">
        <v>8</v>
      </c>
      <c r="I137" s="65" t="s">
        <v>9</v>
      </c>
      <c r="J137" s="66" t="s">
        <v>10</v>
      </c>
      <c r="M137" s="340"/>
      <c r="N137" s="341" t="s">
        <v>158</v>
      </c>
      <c r="O137" t="s">
        <v>299</v>
      </c>
    </row>
    <row r="138" spans="1:22" ht="18" customHeight="1">
      <c r="A138" s="41" t="s">
        <v>105</v>
      </c>
      <c r="B138" s="118" t="s">
        <v>89</v>
      </c>
      <c r="C138" s="118" t="s">
        <v>89</v>
      </c>
      <c r="D138" s="118" t="s">
        <v>89</v>
      </c>
      <c r="E138" s="118" t="s">
        <v>89</v>
      </c>
      <c r="F138" s="118" t="s">
        <v>77</v>
      </c>
      <c r="G138" s="5"/>
      <c r="H138" s="119"/>
      <c r="I138" s="118"/>
      <c r="J138" s="32"/>
      <c r="M138" s="329"/>
      <c r="N138" s="345" t="s">
        <v>161</v>
      </c>
      <c r="O138" t="s">
        <v>28</v>
      </c>
    </row>
    <row r="139" spans="1:22" ht="18" customHeight="1">
      <c r="A139" s="120"/>
      <c r="B139" s="17">
        <v>7.5</v>
      </c>
      <c r="C139" s="17">
        <v>7.5</v>
      </c>
      <c r="D139" s="17">
        <v>7.5</v>
      </c>
      <c r="E139" s="17">
        <v>7.5</v>
      </c>
      <c r="F139" s="18">
        <v>7</v>
      </c>
      <c r="G139" s="19"/>
      <c r="H139" s="20"/>
      <c r="I139" s="36">
        <f>SUM(B139:H139)</f>
        <v>37</v>
      </c>
      <c r="J139" s="37"/>
      <c r="M139" s="329" t="s">
        <v>164</v>
      </c>
      <c r="N139" s="345">
        <v>0</v>
      </c>
      <c r="O139" t="s">
        <v>300</v>
      </c>
    </row>
    <row r="140" spans="1:22" ht="18" customHeight="1">
      <c r="A140" s="129" t="s">
        <v>106</v>
      </c>
      <c r="B140" s="30" t="s">
        <v>301</v>
      </c>
      <c r="C140" s="30" t="s">
        <v>301</v>
      </c>
      <c r="D140" s="30" t="s">
        <v>301</v>
      </c>
      <c r="E140" s="30" t="s">
        <v>301</v>
      </c>
      <c r="F140" s="30" t="s">
        <v>302</v>
      </c>
      <c r="G140" s="12"/>
      <c r="H140" s="13"/>
      <c r="I140" s="122"/>
      <c r="J140" s="40"/>
      <c r="M140" s="329" t="s">
        <v>167</v>
      </c>
      <c r="N140" s="345">
        <v>34</v>
      </c>
    </row>
    <row r="141" spans="1:22" ht="18" customHeight="1">
      <c r="A141" s="123"/>
      <c r="B141" s="130">
        <v>7</v>
      </c>
      <c r="C141" s="130">
        <v>7</v>
      </c>
      <c r="D141" s="130">
        <v>7</v>
      </c>
      <c r="E141" s="130">
        <v>7</v>
      </c>
      <c r="F141" s="125">
        <v>6</v>
      </c>
      <c r="G141" s="126"/>
      <c r="H141" s="127"/>
      <c r="I141" s="36">
        <f>SUM(B141:H141)</f>
        <v>34</v>
      </c>
      <c r="J141" s="85"/>
      <c r="M141" s="329" t="s">
        <v>170</v>
      </c>
      <c r="N141" s="345">
        <v>0</v>
      </c>
      <c r="O141" t="s">
        <v>303</v>
      </c>
    </row>
    <row r="142" spans="1:22" ht="18" customHeight="1">
      <c r="A142" s="29" t="s">
        <v>108</v>
      </c>
      <c r="B142" s="118" t="s">
        <v>109</v>
      </c>
      <c r="C142" s="118" t="s">
        <v>109</v>
      </c>
      <c r="D142" s="118" t="s">
        <v>109</v>
      </c>
      <c r="E142" s="118" t="s">
        <v>109</v>
      </c>
      <c r="F142" s="118" t="s">
        <v>110</v>
      </c>
      <c r="G142" s="118"/>
      <c r="H142" s="118"/>
      <c r="I142" s="118"/>
      <c r="J142" s="32"/>
      <c r="M142" s="331" t="s">
        <v>179</v>
      </c>
      <c r="N142" s="350">
        <f>SUM(N139:N141)</f>
        <v>34</v>
      </c>
    </row>
    <row r="143" spans="1:22" ht="18" customHeight="1">
      <c r="A143" s="16"/>
      <c r="B143" s="17" t="s">
        <v>304</v>
      </c>
      <c r="C143" s="17" t="s">
        <v>304</v>
      </c>
      <c r="D143" s="17" t="s">
        <v>304</v>
      </c>
      <c r="E143" s="17" t="s">
        <v>304</v>
      </c>
      <c r="F143" s="17" t="s">
        <v>304</v>
      </c>
      <c r="G143" s="18"/>
      <c r="H143" s="35"/>
      <c r="I143" s="36">
        <f>SUM(B143:H143)</f>
        <v>0</v>
      </c>
      <c r="J143" s="37"/>
      <c r="O143" t="s">
        <v>305</v>
      </c>
    </row>
    <row r="144" spans="1:22" ht="18" customHeight="1">
      <c r="A144" s="58" t="s">
        <v>30</v>
      </c>
      <c r="B144" s="58">
        <f t="shared" ref="B144:I144" si="5">SUM(B139,B141,B143)</f>
        <v>14.5</v>
      </c>
      <c r="C144" s="58">
        <f t="shared" si="5"/>
        <v>14.5</v>
      </c>
      <c r="D144" s="58">
        <f t="shared" si="5"/>
        <v>14.5</v>
      </c>
      <c r="E144" s="58">
        <f t="shared" si="5"/>
        <v>14.5</v>
      </c>
      <c r="F144" s="58">
        <f t="shared" si="5"/>
        <v>13</v>
      </c>
      <c r="G144" s="58">
        <f t="shared" si="5"/>
        <v>0</v>
      </c>
      <c r="H144" s="58">
        <f t="shared" si="5"/>
        <v>0</v>
      </c>
      <c r="I144" s="70">
        <f t="shared" si="5"/>
        <v>71</v>
      </c>
      <c r="J144" s="71"/>
    </row>
    <row r="145" spans="1:20" ht="18" customHeight="1">
      <c r="A145" s="72"/>
      <c r="B145" s="72"/>
      <c r="C145" s="72"/>
      <c r="D145" s="72"/>
      <c r="E145" s="72"/>
      <c r="F145" s="139"/>
      <c r="G145" s="204" t="s">
        <v>152</v>
      </c>
      <c r="H145" s="204" t="s">
        <v>153</v>
      </c>
      <c r="I145" s="204" t="s">
        <v>154</v>
      </c>
      <c r="J145" s="73"/>
      <c r="O145" t="s">
        <v>306</v>
      </c>
      <c r="P145" s="72"/>
      <c r="T145" t="s">
        <v>195</v>
      </c>
    </row>
    <row r="146" spans="1:20" ht="18" customHeight="1">
      <c r="A146" s="72"/>
      <c r="B146" s="72"/>
      <c r="C146" s="72"/>
      <c r="D146" s="72"/>
      <c r="E146" s="72"/>
      <c r="F146" s="72"/>
      <c r="G146" s="130">
        <f>I144</f>
        <v>71</v>
      </c>
      <c r="H146" s="169">
        <f>SUM(G146*13/3)</f>
        <v>307.66666666666669</v>
      </c>
      <c r="I146" s="130">
        <f>SUM(H146*12)</f>
        <v>3692</v>
      </c>
      <c r="J146" s="73"/>
    </row>
    <row r="147" spans="1:20" ht="18" customHeight="1">
      <c r="A147" s="72"/>
      <c r="B147" s="72"/>
      <c r="C147" s="72"/>
      <c r="D147" s="72"/>
      <c r="E147" s="72"/>
      <c r="F147" s="72"/>
      <c r="G147" s="72"/>
      <c r="H147" s="174"/>
      <c r="I147" s="72"/>
      <c r="J147" s="73"/>
      <c r="O147" t="s">
        <v>307</v>
      </c>
    </row>
    <row r="148" spans="1:20" ht="18" customHeight="1">
      <c r="A148" s="312" t="s">
        <v>308</v>
      </c>
      <c r="B148" s="72"/>
      <c r="C148" s="72"/>
      <c r="D148" s="72"/>
      <c r="E148" s="72"/>
      <c r="F148" s="139"/>
      <c r="G148" s="139"/>
      <c r="H148" s="139"/>
      <c r="I148" s="72"/>
      <c r="J148" s="73"/>
      <c r="N148" s="72"/>
    </row>
    <row r="149" spans="1:20" ht="18" customHeight="1">
      <c r="A149" s="61" t="s">
        <v>128</v>
      </c>
      <c r="B149" s="62" t="s">
        <v>2</v>
      </c>
      <c r="C149" s="63" t="s">
        <v>3</v>
      </c>
      <c r="D149" s="63" t="s">
        <v>4</v>
      </c>
      <c r="E149" s="63" t="s">
        <v>5</v>
      </c>
      <c r="F149" s="63" t="s">
        <v>6</v>
      </c>
      <c r="G149" s="63" t="s">
        <v>7</v>
      </c>
      <c r="H149" s="64" t="s">
        <v>8</v>
      </c>
      <c r="I149" s="65" t="s">
        <v>9</v>
      </c>
      <c r="J149" s="66" t="s">
        <v>10</v>
      </c>
      <c r="N149" s="72"/>
    </row>
    <row r="150" spans="1:20" ht="18" customHeight="1">
      <c r="A150" s="29" t="s">
        <v>28</v>
      </c>
      <c r="B150" s="30" t="s">
        <v>124</v>
      </c>
      <c r="C150" s="30" t="s">
        <v>124</v>
      </c>
      <c r="D150" s="30" t="s">
        <v>124</v>
      </c>
      <c r="E150" s="30" t="s">
        <v>124</v>
      </c>
      <c r="F150" s="31" t="s">
        <v>125</v>
      </c>
      <c r="G150" s="4"/>
      <c r="H150" s="413" t="s">
        <v>28</v>
      </c>
      <c r="I150" s="7"/>
      <c r="J150" s="32" t="s">
        <v>28</v>
      </c>
      <c r="N150" s="72"/>
    </row>
    <row r="151" spans="1:20" ht="18" customHeight="1">
      <c r="A151" s="315">
        <v>1</v>
      </c>
      <c r="B151" s="34">
        <v>7.75</v>
      </c>
      <c r="C151" s="34">
        <v>7.75</v>
      </c>
      <c r="D151" s="34">
        <v>7.75</v>
      </c>
      <c r="E151" s="34">
        <v>7.75</v>
      </c>
      <c r="F151" s="140">
        <v>6</v>
      </c>
      <c r="G151" s="17"/>
      <c r="H151" s="263" t="s">
        <v>28</v>
      </c>
      <c r="I151" s="34">
        <f>SUM(B151:H151)</f>
        <v>37</v>
      </c>
      <c r="J151" s="37"/>
      <c r="N151" s="72"/>
    </row>
    <row r="152" spans="1:20" ht="18" customHeight="1">
      <c r="A152" s="147" t="s">
        <v>28</v>
      </c>
      <c r="B152" s="30" t="s">
        <v>124</v>
      </c>
      <c r="C152" s="30" t="s">
        <v>124</v>
      </c>
      <c r="D152" s="30" t="s">
        <v>124</v>
      </c>
      <c r="E152" s="30" t="s">
        <v>124</v>
      </c>
      <c r="F152" s="31" t="s">
        <v>125</v>
      </c>
      <c r="G152" s="414"/>
      <c r="H152" s="11"/>
      <c r="I152" s="54"/>
      <c r="J152" s="40"/>
      <c r="N152" s="72"/>
    </row>
    <row r="153" spans="1:20" ht="18" customHeight="1">
      <c r="A153" s="315">
        <v>2</v>
      </c>
      <c r="B153" s="34">
        <v>7.75</v>
      </c>
      <c r="C153" s="34">
        <v>7.75</v>
      </c>
      <c r="D153" s="34">
        <v>7.75</v>
      </c>
      <c r="E153" s="34">
        <v>7.75</v>
      </c>
      <c r="F153" s="140">
        <v>6</v>
      </c>
      <c r="G153" s="18"/>
      <c r="H153" s="140"/>
      <c r="I153" s="34">
        <f>SUM(B153:H153)</f>
        <v>37</v>
      </c>
      <c r="J153" s="142"/>
      <c r="N153" s="72"/>
    </row>
    <row r="154" spans="1:20" ht="18" customHeight="1">
      <c r="A154" s="29"/>
      <c r="B154" s="30" t="s">
        <v>124</v>
      </c>
      <c r="C154" s="30" t="s">
        <v>124</v>
      </c>
      <c r="D154" s="30" t="s">
        <v>124</v>
      </c>
      <c r="E154" s="30" t="s">
        <v>124</v>
      </c>
      <c r="F154" s="31" t="s">
        <v>125</v>
      </c>
      <c r="G154" s="118"/>
      <c r="H154" s="31"/>
      <c r="I154" s="7"/>
      <c r="J154" s="32"/>
      <c r="N154" s="72"/>
    </row>
    <row r="155" spans="1:20" ht="18" customHeight="1">
      <c r="A155" s="315">
        <v>3</v>
      </c>
      <c r="B155" s="34">
        <v>7.75</v>
      </c>
      <c r="C155" s="34">
        <v>7.75</v>
      </c>
      <c r="D155" s="34">
        <v>7.75</v>
      </c>
      <c r="E155" s="34">
        <v>7.75</v>
      </c>
      <c r="F155" s="140">
        <v>6</v>
      </c>
      <c r="G155" s="17"/>
      <c r="H155" s="140"/>
      <c r="I155" s="34">
        <f>SUM(B155:H155)</f>
        <v>37</v>
      </c>
      <c r="J155" s="37"/>
    </row>
    <row r="156" spans="1:20" ht="18" customHeight="1">
      <c r="A156" s="415"/>
      <c r="B156" s="30" t="s">
        <v>124</v>
      </c>
      <c r="C156" s="30" t="s">
        <v>124</v>
      </c>
      <c r="D156" s="30" t="s">
        <v>124</v>
      </c>
      <c r="E156" s="30" t="s">
        <v>124</v>
      </c>
      <c r="F156" s="31" t="s">
        <v>125</v>
      </c>
      <c r="G156" s="11"/>
      <c r="H156" s="11"/>
      <c r="I156" s="14"/>
      <c r="J156" s="40"/>
      <c r="P156" s="72"/>
    </row>
    <row r="157" spans="1:20" ht="18" customHeight="1">
      <c r="A157" s="315">
        <v>4</v>
      </c>
      <c r="B157" s="34">
        <v>7.75</v>
      </c>
      <c r="C157" s="34">
        <v>7.75</v>
      </c>
      <c r="D157" s="34">
        <v>7.75</v>
      </c>
      <c r="E157" s="34">
        <v>7.75</v>
      </c>
      <c r="F157" s="140">
        <v>6</v>
      </c>
      <c r="G157" s="140"/>
      <c r="H157" s="140"/>
      <c r="I157" s="34">
        <f>SUM(B157:H157)</f>
        <v>37</v>
      </c>
      <c r="J157" s="37"/>
      <c r="P157" s="72"/>
    </row>
    <row r="158" spans="1:20" ht="18" customHeight="1">
      <c r="A158" s="416"/>
      <c r="B158" s="30" t="s">
        <v>124</v>
      </c>
      <c r="C158" s="30" t="s">
        <v>124</v>
      </c>
      <c r="D158" s="30" t="s">
        <v>124</v>
      </c>
      <c r="E158" s="30" t="s">
        <v>124</v>
      </c>
      <c r="F158" s="31" t="s">
        <v>125</v>
      </c>
      <c r="G158" s="377"/>
      <c r="H158" s="377"/>
      <c r="I158" s="417"/>
      <c r="J158" s="418"/>
      <c r="P158" s="72"/>
    </row>
    <row r="159" spans="1:20" ht="18" customHeight="1">
      <c r="A159" s="315">
        <v>5</v>
      </c>
      <c r="B159" s="34">
        <v>7.75</v>
      </c>
      <c r="C159" s="34">
        <v>7.75</v>
      </c>
      <c r="D159" s="34">
        <v>7.75</v>
      </c>
      <c r="E159" s="34">
        <v>7.75</v>
      </c>
      <c r="F159" s="140">
        <v>6</v>
      </c>
      <c r="G159" s="18"/>
      <c r="H159" s="18"/>
      <c r="I159" s="34">
        <f>SUM(B159:H159)</f>
        <v>37</v>
      </c>
      <c r="J159" s="37"/>
    </row>
    <row r="160" spans="1:20" ht="18" customHeight="1">
      <c r="A160" s="147"/>
      <c r="B160" s="30" t="s">
        <v>124</v>
      </c>
      <c r="C160" s="30" t="s">
        <v>124</v>
      </c>
      <c r="D160" s="30" t="s">
        <v>124</v>
      </c>
      <c r="E160" s="30" t="s">
        <v>124</v>
      </c>
      <c r="F160" s="31" t="s">
        <v>125</v>
      </c>
      <c r="G160" s="11"/>
      <c r="H160" s="11"/>
      <c r="I160" s="14"/>
      <c r="J160" s="40"/>
    </row>
    <row r="161" spans="1:20" ht="18" customHeight="1">
      <c r="A161" s="315">
        <v>6</v>
      </c>
      <c r="B161" s="34">
        <v>7.75</v>
      </c>
      <c r="C161" s="34">
        <v>7.75</v>
      </c>
      <c r="D161" s="34">
        <v>7.75</v>
      </c>
      <c r="E161" s="34">
        <v>7.75</v>
      </c>
      <c r="F161" s="140">
        <v>6</v>
      </c>
      <c r="G161" s="140"/>
      <c r="H161" s="140"/>
      <c r="I161" s="34">
        <f>SUM(B161:H161)</f>
        <v>37</v>
      </c>
      <c r="J161" s="37"/>
    </row>
    <row r="162" spans="1:20" ht="18" customHeight="1">
      <c r="A162" s="58" t="s">
        <v>30</v>
      </c>
      <c r="B162" s="58">
        <f t="shared" ref="B162:H162" si="6">SUM(B151,B153,B155,B157,B159,B161)</f>
        <v>46.5</v>
      </c>
      <c r="C162" s="58">
        <f t="shared" si="6"/>
        <v>46.5</v>
      </c>
      <c r="D162" s="58">
        <f t="shared" si="6"/>
        <v>46.5</v>
      </c>
      <c r="E162" s="58">
        <f t="shared" si="6"/>
        <v>46.5</v>
      </c>
      <c r="F162" s="58">
        <f t="shared" si="6"/>
        <v>36</v>
      </c>
      <c r="G162" s="58">
        <f t="shared" si="6"/>
        <v>0</v>
      </c>
      <c r="H162" s="58">
        <f t="shared" si="6"/>
        <v>0</v>
      </c>
      <c r="I162" s="70">
        <f>SUM(I151,I153,I155,I157,I161)</f>
        <v>185</v>
      </c>
      <c r="J162" s="71"/>
      <c r="M162" s="72"/>
      <c r="N162" s="72"/>
    </row>
    <row r="163" spans="1:20" ht="18" customHeight="1">
      <c r="A163" s="312"/>
      <c r="B163" s="72"/>
      <c r="C163" s="72"/>
      <c r="D163" s="72"/>
      <c r="E163" s="72"/>
      <c r="F163" s="139"/>
      <c r="G163" s="204" t="s">
        <v>152</v>
      </c>
      <c r="H163" s="204" t="s">
        <v>153</v>
      </c>
      <c r="I163" s="204" t="s">
        <v>154</v>
      </c>
      <c r="J163" s="73"/>
      <c r="M163" s="72"/>
      <c r="N163" s="72"/>
    </row>
    <row r="164" spans="1:20" ht="18" customHeight="1">
      <c r="A164" s="312"/>
      <c r="B164" s="72"/>
      <c r="C164" s="72"/>
      <c r="D164" s="72"/>
      <c r="E164" s="72"/>
      <c r="F164" s="139"/>
      <c r="G164" s="130">
        <f>I162</f>
        <v>185</v>
      </c>
      <c r="H164" s="169">
        <f>SUM(G164*13/3)</f>
        <v>801.66666666666663</v>
      </c>
      <c r="I164" s="130">
        <f>SUM(H164*12)</f>
        <v>9620</v>
      </c>
      <c r="J164" s="73"/>
      <c r="M164" s="72"/>
      <c r="N164" s="72"/>
    </row>
    <row r="165" spans="1:20" ht="18" customHeight="1">
      <c r="A165" s="274"/>
      <c r="B165" s="72"/>
      <c r="C165" s="72"/>
      <c r="D165" s="72"/>
      <c r="E165" s="72"/>
      <c r="F165" s="139"/>
      <c r="G165" s="72"/>
      <c r="H165" s="174"/>
      <c r="I165" s="72"/>
      <c r="J165" s="73"/>
      <c r="M165" s="72"/>
      <c r="N165" s="72"/>
    </row>
    <row r="166" spans="1:20" ht="17.100000000000001" customHeight="1" thickBot="1">
      <c r="A166" s="1686" t="s">
        <v>309</v>
      </c>
      <c r="B166" s="72"/>
      <c r="C166" s="72"/>
      <c r="D166" s="72"/>
      <c r="E166" s="72"/>
      <c r="F166" s="72"/>
      <c r="O166">
        <v>37</v>
      </c>
      <c r="P166" t="s">
        <v>285</v>
      </c>
      <c r="Q166">
        <v>3</v>
      </c>
      <c r="R166" t="s">
        <v>286</v>
      </c>
      <c r="S166">
        <f>O166*Q166</f>
        <v>111</v>
      </c>
      <c r="T166" t="s">
        <v>287</v>
      </c>
    </row>
    <row r="167" spans="1:20" ht="17.100000000000001" customHeight="1" thickBot="1">
      <c r="A167" s="205" t="s">
        <v>310</v>
      </c>
      <c r="B167" s="24" t="s">
        <v>2</v>
      </c>
      <c r="C167" s="25" t="s">
        <v>3</v>
      </c>
      <c r="D167" s="25" t="s">
        <v>4</v>
      </c>
      <c r="E167" s="25" t="s">
        <v>5</v>
      </c>
      <c r="F167" s="25" t="s">
        <v>6</v>
      </c>
      <c r="G167" s="25" t="s">
        <v>7</v>
      </c>
      <c r="H167" s="26" t="s">
        <v>8</v>
      </c>
      <c r="I167" s="27" t="s">
        <v>9</v>
      </c>
      <c r="J167" s="28" t="s">
        <v>10</v>
      </c>
      <c r="M167" s="340"/>
      <c r="N167" s="341" t="s">
        <v>158</v>
      </c>
      <c r="O167" t="s">
        <v>28</v>
      </c>
    </row>
    <row r="168" spans="1:20" ht="17.100000000000001" customHeight="1">
      <c r="A168" s="419"/>
      <c r="B168" s="5" t="s">
        <v>443</v>
      </c>
      <c r="C168" s="5" t="s">
        <v>443</v>
      </c>
      <c r="D168" s="5" t="s">
        <v>443</v>
      </c>
      <c r="E168" s="5" t="s">
        <v>443</v>
      </c>
      <c r="F168" s="5" t="s">
        <v>444</v>
      </c>
      <c r="G168" s="5"/>
      <c r="H168" s="5"/>
      <c r="I168" s="346"/>
      <c r="J168" s="32"/>
      <c r="M168" s="329"/>
      <c r="N168" s="345" t="s">
        <v>161</v>
      </c>
      <c r="O168" t="s">
        <v>291</v>
      </c>
      <c r="Q168">
        <f>N174</f>
        <v>105</v>
      </c>
    </row>
    <row r="169" spans="1:20" ht="17.100000000000001" customHeight="1" thickBot="1">
      <c r="A169" s="420">
        <v>1</v>
      </c>
      <c r="B169" s="140">
        <v>7.75</v>
      </c>
      <c r="C169" s="140">
        <v>7.75</v>
      </c>
      <c r="D169" s="140">
        <v>7.75</v>
      </c>
      <c r="E169" s="140">
        <v>7.75</v>
      </c>
      <c r="F169" s="140">
        <v>6</v>
      </c>
      <c r="G169" s="140"/>
      <c r="H169" s="140"/>
      <c r="I169" s="140">
        <v>37</v>
      </c>
      <c r="J169" s="37"/>
      <c r="M169" s="329" t="s">
        <v>164</v>
      </c>
      <c r="N169" s="345">
        <v>37</v>
      </c>
    </row>
    <row r="170" spans="1:20" ht="17.100000000000001" customHeight="1">
      <c r="A170" s="419"/>
      <c r="B170" s="5" t="s">
        <v>445</v>
      </c>
      <c r="C170" s="5" t="s">
        <v>445</v>
      </c>
      <c r="D170" s="5" t="s">
        <v>445</v>
      </c>
      <c r="E170" s="5" t="s">
        <v>446</v>
      </c>
      <c r="F170" s="5" t="s">
        <v>447</v>
      </c>
      <c r="G170" s="5" t="s">
        <v>448</v>
      </c>
      <c r="H170" s="5" t="s">
        <v>449</v>
      </c>
      <c r="I170" s="346"/>
      <c r="J170" s="32"/>
      <c r="M170" s="329" t="s">
        <v>167</v>
      </c>
      <c r="N170" s="345">
        <v>68</v>
      </c>
      <c r="O170">
        <f>Q168</f>
        <v>105</v>
      </c>
      <c r="P170" t="s">
        <v>295</v>
      </c>
      <c r="Q170" s="160">
        <f>SUM(O170/37)</f>
        <v>2.8378378378378377</v>
      </c>
    </row>
    <row r="171" spans="1:20" ht="17.100000000000001" customHeight="1" thickBot="1">
      <c r="A171" s="420">
        <v>2</v>
      </c>
      <c r="B171" s="140">
        <v>9.25</v>
      </c>
      <c r="C171" s="140">
        <v>9.25</v>
      </c>
      <c r="D171" s="140">
        <v>9.25</v>
      </c>
      <c r="E171" s="140">
        <v>9.25</v>
      </c>
      <c r="F171" s="140">
        <v>10.25</v>
      </c>
      <c r="G171" s="140">
        <v>10.5</v>
      </c>
      <c r="H171" s="140">
        <v>10.5</v>
      </c>
      <c r="I171" s="140">
        <v>68</v>
      </c>
      <c r="J171" s="37"/>
      <c r="M171" s="329" t="s">
        <v>170</v>
      </c>
      <c r="N171" s="345">
        <f>I173</f>
        <v>0</v>
      </c>
    </row>
    <row r="172" spans="1:20" ht="17.100000000000001" customHeight="1">
      <c r="A172" s="419"/>
      <c r="B172" s="31" t="s">
        <v>162</v>
      </c>
      <c r="C172" s="31" t="s">
        <v>162</v>
      </c>
      <c r="D172" s="31" t="s">
        <v>162</v>
      </c>
      <c r="E172" s="31" t="s">
        <v>162</v>
      </c>
      <c r="F172" s="31" t="s">
        <v>162</v>
      </c>
      <c r="G172" s="31"/>
      <c r="H172" s="31"/>
      <c r="I172" s="346"/>
      <c r="J172" s="32"/>
      <c r="M172" s="329"/>
      <c r="N172" s="345"/>
      <c r="O172" s="160">
        <f>Q170</f>
        <v>2.8378378378378377</v>
      </c>
      <c r="P172" t="s">
        <v>315</v>
      </c>
      <c r="S172" s="421">
        <f>SUM(O172*3)</f>
        <v>8.5135135135135123</v>
      </c>
      <c r="T172" t="s">
        <v>316</v>
      </c>
    </row>
    <row r="173" spans="1:20" ht="17.100000000000001" customHeight="1">
      <c r="A173" s="420">
        <v>3</v>
      </c>
      <c r="B173" s="140">
        <v>0</v>
      </c>
      <c r="C173" s="140">
        <v>0</v>
      </c>
      <c r="D173" s="140">
        <v>0</v>
      </c>
      <c r="E173" s="140">
        <v>0</v>
      </c>
      <c r="F173" s="140">
        <v>0</v>
      </c>
      <c r="G173" s="140"/>
      <c r="H173" s="140"/>
      <c r="I173" s="140">
        <f>SUM(B173:H173)</f>
        <v>0</v>
      </c>
      <c r="J173" s="37"/>
      <c r="M173" s="422" t="s">
        <v>28</v>
      </c>
      <c r="N173" s="423"/>
    </row>
    <row r="174" spans="1:20" ht="17.100000000000001" customHeight="1">
      <c r="A174" s="419"/>
      <c r="B174" s="5"/>
      <c r="C174" s="5"/>
      <c r="D174" s="5"/>
      <c r="E174" s="5"/>
      <c r="F174" s="5"/>
      <c r="G174" s="31"/>
      <c r="H174" s="31"/>
      <c r="I174" s="346"/>
      <c r="J174" s="32"/>
      <c r="M174" s="331" t="s">
        <v>179</v>
      </c>
      <c r="N174" s="350">
        <f>SUM(N169:N173)</f>
        <v>105</v>
      </c>
      <c r="O174" t="s">
        <v>28</v>
      </c>
      <c r="P174" s="354"/>
      <c r="Q174" s="354" t="s">
        <v>318</v>
      </c>
      <c r="S174" s="160">
        <f>S166-S172</f>
        <v>102.48648648648648</v>
      </c>
      <c r="T174" t="s">
        <v>319</v>
      </c>
    </row>
    <row r="175" spans="1:20" ht="17.100000000000001" customHeight="1">
      <c r="A175" s="420">
        <v>4</v>
      </c>
      <c r="B175" s="140"/>
      <c r="C175" s="140"/>
      <c r="D175" s="140"/>
      <c r="E175" s="140"/>
      <c r="F175" s="140"/>
      <c r="G175" s="140"/>
      <c r="H175" s="140"/>
      <c r="I175" s="140"/>
      <c r="J175" s="37"/>
      <c r="S175" s="160"/>
    </row>
    <row r="176" spans="1:20" ht="17.100000000000001" customHeight="1">
      <c r="A176" s="419"/>
      <c r="B176" s="5"/>
      <c r="C176" s="5"/>
      <c r="D176" s="5"/>
      <c r="E176" s="31"/>
      <c r="F176" s="31"/>
      <c r="G176" s="31"/>
      <c r="H176" s="31"/>
      <c r="I176" s="346"/>
      <c r="J176" s="32"/>
      <c r="S176" s="160"/>
    </row>
    <row r="177" spans="1:22" ht="17.100000000000001" customHeight="1">
      <c r="A177" s="420"/>
      <c r="B177" s="140"/>
      <c r="C177" s="140"/>
      <c r="D177" s="140"/>
      <c r="E177" s="140"/>
      <c r="F177" s="140"/>
      <c r="G177" s="140"/>
      <c r="H177" s="140"/>
      <c r="I177" s="140"/>
      <c r="J177" s="37"/>
      <c r="S177" s="160"/>
    </row>
    <row r="178" spans="1:22" ht="17.100000000000001" customHeight="1">
      <c r="A178" s="419"/>
      <c r="B178" s="31"/>
      <c r="C178" s="31"/>
      <c r="D178" s="31"/>
      <c r="E178" s="31"/>
      <c r="F178" s="31"/>
      <c r="G178" s="31"/>
      <c r="H178" s="31"/>
      <c r="I178" s="346"/>
      <c r="J178" s="32"/>
      <c r="S178" s="160"/>
    </row>
    <row r="179" spans="1:22" ht="17.100000000000001" customHeight="1">
      <c r="A179" s="420"/>
      <c r="B179" s="140"/>
      <c r="C179" s="140"/>
      <c r="D179" s="140"/>
      <c r="E179" s="140"/>
      <c r="F179" s="140"/>
      <c r="G179" s="140"/>
      <c r="H179" s="140"/>
      <c r="I179" s="140"/>
      <c r="J179" s="37"/>
      <c r="S179" s="160"/>
    </row>
    <row r="180" spans="1:22" ht="17.100000000000001" customHeight="1">
      <c r="A180" s="419"/>
      <c r="B180" s="5"/>
      <c r="C180" s="5"/>
      <c r="D180" s="5"/>
      <c r="E180" s="5"/>
      <c r="F180" s="5"/>
      <c r="G180" s="31"/>
      <c r="H180" s="31"/>
      <c r="I180" s="346"/>
      <c r="J180" s="32" t="s">
        <v>28</v>
      </c>
      <c r="S180" s="160"/>
    </row>
    <row r="181" spans="1:22" ht="17.100000000000001" customHeight="1">
      <c r="A181" s="420" t="s">
        <v>28</v>
      </c>
      <c r="B181" s="140"/>
      <c r="C181" s="140"/>
      <c r="D181" s="140"/>
      <c r="E181" s="140"/>
      <c r="F181" s="140"/>
      <c r="G181" s="140"/>
      <c r="H181" s="140"/>
      <c r="I181" s="140">
        <f>SUM(B181:H181)</f>
        <v>0</v>
      </c>
      <c r="J181" s="37"/>
      <c r="S181" s="160"/>
    </row>
    <row r="182" spans="1:22" ht="17.100000000000001" customHeight="1">
      <c r="A182" s="196" t="s">
        <v>30</v>
      </c>
      <c r="B182" s="196">
        <f t="shared" ref="B182:H182" si="7">SUM(B169,B171,B173,B175)</f>
        <v>17</v>
      </c>
      <c r="C182" s="196">
        <f t="shared" si="7"/>
        <v>17</v>
      </c>
      <c r="D182" s="196">
        <f t="shared" si="7"/>
        <v>17</v>
      </c>
      <c r="E182" s="196">
        <f t="shared" si="7"/>
        <v>17</v>
      </c>
      <c r="F182" s="196">
        <f t="shared" si="7"/>
        <v>16.25</v>
      </c>
      <c r="G182" s="196">
        <f t="shared" si="7"/>
        <v>10.5</v>
      </c>
      <c r="H182" s="196">
        <f t="shared" si="7"/>
        <v>10.5</v>
      </c>
      <c r="I182" s="196">
        <f>SUM(I169,I171,I173,I175,I177,I179,I181)</f>
        <v>105</v>
      </c>
      <c r="J182" s="198"/>
      <c r="O182" t="s">
        <v>320</v>
      </c>
      <c r="P182">
        <f>I182</f>
        <v>105</v>
      </c>
      <c r="Q182" s="361" t="s">
        <v>321</v>
      </c>
      <c r="S182" s="160">
        <f>S174</f>
        <v>102.48648648648648</v>
      </c>
      <c r="T182" t="s">
        <v>322</v>
      </c>
      <c r="U182" s="412">
        <f>P182-S182</f>
        <v>2.5135135135135158</v>
      </c>
    </row>
    <row r="183" spans="1:22" ht="17.100000000000001" customHeight="1">
      <c r="A183" s="72"/>
      <c r="B183" s="72"/>
      <c r="C183" s="72"/>
      <c r="D183" s="72"/>
      <c r="E183" s="72"/>
      <c r="F183" s="72"/>
      <c r="G183" s="204" t="s">
        <v>152</v>
      </c>
      <c r="H183" s="204" t="s">
        <v>153</v>
      </c>
      <c r="I183" s="204" t="s">
        <v>154</v>
      </c>
      <c r="V183" s="411"/>
    </row>
    <row r="184" spans="1:22" ht="17.100000000000001" customHeight="1">
      <c r="A184" s="72"/>
      <c r="B184" s="72"/>
      <c r="C184" s="72"/>
      <c r="D184" s="72"/>
      <c r="E184" s="72"/>
      <c r="F184" s="72"/>
      <c r="G184" s="130">
        <f>I182</f>
        <v>105</v>
      </c>
      <c r="H184" s="169">
        <f>SUM(G184*13/3)</f>
        <v>455</v>
      </c>
      <c r="I184" s="130">
        <f>SUM(H184*12)</f>
        <v>5460</v>
      </c>
    </row>
    <row r="185" spans="1:22" ht="17.100000000000001" customHeight="1">
      <c r="A185" s="72"/>
      <c r="B185" s="72"/>
      <c r="C185" s="72"/>
      <c r="D185" s="72"/>
      <c r="E185" s="72"/>
      <c r="F185" s="72"/>
      <c r="G185" s="72"/>
      <c r="H185" s="174"/>
      <c r="I185" s="72"/>
    </row>
    <row r="186" spans="1:22" ht="17.100000000000001" customHeight="1">
      <c r="A186" s="72"/>
      <c r="B186" s="72"/>
      <c r="C186" s="72"/>
      <c r="D186" s="72"/>
      <c r="E186" s="72"/>
      <c r="F186" s="72"/>
      <c r="G186" s="72"/>
      <c r="H186" s="174"/>
      <c r="I186" s="72"/>
    </row>
    <row r="187" spans="1:22" ht="17.100000000000001" customHeight="1">
      <c r="A187" s="1" t="s">
        <v>323</v>
      </c>
      <c r="B187" s="72"/>
      <c r="C187" s="72"/>
      <c r="D187" s="72"/>
      <c r="E187" s="72"/>
      <c r="F187" s="72"/>
      <c r="O187">
        <v>37</v>
      </c>
      <c r="P187" t="s">
        <v>285</v>
      </c>
      <c r="Q187">
        <v>4</v>
      </c>
      <c r="R187" t="s">
        <v>286</v>
      </c>
      <c r="S187">
        <f>O187*Q187</f>
        <v>148</v>
      </c>
      <c r="T187" t="s">
        <v>287</v>
      </c>
    </row>
    <row r="188" spans="1:22" ht="17.100000000000001" customHeight="1">
      <c r="A188" s="205" t="s">
        <v>310</v>
      </c>
      <c r="B188" s="24" t="s">
        <v>2</v>
      </c>
      <c r="C188" s="25" t="s">
        <v>3</v>
      </c>
      <c r="D188" s="25" t="s">
        <v>4</v>
      </c>
      <c r="E188" s="25" t="s">
        <v>5</v>
      </c>
      <c r="F188" s="25" t="s">
        <v>6</v>
      </c>
      <c r="G188" s="25" t="s">
        <v>7</v>
      </c>
      <c r="H188" s="26" t="s">
        <v>8</v>
      </c>
      <c r="I188" s="27" t="s">
        <v>9</v>
      </c>
      <c r="J188" s="28" t="s">
        <v>10</v>
      </c>
      <c r="M188" s="340"/>
      <c r="N188" s="341" t="s">
        <v>158</v>
      </c>
      <c r="O188" t="s">
        <v>28</v>
      </c>
    </row>
    <row r="189" spans="1:22" ht="17.100000000000001" customHeight="1">
      <c r="A189" s="419"/>
      <c r="B189" s="5" t="s">
        <v>162</v>
      </c>
      <c r="C189" s="5" t="s">
        <v>162</v>
      </c>
      <c r="D189" s="5" t="s">
        <v>324</v>
      </c>
      <c r="E189" s="5" t="s">
        <v>324</v>
      </c>
      <c r="F189" s="5" t="s">
        <v>324</v>
      </c>
      <c r="G189" s="5" t="s">
        <v>325</v>
      </c>
      <c r="H189" s="5" t="s">
        <v>326</v>
      </c>
      <c r="I189" s="346"/>
      <c r="J189" s="32"/>
      <c r="M189" s="329"/>
      <c r="N189" s="345" t="s">
        <v>161</v>
      </c>
      <c r="O189" t="s">
        <v>291</v>
      </c>
      <c r="Q189">
        <f>N195</f>
        <v>102</v>
      </c>
    </row>
    <row r="190" spans="1:22" ht="17.100000000000001" customHeight="1">
      <c r="A190" s="420" t="s">
        <v>327</v>
      </c>
      <c r="B190" s="140"/>
      <c r="C190" s="140"/>
      <c r="D190" s="140">
        <v>12</v>
      </c>
      <c r="E190" s="140">
        <v>12</v>
      </c>
      <c r="F190" s="140">
        <v>12</v>
      </c>
      <c r="G190" s="140">
        <v>12</v>
      </c>
      <c r="H190" s="140">
        <v>8</v>
      </c>
      <c r="I190" s="140">
        <f>SUM(B190:H190)</f>
        <v>56</v>
      </c>
      <c r="J190" s="37"/>
      <c r="M190" s="329" t="s">
        <v>164</v>
      </c>
      <c r="N190" s="345">
        <f>I190</f>
        <v>56</v>
      </c>
    </row>
    <row r="191" spans="1:22" ht="17.100000000000001" customHeight="1">
      <c r="A191" s="419"/>
      <c r="B191" s="5" t="s">
        <v>162</v>
      </c>
      <c r="C191" s="5" t="s">
        <v>162</v>
      </c>
      <c r="D191" s="5" t="s">
        <v>162</v>
      </c>
      <c r="E191" s="5" t="s">
        <v>162</v>
      </c>
      <c r="F191" s="5" t="s">
        <v>162</v>
      </c>
      <c r="G191" s="5"/>
      <c r="H191" s="5"/>
      <c r="I191" s="346"/>
      <c r="J191" s="32"/>
      <c r="M191" s="329" t="s">
        <v>167</v>
      </c>
      <c r="N191" s="345">
        <f>I192</f>
        <v>0</v>
      </c>
      <c r="O191">
        <f>Q189</f>
        <v>102</v>
      </c>
      <c r="P191" t="s">
        <v>295</v>
      </c>
      <c r="Q191" s="160">
        <f>SUM(O191/37)</f>
        <v>2.7567567567567566</v>
      </c>
    </row>
    <row r="192" spans="1:22" ht="17.100000000000001" customHeight="1">
      <c r="A192" s="420" t="s">
        <v>328</v>
      </c>
      <c r="B192" s="140"/>
      <c r="C192" s="140"/>
      <c r="D192" s="140"/>
      <c r="E192" s="140"/>
      <c r="F192" s="140"/>
      <c r="G192" s="140"/>
      <c r="H192" s="140"/>
      <c r="I192" s="140">
        <f>SUM(B192:H192)</f>
        <v>0</v>
      </c>
      <c r="J192" s="37"/>
      <c r="M192" s="329" t="s">
        <v>170</v>
      </c>
      <c r="N192" s="345">
        <f>I194</f>
        <v>46</v>
      </c>
    </row>
    <row r="193" spans="1:22" ht="17.100000000000001" customHeight="1">
      <c r="A193" s="419"/>
      <c r="B193" s="5" t="s">
        <v>324</v>
      </c>
      <c r="C193" s="5" t="s">
        <v>324</v>
      </c>
      <c r="D193" s="5" t="s">
        <v>162</v>
      </c>
      <c r="E193" s="5" t="s">
        <v>162</v>
      </c>
      <c r="F193" s="5" t="s">
        <v>162</v>
      </c>
      <c r="G193" s="5" t="s">
        <v>329</v>
      </c>
      <c r="H193" s="5" t="s">
        <v>330</v>
      </c>
      <c r="I193" s="346"/>
      <c r="J193" s="32"/>
      <c r="M193" s="329" t="s">
        <v>173</v>
      </c>
      <c r="N193" s="345">
        <v>0</v>
      </c>
      <c r="O193" s="160">
        <f>Q191</f>
        <v>2.7567567567567566</v>
      </c>
      <c r="P193" t="s">
        <v>315</v>
      </c>
      <c r="S193" s="421">
        <f>SUM(O193*3)</f>
        <v>8.2702702702702702</v>
      </c>
      <c r="T193" t="s">
        <v>316</v>
      </c>
    </row>
    <row r="194" spans="1:22" ht="17.100000000000001" customHeight="1">
      <c r="A194" s="420" t="s">
        <v>331</v>
      </c>
      <c r="B194" s="140">
        <v>12</v>
      </c>
      <c r="C194" s="140">
        <v>12</v>
      </c>
      <c r="D194" s="140"/>
      <c r="E194" s="140"/>
      <c r="F194" s="140"/>
      <c r="G194" s="140">
        <v>12</v>
      </c>
      <c r="H194" s="140">
        <v>10</v>
      </c>
      <c r="I194" s="140">
        <f>SUM(B194:H194)</f>
        <v>46</v>
      </c>
      <c r="J194" s="37"/>
      <c r="M194" s="422"/>
      <c r="N194" s="423"/>
    </row>
    <row r="195" spans="1:22" ht="17.100000000000001" customHeight="1">
      <c r="A195" s="424"/>
      <c r="B195" s="425" t="s">
        <v>332</v>
      </c>
      <c r="C195" s="425" t="s">
        <v>333</v>
      </c>
      <c r="D195" s="425" t="s">
        <v>333</v>
      </c>
      <c r="E195" s="425" t="s">
        <v>333</v>
      </c>
      <c r="F195" s="409" t="s">
        <v>334</v>
      </c>
      <c r="G195" s="31"/>
      <c r="H195" s="31"/>
      <c r="I195" s="346"/>
      <c r="J195" s="32"/>
      <c r="M195" s="331" t="s">
        <v>179</v>
      </c>
      <c r="N195" s="350">
        <f>SUM(N190:N194)</f>
        <v>102</v>
      </c>
      <c r="O195" t="s">
        <v>28</v>
      </c>
      <c r="P195" s="354"/>
      <c r="Q195" s="354" t="s">
        <v>318</v>
      </c>
      <c r="S195" s="160">
        <f>S187-S193</f>
        <v>139.72972972972974</v>
      </c>
      <c r="T195" t="s">
        <v>319</v>
      </c>
    </row>
    <row r="196" spans="1:22" ht="17.100000000000001" customHeight="1">
      <c r="A196" s="420" t="s">
        <v>335</v>
      </c>
      <c r="B196" s="18">
        <v>6.75</v>
      </c>
      <c r="C196" s="18">
        <v>7.75</v>
      </c>
      <c r="D196" s="18">
        <v>7.75</v>
      </c>
      <c r="E196" s="18">
        <v>7.75</v>
      </c>
      <c r="F196" s="18">
        <v>7.5</v>
      </c>
      <c r="G196" s="140"/>
      <c r="H196" s="140"/>
      <c r="I196" s="140">
        <f>SUM(B196:H196)</f>
        <v>37.5</v>
      </c>
      <c r="J196" s="37"/>
      <c r="S196" s="160"/>
    </row>
    <row r="197" spans="1:22" ht="17.100000000000001" customHeight="1">
      <c r="A197" s="419"/>
      <c r="B197" s="5"/>
      <c r="C197" s="5"/>
      <c r="D197" s="5"/>
      <c r="E197" s="31"/>
      <c r="F197" s="31"/>
      <c r="G197" s="31"/>
      <c r="H197" s="31"/>
      <c r="I197" s="346"/>
      <c r="J197" s="32"/>
      <c r="S197" s="160"/>
    </row>
    <row r="198" spans="1:22" ht="17.100000000000001" customHeight="1">
      <c r="A198" s="426" t="s">
        <v>336</v>
      </c>
      <c r="C198" s="140"/>
      <c r="D198" s="140"/>
      <c r="E198" s="140"/>
      <c r="F198" s="140"/>
      <c r="G198" s="140"/>
      <c r="H198" s="140"/>
      <c r="I198" s="140">
        <f>SUM(A198:H198)</f>
        <v>0</v>
      </c>
      <c r="J198" s="37"/>
      <c r="S198" s="160"/>
    </row>
    <row r="199" spans="1:22" ht="17.100000000000001" customHeight="1">
      <c r="A199" s="427"/>
      <c r="B199" s="428"/>
      <c r="C199" s="428"/>
      <c r="D199" s="428"/>
      <c r="E199" s="428"/>
      <c r="F199" s="428"/>
      <c r="G199" s="428"/>
      <c r="H199" s="428"/>
      <c r="I199" s="429"/>
      <c r="J199" s="430"/>
      <c r="S199" s="160"/>
    </row>
    <row r="200" spans="1:22" ht="17.100000000000001" customHeight="1">
      <c r="A200" s="431"/>
      <c r="B200" s="432"/>
      <c r="C200" s="432"/>
      <c r="D200" s="432"/>
      <c r="E200" s="432"/>
      <c r="F200" s="432"/>
      <c r="G200" s="432"/>
      <c r="H200" s="432"/>
      <c r="I200" s="432">
        <f>SUM(B200:H200)</f>
        <v>0</v>
      </c>
      <c r="J200" s="433"/>
      <c r="S200" s="160"/>
    </row>
    <row r="201" spans="1:22" ht="17.100000000000001" customHeight="1">
      <c r="A201" s="427"/>
      <c r="B201" s="434"/>
      <c r="C201" s="434"/>
      <c r="D201" s="434"/>
      <c r="E201" s="434"/>
      <c r="F201" s="434"/>
      <c r="G201" s="428"/>
      <c r="H201" s="428"/>
      <c r="I201" s="429"/>
      <c r="J201" s="430" t="s">
        <v>28</v>
      </c>
      <c r="S201" s="160"/>
    </row>
    <row r="202" spans="1:22" ht="17.100000000000001" customHeight="1">
      <c r="A202" s="431" t="s">
        <v>28</v>
      </c>
      <c r="B202" s="432"/>
      <c r="C202" s="432"/>
      <c r="D202" s="432"/>
      <c r="E202" s="432"/>
      <c r="F202" s="432"/>
      <c r="G202" s="432"/>
      <c r="H202" s="432"/>
      <c r="I202" s="432">
        <f>SUM(B202:H202)</f>
        <v>0</v>
      </c>
      <c r="J202" s="433"/>
      <c r="S202" s="160"/>
    </row>
    <row r="203" spans="1:22" ht="17.100000000000001" customHeight="1">
      <c r="A203" s="196" t="s">
        <v>30</v>
      </c>
      <c r="B203" s="196">
        <f t="shared" ref="B203:H203" si="8">SUM(B190,B192,B194,B196)</f>
        <v>18.75</v>
      </c>
      <c r="C203" s="196">
        <f t="shared" si="8"/>
        <v>19.75</v>
      </c>
      <c r="D203" s="196">
        <f t="shared" si="8"/>
        <v>19.75</v>
      </c>
      <c r="E203" s="196">
        <f t="shared" si="8"/>
        <v>19.75</v>
      </c>
      <c r="F203" s="196">
        <f t="shared" si="8"/>
        <v>19.5</v>
      </c>
      <c r="G203" s="196">
        <f t="shared" si="8"/>
        <v>24</v>
      </c>
      <c r="H203" s="196">
        <f t="shared" si="8"/>
        <v>18</v>
      </c>
      <c r="I203" s="196">
        <f>SUM(I190,I192,I194,I196,I198,I200,I202)</f>
        <v>139.5</v>
      </c>
      <c r="J203" s="198"/>
      <c r="O203" t="s">
        <v>320</v>
      </c>
      <c r="P203">
        <f>I203</f>
        <v>139.5</v>
      </c>
      <c r="Q203" s="361" t="s">
        <v>321</v>
      </c>
      <c r="S203" s="160">
        <f>S195</f>
        <v>139.72972972972974</v>
      </c>
      <c r="T203" t="s">
        <v>322</v>
      </c>
      <c r="U203" s="412">
        <f>P203-S203</f>
        <v>-0.22972972972974048</v>
      </c>
    </row>
    <row r="204" spans="1:22" ht="17.100000000000001" customHeight="1">
      <c r="A204" s="72"/>
      <c r="B204" s="72"/>
      <c r="C204" s="72"/>
      <c r="D204" s="72"/>
      <c r="E204" s="72"/>
      <c r="F204" s="72"/>
      <c r="G204" s="204" t="s">
        <v>152</v>
      </c>
      <c r="H204" s="204" t="s">
        <v>153</v>
      </c>
      <c r="I204" s="204" t="s">
        <v>154</v>
      </c>
      <c r="V204" s="411"/>
    </row>
    <row r="205" spans="1:22" ht="17.100000000000001" customHeight="1">
      <c r="A205" s="72"/>
      <c r="B205" s="72"/>
      <c r="C205" s="72"/>
      <c r="D205" s="72"/>
      <c r="E205" s="72"/>
      <c r="F205" s="72"/>
      <c r="G205" s="130">
        <f>I203</f>
        <v>139.5</v>
      </c>
      <c r="H205" s="169">
        <f>SUM(G205*13/3)</f>
        <v>604.5</v>
      </c>
      <c r="I205" s="130">
        <f>SUM(H205*12)</f>
        <v>7254</v>
      </c>
    </row>
    <row r="206" spans="1:22" ht="18" customHeight="1">
      <c r="A206" s="149" t="s">
        <v>127</v>
      </c>
      <c r="B206" s="72"/>
      <c r="C206" s="72"/>
      <c r="D206" s="72"/>
      <c r="E206" s="72"/>
      <c r="F206" s="139"/>
      <c r="G206" s="139"/>
      <c r="H206" s="139"/>
      <c r="I206" s="72"/>
      <c r="J206" s="73"/>
      <c r="K206" s="274"/>
    </row>
    <row r="207" spans="1:22" ht="18" customHeight="1">
      <c r="A207" s="123" t="s">
        <v>128</v>
      </c>
      <c r="B207" s="24" t="s">
        <v>2</v>
      </c>
      <c r="C207" s="25" t="s">
        <v>3</v>
      </c>
      <c r="D207" s="25" t="s">
        <v>4</v>
      </c>
      <c r="E207" s="25" t="s">
        <v>5</v>
      </c>
      <c r="F207" s="25" t="s">
        <v>6</v>
      </c>
      <c r="G207" s="25" t="s">
        <v>7</v>
      </c>
      <c r="H207" s="26" t="s">
        <v>8</v>
      </c>
      <c r="I207" s="27" t="s">
        <v>9</v>
      </c>
      <c r="J207" s="28" t="s">
        <v>10</v>
      </c>
      <c r="K207" s="72"/>
    </row>
    <row r="208" spans="1:22" ht="18" customHeight="1">
      <c r="A208" s="29" t="s">
        <v>28</v>
      </c>
      <c r="B208" s="30" t="s">
        <v>124</v>
      </c>
      <c r="C208" s="30" t="s">
        <v>124</v>
      </c>
      <c r="D208" s="30" t="s">
        <v>124</v>
      </c>
      <c r="E208" s="30" t="s">
        <v>124</v>
      </c>
      <c r="F208" s="31" t="s">
        <v>125</v>
      </c>
      <c r="G208" s="31"/>
      <c r="H208" s="31"/>
      <c r="I208" s="7"/>
      <c r="J208" s="32"/>
    </row>
    <row r="209" spans="1:10" ht="18" customHeight="1">
      <c r="A209" s="33" t="s">
        <v>28</v>
      </c>
      <c r="B209" s="34">
        <v>0</v>
      </c>
      <c r="C209" s="34">
        <v>0</v>
      </c>
      <c r="D209" s="34">
        <v>0</v>
      </c>
      <c r="E209" s="34">
        <v>0</v>
      </c>
      <c r="F209" s="34">
        <v>0</v>
      </c>
      <c r="G209" s="140"/>
      <c r="H209" s="140"/>
      <c r="I209" s="34">
        <f>SUM(B209:H209)</f>
        <v>0</v>
      </c>
      <c r="J209" s="37"/>
    </row>
    <row r="210" spans="1:10" ht="18" customHeight="1">
      <c r="A210" s="29"/>
      <c r="B210" s="30" t="s">
        <v>124</v>
      </c>
      <c r="C210" s="30" t="s">
        <v>124</v>
      </c>
      <c r="D210" s="30" t="s">
        <v>124</v>
      </c>
      <c r="E210" s="30" t="s">
        <v>124</v>
      </c>
      <c r="F210" s="31" t="s">
        <v>125</v>
      </c>
      <c r="G210" s="31"/>
      <c r="H210" s="31"/>
      <c r="I210" s="7"/>
      <c r="J210" s="32"/>
    </row>
    <row r="211" spans="1:10" ht="18" customHeight="1">
      <c r="A211" s="33" t="s">
        <v>28</v>
      </c>
      <c r="B211" s="34">
        <v>0</v>
      </c>
      <c r="C211" s="34">
        <v>0</v>
      </c>
      <c r="D211" s="34">
        <v>0</v>
      </c>
      <c r="E211" s="34">
        <v>0</v>
      </c>
      <c r="F211" s="34">
        <v>0</v>
      </c>
      <c r="G211" s="140"/>
      <c r="H211" s="140"/>
      <c r="I211" s="34">
        <f>SUM(B211:H211)</f>
        <v>0</v>
      </c>
      <c r="J211" s="37"/>
    </row>
    <row r="212" spans="1:10" ht="18" customHeight="1">
      <c r="A212" s="29"/>
      <c r="B212" s="30" t="s">
        <v>124</v>
      </c>
      <c r="C212" s="30" t="s">
        <v>124</v>
      </c>
      <c r="D212" s="30" t="s">
        <v>124</v>
      </c>
      <c r="E212" s="30" t="s">
        <v>124</v>
      </c>
      <c r="F212" s="31" t="s">
        <v>125</v>
      </c>
      <c r="G212" s="31"/>
      <c r="H212" s="31"/>
      <c r="I212" s="7"/>
      <c r="J212" s="32"/>
    </row>
    <row r="213" spans="1:10" ht="18" customHeight="1">
      <c r="A213" s="33"/>
      <c r="B213" s="34"/>
      <c r="C213" s="34"/>
      <c r="D213" s="34"/>
      <c r="E213" s="34"/>
      <c r="F213" s="34"/>
      <c r="G213" s="140"/>
      <c r="H213" s="140"/>
      <c r="I213" s="34">
        <f>SUM(B213:H213)</f>
        <v>0</v>
      </c>
      <c r="J213" s="37"/>
    </row>
    <row r="214" spans="1:10" ht="18" customHeight="1">
      <c r="A214" s="58" t="s">
        <v>30</v>
      </c>
      <c r="B214" s="58">
        <f t="shared" ref="B214:I214" si="9">SUM(B209,B211,B213)</f>
        <v>0</v>
      </c>
      <c r="C214" s="58">
        <f t="shared" si="9"/>
        <v>0</v>
      </c>
      <c r="D214" s="58">
        <f t="shared" si="9"/>
        <v>0</v>
      </c>
      <c r="E214" s="58">
        <f t="shared" si="9"/>
        <v>0</v>
      </c>
      <c r="F214" s="58">
        <f t="shared" si="9"/>
        <v>0</v>
      </c>
      <c r="G214" s="58">
        <f t="shared" si="9"/>
        <v>0</v>
      </c>
      <c r="H214" s="58">
        <f t="shared" si="9"/>
        <v>0</v>
      </c>
      <c r="I214" s="58">
        <f t="shared" si="9"/>
        <v>0</v>
      </c>
      <c r="J214" s="71"/>
    </row>
    <row r="215" spans="1:10" ht="18" customHeight="1">
      <c r="A215" s="72"/>
      <c r="B215" s="72"/>
      <c r="C215" s="72"/>
      <c r="D215" s="72"/>
      <c r="E215" s="72"/>
      <c r="F215" s="72"/>
      <c r="G215" s="204" t="s">
        <v>152</v>
      </c>
      <c r="H215" s="204" t="s">
        <v>153</v>
      </c>
      <c r="I215" s="204" t="s">
        <v>154</v>
      </c>
      <c r="J215" s="73"/>
    </row>
    <row r="216" spans="1:10" ht="18" customHeight="1">
      <c r="A216" s="72"/>
      <c r="B216" s="72"/>
      <c r="C216" s="72"/>
      <c r="D216" s="72"/>
      <c r="E216" s="72"/>
      <c r="F216" s="139"/>
      <c r="G216" s="130">
        <f>I214</f>
        <v>0</v>
      </c>
      <c r="H216" s="169">
        <f>SUM(G216*13/3)</f>
        <v>0</v>
      </c>
      <c r="I216" s="130">
        <f>SUM(H216*12)</f>
        <v>0</v>
      </c>
      <c r="J216" s="73"/>
    </row>
    <row r="217" spans="1:10" ht="18" customHeight="1">
      <c r="A217" s="72"/>
      <c r="B217" s="72"/>
      <c r="C217" s="72"/>
      <c r="D217" s="72"/>
      <c r="E217" s="72"/>
      <c r="F217" s="139"/>
      <c r="G217" s="72"/>
      <c r="H217" s="174"/>
      <c r="I217" s="72"/>
      <c r="J217" s="73"/>
    </row>
    <row r="218" spans="1:10" ht="18" customHeight="1">
      <c r="A218" s="72"/>
      <c r="B218" s="72"/>
      <c r="C218" s="72"/>
      <c r="D218" s="72"/>
      <c r="E218" s="72"/>
      <c r="F218" s="139"/>
      <c r="G218" s="139"/>
      <c r="H218" s="139"/>
      <c r="I218" s="72"/>
      <c r="J218" s="73"/>
    </row>
    <row r="219" spans="1:10" ht="18" customHeight="1">
      <c r="A219" s="328"/>
      <c r="B219" s="150" t="s">
        <v>2</v>
      </c>
      <c r="C219" s="63" t="s">
        <v>3</v>
      </c>
      <c r="D219" s="63" t="s">
        <v>4</v>
      </c>
      <c r="E219" s="63" t="s">
        <v>5</v>
      </c>
      <c r="F219" s="63" t="s">
        <v>6</v>
      </c>
      <c r="G219" s="63" t="s">
        <v>7</v>
      </c>
      <c r="H219" s="151" t="s">
        <v>8</v>
      </c>
      <c r="I219" s="152" t="s">
        <v>137</v>
      </c>
      <c r="J219" s="139" t="s">
        <v>28</v>
      </c>
    </row>
    <row r="220" spans="1:10" ht="18" customHeight="1">
      <c r="A220" s="329" t="s">
        <v>138</v>
      </c>
      <c r="B220" s="330">
        <f t="shared" ref="B220:I220" si="10">SUM(B4,B8,B25,B34,B70,B114,B117,B123,B132,B144,B162,B182,B203,B214)</f>
        <v>266.5</v>
      </c>
      <c r="C220" s="330">
        <f t="shared" si="10"/>
        <v>267.5</v>
      </c>
      <c r="D220" s="330">
        <f t="shared" si="10"/>
        <v>267.5</v>
      </c>
      <c r="E220" s="330">
        <f t="shared" si="10"/>
        <v>267.5</v>
      </c>
      <c r="F220" s="330">
        <f t="shared" si="10"/>
        <v>238.75</v>
      </c>
      <c r="G220" s="330">
        <f t="shared" si="10"/>
        <v>127.5</v>
      </c>
      <c r="H220" s="330">
        <f t="shared" si="10"/>
        <v>124.5</v>
      </c>
      <c r="I220" s="330">
        <f t="shared" si="10"/>
        <v>1522.5</v>
      </c>
      <c r="J220" s="72" t="s">
        <v>28</v>
      </c>
    </row>
    <row r="221" spans="1:10" ht="20.100000000000001" customHeight="1">
      <c r="A221" s="331" t="s">
        <v>140</v>
      </c>
      <c r="B221" s="17">
        <f t="shared" ref="B221:I221" si="11">SUM(B220*52)</f>
        <v>13858</v>
      </c>
      <c r="C221" s="17">
        <f t="shared" si="11"/>
        <v>13910</v>
      </c>
      <c r="D221" s="17">
        <f t="shared" si="11"/>
        <v>13910</v>
      </c>
      <c r="E221" s="17">
        <f t="shared" si="11"/>
        <v>13910</v>
      </c>
      <c r="F221" s="17">
        <f t="shared" si="11"/>
        <v>12415</v>
      </c>
      <c r="G221" s="17">
        <f t="shared" si="11"/>
        <v>6630</v>
      </c>
      <c r="H221" s="17">
        <f t="shared" si="11"/>
        <v>6474</v>
      </c>
      <c r="I221" s="17">
        <f t="shared" si="11"/>
        <v>79170</v>
      </c>
    </row>
    <row r="222" spans="1:10" ht="20.100000000000001" customHeight="1">
      <c r="A222" t="s">
        <v>337</v>
      </c>
      <c r="I222" s="160"/>
      <c r="J222" s="435">
        <f>SUM(I221/12)</f>
        <v>6597.5</v>
      </c>
    </row>
    <row r="223" spans="1:10" ht="20.100000000000001" customHeight="1">
      <c r="A223" s="332" t="s">
        <v>338</v>
      </c>
      <c r="B223" s="45"/>
      <c r="C223" s="45"/>
      <c r="D223" s="45"/>
      <c r="E223" s="30">
        <v>56</v>
      </c>
      <c r="F223" s="45"/>
      <c r="G223" s="45"/>
      <c r="H223" s="7"/>
      <c r="I223" s="333">
        <f>SUM(E223)*26</f>
        <v>1456</v>
      </c>
    </row>
    <row r="224" spans="1:10" ht="20.100000000000001" customHeight="1">
      <c r="A224" s="334" t="s">
        <v>339</v>
      </c>
      <c r="B224" s="157"/>
      <c r="C224" s="157"/>
      <c r="D224" s="157"/>
      <c r="E224" s="157"/>
      <c r="F224" s="157"/>
      <c r="G224" s="157"/>
      <c r="H224" s="157"/>
      <c r="I224" s="335">
        <f>SUM(I223*2)</f>
        <v>2912</v>
      </c>
    </row>
    <row r="225" spans="1:10" ht="20.100000000000001" customHeight="1">
      <c r="A225" s="329" t="s">
        <v>143</v>
      </c>
      <c r="B225" s="153"/>
      <c r="C225" s="155"/>
      <c r="D225" s="157"/>
      <c r="E225" s="157"/>
      <c r="F225" s="157"/>
      <c r="G225" s="157"/>
      <c r="H225" s="157"/>
      <c r="I225" s="335">
        <f>48*12</f>
        <v>576</v>
      </c>
    </row>
    <row r="226" spans="1:10" ht="20.100000000000001" customHeight="1">
      <c r="A226" s="336" t="s">
        <v>137</v>
      </c>
      <c r="B226" s="53"/>
      <c r="C226" s="53"/>
      <c r="D226" s="53"/>
      <c r="E226" s="53"/>
      <c r="F226" s="53"/>
      <c r="G226" s="53"/>
      <c r="H226" s="53"/>
      <c r="I226" s="337">
        <f>SUM(I223:I225)</f>
        <v>4944</v>
      </c>
    </row>
    <row r="227" spans="1:10" ht="20.100000000000001" customHeight="1">
      <c r="I227" s="160"/>
    </row>
    <row r="228" spans="1:10" ht="20.100000000000001" customHeight="1">
      <c r="I228" s="160"/>
    </row>
    <row r="229" spans="1:10">
      <c r="A229" s="158" t="s">
        <v>144</v>
      </c>
      <c r="B229" s="158"/>
      <c r="C229" s="158"/>
      <c r="D229" s="158"/>
      <c r="E229" s="158"/>
      <c r="F229" s="158"/>
      <c r="G229" s="158"/>
      <c r="H229" s="158"/>
      <c r="I229" s="161">
        <f>SUM(I221,I226)</f>
        <v>84114</v>
      </c>
      <c r="J229" t="s">
        <v>340</v>
      </c>
    </row>
    <row r="233" spans="1:10">
      <c r="A233" s="1" t="s">
        <v>341</v>
      </c>
      <c r="B233" s="72"/>
      <c r="C233" s="72"/>
      <c r="D233" s="72"/>
      <c r="E233" s="72"/>
      <c r="F233" s="139"/>
      <c r="G233" s="139"/>
      <c r="H233" s="139"/>
      <c r="I233" s="72"/>
      <c r="J233" s="73"/>
    </row>
    <row r="234" spans="1:10">
      <c r="A234" s="61" t="s">
        <v>342</v>
      </c>
      <c r="B234" s="62" t="s">
        <v>2</v>
      </c>
      <c r="C234" s="63" t="s">
        <v>3</v>
      </c>
      <c r="D234" s="63" t="s">
        <v>4</v>
      </c>
      <c r="E234" s="63" t="s">
        <v>5</v>
      </c>
      <c r="F234" s="63" t="s">
        <v>6</v>
      </c>
      <c r="G234" s="63" t="s">
        <v>7</v>
      </c>
      <c r="H234" s="64" t="s">
        <v>8</v>
      </c>
      <c r="I234" s="65" t="s">
        <v>9</v>
      </c>
      <c r="J234" s="66" t="s">
        <v>10</v>
      </c>
    </row>
    <row r="235" spans="1:10">
      <c r="A235" s="436">
        <v>3700</v>
      </c>
      <c r="B235" s="30" t="s">
        <v>343</v>
      </c>
      <c r="C235" s="30" t="s">
        <v>343</v>
      </c>
      <c r="D235" s="30" t="s">
        <v>343</v>
      </c>
      <c r="E235" s="30" t="s">
        <v>343</v>
      </c>
      <c r="F235" s="31" t="s">
        <v>344</v>
      </c>
      <c r="G235" s="4"/>
      <c r="H235" s="413" t="s">
        <v>28</v>
      </c>
      <c r="I235" s="7"/>
      <c r="J235" s="32" t="s">
        <v>28</v>
      </c>
    </row>
    <row r="236" spans="1:10">
      <c r="A236" s="437"/>
      <c r="B236" s="34"/>
      <c r="C236" s="34"/>
      <c r="D236" s="34"/>
      <c r="E236" s="34"/>
      <c r="F236" s="140"/>
      <c r="G236" s="17"/>
      <c r="H236" s="263" t="s">
        <v>28</v>
      </c>
      <c r="I236" s="34">
        <f>SUM(B236:H236)</f>
        <v>0</v>
      </c>
      <c r="J236" s="37"/>
    </row>
    <row r="237" spans="1:10">
      <c r="A237" s="438">
        <v>3700</v>
      </c>
      <c r="B237" s="10" t="s">
        <v>124</v>
      </c>
      <c r="C237" s="10" t="s">
        <v>124</v>
      </c>
      <c r="D237" s="10" t="s">
        <v>124</v>
      </c>
      <c r="E237" s="10" t="s">
        <v>124</v>
      </c>
      <c r="F237" s="11" t="s">
        <v>125</v>
      </c>
      <c r="G237" s="439"/>
      <c r="H237" s="440" t="s">
        <v>28</v>
      </c>
      <c r="I237" s="14"/>
      <c r="J237" s="40" t="s">
        <v>28</v>
      </c>
    </row>
    <row r="238" spans="1:10">
      <c r="A238" s="441" t="s">
        <v>345</v>
      </c>
      <c r="B238" s="34">
        <v>7.75</v>
      </c>
      <c r="C238" s="34">
        <v>7.75</v>
      </c>
      <c r="D238" s="34">
        <v>7.75</v>
      </c>
      <c r="E238" s="34">
        <v>7.75</v>
      </c>
      <c r="F238" s="140">
        <v>6</v>
      </c>
      <c r="G238" s="17"/>
      <c r="H238" s="263" t="s">
        <v>28</v>
      </c>
      <c r="I238" s="34">
        <f>SUM(B238:H238)</f>
        <v>37</v>
      </c>
      <c r="J238" s="37"/>
    </row>
    <row r="239" spans="1:10">
      <c r="A239" s="436">
        <v>3701</v>
      </c>
      <c r="B239" s="30" t="s">
        <v>124</v>
      </c>
      <c r="C239" s="30" t="s">
        <v>124</v>
      </c>
      <c r="D239" s="30" t="s">
        <v>124</v>
      </c>
      <c r="E239" s="30" t="s">
        <v>124</v>
      </c>
      <c r="F239" s="31" t="s">
        <v>125</v>
      </c>
      <c r="G239" s="4"/>
      <c r="H239" s="413" t="s">
        <v>28</v>
      </c>
      <c r="I239" s="7"/>
      <c r="J239" s="32" t="s">
        <v>28</v>
      </c>
    </row>
    <row r="240" spans="1:10">
      <c r="A240" s="437" t="s">
        <v>346</v>
      </c>
      <c r="B240" s="34">
        <v>7.75</v>
      </c>
      <c r="C240" s="34">
        <v>7.75</v>
      </c>
      <c r="D240" s="34">
        <v>7.75</v>
      </c>
      <c r="E240" s="34">
        <v>7.75</v>
      </c>
      <c r="F240" s="140">
        <v>6</v>
      </c>
      <c r="G240" s="17"/>
      <c r="H240" s="263" t="s">
        <v>28</v>
      </c>
      <c r="I240" s="34">
        <f>SUM(B240:H240)</f>
        <v>37</v>
      </c>
      <c r="J240" s="37"/>
    </row>
    <row r="241" spans="1:10">
      <c r="A241" s="436">
        <v>3701</v>
      </c>
      <c r="B241" s="30" t="s">
        <v>124</v>
      </c>
      <c r="C241" s="30" t="s">
        <v>124</v>
      </c>
      <c r="D241" s="30" t="s">
        <v>124</v>
      </c>
      <c r="E241" s="30" t="s">
        <v>124</v>
      </c>
      <c r="F241" s="31" t="s">
        <v>125</v>
      </c>
      <c r="G241" s="4"/>
      <c r="H241" s="413" t="s">
        <v>28</v>
      </c>
      <c r="I241" s="7"/>
      <c r="J241" s="32" t="s">
        <v>28</v>
      </c>
    </row>
    <row r="242" spans="1:10">
      <c r="A242" s="437" t="s">
        <v>347</v>
      </c>
      <c r="B242" s="34">
        <v>7.75</v>
      </c>
      <c r="C242" s="34">
        <v>7.75</v>
      </c>
      <c r="D242" s="34">
        <v>7.75</v>
      </c>
      <c r="E242" s="34">
        <v>7.75</v>
      </c>
      <c r="F242" s="140">
        <v>6</v>
      </c>
      <c r="G242" s="17"/>
      <c r="H242" s="263" t="s">
        <v>28</v>
      </c>
      <c r="I242" s="34">
        <f>SUM(B242:H242)</f>
        <v>37</v>
      </c>
      <c r="J242" s="37"/>
    </row>
    <row r="243" spans="1:10">
      <c r="A243" s="438">
        <v>3701</v>
      </c>
      <c r="B243" s="10" t="s">
        <v>124</v>
      </c>
      <c r="C243" s="10" t="s">
        <v>124</v>
      </c>
      <c r="D243" s="10" t="s">
        <v>124</v>
      </c>
      <c r="E243" s="10" t="s">
        <v>124</v>
      </c>
      <c r="F243" s="11" t="s">
        <v>125</v>
      </c>
      <c r="G243" s="439"/>
      <c r="H243" s="440" t="s">
        <v>28</v>
      </c>
      <c r="I243" s="14"/>
      <c r="J243" s="40" t="s">
        <v>28</v>
      </c>
    </row>
    <row r="244" spans="1:10">
      <c r="A244" s="441" t="s">
        <v>348</v>
      </c>
      <c r="B244" s="34">
        <v>7.75</v>
      </c>
      <c r="C244" s="34">
        <v>7.75</v>
      </c>
      <c r="D244" s="34">
        <v>7.75</v>
      </c>
      <c r="E244" s="34">
        <v>7.75</v>
      </c>
      <c r="F244" s="140">
        <v>6</v>
      </c>
      <c r="G244" s="17"/>
      <c r="H244" s="263" t="s">
        <v>28</v>
      </c>
      <c r="I244" s="34">
        <f>SUM(B244:H244)</f>
        <v>37</v>
      </c>
      <c r="J244" s="37"/>
    </row>
    <row r="245" spans="1:10">
      <c r="A245" s="442">
        <v>3701</v>
      </c>
      <c r="B245" s="30" t="s">
        <v>124</v>
      </c>
      <c r="C245" s="30" t="s">
        <v>124</v>
      </c>
      <c r="D245" s="30" t="s">
        <v>124</v>
      </c>
      <c r="E245" s="30" t="s">
        <v>124</v>
      </c>
      <c r="F245" s="31" t="s">
        <v>125</v>
      </c>
      <c r="G245" s="4"/>
      <c r="H245" s="413" t="s">
        <v>28</v>
      </c>
      <c r="I245" s="7"/>
      <c r="J245" s="32" t="s">
        <v>28</v>
      </c>
    </row>
    <row r="246" spans="1:10">
      <c r="A246" s="441"/>
      <c r="B246" s="34">
        <v>7.75</v>
      </c>
      <c r="C246" s="34">
        <v>7.75</v>
      </c>
      <c r="D246" s="34">
        <v>7.75</v>
      </c>
      <c r="E246" s="34">
        <v>7.75</v>
      </c>
      <c r="F246" s="140">
        <v>6</v>
      </c>
      <c r="G246" s="17"/>
      <c r="H246" s="263" t="s">
        <v>28</v>
      </c>
      <c r="I246" s="34">
        <f>SUM(B246:H246)</f>
        <v>37</v>
      </c>
      <c r="J246" s="37"/>
    </row>
    <row r="247" spans="1:10">
      <c r="A247" s="442">
        <v>3701</v>
      </c>
      <c r="B247" s="30" t="s">
        <v>124</v>
      </c>
      <c r="C247" s="30" t="s">
        <v>124</v>
      </c>
      <c r="D247" s="30" t="s">
        <v>124</v>
      </c>
      <c r="E247" s="30" t="s">
        <v>124</v>
      </c>
      <c r="F247" s="31" t="s">
        <v>125</v>
      </c>
      <c r="G247" s="4"/>
      <c r="H247" s="413" t="s">
        <v>28</v>
      </c>
      <c r="I247" s="7"/>
      <c r="J247" s="32" t="s">
        <v>28</v>
      </c>
    </row>
    <row r="248" spans="1:10">
      <c r="A248" s="441" t="s">
        <v>349</v>
      </c>
      <c r="B248" s="34">
        <v>7.75</v>
      </c>
      <c r="C248" s="34">
        <v>7.75</v>
      </c>
      <c r="D248" s="34">
        <v>7.75</v>
      </c>
      <c r="E248" s="34">
        <v>7.75</v>
      </c>
      <c r="F248" s="140">
        <v>6</v>
      </c>
      <c r="G248" s="17"/>
      <c r="H248" s="263" t="s">
        <v>28</v>
      </c>
      <c r="I248" s="34">
        <f>SUM(B248:H248)</f>
        <v>37</v>
      </c>
      <c r="J248" s="37"/>
    </row>
    <row r="249" spans="1:10">
      <c r="A249" s="442">
        <v>3701</v>
      </c>
      <c r="B249" s="30" t="s">
        <v>124</v>
      </c>
      <c r="C249" s="30" t="s">
        <v>124</v>
      </c>
      <c r="D249" s="30" t="s">
        <v>124</v>
      </c>
      <c r="E249" s="30" t="s">
        <v>124</v>
      </c>
      <c r="F249" s="31" t="s">
        <v>125</v>
      </c>
      <c r="G249" s="4"/>
      <c r="H249" s="413" t="s">
        <v>28</v>
      </c>
      <c r="I249" s="7"/>
      <c r="J249" s="32" t="s">
        <v>28</v>
      </c>
    </row>
    <row r="250" spans="1:10">
      <c r="A250" s="441" t="s">
        <v>350</v>
      </c>
      <c r="B250" s="34">
        <v>7.75</v>
      </c>
      <c r="C250" s="34">
        <v>7.75</v>
      </c>
      <c r="D250" s="34">
        <v>7.75</v>
      </c>
      <c r="E250" s="34">
        <v>7.75</v>
      </c>
      <c r="F250" s="140">
        <v>6</v>
      </c>
      <c r="G250" s="17"/>
      <c r="H250" s="263" t="s">
        <v>28</v>
      </c>
      <c r="I250" s="34">
        <f>SUM(B250:H250)</f>
        <v>37</v>
      </c>
      <c r="J250" s="37"/>
    </row>
    <row r="251" spans="1:10">
      <c r="A251" s="442">
        <v>3701</v>
      </c>
      <c r="B251" s="30" t="s">
        <v>124</v>
      </c>
      <c r="C251" s="30" t="s">
        <v>124</v>
      </c>
      <c r="D251" s="30" t="s">
        <v>124</v>
      </c>
      <c r="E251" s="30" t="s">
        <v>124</v>
      </c>
      <c r="F251" s="31" t="s">
        <v>125</v>
      </c>
      <c r="G251" s="4"/>
      <c r="H251" s="413" t="s">
        <v>28</v>
      </c>
      <c r="I251" s="7"/>
      <c r="J251" s="32" t="s">
        <v>28</v>
      </c>
    </row>
    <row r="252" spans="1:10">
      <c r="A252" s="441" t="s">
        <v>351</v>
      </c>
      <c r="B252" s="34">
        <v>7.75</v>
      </c>
      <c r="C252" s="34">
        <v>7.75</v>
      </c>
      <c r="D252" s="34">
        <v>7.75</v>
      </c>
      <c r="E252" s="34">
        <v>7.75</v>
      </c>
      <c r="F252" s="140">
        <v>6</v>
      </c>
      <c r="G252" s="17"/>
      <c r="H252" s="263" t="s">
        <v>28</v>
      </c>
      <c r="I252" s="34">
        <f>SUM(B252:H252)</f>
        <v>37</v>
      </c>
      <c r="J252" s="37"/>
    </row>
    <row r="253" spans="1:10">
      <c r="A253" s="442">
        <v>3701</v>
      </c>
      <c r="B253" s="30" t="s">
        <v>124</v>
      </c>
      <c r="C253" s="30" t="s">
        <v>124</v>
      </c>
      <c r="D253" s="30" t="s">
        <v>124</v>
      </c>
      <c r="E253" s="30" t="s">
        <v>124</v>
      </c>
      <c r="F253" s="31" t="s">
        <v>125</v>
      </c>
      <c r="G253" s="4"/>
      <c r="H253" s="413" t="s">
        <v>28</v>
      </c>
      <c r="I253" s="7"/>
      <c r="J253" s="32" t="s">
        <v>28</v>
      </c>
    </row>
    <row r="254" spans="1:10">
      <c r="A254" s="441" t="s">
        <v>352</v>
      </c>
      <c r="B254" s="34">
        <v>7.75</v>
      </c>
      <c r="C254" s="34">
        <v>7.75</v>
      </c>
      <c r="D254" s="34">
        <v>7.75</v>
      </c>
      <c r="E254" s="34">
        <v>7.75</v>
      </c>
      <c r="F254" s="140">
        <v>6</v>
      </c>
      <c r="G254" s="17"/>
      <c r="H254" s="263" t="s">
        <v>28</v>
      </c>
      <c r="I254" s="34">
        <f>SUM(B254:H254)</f>
        <v>37</v>
      </c>
      <c r="J254" s="37"/>
    </row>
    <row r="255" spans="1:10">
      <c r="A255" s="442">
        <v>3701</v>
      </c>
      <c r="B255" s="30" t="s">
        <v>124</v>
      </c>
      <c r="C255" s="30" t="s">
        <v>124</v>
      </c>
      <c r="D255" s="30" t="s">
        <v>124</v>
      </c>
      <c r="E255" s="30" t="s">
        <v>124</v>
      </c>
      <c r="F255" s="31" t="s">
        <v>125</v>
      </c>
      <c r="G255" s="4"/>
      <c r="H255" s="413" t="s">
        <v>28</v>
      </c>
      <c r="I255" s="7"/>
      <c r="J255" s="32" t="s">
        <v>28</v>
      </c>
    </row>
    <row r="256" spans="1:10">
      <c r="A256" s="441" t="s">
        <v>353</v>
      </c>
      <c r="B256" s="34">
        <v>7.75</v>
      </c>
      <c r="C256" s="34">
        <v>7.75</v>
      </c>
      <c r="D256" s="34">
        <v>7.75</v>
      </c>
      <c r="E256" s="34">
        <v>7.75</v>
      </c>
      <c r="F256" s="140">
        <v>6</v>
      </c>
      <c r="G256" s="17"/>
      <c r="H256" s="263" t="s">
        <v>28</v>
      </c>
      <c r="I256" s="34">
        <f>SUM(B256:H256)</f>
        <v>37</v>
      </c>
      <c r="J256" s="37"/>
    </row>
    <row r="257" spans="1:10">
      <c r="A257" s="442">
        <v>3701</v>
      </c>
      <c r="B257" s="30" t="s">
        <v>124</v>
      </c>
      <c r="C257" s="30" t="s">
        <v>124</v>
      </c>
      <c r="D257" s="30" t="s">
        <v>124</v>
      </c>
      <c r="E257" s="30" t="s">
        <v>124</v>
      </c>
      <c r="F257" s="31" t="s">
        <v>125</v>
      </c>
      <c r="G257" s="4"/>
      <c r="H257" s="413" t="s">
        <v>28</v>
      </c>
      <c r="I257" s="7"/>
      <c r="J257" s="32" t="s">
        <v>28</v>
      </c>
    </row>
    <row r="258" spans="1:10">
      <c r="A258" s="441" t="s">
        <v>354</v>
      </c>
      <c r="B258" s="34">
        <v>7.75</v>
      </c>
      <c r="C258" s="34">
        <v>7.75</v>
      </c>
      <c r="D258" s="34">
        <v>7.75</v>
      </c>
      <c r="E258" s="34">
        <v>7.75</v>
      </c>
      <c r="F258" s="140">
        <v>6</v>
      </c>
      <c r="G258" s="17"/>
      <c r="H258" s="263" t="s">
        <v>28</v>
      </c>
      <c r="I258" s="34">
        <f>SUM(B258:H258)</f>
        <v>37</v>
      </c>
      <c r="J258" s="37"/>
    </row>
    <row r="259" spans="1:10">
      <c r="A259" s="442">
        <v>3701</v>
      </c>
      <c r="B259" s="30" t="s">
        <v>124</v>
      </c>
      <c r="C259" s="30" t="s">
        <v>124</v>
      </c>
      <c r="D259" s="30" t="s">
        <v>124</v>
      </c>
      <c r="E259" s="30" t="s">
        <v>124</v>
      </c>
      <c r="F259" s="31" t="s">
        <v>125</v>
      </c>
      <c r="G259" s="4"/>
      <c r="H259" s="413" t="s">
        <v>28</v>
      </c>
      <c r="I259" s="7"/>
      <c r="J259" s="32" t="s">
        <v>28</v>
      </c>
    </row>
    <row r="260" spans="1:10">
      <c r="A260" s="441" t="s">
        <v>355</v>
      </c>
      <c r="B260" s="34">
        <v>7.75</v>
      </c>
      <c r="C260" s="34">
        <v>7.75</v>
      </c>
      <c r="D260" s="34">
        <v>7.75</v>
      </c>
      <c r="E260" s="34">
        <v>7.75</v>
      </c>
      <c r="F260" s="140">
        <v>6</v>
      </c>
      <c r="G260" s="17"/>
      <c r="H260" s="263" t="s">
        <v>28</v>
      </c>
      <c r="I260" s="34">
        <f>SUM(B260:H260)</f>
        <v>37</v>
      </c>
      <c r="J260" s="37"/>
    </row>
    <row r="261" spans="1:10">
      <c r="A261" s="442">
        <v>3701</v>
      </c>
      <c r="B261" s="30" t="s">
        <v>124</v>
      </c>
      <c r="C261" s="30" t="s">
        <v>124</v>
      </c>
      <c r="D261" s="30" t="s">
        <v>124</v>
      </c>
      <c r="E261" s="30" t="s">
        <v>124</v>
      </c>
      <c r="F261" s="31" t="s">
        <v>125</v>
      </c>
      <c r="G261" s="4"/>
      <c r="H261" s="413" t="s">
        <v>28</v>
      </c>
      <c r="I261" s="7"/>
      <c r="J261" s="32" t="s">
        <v>28</v>
      </c>
    </row>
    <row r="262" spans="1:10">
      <c r="A262" s="441"/>
      <c r="B262" s="34"/>
      <c r="C262" s="34"/>
      <c r="D262" s="34"/>
      <c r="E262" s="34"/>
      <c r="F262" s="140"/>
      <c r="G262" s="17"/>
      <c r="H262" s="263" t="s">
        <v>28</v>
      </c>
      <c r="I262" s="34">
        <f>SUM(B262:H262)</f>
        <v>0</v>
      </c>
      <c r="J262" s="37"/>
    </row>
    <row r="263" spans="1:10">
      <c r="A263" s="442">
        <v>3701</v>
      </c>
      <c r="B263" s="30" t="s">
        <v>11</v>
      </c>
      <c r="C263" s="30" t="s">
        <v>11</v>
      </c>
      <c r="D263" s="30" t="s">
        <v>11</v>
      </c>
      <c r="E263" s="30" t="s">
        <v>11</v>
      </c>
      <c r="F263" s="31" t="s">
        <v>12</v>
      </c>
      <c r="G263" s="4"/>
      <c r="H263" s="413" t="s">
        <v>28</v>
      </c>
      <c r="I263" s="7"/>
      <c r="J263" s="32" t="s">
        <v>28</v>
      </c>
    </row>
    <row r="264" spans="1:10">
      <c r="A264" s="441"/>
      <c r="B264" s="34"/>
      <c r="C264" s="34"/>
      <c r="D264" s="34"/>
      <c r="E264" s="34"/>
      <c r="F264" s="140"/>
      <c r="G264" s="17"/>
      <c r="H264" s="263" t="s">
        <v>28</v>
      </c>
      <c r="I264" s="34">
        <f>SUM(B264:H264)</f>
        <v>0</v>
      </c>
      <c r="J264" s="37"/>
    </row>
    <row r="265" spans="1:10">
      <c r="A265" s="58" t="s">
        <v>30</v>
      </c>
      <c r="B265" s="58">
        <f t="shared" ref="B265:H265" si="12">SUM(B254,B256,B258,B260,B262,B264)</f>
        <v>31</v>
      </c>
      <c r="C265" s="58">
        <f t="shared" si="12"/>
        <v>31</v>
      </c>
      <c r="D265" s="58">
        <f t="shared" si="12"/>
        <v>31</v>
      </c>
      <c r="E265" s="58">
        <f t="shared" si="12"/>
        <v>31</v>
      </c>
      <c r="F265" s="58">
        <f t="shared" si="12"/>
        <v>24</v>
      </c>
      <c r="G265" s="58">
        <f t="shared" si="12"/>
        <v>0</v>
      </c>
      <c r="H265" s="58">
        <f t="shared" si="12"/>
        <v>0</v>
      </c>
      <c r="I265" s="70">
        <f>SUM(I236,I238,I240,I242,I244,I246,I248,I250,I252,I254,I256,I258,I260,I262,I264)</f>
        <v>444</v>
      </c>
      <c r="J265" s="71"/>
    </row>
    <row r="266" spans="1:10">
      <c r="A266" s="312"/>
      <c r="B266" s="72"/>
      <c r="C266" s="72"/>
      <c r="D266" s="72"/>
      <c r="E266" s="72"/>
      <c r="F266" s="139"/>
      <c r="G266" s="204" t="s">
        <v>152</v>
      </c>
      <c r="H266" s="204" t="s">
        <v>153</v>
      </c>
      <c r="I266" s="204" t="s">
        <v>154</v>
      </c>
      <c r="J266" s="73"/>
    </row>
    <row r="267" spans="1:10">
      <c r="A267" s="312"/>
      <c r="B267" s="72"/>
      <c r="C267" s="72"/>
      <c r="D267" s="72"/>
      <c r="E267" s="72"/>
      <c r="F267" s="139"/>
      <c r="G267" s="130">
        <f>I265</f>
        <v>444</v>
      </c>
      <c r="H267" s="169">
        <f>SUM(G267*13/3)</f>
        <v>1924</v>
      </c>
      <c r="I267" s="130">
        <f>SUM(H267*12)</f>
        <v>23088</v>
      </c>
      <c r="J267" s="73"/>
    </row>
  </sheetData>
  <sheetProtection password="CC44" sheet="1" objects="1" scenarios="1"/>
  <phoneticPr fontId="8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18"/>
  <dimension ref="A1:AJ225"/>
  <sheetViews>
    <sheetView zoomScale="70" zoomScaleNormal="70" workbookViewId="0">
      <selection activeCell="AM39" sqref="AM39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/>
      <c r="B5" s="1"/>
    </row>
    <row r="6" spans="1:35" ht="21.95" customHeight="1" thickBot="1">
      <c r="A6" s="1" t="s">
        <v>468</v>
      </c>
      <c r="D6" s="361"/>
      <c r="E6" s="361"/>
      <c r="F6" s="361"/>
      <c r="G6" s="549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61"/>
      <c r="AC6" s="361"/>
      <c r="AD6" s="361"/>
      <c r="AE6" s="361"/>
      <c r="AF6" s="361"/>
      <c r="AG6" s="361"/>
    </row>
    <row r="7" spans="1:35" ht="21.95" customHeight="1">
      <c r="A7" s="1"/>
      <c r="B7" s="23" t="s">
        <v>469</v>
      </c>
      <c r="C7" s="7"/>
      <c r="D7" s="525" t="s">
        <v>2</v>
      </c>
      <c r="E7" s="51"/>
      <c r="F7" s="551"/>
      <c r="G7" s="7"/>
      <c r="H7" s="525" t="s">
        <v>3</v>
      </c>
      <c r="I7" s="51"/>
      <c r="J7" s="551"/>
      <c r="K7" s="7"/>
      <c r="L7" s="525" t="s">
        <v>4</v>
      </c>
      <c r="M7" s="51"/>
      <c r="N7" s="551"/>
      <c r="O7" s="7"/>
      <c r="P7" s="525" t="s">
        <v>5</v>
      </c>
      <c r="Q7" s="51"/>
      <c r="R7" s="551"/>
      <c r="S7" s="7"/>
      <c r="T7" s="525" t="s">
        <v>6</v>
      </c>
      <c r="U7" s="51"/>
      <c r="V7" s="551"/>
      <c r="W7" s="27"/>
      <c r="X7" s="898" t="s">
        <v>7</v>
      </c>
      <c r="Y7" s="522"/>
      <c r="Z7" s="238"/>
      <c r="AA7" s="7"/>
      <c r="AB7" s="525" t="s">
        <v>8</v>
      </c>
      <c r="AC7" s="51"/>
      <c r="AD7" s="51"/>
      <c r="AE7" s="349" t="s">
        <v>9</v>
      </c>
      <c r="AF7" s="51"/>
      <c r="AG7" s="51"/>
      <c r="AH7" s="51"/>
      <c r="AI7" s="526"/>
    </row>
    <row r="8" spans="1:35" ht="21.95" customHeight="1">
      <c r="A8" s="1"/>
      <c r="B8" s="129" t="s">
        <v>164</v>
      </c>
      <c r="C8" s="567" t="s">
        <v>470</v>
      </c>
      <c r="E8" s="157"/>
      <c r="F8" s="568"/>
      <c r="G8" s="567" t="s">
        <v>471</v>
      </c>
      <c r="H8" s="157"/>
      <c r="I8" s="157"/>
      <c r="J8" s="568"/>
      <c r="K8" s="567" t="s">
        <v>471</v>
      </c>
      <c r="L8" s="157"/>
      <c r="M8" s="157"/>
      <c r="N8" s="568"/>
      <c r="O8" s="567" t="s">
        <v>472</v>
      </c>
      <c r="P8" s="157"/>
      <c r="Q8" s="157"/>
      <c r="R8" s="568"/>
      <c r="S8" s="567" t="s">
        <v>473</v>
      </c>
      <c r="T8" s="157"/>
      <c r="U8" s="157"/>
      <c r="V8" s="569"/>
      <c r="W8" s="899"/>
      <c r="X8" s="900"/>
      <c r="Y8" s="900"/>
      <c r="Z8" s="901"/>
      <c r="AA8" s="569"/>
      <c r="AB8" s="157"/>
      <c r="AC8" s="157"/>
      <c r="AD8" s="569"/>
      <c r="AE8" s="121">
        <v>37</v>
      </c>
      <c r="AG8" s="157"/>
      <c r="AH8" s="569"/>
      <c r="AI8" s="490"/>
    </row>
    <row r="9" spans="1:35" ht="21.95" customHeight="1">
      <c r="A9" s="1"/>
      <c r="B9" s="129" t="s">
        <v>167</v>
      </c>
      <c r="C9" s="567" t="s">
        <v>474</v>
      </c>
      <c r="D9" s="157"/>
      <c r="E9" s="157"/>
      <c r="F9" s="568"/>
      <c r="G9" s="567" t="s">
        <v>474</v>
      </c>
      <c r="H9" s="157"/>
      <c r="I9" s="157"/>
      <c r="J9" s="568"/>
      <c r="K9" s="567" t="s">
        <v>474</v>
      </c>
      <c r="L9" s="157"/>
      <c r="M9" s="157"/>
      <c r="N9" s="568"/>
      <c r="O9" s="567" t="s">
        <v>475</v>
      </c>
      <c r="P9" s="157" t="s">
        <v>476</v>
      </c>
      <c r="Q9" s="157"/>
      <c r="R9" s="568"/>
      <c r="S9" s="567" t="s">
        <v>477</v>
      </c>
      <c r="T9" s="157" t="s">
        <v>476</v>
      </c>
      <c r="U9" s="157"/>
      <c r="V9" s="568"/>
      <c r="W9" s="610" t="s">
        <v>478</v>
      </c>
      <c r="X9" s="55"/>
      <c r="Y9" s="55"/>
      <c r="Z9" s="55"/>
      <c r="AA9" s="567" t="s">
        <v>479</v>
      </c>
      <c r="AB9" s="567"/>
      <c r="AC9" s="567"/>
      <c r="AD9" s="567"/>
      <c r="AE9" s="155">
        <v>68.25</v>
      </c>
      <c r="AF9" s="157"/>
      <c r="AG9" s="571"/>
      <c r="AH9" s="572"/>
      <c r="AI9" s="573"/>
    </row>
    <row r="10" spans="1:35" ht="21.95" customHeight="1">
      <c r="A10" s="1"/>
      <c r="B10" s="129" t="s">
        <v>170</v>
      </c>
      <c r="C10" s="897" t="s">
        <v>162</v>
      </c>
      <c r="D10" s="157"/>
      <c r="E10" s="157"/>
      <c r="F10" s="568"/>
      <c r="G10" s="157" t="s">
        <v>162</v>
      </c>
      <c r="H10" s="157"/>
      <c r="I10" s="157"/>
      <c r="J10" s="568"/>
      <c r="K10" s="157" t="s">
        <v>162</v>
      </c>
      <c r="L10" s="157"/>
      <c r="M10" s="157"/>
      <c r="N10" s="568"/>
      <c r="O10" s="157" t="s">
        <v>162</v>
      </c>
      <c r="P10" s="157"/>
      <c r="Q10" s="157"/>
      <c r="R10" s="568"/>
      <c r="S10" s="157" t="s">
        <v>162</v>
      </c>
      <c r="T10" s="157"/>
      <c r="U10" s="157"/>
      <c r="V10" s="568"/>
      <c r="W10" s="567"/>
      <c r="X10" s="157"/>
      <c r="Y10" s="157"/>
      <c r="Z10" s="568"/>
      <c r="AA10" s="567"/>
      <c r="AB10" s="157"/>
      <c r="AC10" s="157"/>
      <c r="AD10" s="569"/>
      <c r="AE10" s="570">
        <v>0</v>
      </c>
      <c r="AF10" s="571"/>
      <c r="AG10" s="157"/>
      <c r="AH10" s="569"/>
      <c r="AI10" s="490"/>
    </row>
    <row r="11" spans="1:35" ht="21.95" customHeight="1" thickBot="1">
      <c r="A11" s="1"/>
      <c r="B11" s="47"/>
      <c r="C11" s="574"/>
      <c r="D11" s="53"/>
      <c r="E11" s="53"/>
      <c r="F11" s="575"/>
      <c r="G11" s="574"/>
      <c r="H11" s="53"/>
      <c r="I11" s="53"/>
      <c r="J11" s="575"/>
      <c r="K11" s="574"/>
      <c r="L11" s="53"/>
      <c r="M11" s="53"/>
      <c r="N11" s="575"/>
      <c r="O11" s="574"/>
      <c r="P11" s="53"/>
      <c r="Q11" s="53"/>
      <c r="R11" s="575"/>
      <c r="S11" s="574"/>
      <c r="T11" s="53"/>
      <c r="U11" s="53"/>
      <c r="V11" s="575"/>
      <c r="W11" s="53"/>
      <c r="X11" s="53"/>
      <c r="Y11" s="53"/>
      <c r="Z11" s="53"/>
      <c r="AA11" s="53"/>
      <c r="AB11" s="53"/>
      <c r="AC11" s="53"/>
      <c r="AD11" s="53"/>
      <c r="AE11" s="576"/>
      <c r="AF11" s="53"/>
      <c r="AG11" s="53"/>
      <c r="AH11" s="577"/>
      <c r="AI11" s="539"/>
    </row>
    <row r="12" spans="1:35" ht="21.95" customHeight="1" thickBot="1">
      <c r="A12" s="578"/>
      <c r="B12" s="1"/>
      <c r="C12" s="361"/>
      <c r="D12" s="361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61"/>
      <c r="AC12" s="361"/>
      <c r="AD12" s="361"/>
      <c r="AE12" s="361"/>
      <c r="AF12" s="361"/>
      <c r="AG12" s="361"/>
    </row>
    <row r="13" spans="1:35" ht="21.95" customHeight="1">
      <c r="A13" s="556"/>
      <c r="B13" s="297" t="s">
        <v>480</v>
      </c>
      <c r="C13" s="1235">
        <v>1</v>
      </c>
      <c r="D13" s="1234">
        <v>2</v>
      </c>
      <c r="E13" s="1234">
        <v>3</v>
      </c>
      <c r="F13" s="1235">
        <v>4</v>
      </c>
      <c r="G13" s="1235">
        <v>5</v>
      </c>
      <c r="H13" s="1234">
        <v>6</v>
      </c>
      <c r="I13" s="1213">
        <v>7</v>
      </c>
      <c r="J13" s="1213">
        <v>8</v>
      </c>
      <c r="K13" s="1235">
        <v>9</v>
      </c>
      <c r="L13" s="1234">
        <v>10</v>
      </c>
      <c r="M13" s="1235">
        <v>11</v>
      </c>
      <c r="N13" s="1235">
        <v>12</v>
      </c>
      <c r="O13" s="1234">
        <v>13</v>
      </c>
      <c r="P13" s="1213">
        <v>14</v>
      </c>
      <c r="Q13" s="1213">
        <v>15</v>
      </c>
      <c r="R13" s="1234">
        <v>16</v>
      </c>
      <c r="S13" s="1234">
        <v>17</v>
      </c>
      <c r="T13" s="1235">
        <v>18</v>
      </c>
      <c r="U13" s="1235">
        <v>19</v>
      </c>
      <c r="V13" s="1330">
        <v>20</v>
      </c>
      <c r="W13" s="1213">
        <v>21</v>
      </c>
      <c r="X13" s="1213">
        <v>22</v>
      </c>
      <c r="Y13" s="1234">
        <v>23</v>
      </c>
      <c r="Z13" s="1234">
        <v>24</v>
      </c>
      <c r="AA13" s="1235">
        <v>25</v>
      </c>
      <c r="AB13" s="1235">
        <v>26</v>
      </c>
      <c r="AC13" s="1234">
        <v>27</v>
      </c>
      <c r="AD13" s="1213">
        <v>28</v>
      </c>
      <c r="AE13" s="1213">
        <v>29</v>
      </c>
      <c r="AF13" s="1234">
        <v>30</v>
      </c>
      <c r="AG13" s="1234">
        <v>31</v>
      </c>
      <c r="AH13" s="498" t="s">
        <v>481</v>
      </c>
      <c r="AI13" s="499" t="s">
        <v>482</v>
      </c>
    </row>
    <row r="14" spans="1:35" ht="21.95" customHeight="1" thickBot="1">
      <c r="A14" s="579">
        <v>1</v>
      </c>
      <c r="B14" s="153" t="s">
        <v>483</v>
      </c>
      <c r="C14" s="557" t="s">
        <v>484</v>
      </c>
      <c r="D14" s="557" t="s">
        <v>485</v>
      </c>
      <c r="E14" s="557" t="s">
        <v>485</v>
      </c>
      <c r="F14" s="557" t="s">
        <v>486</v>
      </c>
      <c r="G14" s="557" t="s">
        <v>486</v>
      </c>
      <c r="H14" s="557" t="s">
        <v>487</v>
      </c>
      <c r="I14" s="557" t="s">
        <v>487</v>
      </c>
      <c r="J14" s="557" t="s">
        <v>487</v>
      </c>
      <c r="K14" s="557" t="s">
        <v>487</v>
      </c>
      <c r="L14" s="557" t="s">
        <v>487</v>
      </c>
      <c r="M14" s="557"/>
      <c r="N14" s="557"/>
      <c r="O14" s="557" t="s">
        <v>488</v>
      </c>
      <c r="P14" s="557" t="s">
        <v>488</v>
      </c>
      <c r="Q14" s="557" t="s">
        <v>488</v>
      </c>
      <c r="R14" s="557" t="s">
        <v>488</v>
      </c>
      <c r="S14" s="557" t="s">
        <v>488</v>
      </c>
      <c r="T14" s="557"/>
      <c r="U14" s="557"/>
      <c r="V14" s="557" t="s">
        <v>484</v>
      </c>
      <c r="W14" s="557" t="s">
        <v>484</v>
      </c>
      <c r="X14" s="557" t="s">
        <v>484</v>
      </c>
      <c r="Y14" s="557" t="s">
        <v>485</v>
      </c>
      <c r="Z14" s="557" t="s">
        <v>485</v>
      </c>
      <c r="AA14" s="557" t="s">
        <v>486</v>
      </c>
      <c r="AB14" s="557" t="s">
        <v>486</v>
      </c>
      <c r="AC14" s="557" t="s">
        <v>487</v>
      </c>
      <c r="AD14" s="557" t="s">
        <v>487</v>
      </c>
      <c r="AE14" s="557" t="s">
        <v>487</v>
      </c>
      <c r="AF14" s="557" t="s">
        <v>487</v>
      </c>
      <c r="AG14" s="557" t="s">
        <v>487</v>
      </c>
      <c r="AH14" s="504">
        <v>185</v>
      </c>
      <c r="AI14" s="505">
        <v>37</v>
      </c>
    </row>
    <row r="15" spans="1:35" ht="21.95" customHeight="1">
      <c r="A15" s="579">
        <v>2</v>
      </c>
      <c r="B15" s="45" t="s">
        <v>489</v>
      </c>
      <c r="C15" s="1208" t="s">
        <v>487</v>
      </c>
      <c r="D15" s="557" t="s">
        <v>487</v>
      </c>
      <c r="E15" s="557" t="s">
        <v>487</v>
      </c>
      <c r="F15" s="557"/>
      <c r="G15" s="557"/>
      <c r="H15" s="557" t="s">
        <v>488</v>
      </c>
      <c r="I15" s="557" t="s">
        <v>488</v>
      </c>
      <c r="J15" s="557" t="s">
        <v>488</v>
      </c>
      <c r="K15" s="557" t="s">
        <v>488</v>
      </c>
      <c r="L15" s="557" t="s">
        <v>488</v>
      </c>
      <c r="M15" s="557"/>
      <c r="N15" s="557"/>
      <c r="O15" s="557" t="s">
        <v>484</v>
      </c>
      <c r="P15" s="557" t="s">
        <v>484</v>
      </c>
      <c r="Q15" s="557" t="s">
        <v>484</v>
      </c>
      <c r="R15" s="557" t="s">
        <v>485</v>
      </c>
      <c r="S15" s="557" t="s">
        <v>485</v>
      </c>
      <c r="T15" s="557" t="s">
        <v>486</v>
      </c>
      <c r="U15" s="557" t="s">
        <v>486</v>
      </c>
      <c r="V15" s="557" t="s">
        <v>487</v>
      </c>
      <c r="W15" s="1388" t="s">
        <v>487</v>
      </c>
      <c r="X15" s="557" t="s">
        <v>487</v>
      </c>
      <c r="Y15" s="557" t="s">
        <v>487</v>
      </c>
      <c r="Z15" s="557" t="s">
        <v>487</v>
      </c>
      <c r="AA15" s="557"/>
      <c r="AB15" s="557"/>
      <c r="AC15" s="557" t="s">
        <v>488</v>
      </c>
      <c r="AD15" s="557" t="s">
        <v>488</v>
      </c>
      <c r="AE15" s="557" t="s">
        <v>488</v>
      </c>
      <c r="AF15" s="557" t="s">
        <v>488</v>
      </c>
      <c r="AG15" s="557" t="s">
        <v>488</v>
      </c>
      <c r="AH15" s="504">
        <v>185</v>
      </c>
      <c r="AI15" s="505">
        <v>37</v>
      </c>
    </row>
    <row r="16" spans="1:35" ht="21.95" customHeight="1">
      <c r="A16" s="579">
        <v>3</v>
      </c>
      <c r="B16" s="545" t="s">
        <v>490</v>
      </c>
      <c r="C16" s="1372" t="s">
        <v>488</v>
      </c>
      <c r="D16" s="1372" t="s">
        <v>488</v>
      </c>
      <c r="E16" s="1372" t="s">
        <v>488</v>
      </c>
      <c r="F16" s="1372"/>
      <c r="G16" s="1372"/>
      <c r="H16" s="1372" t="s">
        <v>484</v>
      </c>
      <c r="I16" s="1372" t="s">
        <v>484</v>
      </c>
      <c r="J16" s="1372" t="s">
        <v>484</v>
      </c>
      <c r="K16" s="1372" t="s">
        <v>485</v>
      </c>
      <c r="L16" s="1372" t="s">
        <v>485</v>
      </c>
      <c r="M16" s="1372" t="s">
        <v>486</v>
      </c>
      <c r="N16" s="1372" t="s">
        <v>486</v>
      </c>
      <c r="O16" s="1372" t="s">
        <v>487</v>
      </c>
      <c r="P16" s="1372" t="s">
        <v>487</v>
      </c>
      <c r="Q16" s="1372" t="s">
        <v>487</v>
      </c>
      <c r="R16" s="1372" t="s">
        <v>487</v>
      </c>
      <c r="S16" s="1372" t="s">
        <v>487</v>
      </c>
      <c r="T16" s="1372"/>
      <c r="U16" s="1372"/>
      <c r="V16" s="1372" t="s">
        <v>488</v>
      </c>
      <c r="W16" s="1375" t="s">
        <v>488</v>
      </c>
      <c r="X16" s="1372" t="s">
        <v>488</v>
      </c>
      <c r="Y16" s="1372" t="s">
        <v>488</v>
      </c>
      <c r="Z16" s="1372" t="s">
        <v>488</v>
      </c>
      <c r="AA16" s="1372"/>
      <c r="AB16" s="1372"/>
      <c r="AC16" s="1372" t="s">
        <v>484</v>
      </c>
      <c r="AD16" s="1372" t="s">
        <v>484</v>
      </c>
      <c r="AE16" s="1372" t="s">
        <v>484</v>
      </c>
      <c r="AF16" s="1372" t="s">
        <v>485</v>
      </c>
      <c r="AG16" s="1372" t="s">
        <v>485</v>
      </c>
      <c r="AH16" s="504">
        <v>196.5</v>
      </c>
      <c r="AI16" s="505">
        <v>37</v>
      </c>
    </row>
    <row r="17" spans="1:35" ht="21.95" customHeight="1"/>
    <row r="18" spans="1:35" ht="21.95" customHeight="1" thickBot="1">
      <c r="A18" s="312" t="s">
        <v>491</v>
      </c>
      <c r="C18" s="559"/>
      <c r="D18" s="559"/>
      <c r="E18" s="559"/>
      <c r="F18" s="559"/>
      <c r="G18" s="559"/>
      <c r="H18" s="559"/>
      <c r="I18" s="559"/>
      <c r="J18" s="559"/>
      <c r="K18" s="559"/>
      <c r="L18" s="559"/>
      <c r="M18" s="559"/>
      <c r="N18" s="559"/>
      <c r="O18" s="559"/>
      <c r="P18" s="559"/>
      <c r="Q18" s="559"/>
      <c r="R18" s="559"/>
      <c r="S18" s="559"/>
      <c r="T18" s="559"/>
      <c r="U18" s="559"/>
      <c r="V18" s="559"/>
      <c r="W18" s="559"/>
      <c r="X18" s="559"/>
      <c r="Y18" s="559"/>
      <c r="Z18" s="559"/>
      <c r="AA18" s="559"/>
      <c r="AB18" s="559"/>
      <c r="AC18" s="559"/>
      <c r="AD18" s="559"/>
      <c r="AE18" s="559"/>
      <c r="AF18" s="559"/>
      <c r="AH18" s="560"/>
      <c r="AI18" s="560"/>
    </row>
    <row r="19" spans="1:35" ht="21.95" customHeight="1">
      <c r="A19" s="580"/>
      <c r="B19" s="23" t="s">
        <v>123</v>
      </c>
      <c r="C19" s="7"/>
      <c r="D19" s="525" t="s">
        <v>2</v>
      </c>
      <c r="E19" s="51"/>
      <c r="F19" s="551"/>
      <c r="G19" s="7"/>
      <c r="H19" s="525" t="s">
        <v>3</v>
      </c>
      <c r="I19" s="51"/>
      <c r="J19" s="551"/>
      <c r="K19" s="7"/>
      <c r="L19" s="525" t="s">
        <v>4</v>
      </c>
      <c r="M19" s="51"/>
      <c r="N19" s="551"/>
      <c r="O19" s="7"/>
      <c r="P19" s="525" t="s">
        <v>5</v>
      </c>
      <c r="Q19" s="51"/>
      <c r="R19" s="551"/>
      <c r="S19" s="7"/>
      <c r="T19" s="525" t="s">
        <v>6</v>
      </c>
      <c r="U19" s="51"/>
      <c r="V19" s="551"/>
      <c r="W19" s="27"/>
      <c r="X19" s="898" t="s">
        <v>7</v>
      </c>
      <c r="Y19" s="522"/>
      <c r="Z19" s="238"/>
      <c r="AA19" s="7"/>
      <c r="AB19" s="525" t="s">
        <v>8</v>
      </c>
      <c r="AC19" s="51"/>
      <c r="AD19" s="51"/>
      <c r="AE19" s="349" t="s">
        <v>9</v>
      </c>
      <c r="AF19" s="51"/>
      <c r="AG19" s="51"/>
      <c r="AH19" s="51"/>
      <c r="AI19" s="526"/>
    </row>
    <row r="20" spans="1:35" ht="21.95" customHeight="1">
      <c r="B20" s="129" t="s">
        <v>164</v>
      </c>
      <c r="C20" s="593" t="s">
        <v>492</v>
      </c>
      <c r="E20" s="157"/>
      <c r="F20" s="568"/>
      <c r="G20" s="567" t="s">
        <v>488</v>
      </c>
      <c r="H20" s="483" t="s">
        <v>493</v>
      </c>
      <c r="I20" s="157"/>
      <c r="J20" s="568"/>
      <c r="K20" s="593" t="s">
        <v>492</v>
      </c>
      <c r="L20" s="483"/>
      <c r="M20" s="483"/>
      <c r="N20" s="592"/>
      <c r="O20" s="593" t="s">
        <v>494</v>
      </c>
      <c r="P20" s="483"/>
      <c r="Q20" s="483"/>
      <c r="R20" s="592"/>
      <c r="S20" s="593" t="s">
        <v>495</v>
      </c>
      <c r="T20" s="483"/>
      <c r="U20" s="483"/>
      <c r="V20" s="477"/>
      <c r="W20" s="899"/>
      <c r="X20" s="900"/>
      <c r="Y20" s="900"/>
      <c r="Z20" s="901"/>
      <c r="AA20" s="569"/>
      <c r="AB20" s="157"/>
      <c r="AC20" s="157"/>
      <c r="AD20" s="569"/>
      <c r="AE20" s="121">
        <v>37</v>
      </c>
      <c r="AG20" s="157"/>
      <c r="AH20" s="569"/>
      <c r="AI20" s="490"/>
    </row>
    <row r="21" spans="1:35" ht="21.95" customHeight="1">
      <c r="B21" s="129" t="s">
        <v>167</v>
      </c>
      <c r="C21" s="593" t="s">
        <v>496</v>
      </c>
      <c r="E21" s="157"/>
      <c r="F21" s="568"/>
      <c r="G21" s="593" t="s">
        <v>496</v>
      </c>
      <c r="I21" s="157"/>
      <c r="J21" s="568"/>
      <c r="K21" s="593" t="s">
        <v>496</v>
      </c>
      <c r="L21" s="157"/>
      <c r="M21" s="157"/>
      <c r="N21" s="568"/>
      <c r="O21" s="593" t="s">
        <v>497</v>
      </c>
      <c r="P21" s="157"/>
      <c r="Q21" s="157"/>
      <c r="R21" s="568"/>
      <c r="S21" s="567" t="s">
        <v>498</v>
      </c>
      <c r="T21" s="157"/>
      <c r="U21" s="157"/>
      <c r="V21" s="568"/>
      <c r="W21" s="610" t="s">
        <v>414</v>
      </c>
      <c r="X21" s="55"/>
      <c r="Y21" s="55"/>
      <c r="Z21" s="55"/>
      <c r="AA21" s="567" t="s">
        <v>28</v>
      </c>
      <c r="AB21" s="567"/>
      <c r="AC21" s="567"/>
      <c r="AD21" s="567"/>
      <c r="AE21" s="155">
        <v>37</v>
      </c>
      <c r="AF21" s="157"/>
      <c r="AG21" s="571"/>
      <c r="AH21" s="572"/>
      <c r="AI21" s="573"/>
    </row>
    <row r="22" spans="1:35" ht="21.95" customHeight="1">
      <c r="B22" s="129" t="s">
        <v>170</v>
      </c>
      <c r="C22" s="1336" t="s">
        <v>499</v>
      </c>
      <c r="D22" s="157"/>
      <c r="E22" s="157"/>
      <c r="F22" s="568"/>
      <c r="G22" s="157" t="s">
        <v>500</v>
      </c>
      <c r="H22" s="157"/>
      <c r="I22" s="157"/>
      <c r="J22" s="568"/>
      <c r="K22" s="1337" t="s">
        <v>501</v>
      </c>
      <c r="L22" s="157"/>
      <c r="M22" s="157"/>
      <c r="N22" s="568"/>
      <c r="O22" s="581" t="s">
        <v>502</v>
      </c>
      <c r="P22" s="157" t="s">
        <v>503</v>
      </c>
      <c r="Q22" s="157"/>
      <c r="R22" s="568"/>
      <c r="S22" s="581" t="s">
        <v>504</v>
      </c>
      <c r="T22" s="157" t="s">
        <v>503</v>
      </c>
      <c r="U22" s="157"/>
      <c r="V22" s="568"/>
      <c r="W22" s="567"/>
      <c r="X22" s="157"/>
      <c r="Y22" s="157"/>
      <c r="Z22" s="568"/>
      <c r="AA22" s="567"/>
      <c r="AB22" s="157"/>
      <c r="AC22" s="157"/>
      <c r="AD22" s="569"/>
      <c r="AE22" s="570">
        <v>36.25</v>
      </c>
      <c r="AF22" s="571"/>
      <c r="AG22" s="157"/>
      <c r="AH22" s="569"/>
      <c r="AI22" s="490"/>
    </row>
    <row r="23" spans="1:35" ht="21.95" customHeight="1" thickBot="1">
      <c r="B23" s="47"/>
      <c r="C23" s="574"/>
      <c r="D23" s="53"/>
      <c r="E23" s="53"/>
      <c r="F23" s="575"/>
      <c r="G23" s="574"/>
      <c r="H23" s="53"/>
      <c r="I23" s="53"/>
      <c r="J23" s="575"/>
      <c r="K23" s="574"/>
      <c r="L23" s="53"/>
      <c r="M23" s="53"/>
      <c r="N23" s="575"/>
      <c r="O23" s="574"/>
      <c r="P23" s="53"/>
      <c r="Q23" s="53"/>
      <c r="R23" s="575"/>
      <c r="S23" s="574"/>
      <c r="T23" s="53"/>
      <c r="U23" s="53"/>
      <c r="V23" s="575"/>
      <c r="W23" s="53"/>
      <c r="X23" s="53"/>
      <c r="Y23" s="53"/>
      <c r="Z23" s="53"/>
      <c r="AA23" s="53"/>
      <c r="AB23" s="53"/>
      <c r="AC23" s="53"/>
      <c r="AD23" s="53"/>
      <c r="AE23" s="576"/>
      <c r="AF23" s="53"/>
      <c r="AG23" s="53"/>
      <c r="AH23" s="577"/>
      <c r="AI23" s="539"/>
    </row>
    <row r="24" spans="1:35" ht="21.95" customHeight="1" thickBot="1"/>
    <row r="25" spans="1:35" ht="21.95" customHeight="1">
      <c r="A25" s="556"/>
      <c r="B25" s="297" t="s">
        <v>480</v>
      </c>
      <c r="C25" s="1235">
        <v>1</v>
      </c>
      <c r="D25" s="1234">
        <v>2</v>
      </c>
      <c r="E25" s="1234">
        <v>3</v>
      </c>
      <c r="F25" s="1235">
        <v>4</v>
      </c>
      <c r="G25" s="1235">
        <v>5</v>
      </c>
      <c r="H25" s="1234">
        <v>6</v>
      </c>
      <c r="I25" s="1213">
        <v>7</v>
      </c>
      <c r="J25" s="1213">
        <v>8</v>
      </c>
      <c r="K25" s="1235">
        <v>9</v>
      </c>
      <c r="L25" s="1234">
        <v>10</v>
      </c>
      <c r="M25" s="1235">
        <v>11</v>
      </c>
      <c r="N25" s="1235">
        <v>12</v>
      </c>
      <c r="O25" s="1234">
        <v>13</v>
      </c>
      <c r="P25" s="1213">
        <v>14</v>
      </c>
      <c r="Q25" s="1213">
        <v>15</v>
      </c>
      <c r="R25" s="1234">
        <v>16</v>
      </c>
      <c r="S25" s="1234">
        <v>17</v>
      </c>
      <c r="T25" s="1235">
        <v>18</v>
      </c>
      <c r="U25" s="1235">
        <v>19</v>
      </c>
      <c r="V25" s="1330">
        <v>20</v>
      </c>
      <c r="W25" s="1213">
        <v>21</v>
      </c>
      <c r="X25" s="1213">
        <v>22</v>
      </c>
      <c r="Y25" s="1234">
        <v>23</v>
      </c>
      <c r="Z25" s="1234">
        <v>24</v>
      </c>
      <c r="AA25" s="1235">
        <v>25</v>
      </c>
      <c r="AB25" s="1235">
        <v>26</v>
      </c>
      <c r="AC25" s="1234">
        <v>27</v>
      </c>
      <c r="AD25" s="1213">
        <v>28</v>
      </c>
      <c r="AE25" s="1213">
        <v>29</v>
      </c>
      <c r="AF25" s="1234">
        <v>30</v>
      </c>
      <c r="AG25" s="1234">
        <v>31</v>
      </c>
      <c r="AH25" s="498" t="s">
        <v>481</v>
      </c>
      <c r="AI25" s="499" t="s">
        <v>482</v>
      </c>
    </row>
    <row r="26" spans="1:35" ht="21.95" customHeight="1">
      <c r="A26" s="579">
        <v>1</v>
      </c>
      <c r="B26" s="545" t="s">
        <v>505</v>
      </c>
      <c r="C26" s="1208" t="s">
        <v>506</v>
      </c>
      <c r="D26" s="1208" t="s">
        <v>506</v>
      </c>
      <c r="E26" s="1208" t="s">
        <v>506</v>
      </c>
      <c r="F26" s="1208"/>
      <c r="G26" s="1208"/>
      <c r="H26" s="1208" t="s">
        <v>485</v>
      </c>
      <c r="I26" s="1208" t="s">
        <v>485</v>
      </c>
      <c r="J26" s="1208" t="s">
        <v>485</v>
      </c>
      <c r="K26" s="1208" t="s">
        <v>484</v>
      </c>
      <c r="L26" s="1208" t="s">
        <v>484</v>
      </c>
      <c r="M26" s="1208"/>
      <c r="N26" s="1208"/>
      <c r="O26" s="1208" t="s">
        <v>488</v>
      </c>
      <c r="P26" s="1208" t="s">
        <v>488</v>
      </c>
      <c r="Q26" s="1208" t="s">
        <v>488</v>
      </c>
      <c r="R26" s="1208" t="s">
        <v>488</v>
      </c>
      <c r="S26" s="1208" t="s">
        <v>488</v>
      </c>
      <c r="T26" s="1208" t="s">
        <v>28</v>
      </c>
      <c r="U26" s="1208" t="s">
        <v>28</v>
      </c>
      <c r="V26" s="1208" t="s">
        <v>506</v>
      </c>
      <c r="W26" s="1208" t="s">
        <v>506</v>
      </c>
      <c r="X26" s="1208" t="s">
        <v>506</v>
      </c>
      <c r="Y26" s="1208" t="s">
        <v>506</v>
      </c>
      <c r="Z26" s="1208" t="s">
        <v>506</v>
      </c>
      <c r="AA26" s="1208" t="s">
        <v>28</v>
      </c>
      <c r="AB26" s="1208" t="s">
        <v>28</v>
      </c>
      <c r="AC26" s="1208" t="s">
        <v>485</v>
      </c>
      <c r="AD26" s="1208" t="s">
        <v>485</v>
      </c>
      <c r="AE26" s="1208" t="s">
        <v>485</v>
      </c>
      <c r="AF26" s="1208" t="s">
        <v>484</v>
      </c>
      <c r="AG26" s="1208" t="s">
        <v>484</v>
      </c>
      <c r="AH26" s="504">
        <v>185</v>
      </c>
      <c r="AI26" s="505">
        <v>37</v>
      </c>
    </row>
    <row r="27" spans="1:35" ht="21.95" customHeight="1">
      <c r="A27" s="579">
        <v>2</v>
      </c>
      <c r="B27" s="319" t="s">
        <v>507</v>
      </c>
      <c r="C27" s="1208" t="s">
        <v>485</v>
      </c>
      <c r="D27" s="1208" t="s">
        <v>484</v>
      </c>
      <c r="E27" s="1208" t="s">
        <v>484</v>
      </c>
      <c r="F27" s="1208"/>
      <c r="G27" s="1208"/>
      <c r="H27" s="1208" t="s">
        <v>488</v>
      </c>
      <c r="I27" s="1208" t="s">
        <v>488</v>
      </c>
      <c r="J27" s="1208" t="s">
        <v>488</v>
      </c>
      <c r="K27" s="1208" t="s">
        <v>488</v>
      </c>
      <c r="L27" s="1208" t="s">
        <v>488</v>
      </c>
      <c r="M27" s="1208" t="s">
        <v>28</v>
      </c>
      <c r="N27" s="1208" t="s">
        <v>28</v>
      </c>
      <c r="O27" s="1208" t="s">
        <v>506</v>
      </c>
      <c r="P27" s="1208" t="s">
        <v>506</v>
      </c>
      <c r="Q27" s="1208" t="s">
        <v>506</v>
      </c>
      <c r="R27" s="1208" t="s">
        <v>506</v>
      </c>
      <c r="S27" s="1208" t="s">
        <v>506</v>
      </c>
      <c r="T27" s="1208"/>
      <c r="U27" s="1208"/>
      <c r="V27" s="1208" t="s">
        <v>485</v>
      </c>
      <c r="W27" s="1208" t="s">
        <v>485</v>
      </c>
      <c r="X27" s="1208" t="s">
        <v>485</v>
      </c>
      <c r="Y27" s="1208" t="s">
        <v>484</v>
      </c>
      <c r="Z27" s="1208" t="s">
        <v>484</v>
      </c>
      <c r="AA27" s="1208"/>
      <c r="AB27" s="1208"/>
      <c r="AC27" s="1208" t="s">
        <v>488</v>
      </c>
      <c r="AD27" s="1208" t="s">
        <v>488</v>
      </c>
      <c r="AE27" s="1208" t="s">
        <v>488</v>
      </c>
      <c r="AF27" s="1208" t="s">
        <v>488</v>
      </c>
      <c r="AG27" s="1208" t="s">
        <v>488</v>
      </c>
      <c r="AH27" s="504">
        <v>185</v>
      </c>
      <c r="AI27" s="505">
        <v>37</v>
      </c>
    </row>
    <row r="28" spans="1:35" ht="21.95" customHeight="1">
      <c r="A28" s="579">
        <v>3</v>
      </c>
      <c r="B28" s="153" t="s">
        <v>508</v>
      </c>
      <c r="C28" s="1208" t="s">
        <v>488</v>
      </c>
      <c r="D28" s="1208" t="s">
        <v>488</v>
      </c>
      <c r="E28" s="1208" t="s">
        <v>488</v>
      </c>
      <c r="F28" s="1208" t="s">
        <v>28</v>
      </c>
      <c r="G28" s="1208" t="s">
        <v>28</v>
      </c>
      <c r="H28" s="1208" t="s">
        <v>506</v>
      </c>
      <c r="I28" s="1208" t="s">
        <v>506</v>
      </c>
      <c r="J28" s="557" t="s">
        <v>506</v>
      </c>
      <c r="K28" s="1208" t="s">
        <v>506</v>
      </c>
      <c r="L28" s="1208" t="s">
        <v>506</v>
      </c>
      <c r="M28" s="1208"/>
      <c r="N28" s="1208"/>
      <c r="O28" s="1208" t="s">
        <v>485</v>
      </c>
      <c r="P28" s="1208" t="s">
        <v>485</v>
      </c>
      <c r="Q28" s="1215" t="s">
        <v>485</v>
      </c>
      <c r="R28" s="1208" t="s">
        <v>484</v>
      </c>
      <c r="S28" s="1208" t="s">
        <v>484</v>
      </c>
      <c r="T28" s="1208"/>
      <c r="U28" s="1208"/>
      <c r="V28" s="1208" t="s">
        <v>488</v>
      </c>
      <c r="W28" s="1208" t="s">
        <v>488</v>
      </c>
      <c r="X28" s="1208" t="s">
        <v>488</v>
      </c>
      <c r="Y28" s="1208" t="s">
        <v>488</v>
      </c>
      <c r="Z28" s="1208" t="s">
        <v>488</v>
      </c>
      <c r="AA28" s="1208"/>
      <c r="AB28" s="1208"/>
      <c r="AC28" s="1215" t="s">
        <v>506</v>
      </c>
      <c r="AD28" s="1215" t="s">
        <v>506</v>
      </c>
      <c r="AE28" s="1208" t="s">
        <v>506</v>
      </c>
      <c r="AF28" s="1208" t="s">
        <v>506</v>
      </c>
      <c r="AG28" s="1208" t="s">
        <v>506</v>
      </c>
      <c r="AH28" s="504">
        <v>203</v>
      </c>
      <c r="AI28" s="505">
        <v>37</v>
      </c>
    </row>
    <row r="29" spans="1:35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5" ht="21.95" customHeight="1" thickBot="1">
      <c r="A30" s="578"/>
      <c r="B30" s="587" t="s">
        <v>509</v>
      </c>
      <c r="C30" s="541" t="s">
        <v>491</v>
      </c>
      <c r="D30" s="541"/>
      <c r="E30" s="541"/>
      <c r="F30" s="541"/>
      <c r="G30" s="541"/>
      <c r="H30" s="541"/>
      <c r="I30" s="541"/>
      <c r="J30" s="541"/>
      <c r="K30" s="541"/>
      <c r="L30" s="541"/>
      <c r="M30" s="541"/>
      <c r="N30" s="541"/>
      <c r="O30" s="541"/>
      <c r="P30" s="541"/>
      <c r="Q30" s="541"/>
      <c r="R30" s="541"/>
      <c r="S30" s="541"/>
      <c r="T30" s="541"/>
      <c r="U30" s="541"/>
      <c r="V30" s="541"/>
      <c r="W30" s="541"/>
      <c r="X30" s="541"/>
      <c r="Y30" s="541"/>
      <c r="Z30" s="541"/>
      <c r="AA30" s="541"/>
      <c r="AB30" s="541"/>
      <c r="AC30" s="541"/>
      <c r="AD30" s="541"/>
      <c r="AE30" s="541"/>
      <c r="AF30" s="541"/>
      <c r="AG30" s="541"/>
      <c r="AH30" s="560"/>
      <c r="AI30" s="560"/>
    </row>
    <row r="31" spans="1:35" ht="21.95" customHeight="1">
      <c r="A31" s="578"/>
      <c r="B31" s="1483" t="s">
        <v>491</v>
      </c>
      <c r="C31" s="7"/>
      <c r="D31" s="525" t="s">
        <v>2</v>
      </c>
      <c r="E31" s="51"/>
      <c r="F31" s="551"/>
      <c r="G31" s="7"/>
      <c r="H31" s="525" t="s">
        <v>3</v>
      </c>
      <c r="I31" s="51"/>
      <c r="J31" s="551"/>
      <c r="K31" s="7"/>
      <c r="L31" s="525" t="s">
        <v>4</v>
      </c>
      <c r="M31" s="51"/>
      <c r="N31" s="551"/>
      <c r="O31" s="7"/>
      <c r="P31" s="525" t="s">
        <v>5</v>
      </c>
      <c r="Q31" s="51"/>
      <c r="R31" s="551"/>
      <c r="S31" s="7"/>
      <c r="T31" s="525" t="s">
        <v>6</v>
      </c>
      <c r="U31" s="51"/>
      <c r="V31" s="551"/>
      <c r="W31" s="27"/>
      <c r="X31" s="898" t="s">
        <v>7</v>
      </c>
      <c r="Y31" s="522"/>
      <c r="Z31" s="238"/>
      <c r="AA31" s="7"/>
      <c r="AB31" s="525" t="s">
        <v>8</v>
      </c>
      <c r="AC31" s="51"/>
      <c r="AD31" s="51"/>
      <c r="AE31" s="349" t="s">
        <v>9</v>
      </c>
      <c r="AF31" s="51"/>
      <c r="AG31" s="51"/>
      <c r="AH31" s="51"/>
      <c r="AI31" s="526"/>
    </row>
    <row r="32" spans="1:35" ht="21.95" customHeight="1">
      <c r="A32" s="578"/>
      <c r="B32" s="129" t="s">
        <v>164</v>
      </c>
      <c r="C32" s="567" t="s">
        <v>510</v>
      </c>
      <c r="E32" s="157"/>
      <c r="F32" s="568"/>
      <c r="G32" s="567" t="s">
        <v>510</v>
      </c>
      <c r="H32" s="581"/>
      <c r="I32" s="157"/>
      <c r="J32" s="568"/>
      <c r="K32" s="567" t="s">
        <v>510</v>
      </c>
      <c r="L32" s="483"/>
      <c r="M32" s="483"/>
      <c r="N32" s="592"/>
      <c r="O32" s="567" t="s">
        <v>510</v>
      </c>
      <c r="P32" s="483"/>
      <c r="Q32" s="483"/>
      <c r="R32" s="592"/>
      <c r="S32" s="567" t="s">
        <v>511</v>
      </c>
      <c r="T32" s="483"/>
      <c r="U32" s="483"/>
      <c r="V32" s="477"/>
      <c r="W32" s="899"/>
      <c r="X32" s="900"/>
      <c r="Y32" s="900"/>
      <c r="Z32" s="901"/>
      <c r="AA32" s="569"/>
      <c r="AB32" s="157"/>
      <c r="AC32" s="157"/>
      <c r="AD32" s="569"/>
      <c r="AE32" s="121">
        <v>37</v>
      </c>
      <c r="AG32" s="157"/>
      <c r="AH32" s="569"/>
      <c r="AI32" s="490"/>
    </row>
    <row r="33" spans="1:35" ht="21.95" customHeight="1">
      <c r="A33" s="578"/>
      <c r="B33" s="129" t="s">
        <v>167</v>
      </c>
      <c r="C33" s="567" t="s">
        <v>512</v>
      </c>
      <c r="E33" s="157"/>
      <c r="F33" s="568"/>
      <c r="G33" s="567" t="s">
        <v>512</v>
      </c>
      <c r="I33" s="157"/>
      <c r="J33" s="568"/>
      <c r="K33" s="567" t="s">
        <v>512</v>
      </c>
      <c r="L33" s="157"/>
      <c r="M33" s="157"/>
      <c r="N33" s="568"/>
      <c r="O33" s="567" t="s">
        <v>512</v>
      </c>
      <c r="P33" s="157"/>
      <c r="Q33" s="157"/>
      <c r="R33" s="568"/>
      <c r="S33" s="567" t="s">
        <v>116</v>
      </c>
      <c r="T33" s="157"/>
      <c r="U33" s="157"/>
      <c r="V33" s="568"/>
      <c r="W33" s="610" t="s">
        <v>414</v>
      </c>
      <c r="X33" s="55"/>
      <c r="Y33" s="55"/>
      <c r="Z33" s="55"/>
      <c r="AA33" s="567" t="s">
        <v>28</v>
      </c>
      <c r="AB33" s="567"/>
      <c r="AC33" s="567"/>
      <c r="AD33" s="567"/>
      <c r="AE33" s="155">
        <v>37</v>
      </c>
      <c r="AF33" s="157"/>
      <c r="AG33" s="571"/>
      <c r="AH33" s="572"/>
      <c r="AI33" s="573"/>
    </row>
    <row r="34" spans="1:35" ht="21.95" customHeight="1">
      <c r="A34" s="578"/>
      <c r="B34" s="354"/>
      <c r="C34" s="541"/>
      <c r="D34" s="541"/>
      <c r="E34" s="541"/>
      <c r="F34" s="541"/>
      <c r="G34" s="541"/>
      <c r="H34" s="541"/>
      <c r="I34" s="541"/>
      <c r="J34" s="541"/>
      <c r="K34" s="541"/>
      <c r="L34" s="541"/>
      <c r="M34" s="541"/>
      <c r="N34" s="541"/>
      <c r="O34" s="541"/>
      <c r="P34" s="541"/>
      <c r="Q34" s="541"/>
      <c r="R34" s="541"/>
      <c r="S34" s="541"/>
      <c r="T34" s="541"/>
      <c r="U34" s="541"/>
      <c r="V34" s="541"/>
      <c r="W34" s="541"/>
      <c r="X34" s="541"/>
      <c r="Y34" s="541"/>
      <c r="Z34" s="541"/>
      <c r="AA34" s="541"/>
      <c r="AB34" s="541"/>
      <c r="AC34" s="541"/>
      <c r="AD34" s="541"/>
      <c r="AE34" s="541"/>
      <c r="AF34" s="541"/>
      <c r="AG34" s="541"/>
      <c r="AH34" s="560"/>
      <c r="AI34" s="560"/>
    </row>
    <row r="35" spans="1:35" ht="21.95" customHeight="1">
      <c r="A35" s="1466"/>
      <c r="B35" s="902" t="s">
        <v>480</v>
      </c>
      <c r="C35" s="1462">
        <v>1</v>
      </c>
      <c r="D35" s="1463">
        <v>2</v>
      </c>
      <c r="E35" s="1463">
        <v>3</v>
      </c>
      <c r="F35" s="1462">
        <v>4</v>
      </c>
      <c r="G35" s="1462">
        <v>5</v>
      </c>
      <c r="H35" s="1463">
        <v>6</v>
      </c>
      <c r="I35" s="1463">
        <v>7</v>
      </c>
      <c r="J35" s="1463">
        <v>8</v>
      </c>
      <c r="K35" s="1462">
        <v>9</v>
      </c>
      <c r="L35" s="1463">
        <v>10</v>
      </c>
      <c r="M35" s="1462">
        <v>11</v>
      </c>
      <c r="N35" s="1462">
        <v>12</v>
      </c>
      <c r="O35" s="1463">
        <v>13</v>
      </c>
      <c r="P35" s="1463">
        <v>14</v>
      </c>
      <c r="Q35" s="1463">
        <v>15</v>
      </c>
      <c r="R35" s="1463">
        <v>16</v>
      </c>
      <c r="S35" s="1463">
        <v>17</v>
      </c>
      <c r="T35" s="1462">
        <v>18</v>
      </c>
      <c r="U35" s="1462">
        <v>19</v>
      </c>
      <c r="V35" s="1462">
        <v>20</v>
      </c>
      <c r="W35" s="1463">
        <v>21</v>
      </c>
      <c r="X35" s="1463">
        <v>22</v>
      </c>
      <c r="Y35" s="1463">
        <v>23</v>
      </c>
      <c r="Z35" s="1463">
        <v>24</v>
      </c>
      <c r="AA35" s="1462">
        <v>25</v>
      </c>
      <c r="AB35" s="1462">
        <v>26</v>
      </c>
      <c r="AC35" s="1463">
        <v>27</v>
      </c>
      <c r="AD35" s="1463">
        <v>28</v>
      </c>
      <c r="AE35" s="1463">
        <v>29</v>
      </c>
      <c r="AF35" s="1463">
        <v>30</v>
      </c>
      <c r="AG35" s="1463">
        <v>31</v>
      </c>
      <c r="AH35" s="1464" t="s">
        <v>481</v>
      </c>
      <c r="AI35" s="1465" t="s">
        <v>482</v>
      </c>
    </row>
    <row r="36" spans="1:35" ht="21.95" customHeight="1">
      <c r="A36" s="1466">
        <v>1</v>
      </c>
      <c r="B36" s="1467" t="s">
        <v>513</v>
      </c>
      <c r="C36" s="1461"/>
      <c r="D36" s="1461" t="s">
        <v>514</v>
      </c>
      <c r="E36" s="1461" t="s">
        <v>514</v>
      </c>
      <c r="F36" s="1461"/>
      <c r="G36" s="1461"/>
      <c r="H36" s="1461" t="s">
        <v>514</v>
      </c>
      <c r="I36" s="1461" t="s">
        <v>514</v>
      </c>
      <c r="J36" s="1461"/>
      <c r="K36" s="1461"/>
      <c r="L36" s="1461" t="s">
        <v>514</v>
      </c>
      <c r="M36" s="1461"/>
      <c r="N36" s="1461"/>
      <c r="O36" s="1461" t="s">
        <v>514</v>
      </c>
      <c r="P36" s="1461" t="s">
        <v>514</v>
      </c>
      <c r="Q36" s="1461" t="s">
        <v>514</v>
      </c>
      <c r="R36" s="1461" t="s">
        <v>514</v>
      </c>
      <c r="S36" s="1461" t="s">
        <v>514</v>
      </c>
      <c r="T36" s="1461"/>
      <c r="U36" s="1461"/>
      <c r="V36" s="1461"/>
      <c r="W36" s="1461" t="s">
        <v>514</v>
      </c>
      <c r="X36" s="1461" t="s">
        <v>514</v>
      </c>
      <c r="Y36" s="1461" t="s">
        <v>514</v>
      </c>
      <c r="Z36" s="1461" t="s">
        <v>514</v>
      </c>
      <c r="AA36" s="1461"/>
      <c r="AB36" s="1461"/>
      <c r="AC36" s="1461" t="s">
        <v>514</v>
      </c>
      <c r="AD36" s="1461" t="s">
        <v>514</v>
      </c>
      <c r="AE36" s="1461" t="s">
        <v>514</v>
      </c>
      <c r="AF36" s="1461" t="s">
        <v>514</v>
      </c>
      <c r="AG36" s="1461" t="s">
        <v>514</v>
      </c>
      <c r="AH36" s="904">
        <v>185</v>
      </c>
      <c r="AI36" s="904">
        <v>37</v>
      </c>
    </row>
    <row r="37" spans="1:35" ht="21.95" customHeight="1">
      <c r="A37" s="1466">
        <v>2</v>
      </c>
      <c r="B37" s="902" t="s">
        <v>345</v>
      </c>
      <c r="C37" s="1461"/>
      <c r="D37" s="1461" t="s">
        <v>514</v>
      </c>
      <c r="E37" s="1461" t="s">
        <v>514</v>
      </c>
      <c r="F37" s="1461"/>
      <c r="G37" s="1461"/>
      <c r="H37" s="1461" t="s">
        <v>514</v>
      </c>
      <c r="I37" s="1461" t="s">
        <v>514</v>
      </c>
      <c r="J37" s="1461"/>
      <c r="K37" s="1461"/>
      <c r="L37" s="1461" t="s">
        <v>514</v>
      </c>
      <c r="M37" s="1461"/>
      <c r="N37" s="1461"/>
      <c r="O37" s="1461" t="s">
        <v>514</v>
      </c>
      <c r="P37" s="1461" t="s">
        <v>514</v>
      </c>
      <c r="Q37" s="1461" t="s">
        <v>514</v>
      </c>
      <c r="R37" s="1461" t="s">
        <v>514</v>
      </c>
      <c r="S37" s="1461" t="s">
        <v>514</v>
      </c>
      <c r="T37" s="1461"/>
      <c r="U37" s="1461"/>
      <c r="V37" s="1461"/>
      <c r="W37" s="1461" t="s">
        <v>514</v>
      </c>
      <c r="X37" s="1461" t="s">
        <v>514</v>
      </c>
      <c r="Y37" s="1461" t="s">
        <v>514</v>
      </c>
      <c r="Z37" s="1461" t="s">
        <v>514</v>
      </c>
      <c r="AA37" s="1461"/>
      <c r="AB37" s="1461"/>
      <c r="AC37" s="1461" t="s">
        <v>514</v>
      </c>
      <c r="AD37" s="1461" t="s">
        <v>514</v>
      </c>
      <c r="AE37" s="1461" t="s">
        <v>514</v>
      </c>
      <c r="AF37" s="1461" t="s">
        <v>514</v>
      </c>
      <c r="AG37" s="1461" t="s">
        <v>514</v>
      </c>
      <c r="AH37" s="904">
        <v>185</v>
      </c>
      <c r="AI37" s="904">
        <v>37</v>
      </c>
    </row>
    <row r="38" spans="1:35" ht="21.95" customHeight="1">
      <c r="A38" s="578"/>
      <c r="B38" s="354"/>
      <c r="C38" s="541"/>
      <c r="D38" s="541"/>
      <c r="E38" s="541"/>
      <c r="F38" s="541"/>
      <c r="G38" s="541"/>
      <c r="H38" s="541"/>
      <c r="I38" s="541"/>
      <c r="J38" s="541"/>
      <c r="K38" s="541"/>
      <c r="L38" s="541"/>
      <c r="M38" s="541"/>
      <c r="N38" s="541"/>
      <c r="O38" s="541"/>
      <c r="P38" s="541"/>
      <c r="Q38" s="541"/>
      <c r="R38" s="541"/>
      <c r="S38" s="541"/>
      <c r="T38" s="541"/>
      <c r="U38" s="541"/>
      <c r="V38" s="541"/>
      <c r="W38" s="541"/>
      <c r="X38" s="541"/>
      <c r="Y38" s="541"/>
      <c r="Z38" s="541"/>
      <c r="AA38" s="541"/>
      <c r="AB38" s="541"/>
      <c r="AC38" s="541"/>
      <c r="AD38" s="541"/>
      <c r="AE38" s="541"/>
      <c r="AF38" s="541"/>
      <c r="AG38" s="541"/>
      <c r="AH38" s="560"/>
      <c r="AI38" s="560"/>
    </row>
    <row r="39" spans="1:35" ht="21.95" customHeight="1">
      <c r="A39" s="578"/>
    </row>
    <row r="40" spans="1:35" ht="21.95" customHeight="1">
      <c r="A40" s="578"/>
    </row>
    <row r="41" spans="1:35" ht="21.95" customHeight="1" thickBot="1">
      <c r="A41" s="578"/>
      <c r="B41" s="1" t="s">
        <v>515</v>
      </c>
    </row>
    <row r="42" spans="1:35" ht="21.95" customHeight="1">
      <c r="A42" s="519"/>
      <c r="B42" s="201" t="s">
        <v>516</v>
      </c>
      <c r="C42" s="7"/>
      <c r="D42" s="525" t="s">
        <v>2</v>
      </c>
      <c r="E42" s="51"/>
      <c r="F42" s="551"/>
      <c r="G42" s="7"/>
      <c r="H42" s="525" t="s">
        <v>3</v>
      </c>
      <c r="I42" s="51"/>
      <c r="J42" s="551"/>
      <c r="K42" s="7"/>
      <c r="L42" s="525" t="s">
        <v>4</v>
      </c>
      <c r="M42" s="51"/>
      <c r="N42" s="551"/>
      <c r="O42" s="7"/>
      <c r="P42" s="525" t="s">
        <v>5</v>
      </c>
      <c r="Q42" s="51"/>
      <c r="R42" s="551"/>
      <c r="S42" s="7"/>
      <c r="T42" s="525" t="s">
        <v>6</v>
      </c>
      <c r="U42" s="51"/>
      <c r="V42" s="551"/>
      <c r="W42" s="27"/>
      <c r="X42" s="898" t="s">
        <v>7</v>
      </c>
      <c r="Y42" s="522"/>
      <c r="Z42" s="238"/>
      <c r="AA42" s="27"/>
      <c r="AB42" s="898" t="s">
        <v>8</v>
      </c>
      <c r="AC42" s="522"/>
      <c r="AD42" s="522"/>
      <c r="AE42" s="524" t="s">
        <v>10</v>
      </c>
      <c r="AF42" s="522"/>
      <c r="AG42" s="522"/>
      <c r="AH42" s="522"/>
      <c r="AI42" s="341"/>
    </row>
    <row r="43" spans="1:35" ht="21.95" customHeight="1">
      <c r="A43" s="519"/>
      <c r="B43" s="153" t="s">
        <v>517</v>
      </c>
      <c r="C43" s="1468" t="s">
        <v>518</v>
      </c>
      <c r="D43" s="1469"/>
      <c r="E43" s="902"/>
      <c r="F43" s="902"/>
      <c r="G43" s="1468" t="s">
        <v>518</v>
      </c>
      <c r="H43" s="1469"/>
      <c r="I43" s="902"/>
      <c r="J43" s="902"/>
      <c r="K43" s="1468" t="s">
        <v>518</v>
      </c>
      <c r="L43" s="1469"/>
      <c r="M43" s="902"/>
      <c r="N43" s="902"/>
      <c r="O43" s="1468" t="s">
        <v>518</v>
      </c>
      <c r="P43" s="1469"/>
      <c r="Q43" s="902"/>
      <c r="R43" s="902"/>
      <c r="S43" s="1480" t="s">
        <v>519</v>
      </c>
      <c r="T43" s="1480"/>
      <c r="U43" s="1481"/>
      <c r="V43" s="1481"/>
      <c r="W43" s="1470"/>
      <c r="X43" s="1471"/>
      <c r="Y43" s="1472"/>
      <c r="Z43" s="1473"/>
      <c r="AA43" s="1470"/>
      <c r="AB43" s="1471"/>
      <c r="AC43" s="1472"/>
      <c r="AD43" s="1473"/>
      <c r="AE43" s="1471"/>
      <c r="AF43" s="1472"/>
      <c r="AG43" s="1472"/>
      <c r="AH43" s="1472"/>
      <c r="AI43" s="1473">
        <v>37</v>
      </c>
    </row>
    <row r="44" spans="1:35" ht="21.95" customHeight="1">
      <c r="A44" s="361"/>
      <c r="B44" s="902" t="s">
        <v>520</v>
      </c>
      <c r="C44" s="1468" t="s">
        <v>521</v>
      </c>
      <c r="D44" s="1469"/>
      <c r="E44" s="902"/>
      <c r="F44" s="902"/>
      <c r="G44" s="1468" t="s">
        <v>521</v>
      </c>
      <c r="H44" s="1469"/>
      <c r="I44" s="902"/>
      <c r="J44" s="902"/>
      <c r="K44" s="1468" t="s">
        <v>521</v>
      </c>
      <c r="L44" s="1469"/>
      <c r="M44" s="902"/>
      <c r="N44" s="902"/>
      <c r="O44" s="1468" t="s">
        <v>521</v>
      </c>
      <c r="P44" s="1469"/>
      <c r="Q44" s="902"/>
      <c r="R44" s="902"/>
      <c r="S44" s="1468" t="s">
        <v>522</v>
      </c>
      <c r="T44" s="1468"/>
      <c r="U44" s="902"/>
      <c r="V44" s="902"/>
      <c r="W44" s="1474"/>
      <c r="X44" s="312"/>
      <c r="Z44" s="1475"/>
      <c r="AA44" s="1474"/>
      <c r="AB44" s="312"/>
      <c r="AD44" s="1475"/>
      <c r="AE44" s="312"/>
      <c r="AI44" s="1475">
        <v>37</v>
      </c>
    </row>
    <row r="45" spans="1:35" ht="21.95" customHeight="1">
      <c r="A45" s="361"/>
      <c r="B45" s="155" t="s">
        <v>523</v>
      </c>
      <c r="C45" s="1468" t="s">
        <v>524</v>
      </c>
      <c r="D45" s="1469"/>
      <c r="E45" s="902"/>
      <c r="F45" s="902"/>
      <c r="G45" s="1468" t="s">
        <v>524</v>
      </c>
      <c r="H45" s="1469"/>
      <c r="I45" s="902"/>
      <c r="J45" s="902"/>
      <c r="K45" s="1468" t="s">
        <v>524</v>
      </c>
      <c r="L45" s="1469"/>
      <c r="M45" s="902"/>
      <c r="N45" s="902"/>
      <c r="O45" s="1468" t="s">
        <v>524</v>
      </c>
      <c r="P45" s="1469"/>
      <c r="Q45" s="902"/>
      <c r="R45" s="902"/>
      <c r="S45" s="1468" t="s">
        <v>525</v>
      </c>
      <c r="T45" s="1468"/>
      <c r="U45" s="902"/>
      <c r="V45" s="902"/>
      <c r="W45" s="1476"/>
      <c r="X45" s="1477"/>
      <c r="Y45" s="1478"/>
      <c r="Z45" s="1479"/>
      <c r="AA45" s="1476"/>
      <c r="AB45" s="1477"/>
      <c r="AC45" s="1478"/>
      <c r="AD45" s="1479"/>
      <c r="AE45" s="1477"/>
      <c r="AF45" s="1478"/>
      <c r="AG45" s="1478"/>
      <c r="AH45" s="1478"/>
      <c r="AI45" s="1479">
        <v>37</v>
      </c>
    </row>
    <row r="46" spans="1:35" ht="21.95" customHeight="1">
      <c r="A46" s="361"/>
      <c r="B46" s="1482" t="s">
        <v>526</v>
      </c>
      <c r="C46" s="541"/>
      <c r="D46" s="520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0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520"/>
      <c r="AE46" s="520"/>
      <c r="AF46" s="520"/>
      <c r="AG46" s="520"/>
      <c r="AH46" s="560"/>
      <c r="AI46" s="560"/>
    </row>
    <row r="47" spans="1:35" ht="21.95" customHeight="1">
      <c r="A47" s="361"/>
      <c r="B47" s="361"/>
      <c r="C47" s="541"/>
      <c r="D47" s="520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0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60"/>
      <c r="AI47" s="560"/>
    </row>
    <row r="48" spans="1:35" ht="21.95" customHeight="1"/>
    <row r="49" ht="21.95" customHeight="1"/>
    <row r="50" ht="21.95" customHeight="1"/>
    <row r="51" ht="21.95" customHeight="1"/>
    <row r="52" ht="21.95" customHeight="1"/>
    <row r="53" ht="21.95" customHeight="1"/>
    <row r="54" ht="21.95" customHeight="1"/>
    <row r="55" ht="21.95" customHeight="1"/>
    <row r="56" ht="21.95" customHeight="1"/>
    <row r="57" ht="21.95" customHeight="1"/>
    <row r="58" ht="21.95" customHeight="1"/>
    <row r="59" ht="21" customHeight="1"/>
    <row r="60" ht="21.95" customHeight="1"/>
    <row r="61" ht="21.95" customHeight="1"/>
    <row r="62" ht="21.95" customHeight="1"/>
    <row r="63" ht="21.95" customHeight="1"/>
    <row r="64" ht="21.95" customHeight="1"/>
    <row r="65" spans="1:35" ht="21.95" customHeight="1"/>
    <row r="66" spans="1:35" ht="21.95" customHeight="1"/>
    <row r="67" spans="1:35" ht="21.95" customHeight="1"/>
    <row r="68" spans="1:35" ht="21.95" customHeight="1"/>
    <row r="69" spans="1:35" ht="21.95" customHeight="1"/>
    <row r="70" spans="1:35" ht="21.95" customHeight="1"/>
    <row r="71" spans="1:35" ht="21.95" customHeight="1">
      <c r="A71" s="580"/>
      <c r="C71" s="559"/>
      <c r="D71" s="559"/>
      <c r="E71" s="559"/>
      <c r="F71" s="559"/>
      <c r="G71" s="559"/>
      <c r="H71" s="559"/>
      <c r="I71" s="559"/>
      <c r="J71" s="559"/>
      <c r="K71" s="559"/>
      <c r="L71" s="559"/>
      <c r="M71" s="559"/>
      <c r="N71" s="559"/>
      <c r="O71" s="559"/>
      <c r="P71" s="559"/>
      <c r="Q71" s="559"/>
      <c r="R71" s="559"/>
      <c r="S71" s="559"/>
      <c r="T71" s="559"/>
      <c r="U71" s="559"/>
      <c r="V71" s="559"/>
      <c r="W71" s="559"/>
      <c r="X71" s="559"/>
      <c r="Y71" s="559"/>
      <c r="Z71" s="559"/>
      <c r="AA71" s="559"/>
      <c r="AB71" s="559"/>
      <c r="AC71" s="559"/>
      <c r="AD71" s="559"/>
      <c r="AE71" s="559"/>
      <c r="AF71" s="559"/>
      <c r="AH71" s="560"/>
      <c r="AI71" s="560"/>
    </row>
    <row r="72" spans="1:35" ht="21.95" customHeight="1">
      <c r="A72" s="580"/>
      <c r="B72" s="587"/>
      <c r="C72" s="559"/>
      <c r="D72" s="559"/>
      <c r="E72" s="559"/>
      <c r="F72" s="559"/>
      <c r="G72" s="559"/>
      <c r="H72" s="559"/>
      <c r="I72" s="559"/>
      <c r="J72" s="559"/>
      <c r="K72" s="559"/>
      <c r="L72" s="559"/>
      <c r="M72" s="559"/>
      <c r="N72" s="559"/>
      <c r="O72" s="559"/>
      <c r="P72" s="559"/>
      <c r="Q72" s="559"/>
      <c r="R72" s="559"/>
      <c r="S72" s="559"/>
      <c r="T72" s="559"/>
      <c r="U72" s="559"/>
      <c r="V72" s="559"/>
      <c r="W72" s="559"/>
      <c r="X72" s="559"/>
      <c r="Y72" s="559"/>
      <c r="Z72" s="559"/>
      <c r="AA72" s="559"/>
      <c r="AB72" s="559"/>
      <c r="AC72" s="559"/>
      <c r="AD72" s="559"/>
      <c r="AE72" s="559"/>
      <c r="AF72" s="559"/>
      <c r="AG72" s="559"/>
      <c r="AH72" s="560"/>
      <c r="AI72" s="560"/>
    </row>
    <row r="73" spans="1:35" ht="21.95" customHeight="1" thickBot="1">
      <c r="A73" s="1"/>
      <c r="D73" s="361"/>
      <c r="E73" s="361"/>
      <c r="F73" s="361"/>
      <c r="G73" s="549"/>
      <c r="H73" s="361"/>
      <c r="I73" s="361"/>
      <c r="J73" s="361"/>
      <c r="K73" s="361"/>
      <c r="L73" s="361"/>
      <c r="M73" s="361"/>
      <c r="N73" s="361"/>
      <c r="O73" s="361"/>
      <c r="P73" s="361"/>
      <c r="Q73" s="361"/>
      <c r="R73" s="361"/>
      <c r="S73" s="361"/>
      <c r="T73" s="361"/>
      <c r="U73" s="361"/>
      <c r="V73" s="361"/>
      <c r="W73" s="361"/>
      <c r="X73" s="361"/>
      <c r="Y73" s="361"/>
      <c r="Z73" s="361"/>
      <c r="AA73" s="361"/>
      <c r="AB73" s="361"/>
      <c r="AC73" s="361"/>
      <c r="AD73" s="361"/>
      <c r="AE73" s="361"/>
      <c r="AF73" s="361"/>
      <c r="AG73" s="361"/>
    </row>
    <row r="74" spans="1:35" ht="21.95" customHeight="1">
      <c r="A74" s="1"/>
      <c r="B74" s="23"/>
      <c r="C74" s="7"/>
      <c r="D74" s="525"/>
      <c r="E74" s="51"/>
      <c r="F74" s="551"/>
      <c r="G74" s="7"/>
      <c r="H74" s="525"/>
      <c r="I74" s="51"/>
      <c r="J74" s="551"/>
      <c r="K74" s="7"/>
      <c r="L74" s="525"/>
      <c r="M74" s="51"/>
      <c r="N74" s="551"/>
      <c r="O74" s="7"/>
      <c r="P74" s="525"/>
      <c r="Q74" s="51"/>
      <c r="R74" s="551"/>
      <c r="S74" s="7"/>
      <c r="T74" s="525"/>
      <c r="U74" s="51"/>
      <c r="V74" s="551"/>
      <c r="W74" s="7"/>
      <c r="X74" s="525"/>
      <c r="Y74" s="51"/>
      <c r="Z74" s="551"/>
      <c r="AA74" s="7"/>
      <c r="AB74" s="525"/>
      <c r="AC74" s="51"/>
      <c r="AD74" s="51"/>
      <c r="AE74" s="425"/>
      <c r="AF74" s="51"/>
      <c r="AG74" s="51"/>
      <c r="AH74" s="51"/>
      <c r="AI74" s="526"/>
    </row>
    <row r="75" spans="1:35" ht="21.95" customHeight="1">
      <c r="A75" s="1"/>
      <c r="B75" s="129"/>
      <c r="C75" s="121"/>
      <c r="D75" s="157"/>
      <c r="E75" s="157"/>
      <c r="F75" s="568"/>
      <c r="G75" s="121"/>
      <c r="H75" s="157"/>
      <c r="I75" s="157"/>
      <c r="J75" s="568"/>
      <c r="K75" s="121"/>
      <c r="L75" s="157"/>
      <c r="M75" s="157"/>
      <c r="N75" s="568"/>
      <c r="O75" s="121"/>
      <c r="P75" s="157"/>
      <c r="Q75" s="157"/>
      <c r="R75" s="568"/>
      <c r="S75" s="121"/>
      <c r="T75" s="157"/>
      <c r="U75" s="157"/>
      <c r="V75" s="568"/>
      <c r="W75" s="1243"/>
      <c r="X75" s="581"/>
      <c r="Y75" s="581"/>
      <c r="Z75" s="582"/>
      <c r="AA75" s="567"/>
      <c r="AB75" s="157"/>
      <c r="AC75" s="157"/>
      <c r="AD75" s="569"/>
      <c r="AE75" s="128"/>
      <c r="AF75" s="157"/>
      <c r="AG75" s="157"/>
      <c r="AH75" s="569"/>
      <c r="AI75" s="490"/>
    </row>
    <row r="76" spans="1:35" ht="21.95" customHeight="1">
      <c r="A76" s="1"/>
      <c r="B76" s="129"/>
      <c r="C76" s="121"/>
      <c r="D76" s="157"/>
      <c r="E76" s="157"/>
      <c r="F76" s="568"/>
      <c r="G76" s="121"/>
      <c r="H76" s="157"/>
      <c r="I76" s="157"/>
      <c r="J76" s="568"/>
      <c r="K76" s="121"/>
      <c r="L76" s="157"/>
      <c r="M76" s="157"/>
      <c r="N76" s="568"/>
      <c r="O76" s="121"/>
      <c r="P76" s="157"/>
      <c r="Q76" s="157"/>
      <c r="R76" s="568"/>
      <c r="S76" s="121"/>
      <c r="T76" s="157"/>
      <c r="U76" s="157"/>
      <c r="V76" s="568"/>
      <c r="W76" s="121"/>
      <c r="X76" s="157"/>
      <c r="Y76" s="157"/>
      <c r="Z76" s="568"/>
      <c r="AA76" s="157"/>
      <c r="AB76" s="157"/>
      <c r="AC76" s="157"/>
      <c r="AD76" s="569"/>
      <c r="AE76" s="128"/>
      <c r="AF76" s="157"/>
      <c r="AG76" s="157"/>
      <c r="AH76" s="569"/>
      <c r="AI76" s="490"/>
    </row>
    <row r="77" spans="1:35" ht="21.95" customHeight="1">
      <c r="A77" s="1"/>
      <c r="B77" s="129"/>
      <c r="C77" s="121"/>
      <c r="D77" s="157"/>
      <c r="E77" s="157"/>
      <c r="F77" s="568"/>
      <c r="G77" s="121"/>
      <c r="H77" s="157"/>
      <c r="I77" s="157"/>
      <c r="J77" s="568"/>
      <c r="K77" s="121"/>
      <c r="L77" s="157"/>
      <c r="M77" s="157"/>
      <c r="N77" s="568"/>
      <c r="O77" s="121"/>
      <c r="P77" s="157"/>
      <c r="Q77" s="157"/>
      <c r="R77" s="568"/>
      <c r="S77" s="121"/>
      <c r="T77" s="157"/>
      <c r="U77" s="157"/>
      <c r="V77" s="568"/>
      <c r="W77" s="588"/>
      <c r="X77" s="135"/>
      <c r="Y77" s="135"/>
      <c r="Z77" s="584"/>
      <c r="AA77" s="583"/>
      <c r="AB77" s="135"/>
      <c r="AC77" s="135"/>
      <c r="AD77" s="585"/>
      <c r="AE77" s="128"/>
      <c r="AF77" s="157"/>
      <c r="AG77" s="157"/>
      <c r="AH77" s="569"/>
      <c r="AI77" s="490"/>
    </row>
    <row r="78" spans="1:35" ht="21.95" customHeight="1" thickBot="1">
      <c r="A78" s="1"/>
      <c r="B78" s="16"/>
      <c r="C78" s="57"/>
      <c r="D78" s="53"/>
      <c r="E78" s="53"/>
      <c r="F78" s="575"/>
      <c r="G78" s="57"/>
      <c r="H78" s="53"/>
      <c r="I78" s="53"/>
      <c r="J78" s="575"/>
      <c r="K78" s="57"/>
      <c r="L78" s="53"/>
      <c r="M78" s="53"/>
      <c r="N78" s="575"/>
      <c r="O78" s="57"/>
      <c r="P78" s="53"/>
      <c r="Q78" s="53"/>
      <c r="R78" s="575"/>
      <c r="S78" s="57"/>
      <c r="T78" s="53"/>
      <c r="U78" s="53"/>
      <c r="V78" s="577"/>
      <c r="W78" s="57"/>
      <c r="X78" s="577"/>
      <c r="Y78" s="53"/>
      <c r="Z78" s="575"/>
      <c r="AA78" s="57"/>
      <c r="AB78" s="577"/>
      <c r="AC78" s="53"/>
      <c r="AD78" s="575"/>
      <c r="AE78" s="586"/>
      <c r="AF78" s="53"/>
      <c r="AG78" s="53"/>
      <c r="AH78" s="577"/>
      <c r="AI78" s="539"/>
    </row>
    <row r="79" spans="1:35" ht="21.95" customHeight="1" thickBot="1">
      <c r="A79" s="578"/>
      <c r="B79" s="1"/>
      <c r="C79" s="361"/>
      <c r="D79" s="361"/>
      <c r="E79" s="361"/>
      <c r="F79" s="361"/>
      <c r="G79" s="361"/>
      <c r="H79" s="361"/>
      <c r="I79" s="361"/>
      <c r="J79" s="361"/>
      <c r="K79" s="361"/>
      <c r="L79" s="361"/>
      <c r="M79" s="361"/>
      <c r="N79" s="361"/>
      <c r="O79" s="361"/>
      <c r="P79" s="361"/>
      <c r="Q79" s="361"/>
      <c r="R79" s="361"/>
      <c r="S79" s="361"/>
      <c r="T79" s="361"/>
      <c r="U79" s="361"/>
      <c r="V79" s="361"/>
      <c r="W79" s="361"/>
      <c r="X79" s="361"/>
      <c r="Y79" s="361"/>
      <c r="Z79" s="361"/>
      <c r="AA79" s="361"/>
      <c r="AB79" s="361"/>
      <c r="AC79" s="361"/>
      <c r="AD79" s="361"/>
      <c r="AE79" s="361"/>
      <c r="AF79" s="361"/>
      <c r="AG79" s="361"/>
    </row>
    <row r="80" spans="1:35" ht="21.95" customHeight="1">
      <c r="A80" s="556"/>
      <c r="B80" s="297"/>
      <c r="C80" s="178"/>
      <c r="D80" s="178"/>
      <c r="E80" s="178"/>
      <c r="F80" s="178"/>
      <c r="G80" s="178"/>
      <c r="H80" s="178"/>
      <c r="I80" s="172"/>
      <c r="J80" s="172"/>
      <c r="K80" s="178"/>
      <c r="L80" s="178"/>
      <c r="M80" s="178"/>
      <c r="N80" s="178"/>
      <c r="O80" s="178"/>
      <c r="P80" s="172"/>
      <c r="Q80" s="172"/>
      <c r="R80" s="178"/>
      <c r="S80" s="178"/>
      <c r="T80" s="178"/>
      <c r="U80" s="178"/>
      <c r="V80" s="172"/>
      <c r="W80" s="172"/>
      <c r="X80" s="172"/>
      <c r="Y80" s="178"/>
      <c r="Z80" s="178"/>
      <c r="AA80" s="178"/>
      <c r="AB80" s="178"/>
      <c r="AC80" s="178"/>
      <c r="AD80" s="172"/>
      <c r="AE80" s="172"/>
      <c r="AF80" s="178"/>
      <c r="AG80" s="178"/>
      <c r="AH80" s="1456"/>
      <c r="AI80" s="1457"/>
    </row>
    <row r="81" spans="1:35" ht="21.95" customHeight="1">
      <c r="A81" s="299"/>
      <c r="B81" s="545"/>
      <c r="C81" s="557"/>
      <c r="D81" s="1344"/>
      <c r="E81" s="1344"/>
      <c r="F81" s="1344"/>
      <c r="G81" s="1344"/>
      <c r="H81" s="1344"/>
      <c r="I81" s="557"/>
      <c r="J81" s="557"/>
      <c r="K81" s="1344"/>
      <c r="L81" s="1344"/>
      <c r="M81" s="1344"/>
      <c r="N81" s="1344"/>
      <c r="O81" s="1344"/>
      <c r="P81" s="1344"/>
      <c r="Q81" s="557"/>
      <c r="R81" s="1381"/>
      <c r="S81" s="1344"/>
      <c r="T81" s="1344"/>
      <c r="U81" s="1344"/>
      <c r="V81" s="1344"/>
      <c r="W81" s="1381"/>
      <c r="X81" s="1381"/>
      <c r="Y81" s="1344"/>
      <c r="Z81" s="1344"/>
      <c r="AA81" s="1344"/>
      <c r="AB81" s="1344"/>
      <c r="AC81" s="1344"/>
      <c r="AD81" s="1344"/>
      <c r="AE81" s="557"/>
      <c r="AF81" s="1344"/>
      <c r="AG81" s="1344"/>
      <c r="AH81" s="504"/>
      <c r="AI81" s="505"/>
    </row>
    <row r="82" spans="1:35" ht="21.95" customHeight="1">
      <c r="A82" s="299"/>
      <c r="B82" s="545"/>
      <c r="C82" s="557"/>
      <c r="D82" s="1344"/>
      <c r="E82" s="1344"/>
      <c r="F82" s="1344"/>
      <c r="G82" s="1344"/>
      <c r="H82" s="1344"/>
      <c r="I82" s="1344"/>
      <c r="J82" s="557"/>
      <c r="K82" s="1344"/>
      <c r="L82" s="1344"/>
      <c r="M82" s="1344"/>
      <c r="N82" s="1344"/>
      <c r="O82" s="1344"/>
      <c r="P82" s="557"/>
      <c r="Q82" s="557"/>
      <c r="R82" s="1344"/>
      <c r="S82" s="1344"/>
      <c r="T82" s="1344"/>
      <c r="U82" s="1344"/>
      <c r="V82" s="1344"/>
      <c r="W82" s="1344"/>
      <c r="X82" s="557"/>
      <c r="Y82" s="1344"/>
      <c r="Z82" s="1344"/>
      <c r="AA82" s="1344"/>
      <c r="AB82" s="1344"/>
      <c r="AC82" s="1344"/>
      <c r="AD82" s="557"/>
      <c r="AE82" s="557"/>
      <c r="AF82" s="1344"/>
      <c r="AG82" s="1344"/>
      <c r="AH82" s="504"/>
      <c r="AI82" s="505"/>
    </row>
    <row r="83" spans="1:35" ht="21.95" customHeight="1">
      <c r="A83" s="299"/>
      <c r="B83" s="545"/>
      <c r="C83" s="557"/>
      <c r="D83" s="1344"/>
      <c r="E83" s="1344"/>
      <c r="F83" s="1344"/>
      <c r="G83" s="1344"/>
      <c r="H83" s="1344"/>
      <c r="I83" s="1344"/>
      <c r="J83" s="557"/>
      <c r="K83" s="1344"/>
      <c r="L83" s="1344"/>
      <c r="M83" s="1344"/>
      <c r="N83" s="1344"/>
      <c r="O83" s="1344"/>
      <c r="P83" s="557"/>
      <c r="Q83" s="557"/>
      <c r="R83" s="1344"/>
      <c r="S83" s="1344"/>
      <c r="T83" s="1344"/>
      <c r="U83" s="1344"/>
      <c r="V83" s="1344"/>
      <c r="W83" s="1344"/>
      <c r="X83" s="557"/>
      <c r="Y83" s="1344"/>
      <c r="Z83" s="1344"/>
      <c r="AA83" s="1344"/>
      <c r="AB83" s="1344"/>
      <c r="AC83" s="1344"/>
      <c r="AD83" s="557"/>
      <c r="AE83" s="557"/>
      <c r="AF83" s="1344"/>
      <c r="AG83" s="1344"/>
      <c r="AH83" s="504"/>
      <c r="AI83" s="505"/>
    </row>
    <row r="84" spans="1:35" ht="21.95" customHeight="1">
      <c r="A84" s="299"/>
      <c r="B84" s="545"/>
      <c r="C84" s="557"/>
      <c r="D84" s="1344"/>
      <c r="E84" s="1344"/>
      <c r="F84" s="1344"/>
      <c r="G84" s="1344"/>
      <c r="H84" s="1344"/>
      <c r="I84" s="557"/>
      <c r="J84" s="557"/>
      <c r="K84" s="1344"/>
      <c r="L84" s="1344"/>
      <c r="M84" s="1344"/>
      <c r="N84" s="1344"/>
      <c r="O84" s="1344"/>
      <c r="P84" s="1344"/>
      <c r="Q84" s="557"/>
      <c r="R84" s="1344"/>
      <c r="S84" s="1458"/>
      <c r="T84" s="1458"/>
      <c r="U84" s="1458"/>
      <c r="V84" s="1458"/>
      <c r="W84" s="557"/>
      <c r="X84" s="557"/>
      <c r="Y84" s="1344"/>
      <c r="Z84" s="1344"/>
      <c r="AA84" s="1344"/>
      <c r="AB84" s="1344"/>
      <c r="AC84" s="1344"/>
      <c r="AD84" s="1344"/>
      <c r="AE84" s="557"/>
      <c r="AF84" s="1344"/>
      <c r="AG84" s="1344"/>
      <c r="AH84" s="504"/>
      <c r="AI84" s="505"/>
    </row>
    <row r="85" spans="1:35" ht="21.95" customHeight="1">
      <c r="A85" s="274"/>
      <c r="B85" s="587"/>
      <c r="C85" s="559"/>
      <c r="D85" s="541"/>
      <c r="E85" s="541"/>
      <c r="F85" s="541"/>
      <c r="G85" s="541"/>
      <c r="H85" s="541"/>
      <c r="I85" s="559"/>
      <c r="J85" s="559"/>
      <c r="K85" s="541"/>
      <c r="L85" s="541"/>
      <c r="M85" s="541"/>
      <c r="N85" s="541"/>
      <c r="O85" s="541"/>
      <c r="P85" s="541"/>
      <c r="Q85" s="559"/>
      <c r="R85" s="541"/>
      <c r="S85" s="1315"/>
      <c r="T85" s="1315"/>
      <c r="U85" s="1315"/>
      <c r="V85" s="1315"/>
      <c r="W85" s="559"/>
      <c r="X85" s="559"/>
      <c r="Y85" s="541"/>
      <c r="Z85" s="541"/>
      <c r="AA85" s="541"/>
      <c r="AB85" s="541"/>
      <c r="AC85" s="541"/>
      <c r="AD85" s="541"/>
      <c r="AE85" s="559"/>
      <c r="AF85" s="541"/>
      <c r="AG85" s="541"/>
      <c r="AH85" s="560"/>
      <c r="AI85" s="560"/>
    </row>
    <row r="86" spans="1:35" ht="21.95" customHeight="1" thickBot="1">
      <c r="A86" s="312"/>
      <c r="B86" s="541"/>
      <c r="C86" s="559"/>
      <c r="D86" s="541"/>
      <c r="E86" s="541"/>
      <c r="F86" s="541"/>
      <c r="G86" s="541"/>
      <c r="H86" s="541"/>
      <c r="I86" s="559"/>
      <c r="J86" s="559"/>
      <c r="K86" s="541"/>
      <c r="L86" s="541"/>
      <c r="M86" s="541"/>
      <c r="N86" s="541"/>
      <c r="O86" s="541"/>
      <c r="P86" s="541"/>
      <c r="Q86" s="559"/>
      <c r="R86" s="541"/>
      <c r="S86" s="541"/>
      <c r="T86" s="541"/>
      <c r="U86" s="541"/>
      <c r="V86" s="541"/>
      <c r="W86" s="559"/>
      <c r="X86" s="559"/>
      <c r="Y86" s="541"/>
      <c r="Z86" s="541"/>
      <c r="AA86" s="541"/>
      <c r="AB86" s="541"/>
      <c r="AC86" s="541"/>
      <c r="AD86" s="541"/>
      <c r="AE86" s="559"/>
      <c r="AF86" s="541"/>
      <c r="AG86" s="541"/>
      <c r="AH86" s="560"/>
      <c r="AI86" s="560"/>
    </row>
    <row r="87" spans="1:35" ht="21.95" customHeight="1">
      <c r="A87" s="274"/>
      <c r="B87" s="1304"/>
      <c r="C87" s="1312"/>
      <c r="D87" s="1305"/>
      <c r="E87" s="1306"/>
      <c r="F87" s="1307"/>
      <c r="G87" s="1308"/>
      <c r="H87" s="1305"/>
      <c r="I87" s="1306"/>
      <c r="J87" s="1307"/>
      <c r="K87" s="1308"/>
      <c r="L87" s="1305"/>
      <c r="M87" s="1306"/>
      <c r="N87" s="1307"/>
      <c r="O87" s="1308"/>
      <c r="P87" s="1305"/>
      <c r="Q87" s="1306"/>
      <c r="R87" s="1307"/>
      <c r="S87" s="1308"/>
      <c r="T87" s="1305"/>
      <c r="U87" s="1306"/>
      <c r="V87" s="1307"/>
      <c r="W87" s="1308"/>
      <c r="X87" s="1305"/>
      <c r="Y87" s="1306"/>
      <c r="Z87" s="1307"/>
      <c r="AA87" s="1308"/>
      <c r="AB87" s="1305"/>
      <c r="AC87" s="1306"/>
      <c r="AD87" s="1306"/>
      <c r="AE87" s="1309"/>
      <c r="AF87" s="1306"/>
      <c r="AG87" s="1306"/>
      <c r="AH87" s="1306"/>
      <c r="AI87" s="1310"/>
    </row>
    <row r="88" spans="1:35" ht="21.95" customHeight="1">
      <c r="A88" s="274"/>
      <c r="B88" s="1332"/>
      <c r="C88" s="1313"/>
      <c r="D88" s="1331"/>
      <c r="E88" s="1314"/>
      <c r="F88" s="1311"/>
      <c r="G88" s="1313"/>
      <c r="H88" s="1331"/>
      <c r="I88" s="1314"/>
      <c r="J88" s="1311"/>
      <c r="K88" s="1313"/>
      <c r="L88" s="1331"/>
      <c r="M88" s="1314"/>
      <c r="N88" s="1311"/>
      <c r="O88" s="1313"/>
      <c r="P88" s="1331"/>
      <c r="Q88" s="1314"/>
      <c r="R88" s="1311"/>
      <c r="S88" s="1313"/>
      <c r="T88" s="1331"/>
      <c r="U88" s="1314"/>
      <c r="V88" s="1311"/>
      <c r="W88" s="1313"/>
      <c r="X88" s="1314"/>
      <c r="Y88" s="1314"/>
      <c r="Z88" s="1311"/>
      <c r="AA88" s="1313"/>
      <c r="AB88" s="1314"/>
      <c r="AC88" s="1314"/>
      <c r="AD88" s="1314"/>
      <c r="AE88" s="1313"/>
      <c r="AF88" s="1314"/>
      <c r="AG88" s="1314"/>
      <c r="AH88" s="1316"/>
      <c r="AI88" s="1317"/>
    </row>
    <row r="89" spans="1:35" ht="21.95" customHeight="1">
      <c r="A89" s="274"/>
      <c r="B89" s="1333"/>
      <c r="C89" s="1313"/>
      <c r="D89" s="1331"/>
      <c r="E89" s="1314"/>
      <c r="F89" s="1311"/>
      <c r="G89" s="1313"/>
      <c r="H89" s="1331"/>
      <c r="I89" s="1314"/>
      <c r="J89" s="1311"/>
      <c r="K89" s="1313"/>
      <c r="L89" s="1331"/>
      <c r="M89" s="1314"/>
      <c r="N89" s="1311"/>
      <c r="O89" s="1313"/>
      <c r="P89" s="1331"/>
      <c r="Q89" s="1314"/>
      <c r="R89" s="1311"/>
      <c r="S89" s="1313"/>
      <c r="T89" s="1331"/>
      <c r="U89" s="1314"/>
      <c r="V89" s="1311"/>
      <c r="W89" s="1313"/>
      <c r="X89" s="1314"/>
      <c r="Y89" s="1314"/>
      <c r="Z89" s="1311"/>
      <c r="AA89" s="1313"/>
      <c r="AB89" s="1314"/>
      <c r="AC89" s="1314"/>
      <c r="AD89" s="1314"/>
      <c r="AE89" s="1313"/>
      <c r="AF89" s="1314"/>
      <c r="AG89" s="1314"/>
      <c r="AH89" s="1316"/>
      <c r="AI89" s="1317"/>
    </row>
    <row r="90" spans="1:35" ht="21.95" customHeight="1">
      <c r="A90" s="274"/>
      <c r="B90" s="1333"/>
      <c r="C90" s="1313"/>
      <c r="D90" s="1331"/>
      <c r="E90" s="1314"/>
      <c r="F90" s="1311"/>
      <c r="G90" s="1313"/>
      <c r="H90" s="1331"/>
      <c r="I90" s="1314"/>
      <c r="J90" s="1311"/>
      <c r="K90" s="1313"/>
      <c r="L90" s="1331"/>
      <c r="M90" s="1314"/>
      <c r="N90" s="1311"/>
      <c r="O90" s="1313"/>
      <c r="P90" s="1331"/>
      <c r="Q90" s="1314"/>
      <c r="R90" s="1311"/>
      <c r="S90" s="1313"/>
      <c r="T90" s="1331"/>
      <c r="U90" s="1314"/>
      <c r="V90" s="1311"/>
      <c r="W90" s="1313"/>
      <c r="X90" s="1314"/>
      <c r="Y90" s="1314"/>
      <c r="Z90" s="1311"/>
      <c r="AA90" s="1313"/>
      <c r="AB90" s="1314"/>
      <c r="AC90" s="1314"/>
      <c r="AD90" s="1314"/>
      <c r="AE90" s="1313"/>
      <c r="AF90" s="1314"/>
      <c r="AG90" s="1314"/>
      <c r="AH90" s="1316"/>
      <c r="AI90" s="1317"/>
    </row>
    <row r="91" spans="1:35" ht="21.95" customHeight="1">
      <c r="A91" s="274"/>
      <c r="B91" s="1333"/>
      <c r="C91" s="1313"/>
      <c r="D91" s="1331"/>
      <c r="E91" s="1314"/>
      <c r="F91" s="1311"/>
      <c r="G91" s="1313"/>
      <c r="H91" s="1331"/>
      <c r="I91" s="1314"/>
      <c r="J91" s="1311"/>
      <c r="K91" s="1313"/>
      <c r="L91" s="1331"/>
      <c r="M91" s="1314"/>
      <c r="N91" s="1311"/>
      <c r="O91" s="1313"/>
      <c r="P91" s="1331"/>
      <c r="Q91" s="1314"/>
      <c r="R91" s="1311"/>
      <c r="S91" s="1313"/>
      <c r="T91" s="1331"/>
      <c r="U91" s="1314"/>
      <c r="V91" s="1311"/>
      <c r="W91" s="1313"/>
      <c r="X91" s="1314"/>
      <c r="Y91" s="1314"/>
      <c r="Z91" s="1311"/>
      <c r="AA91" s="1313"/>
      <c r="AB91" s="1314"/>
      <c r="AC91" s="1314"/>
      <c r="AD91" s="1314"/>
      <c r="AE91" s="1313"/>
      <c r="AF91" s="1314"/>
      <c r="AG91" s="1314"/>
      <c r="AH91" s="1316"/>
      <c r="AI91" s="1317"/>
    </row>
    <row r="92" spans="1:35" ht="21.95" customHeight="1">
      <c r="A92" s="274"/>
      <c r="B92" s="1333"/>
      <c r="C92" s="1313"/>
      <c r="D92" s="1331"/>
      <c r="E92" s="1314"/>
      <c r="F92" s="1311"/>
      <c r="G92" s="1313"/>
      <c r="H92" s="1331"/>
      <c r="I92" s="1314"/>
      <c r="J92" s="1311"/>
      <c r="K92" s="1313"/>
      <c r="L92" s="1331"/>
      <c r="M92" s="1314"/>
      <c r="N92" s="1311"/>
      <c r="O92" s="1313"/>
      <c r="P92" s="1331"/>
      <c r="Q92" s="1314"/>
      <c r="R92" s="1311"/>
      <c r="S92" s="1313"/>
      <c r="T92" s="1331"/>
      <c r="U92" s="1314"/>
      <c r="V92" s="1311"/>
      <c r="W92" s="1313"/>
      <c r="X92" s="1314"/>
      <c r="Y92" s="1314"/>
      <c r="Z92" s="1311"/>
      <c r="AA92" s="1313"/>
      <c r="AB92" s="1314"/>
      <c r="AC92" s="1314"/>
      <c r="AD92" s="1314"/>
      <c r="AE92" s="1313"/>
      <c r="AF92" s="1314"/>
      <c r="AG92" s="1314"/>
      <c r="AH92" s="1316"/>
      <c r="AI92" s="1317"/>
    </row>
    <row r="93" spans="1:35" ht="21.95" customHeight="1">
      <c r="A93" s="274"/>
      <c r="B93" s="1333"/>
      <c r="C93" s="1313"/>
      <c r="D93" s="1331"/>
      <c r="E93" s="1314"/>
      <c r="F93" s="1311"/>
      <c r="G93" s="1313"/>
      <c r="H93" s="1331"/>
      <c r="I93" s="1314"/>
      <c r="J93" s="1311"/>
      <c r="K93" s="1313"/>
      <c r="L93" s="1331"/>
      <c r="M93" s="1314"/>
      <c r="N93" s="1311"/>
      <c r="O93" s="1313"/>
      <c r="P93" s="1331"/>
      <c r="Q93" s="1314"/>
      <c r="R93" s="1311"/>
      <c r="S93" s="1313"/>
      <c r="T93" s="1331"/>
      <c r="U93" s="1314"/>
      <c r="V93" s="1311"/>
      <c r="W93" s="1313"/>
      <c r="X93" s="1314"/>
      <c r="Y93" s="1314"/>
      <c r="Z93" s="1311"/>
      <c r="AA93" s="1313"/>
      <c r="AB93" s="1314"/>
      <c r="AC93" s="1314"/>
      <c r="AD93" s="1314"/>
      <c r="AE93" s="1313"/>
      <c r="AF93" s="1314"/>
      <c r="AG93" s="1314"/>
      <c r="AH93" s="1316"/>
      <c r="AI93" s="1317"/>
    </row>
    <row r="94" spans="1:35" ht="21.95" customHeight="1">
      <c r="A94" s="274"/>
      <c r="B94" s="1333"/>
      <c r="C94" s="1313"/>
      <c r="D94" s="1331"/>
      <c r="E94" s="1314"/>
      <c r="F94" s="1311"/>
      <c r="G94" s="1313"/>
      <c r="H94" s="1331"/>
      <c r="I94" s="1314"/>
      <c r="J94" s="1311"/>
      <c r="K94" s="1313"/>
      <c r="L94" s="1331"/>
      <c r="M94" s="1314"/>
      <c r="N94" s="1311"/>
      <c r="O94" s="1313"/>
      <c r="P94" s="1331"/>
      <c r="Q94" s="1314"/>
      <c r="R94" s="1311"/>
      <c r="S94" s="1313"/>
      <c r="T94" s="1331"/>
      <c r="U94" s="1314"/>
      <c r="V94" s="1311"/>
      <c r="W94" s="1313"/>
      <c r="X94" s="1314"/>
      <c r="Y94" s="1314"/>
      <c r="Z94" s="1311"/>
      <c r="AA94" s="1313"/>
      <c r="AB94" s="1314"/>
      <c r="AC94" s="1314"/>
      <c r="AD94" s="1314"/>
      <c r="AE94" s="1313"/>
      <c r="AF94" s="1314"/>
      <c r="AG94" s="1314"/>
      <c r="AH94" s="1316"/>
      <c r="AI94" s="1317"/>
    </row>
    <row r="95" spans="1:35" ht="21.95" customHeight="1">
      <c r="A95" s="274"/>
      <c r="B95" s="1333"/>
      <c r="C95" s="1313"/>
      <c r="D95" s="1331"/>
      <c r="E95" s="1314"/>
      <c r="F95" s="1311"/>
      <c r="G95" s="1313"/>
      <c r="H95" s="1331"/>
      <c r="I95" s="1314"/>
      <c r="J95" s="1311"/>
      <c r="K95" s="1313"/>
      <c r="L95" s="1331"/>
      <c r="M95" s="1314"/>
      <c r="N95" s="1311"/>
      <c r="O95" s="1313"/>
      <c r="P95" s="1331"/>
      <c r="Q95" s="1314"/>
      <c r="R95" s="1311"/>
      <c r="S95" s="1313"/>
      <c r="T95" s="1331"/>
      <c r="U95" s="1314"/>
      <c r="V95" s="1311"/>
      <c r="W95" s="1313"/>
      <c r="X95" s="1314"/>
      <c r="Y95" s="1314"/>
      <c r="Z95" s="1311"/>
      <c r="AA95" s="1313"/>
      <c r="AB95" s="1314"/>
      <c r="AC95" s="1314"/>
      <c r="AD95" s="1314"/>
      <c r="AE95" s="1313"/>
      <c r="AF95" s="1314"/>
      <c r="AG95" s="1314"/>
      <c r="AH95" s="1316"/>
      <c r="AI95" s="1317"/>
    </row>
    <row r="96" spans="1:35" ht="21.95" customHeight="1">
      <c r="A96" s="274"/>
      <c r="B96" s="1333"/>
      <c r="C96" s="1313"/>
      <c r="D96" s="1331"/>
      <c r="E96" s="1314"/>
      <c r="F96" s="1311"/>
      <c r="G96" s="1313"/>
      <c r="H96" s="1331"/>
      <c r="I96" s="1314"/>
      <c r="J96" s="1311"/>
      <c r="K96" s="1313"/>
      <c r="L96" s="1331"/>
      <c r="M96" s="1314"/>
      <c r="N96" s="1311"/>
      <c r="O96" s="1313"/>
      <c r="P96" s="1331"/>
      <c r="Q96" s="1314"/>
      <c r="R96" s="1311"/>
      <c r="S96" s="1313"/>
      <c r="T96" s="1331"/>
      <c r="U96" s="1314"/>
      <c r="V96" s="1311"/>
      <c r="W96" s="1313"/>
      <c r="X96" s="1314"/>
      <c r="Y96" s="1314"/>
      <c r="Z96" s="1311"/>
      <c r="AA96" s="1313"/>
      <c r="AB96" s="1314"/>
      <c r="AC96" s="1314"/>
      <c r="AD96" s="1314"/>
      <c r="AE96" s="1313"/>
      <c r="AF96" s="1314"/>
      <c r="AG96" s="1314"/>
      <c r="AH96" s="1316"/>
      <c r="AI96" s="1317"/>
    </row>
    <row r="97" spans="1:35" ht="21.95" customHeight="1">
      <c r="A97" s="274"/>
      <c r="B97" s="1333"/>
      <c r="C97" s="1313"/>
      <c r="D97" s="1331"/>
      <c r="E97" s="1314"/>
      <c r="F97" s="1311"/>
      <c r="G97" s="1313"/>
      <c r="H97" s="1331"/>
      <c r="I97" s="1314"/>
      <c r="J97" s="1311"/>
      <c r="K97" s="1313"/>
      <c r="L97" s="1331"/>
      <c r="M97" s="1314"/>
      <c r="N97" s="1311"/>
      <c r="O97" s="1313"/>
      <c r="P97" s="1331"/>
      <c r="Q97" s="1314"/>
      <c r="R97" s="1311"/>
      <c r="S97" s="1313"/>
      <c r="T97" s="1331"/>
      <c r="U97" s="1314"/>
      <c r="V97" s="1311"/>
      <c r="W97" s="1313"/>
      <c r="X97" s="1314"/>
      <c r="Y97" s="1314"/>
      <c r="Z97" s="1311"/>
      <c r="AA97" s="1313"/>
      <c r="AB97" s="1314"/>
      <c r="AC97" s="1314"/>
      <c r="AD97" s="1314"/>
      <c r="AE97" s="1313"/>
      <c r="AF97" s="1314"/>
      <c r="AG97" s="1314"/>
      <c r="AH97" s="1316"/>
      <c r="AI97" s="1317"/>
    </row>
    <row r="98" spans="1:35" ht="21.95" customHeight="1">
      <c r="A98" s="274"/>
      <c r="B98" s="1333"/>
      <c r="C98" s="1313"/>
      <c r="D98" s="1331"/>
      <c r="E98" s="1314"/>
      <c r="F98" s="1311"/>
      <c r="G98" s="1313"/>
      <c r="H98" s="1331"/>
      <c r="I98" s="1314"/>
      <c r="J98" s="1311"/>
      <c r="K98" s="1313"/>
      <c r="L98" s="1331"/>
      <c r="M98" s="1314"/>
      <c r="N98" s="1311"/>
      <c r="O98" s="1313"/>
      <c r="P98" s="1331"/>
      <c r="Q98" s="1314"/>
      <c r="R98" s="1311"/>
      <c r="S98" s="1313"/>
      <c r="T98" s="1331"/>
      <c r="U98" s="1314"/>
      <c r="V98" s="1311"/>
      <c r="W98" s="1313"/>
      <c r="X98" s="1314"/>
      <c r="Y98" s="1314"/>
      <c r="Z98" s="1311"/>
      <c r="AA98" s="1313"/>
      <c r="AB98" s="1314"/>
      <c r="AC98" s="1314"/>
      <c r="AD98" s="1314"/>
      <c r="AE98" s="1313"/>
      <c r="AF98" s="1314"/>
      <c r="AG98" s="1314"/>
      <c r="AH98" s="1316"/>
      <c r="AI98" s="1317"/>
    </row>
    <row r="99" spans="1:35" ht="21.95" customHeight="1" thickBot="1">
      <c r="A99" s="274"/>
      <c r="B99" s="587"/>
      <c r="C99" s="559"/>
      <c r="D99" s="541"/>
      <c r="E99" s="541"/>
      <c r="F99" s="541"/>
      <c r="G99" s="541"/>
      <c r="H99" s="541"/>
      <c r="I99" s="559"/>
      <c r="J99" s="559"/>
      <c r="K99" s="541"/>
      <c r="L99" s="541"/>
      <c r="M99" s="541"/>
      <c r="N99" s="541"/>
      <c r="O99" s="541"/>
      <c r="P99" s="541"/>
      <c r="Q99" s="559"/>
      <c r="R99" s="541"/>
      <c r="S99" s="541"/>
      <c r="T99" s="541"/>
      <c r="U99" s="541"/>
      <c r="V99" s="541"/>
      <c r="W99" s="559"/>
      <c r="X99" s="559"/>
      <c r="Y99" s="541"/>
      <c r="Z99" s="541"/>
      <c r="AA99" s="541"/>
      <c r="AB99" s="541"/>
      <c r="AC99" s="541"/>
      <c r="AD99" s="541"/>
      <c r="AE99" s="559"/>
      <c r="AF99" s="541"/>
      <c r="AG99" s="541"/>
      <c r="AH99" s="560"/>
      <c r="AI99" s="560"/>
    </row>
    <row r="100" spans="1:35" ht="21.95" customHeight="1">
      <c r="A100" s="1232"/>
      <c r="B100" s="1298"/>
      <c r="C100" s="178"/>
      <c r="D100" s="178"/>
      <c r="E100" s="178"/>
      <c r="F100" s="178"/>
      <c r="G100" s="178"/>
      <c r="H100" s="178"/>
      <c r="I100" s="172"/>
      <c r="J100" s="172"/>
      <c r="K100" s="178"/>
      <c r="L100" s="178"/>
      <c r="M100" s="178"/>
      <c r="N100" s="178"/>
      <c r="O100" s="178"/>
      <c r="P100" s="172"/>
      <c r="Q100" s="172"/>
      <c r="R100" s="178"/>
      <c r="S100" s="178"/>
      <c r="T100" s="178"/>
      <c r="U100" s="178"/>
      <c r="V100" s="172"/>
      <c r="W100" s="172"/>
      <c r="X100" s="172"/>
      <c r="Y100" s="178"/>
      <c r="Z100" s="178"/>
      <c r="AA100" s="178"/>
      <c r="AB100" s="178"/>
      <c r="AC100" s="178"/>
      <c r="AD100" s="172"/>
      <c r="AE100" s="172"/>
      <c r="AF100" s="178"/>
      <c r="AG100" s="178"/>
      <c r="AH100" s="1459"/>
      <c r="AI100" s="1460"/>
    </row>
    <row r="101" spans="1:35" ht="21.95" customHeight="1">
      <c r="A101" s="274"/>
      <c r="B101" s="1299"/>
      <c r="C101" s="1313"/>
      <c r="D101" s="1313"/>
      <c r="E101" s="1313"/>
      <c r="F101" s="1313"/>
      <c r="G101" s="1313"/>
      <c r="H101" s="1313"/>
      <c r="I101" s="1313"/>
      <c r="J101" s="1313"/>
      <c r="K101" s="1313"/>
      <c r="L101" s="1313"/>
      <c r="M101" s="1313"/>
      <c r="N101" s="1313"/>
      <c r="O101" s="1313"/>
      <c r="P101" s="1313"/>
      <c r="Q101" s="1313"/>
      <c r="R101" s="1313"/>
      <c r="S101" s="1313"/>
      <c r="T101" s="1313"/>
      <c r="U101" s="1313"/>
      <c r="V101" s="1313"/>
      <c r="W101" s="1313"/>
      <c r="X101" s="1313"/>
      <c r="Y101" s="1313"/>
      <c r="Z101" s="1313"/>
      <c r="AA101" s="1313"/>
      <c r="AB101" s="1313"/>
      <c r="AC101" s="1313"/>
      <c r="AD101" s="1313"/>
      <c r="AE101" s="1313"/>
      <c r="AF101" s="1313"/>
      <c r="AG101" s="1313"/>
      <c r="AH101" s="504"/>
      <c r="AI101" s="505"/>
    </row>
    <row r="102" spans="1:35" ht="21.95" customHeight="1">
      <c r="A102" s="274"/>
      <c r="B102" s="1299"/>
      <c r="C102" s="1313"/>
      <c r="D102" s="1313"/>
      <c r="E102" s="1313"/>
      <c r="F102" s="1313"/>
      <c r="G102" s="1313"/>
      <c r="H102" s="1313"/>
      <c r="I102" s="1313"/>
      <c r="J102" s="1313"/>
      <c r="K102" s="1313"/>
      <c r="L102" s="1313"/>
      <c r="M102" s="1313"/>
      <c r="N102" s="1313"/>
      <c r="O102" s="1313"/>
      <c r="P102" s="1313"/>
      <c r="Q102" s="1313"/>
      <c r="R102" s="1313"/>
      <c r="S102" s="1313"/>
      <c r="T102" s="1313"/>
      <c r="U102" s="1313"/>
      <c r="V102" s="1313"/>
      <c r="W102" s="1313"/>
      <c r="X102" s="1313"/>
      <c r="Y102" s="1313"/>
      <c r="Z102" s="1313"/>
      <c r="AA102" s="1313"/>
      <c r="AB102" s="1313"/>
      <c r="AC102" s="1313"/>
      <c r="AD102" s="1313"/>
      <c r="AE102" s="1313"/>
      <c r="AF102" s="1313"/>
      <c r="AG102" s="1313"/>
      <c r="AH102" s="504"/>
      <c r="AI102" s="505"/>
    </row>
    <row r="103" spans="1:35" ht="21.95" customHeight="1">
      <c r="A103" s="274"/>
      <c r="B103" s="1299"/>
      <c r="C103" s="1313"/>
      <c r="D103" s="1313"/>
      <c r="E103" s="1313"/>
      <c r="F103" s="1313"/>
      <c r="G103" s="1313"/>
      <c r="H103" s="1313"/>
      <c r="I103" s="1313"/>
      <c r="J103" s="1313"/>
      <c r="K103" s="1313"/>
      <c r="L103" s="1313"/>
      <c r="M103" s="1313"/>
      <c r="N103" s="1313"/>
      <c r="O103" s="1344"/>
      <c r="P103" s="1313"/>
      <c r="Q103" s="1313"/>
      <c r="R103" s="1313"/>
      <c r="S103" s="1313"/>
      <c r="T103" s="1313"/>
      <c r="U103" s="1313"/>
      <c r="V103" s="1313"/>
      <c r="W103" s="1313"/>
      <c r="X103" s="1313"/>
      <c r="Y103" s="1313"/>
      <c r="Z103" s="1313"/>
      <c r="AA103" s="1313"/>
      <c r="AB103" s="1313"/>
      <c r="AC103" s="1313"/>
      <c r="AD103" s="1313"/>
      <c r="AE103" s="1313"/>
      <c r="AF103" s="1313"/>
      <c r="AG103" s="1313"/>
      <c r="AH103" s="504"/>
      <c r="AI103" s="505"/>
    </row>
    <row r="104" spans="1:35" ht="21.95" customHeight="1">
      <c r="A104" s="274"/>
      <c r="B104" s="1299"/>
      <c r="C104" s="1313"/>
      <c r="D104" s="1313"/>
      <c r="E104" s="1313"/>
      <c r="F104" s="1313"/>
      <c r="G104" s="1313"/>
      <c r="H104" s="557"/>
      <c r="I104" s="557"/>
      <c r="J104" s="557"/>
      <c r="K104" s="557"/>
      <c r="L104" s="557"/>
      <c r="M104" s="557"/>
      <c r="N104" s="557"/>
      <c r="O104" s="557"/>
      <c r="P104" s="557"/>
      <c r="Q104" s="557"/>
      <c r="R104" s="557"/>
      <c r="S104" s="557"/>
      <c r="T104" s="557"/>
      <c r="U104" s="557"/>
      <c r="V104" s="557"/>
      <c r="W104" s="1313"/>
      <c r="X104" s="1313"/>
      <c r="Y104" s="1313"/>
      <c r="Z104" s="1313"/>
      <c r="AA104" s="1313"/>
      <c r="AB104" s="1313"/>
      <c r="AC104" s="1313"/>
      <c r="AD104" s="1313"/>
      <c r="AE104" s="1313"/>
      <c r="AF104" s="1313"/>
      <c r="AG104" s="1313"/>
      <c r="AH104" s="504"/>
      <c r="AI104" s="505"/>
    </row>
    <row r="105" spans="1:35" ht="21.95" customHeight="1">
      <c r="A105" s="274"/>
      <c r="B105" s="1299"/>
      <c r="C105" s="1313"/>
      <c r="D105" s="1313"/>
      <c r="E105" s="1313"/>
      <c r="F105" s="1313"/>
      <c r="G105" s="1313"/>
      <c r="H105" s="1313"/>
      <c r="I105" s="1313"/>
      <c r="J105" s="1313"/>
      <c r="K105" s="1313"/>
      <c r="L105" s="1313"/>
      <c r="M105" s="1313"/>
      <c r="N105" s="1313"/>
      <c r="O105" s="1313"/>
      <c r="P105" s="1313"/>
      <c r="Q105" s="1313"/>
      <c r="R105" s="1313"/>
      <c r="S105" s="1313"/>
      <c r="T105" s="1313"/>
      <c r="U105" s="1313"/>
      <c r="V105" s="1313"/>
      <c r="W105" s="1313"/>
      <c r="X105" s="1313"/>
      <c r="Y105" s="1313"/>
      <c r="Z105" s="1313"/>
      <c r="AA105" s="1313"/>
      <c r="AB105" s="1313"/>
      <c r="AC105" s="1313"/>
      <c r="AD105" s="1313"/>
      <c r="AE105" s="1313"/>
      <c r="AF105" s="1313"/>
      <c r="AG105" s="1313"/>
      <c r="AH105" s="504"/>
      <c r="AI105" s="505"/>
    </row>
    <row r="106" spans="1:35" ht="21.95" customHeight="1">
      <c r="A106" s="274"/>
      <c r="B106" s="1299"/>
      <c r="C106" s="1313"/>
      <c r="D106" s="1313"/>
      <c r="E106" s="1313"/>
      <c r="F106" s="1313"/>
      <c r="G106" s="1313"/>
      <c r="H106" s="1313"/>
      <c r="I106" s="1313"/>
      <c r="J106" s="1313"/>
      <c r="K106" s="1313"/>
      <c r="L106" s="1313"/>
      <c r="M106" s="1313"/>
      <c r="N106" s="1313"/>
      <c r="O106" s="1313"/>
      <c r="P106" s="1344"/>
      <c r="Q106" s="1313"/>
      <c r="R106" s="1313"/>
      <c r="S106" s="1313"/>
      <c r="T106" s="1313"/>
      <c r="U106" s="1313"/>
      <c r="V106" s="1313"/>
      <c r="W106" s="1313"/>
      <c r="X106" s="1313"/>
      <c r="Y106" s="1313"/>
      <c r="Z106" s="1313"/>
      <c r="AA106" s="1313"/>
      <c r="AB106" s="1313"/>
      <c r="AC106" s="1313"/>
      <c r="AD106" s="1313"/>
      <c r="AE106" s="1313"/>
      <c r="AF106" s="1313"/>
      <c r="AG106" s="1313"/>
      <c r="AH106" s="504"/>
      <c r="AI106" s="505"/>
    </row>
    <row r="107" spans="1:35" ht="21.95" customHeight="1">
      <c r="A107" s="274"/>
      <c r="B107" s="1299"/>
      <c r="C107" s="1313"/>
      <c r="D107" s="1313"/>
      <c r="E107" s="1313"/>
      <c r="F107" s="1313"/>
      <c r="G107" s="1313"/>
      <c r="H107" s="1313"/>
      <c r="I107" s="1313"/>
      <c r="J107" s="1313"/>
      <c r="K107" s="1313"/>
      <c r="L107" s="1313"/>
      <c r="M107" s="1313"/>
      <c r="N107" s="1313"/>
      <c r="O107" s="1313"/>
      <c r="P107" s="1313"/>
      <c r="Q107" s="1344"/>
      <c r="R107" s="1313"/>
      <c r="S107" s="1313"/>
      <c r="T107" s="1313"/>
      <c r="U107" s="1313"/>
      <c r="V107" s="1313"/>
      <c r="W107" s="1313"/>
      <c r="X107" s="1313"/>
      <c r="Y107" s="1313"/>
      <c r="Z107" s="1313"/>
      <c r="AA107" s="1313"/>
      <c r="AB107" s="1313"/>
      <c r="AC107" s="1313"/>
      <c r="AD107" s="1313"/>
      <c r="AE107" s="1313"/>
      <c r="AF107" s="1313"/>
      <c r="AG107" s="1313"/>
      <c r="AH107" s="504"/>
      <c r="AI107" s="505"/>
    </row>
    <row r="108" spans="1:35" ht="21.95" customHeight="1">
      <c r="A108" s="274"/>
      <c r="B108" s="1299"/>
      <c r="C108" s="1313"/>
      <c r="D108" s="1313"/>
      <c r="E108" s="1313"/>
      <c r="F108" s="1313"/>
      <c r="G108" s="1313"/>
      <c r="H108" s="1313"/>
      <c r="I108" s="1313"/>
      <c r="J108" s="1313"/>
      <c r="K108" s="1313"/>
      <c r="L108" s="1313"/>
      <c r="M108" s="1313"/>
      <c r="N108" s="1313"/>
      <c r="O108" s="1313"/>
      <c r="P108" s="1313"/>
      <c r="Q108" s="1344"/>
      <c r="R108" s="1313"/>
      <c r="S108" s="1313"/>
      <c r="T108" s="1313"/>
      <c r="U108" s="1313"/>
      <c r="V108" s="1313"/>
      <c r="W108" s="1313"/>
      <c r="X108" s="1313"/>
      <c r="Y108" s="1313"/>
      <c r="Z108" s="1313"/>
      <c r="AA108" s="1313"/>
      <c r="AB108" s="1313"/>
      <c r="AC108" s="1313"/>
      <c r="AD108" s="1313"/>
      <c r="AE108" s="1313"/>
      <c r="AF108" s="1313"/>
      <c r="AG108" s="1313"/>
      <c r="AH108" s="504"/>
      <c r="AI108" s="505"/>
    </row>
    <row r="109" spans="1:35" ht="21.95" customHeight="1">
      <c r="A109" s="274"/>
      <c r="B109" s="1299"/>
      <c r="C109" s="1313"/>
      <c r="D109" s="1313"/>
      <c r="E109" s="1313"/>
      <c r="F109" s="1313"/>
      <c r="G109" s="1313"/>
      <c r="H109" s="1313"/>
      <c r="I109" s="1313"/>
      <c r="J109" s="1313"/>
      <c r="K109" s="1313"/>
      <c r="L109" s="1313"/>
      <c r="M109" s="1313"/>
      <c r="N109" s="1313"/>
      <c r="O109" s="1313"/>
      <c r="P109" s="1313"/>
      <c r="Q109" s="1313"/>
      <c r="R109" s="1313"/>
      <c r="S109" s="1313"/>
      <c r="T109" s="1313"/>
      <c r="U109" s="1313"/>
      <c r="V109" s="1313"/>
      <c r="W109" s="1313"/>
      <c r="X109" s="1313"/>
      <c r="Y109" s="1313"/>
      <c r="Z109" s="1313"/>
      <c r="AA109" s="1313"/>
      <c r="AB109" s="1313"/>
      <c r="AC109" s="1313"/>
      <c r="AD109" s="1313"/>
      <c r="AE109" s="1313"/>
      <c r="AF109" s="1313"/>
      <c r="AG109" s="1313"/>
      <c r="AH109" s="504"/>
      <c r="AI109" s="505"/>
    </row>
    <row r="110" spans="1:35" ht="21.95" customHeight="1">
      <c r="A110" s="274"/>
      <c r="B110" s="1299"/>
      <c r="C110" s="1313"/>
      <c r="D110" s="1313"/>
      <c r="E110" s="1313"/>
      <c r="F110" s="1313"/>
      <c r="G110" s="1313"/>
      <c r="H110" s="1313"/>
      <c r="I110" s="1313"/>
      <c r="J110" s="1313"/>
      <c r="K110" s="1313"/>
      <c r="L110" s="1313"/>
      <c r="M110" s="1313"/>
      <c r="N110" s="1313"/>
      <c r="O110" s="1313"/>
      <c r="P110" s="1313"/>
      <c r="Q110" s="1313"/>
      <c r="R110" s="1313"/>
      <c r="S110" s="1313"/>
      <c r="T110" s="1313"/>
      <c r="U110" s="1313"/>
      <c r="V110" s="1313"/>
      <c r="W110" s="1313"/>
      <c r="X110" s="1313"/>
      <c r="Y110" s="1313"/>
      <c r="Z110" s="1313"/>
      <c r="AA110" s="1313"/>
      <c r="AB110" s="1313"/>
      <c r="AC110" s="1313"/>
      <c r="AD110" s="1313"/>
      <c r="AE110" s="1313"/>
      <c r="AF110" s="1313"/>
      <c r="AG110" s="1313"/>
      <c r="AH110" s="504"/>
      <c r="AI110" s="505"/>
    </row>
    <row r="111" spans="1:35" ht="21.95" customHeight="1">
      <c r="A111" s="274"/>
      <c r="B111" s="1299"/>
      <c r="C111" s="1313"/>
      <c r="D111" s="1313"/>
      <c r="E111" s="1313"/>
      <c r="F111" s="1313"/>
      <c r="G111" s="1313"/>
      <c r="H111" s="1313"/>
      <c r="I111" s="1313"/>
      <c r="J111" s="1313"/>
      <c r="K111" s="1313"/>
      <c r="L111" s="1313"/>
      <c r="M111" s="1313"/>
      <c r="N111" s="1313"/>
      <c r="O111" s="1313"/>
      <c r="P111" s="1313"/>
      <c r="Q111" s="1313"/>
      <c r="R111" s="1313"/>
      <c r="S111" s="1313"/>
      <c r="T111" s="1313"/>
      <c r="U111" s="1313"/>
      <c r="V111" s="1313"/>
      <c r="W111" s="1313"/>
      <c r="X111" s="1313"/>
      <c r="Y111" s="1313"/>
      <c r="Z111" s="1313"/>
      <c r="AA111" s="1313"/>
      <c r="AB111" s="1313"/>
      <c r="AC111" s="1313"/>
      <c r="AD111" s="1313"/>
      <c r="AE111" s="1313"/>
      <c r="AF111" s="1313"/>
      <c r="AG111" s="1313"/>
      <c r="AH111" s="504"/>
      <c r="AI111" s="505"/>
    </row>
    <row r="112" spans="1:35" ht="21.95" customHeight="1">
      <c r="A112" s="274"/>
      <c r="B112" s="1299"/>
      <c r="C112" s="1313"/>
      <c r="D112" s="1313"/>
      <c r="E112" s="1313"/>
      <c r="F112" s="1313"/>
      <c r="G112" s="1313"/>
      <c r="H112" s="1313"/>
      <c r="I112" s="1313"/>
      <c r="J112" s="1313"/>
      <c r="K112" s="1313"/>
      <c r="L112" s="1313"/>
      <c r="M112" s="1313"/>
      <c r="N112" s="1313"/>
      <c r="O112" s="1344"/>
      <c r="P112" s="1313"/>
      <c r="Q112" s="1313"/>
      <c r="R112" s="1313"/>
      <c r="S112" s="1313"/>
      <c r="T112" s="1313"/>
      <c r="U112" s="1313"/>
      <c r="V112" s="1313"/>
      <c r="W112" s="1313"/>
      <c r="X112" s="1313"/>
      <c r="Y112" s="1313"/>
      <c r="Z112" s="1313"/>
      <c r="AA112" s="1313"/>
      <c r="AB112" s="1313"/>
      <c r="AC112" s="1313"/>
      <c r="AD112" s="1313"/>
      <c r="AE112" s="1313"/>
      <c r="AF112" s="1313"/>
      <c r="AG112" s="1313"/>
      <c r="AH112" s="504"/>
      <c r="AI112" s="505"/>
    </row>
    <row r="113" spans="1:36" ht="21.95" customHeight="1">
      <c r="A113" s="580"/>
      <c r="B113" s="587"/>
      <c r="C113" s="559"/>
      <c r="D113" s="541"/>
      <c r="E113" s="541"/>
      <c r="F113" s="541"/>
      <c r="G113" s="541"/>
      <c r="H113" s="541"/>
      <c r="I113" s="559"/>
      <c r="J113" s="559"/>
      <c r="K113" s="541"/>
      <c r="L113" s="541"/>
      <c r="M113" s="541"/>
      <c r="N113" s="541"/>
      <c r="O113" s="541"/>
      <c r="P113" s="541"/>
      <c r="Q113" s="559"/>
      <c r="R113" s="541"/>
      <c r="S113" s="541"/>
      <c r="T113" s="541"/>
      <c r="U113" s="541"/>
      <c r="V113" s="541"/>
      <c r="W113" s="559"/>
      <c r="X113" s="559"/>
      <c r="Y113" s="541"/>
      <c r="Z113" s="541"/>
      <c r="AA113" s="541"/>
      <c r="AB113" s="541"/>
      <c r="AC113" s="541"/>
      <c r="AD113" s="541"/>
      <c r="AE113" s="559"/>
      <c r="AF113" s="541"/>
      <c r="AG113" s="541"/>
      <c r="AH113" s="560"/>
      <c r="AI113" s="560"/>
    </row>
    <row r="114" spans="1:36" ht="21.95" customHeight="1">
      <c r="A114" s="312" t="s">
        <v>527</v>
      </c>
      <c r="C114" s="559"/>
      <c r="D114" s="559"/>
      <c r="E114" s="559"/>
      <c r="F114" s="559"/>
      <c r="G114" s="559"/>
      <c r="H114" s="559"/>
      <c r="I114" s="559"/>
      <c r="J114" s="559"/>
      <c r="K114" s="559"/>
      <c r="L114" s="559"/>
      <c r="M114" s="559"/>
      <c r="N114" s="559"/>
      <c r="O114" s="559"/>
      <c r="P114" s="559"/>
      <c r="Q114" s="559"/>
      <c r="R114" s="559"/>
      <c r="S114" s="559"/>
      <c r="T114" s="559"/>
      <c r="U114" s="559"/>
      <c r="V114" s="559"/>
      <c r="W114" s="559"/>
      <c r="X114" s="559"/>
      <c r="Y114" s="559"/>
      <c r="Z114" s="559"/>
      <c r="AA114" s="559"/>
      <c r="AB114" s="559"/>
      <c r="AC114" s="559"/>
      <c r="AD114" s="559"/>
      <c r="AE114" s="559"/>
      <c r="AF114" s="559"/>
      <c r="AG114" s="559"/>
      <c r="AH114" s="560"/>
      <c r="AI114" s="560"/>
      <c r="AJ114" s="361"/>
    </row>
    <row r="115" spans="1:36" ht="21.95" customHeight="1">
      <c r="A115" s="299" t="s">
        <v>528</v>
      </c>
      <c r="B115" s="299"/>
      <c r="C115" s="153"/>
      <c r="D115" s="299" t="s">
        <v>2</v>
      </c>
      <c r="E115" s="186"/>
      <c r="F115" s="153"/>
      <c r="G115" s="299" t="s">
        <v>3</v>
      </c>
      <c r="H115" s="186"/>
      <c r="I115" s="153"/>
      <c r="J115" s="299" t="s">
        <v>4</v>
      </c>
      <c r="K115" s="186"/>
      <c r="L115" s="153"/>
      <c r="M115" s="299" t="s">
        <v>5</v>
      </c>
      <c r="N115" s="186"/>
      <c r="O115" s="153"/>
      <c r="P115" s="299" t="s">
        <v>6</v>
      </c>
      <c r="Q115" s="186"/>
      <c r="R115" s="134"/>
      <c r="S115" s="199" t="s">
        <v>7</v>
      </c>
      <c r="T115" s="186"/>
      <c r="U115" s="153"/>
      <c r="V115" s="299" t="s">
        <v>8</v>
      </c>
      <c r="W115" s="186"/>
      <c r="X115" s="589" t="s">
        <v>10</v>
      </c>
      <c r="Y115" s="186"/>
      <c r="Z115" s="186"/>
      <c r="AA115" s="565"/>
      <c r="AB115" s="483"/>
      <c r="AC115" s="483"/>
      <c r="AD115" s="483"/>
      <c r="AE115" s="483"/>
      <c r="AF115" s="483"/>
      <c r="AG115" s="484"/>
      <c r="AH115" s="361"/>
      <c r="AI115" s="361"/>
      <c r="AJ115" s="361"/>
    </row>
    <row r="116" spans="1:36" ht="21.95" customHeight="1">
      <c r="A116" s="130">
        <v>8517</v>
      </c>
      <c r="B116" s="500" t="s">
        <v>529</v>
      </c>
      <c r="C116" s="588" t="s">
        <v>124</v>
      </c>
      <c r="D116" s="585"/>
      <c r="E116" s="590"/>
      <c r="F116" s="588" t="s">
        <v>124</v>
      </c>
      <c r="G116" s="591"/>
      <c r="H116" s="590"/>
      <c r="I116" s="121" t="s">
        <v>124</v>
      </c>
      <c r="J116" s="569"/>
      <c r="K116" s="592"/>
      <c r="L116" s="121" t="s">
        <v>124</v>
      </c>
      <c r="M116" s="569"/>
      <c r="N116" s="592"/>
      <c r="O116" s="121" t="s">
        <v>125</v>
      </c>
      <c r="P116" s="569"/>
      <c r="Q116" s="477"/>
      <c r="R116" s="593" t="s">
        <v>28</v>
      </c>
      <c r="S116" s="569"/>
      <c r="T116" s="592"/>
      <c r="U116" s="569" t="s">
        <v>28</v>
      </c>
      <c r="V116" s="569"/>
      <c r="W116" s="477"/>
      <c r="X116" s="145" t="s">
        <v>28</v>
      </c>
      <c r="Y116" s="361"/>
      <c r="Z116" s="361"/>
      <c r="AA116" s="361"/>
      <c r="AB116" s="361"/>
      <c r="AC116" s="361"/>
      <c r="AD116" s="361"/>
      <c r="AE116" s="361"/>
      <c r="AF116" s="361"/>
      <c r="AG116" s="594"/>
      <c r="AH116" s="361"/>
      <c r="AI116" s="361"/>
      <c r="AJ116" s="361"/>
    </row>
    <row r="117" spans="1:36" ht="21.95" customHeight="1">
      <c r="A117" s="595">
        <v>8502</v>
      </c>
      <c r="B117" s="596" t="s">
        <v>530</v>
      </c>
      <c r="C117" s="121" t="s">
        <v>11</v>
      </c>
      <c r="D117" s="569"/>
      <c r="E117" s="477"/>
      <c r="F117" s="121" t="s">
        <v>11</v>
      </c>
      <c r="G117" s="569"/>
      <c r="H117" s="592"/>
      <c r="I117" s="121" t="s">
        <v>11</v>
      </c>
      <c r="J117" s="569"/>
      <c r="K117" s="592"/>
      <c r="L117" s="121" t="s">
        <v>11</v>
      </c>
      <c r="M117" s="569"/>
      <c r="N117" s="592"/>
      <c r="O117" s="121" t="s">
        <v>12</v>
      </c>
      <c r="P117" s="569"/>
      <c r="Q117" s="477"/>
      <c r="R117" s="597"/>
      <c r="S117" s="598"/>
      <c r="T117" s="592"/>
      <c r="U117" s="569"/>
      <c r="V117" s="569"/>
      <c r="W117" s="477"/>
      <c r="X117" s="476"/>
      <c r="Y117" s="483"/>
      <c r="Z117" s="483"/>
      <c r="AA117" s="483"/>
      <c r="AB117" s="483"/>
      <c r="AC117" s="483"/>
      <c r="AD117" s="483"/>
      <c r="AE117" s="483"/>
      <c r="AF117" s="483"/>
      <c r="AG117" s="484"/>
      <c r="AH117" s="361"/>
      <c r="AI117" s="361"/>
      <c r="AJ117" s="361"/>
    </row>
    <row r="118" spans="1:36" ht="21.95" customHeight="1" thickBot="1">
      <c r="A118" s="274"/>
      <c r="B118" s="519"/>
      <c r="C118" s="354"/>
      <c r="D118" s="354"/>
      <c r="E118" s="73"/>
      <c r="F118" s="354"/>
      <c r="G118" s="354"/>
      <c r="H118" s="73"/>
      <c r="I118" s="354"/>
      <c r="J118" s="354"/>
      <c r="K118" s="73"/>
      <c r="L118" s="354"/>
      <c r="M118" s="354"/>
      <c r="N118" s="73"/>
      <c r="O118" s="354"/>
      <c r="P118" s="354"/>
      <c r="Q118" s="73"/>
      <c r="R118" s="168"/>
      <c r="S118" s="354"/>
      <c r="T118" s="73"/>
      <c r="U118" s="354"/>
      <c r="V118" s="354"/>
      <c r="W118" s="73"/>
      <c r="X118" s="73"/>
      <c r="Y118" s="361"/>
      <c r="Z118" s="361"/>
      <c r="AA118" s="361"/>
      <c r="AB118" s="361"/>
      <c r="AC118" s="361"/>
      <c r="AD118" s="361"/>
      <c r="AE118" s="361"/>
      <c r="AF118" s="361"/>
      <c r="AG118" s="361"/>
      <c r="AH118" s="361"/>
      <c r="AI118" s="361"/>
    </row>
    <row r="119" spans="1:36" ht="21.95" customHeight="1" thickBot="1">
      <c r="A119" s="599"/>
      <c r="B119" s="182" t="s">
        <v>480</v>
      </c>
      <c r="C119" s="1235">
        <v>1</v>
      </c>
      <c r="D119" s="1234">
        <v>2</v>
      </c>
      <c r="E119" s="1234">
        <v>3</v>
      </c>
      <c r="F119" s="1235">
        <v>4</v>
      </c>
      <c r="G119" s="1235">
        <v>5</v>
      </c>
      <c r="H119" s="1234">
        <v>6</v>
      </c>
      <c r="I119" s="1213">
        <v>7</v>
      </c>
      <c r="J119" s="1213">
        <v>8</v>
      </c>
      <c r="K119" s="1235">
        <v>9</v>
      </c>
      <c r="L119" s="1234">
        <v>10</v>
      </c>
      <c r="M119" s="1235">
        <v>11</v>
      </c>
      <c r="N119" s="1235">
        <v>12</v>
      </c>
      <c r="O119" s="1234">
        <v>13</v>
      </c>
      <c r="P119" s="1213">
        <v>14</v>
      </c>
      <c r="Q119" s="1213">
        <v>15</v>
      </c>
      <c r="R119" s="1234">
        <v>16</v>
      </c>
      <c r="S119" s="1234">
        <v>17</v>
      </c>
      <c r="T119" s="1235">
        <v>18</v>
      </c>
      <c r="U119" s="1235">
        <v>19</v>
      </c>
      <c r="V119" s="1330">
        <v>20</v>
      </c>
      <c r="W119" s="1213">
        <v>21</v>
      </c>
      <c r="X119" s="1213">
        <v>22</v>
      </c>
      <c r="Y119" s="1234">
        <v>23</v>
      </c>
      <c r="Z119" s="1234">
        <v>24</v>
      </c>
      <c r="AA119" s="1235">
        <v>25</v>
      </c>
      <c r="AB119" s="1235">
        <v>26</v>
      </c>
      <c r="AC119" s="1234">
        <v>27</v>
      </c>
      <c r="AD119" s="1213">
        <v>28</v>
      </c>
      <c r="AE119" s="1213">
        <v>29</v>
      </c>
      <c r="AF119" s="1234">
        <v>30</v>
      </c>
      <c r="AG119" s="1234">
        <v>31</v>
      </c>
      <c r="AH119" s="600" t="s">
        <v>481</v>
      </c>
      <c r="AI119" s="601" t="s">
        <v>482</v>
      </c>
    </row>
    <row r="120" spans="1:36" ht="21.95" customHeight="1">
      <c r="A120" s="602">
        <v>1</v>
      </c>
      <c r="B120" s="153" t="s">
        <v>531</v>
      </c>
      <c r="C120" s="1344" t="s">
        <v>487</v>
      </c>
      <c r="D120" s="1344" t="s">
        <v>487</v>
      </c>
      <c r="E120" s="1344" t="s">
        <v>487</v>
      </c>
      <c r="F120" s="1344"/>
      <c r="G120" s="1344"/>
      <c r="H120" s="1392" t="s">
        <v>514</v>
      </c>
      <c r="I120" s="1392" t="s">
        <v>514</v>
      </c>
      <c r="J120" s="1392" t="s">
        <v>514</v>
      </c>
      <c r="K120" s="1392" t="s">
        <v>487</v>
      </c>
      <c r="L120" s="1392" t="s">
        <v>514</v>
      </c>
      <c r="M120" s="1215"/>
      <c r="N120" s="1215"/>
      <c r="O120" s="1392">
        <v>6</v>
      </c>
      <c r="P120" s="1392">
        <v>6</v>
      </c>
      <c r="Q120" s="1392">
        <v>6</v>
      </c>
      <c r="R120" s="1392">
        <v>6</v>
      </c>
      <c r="S120" s="1392">
        <v>6</v>
      </c>
      <c r="T120" s="1392" t="s">
        <v>532</v>
      </c>
      <c r="U120" s="1392" t="s">
        <v>533</v>
      </c>
      <c r="V120" s="1392" t="s">
        <v>487</v>
      </c>
      <c r="W120" s="1392" t="s">
        <v>487</v>
      </c>
      <c r="X120" s="1392" t="s">
        <v>487</v>
      </c>
      <c r="Y120" s="1392" t="s">
        <v>487</v>
      </c>
      <c r="Z120" s="1392" t="s">
        <v>487</v>
      </c>
      <c r="AA120" s="1392"/>
      <c r="AB120" s="1392"/>
      <c r="AC120" s="1392">
        <v>5</v>
      </c>
      <c r="AD120" s="1392">
        <v>5</v>
      </c>
      <c r="AE120" s="1392">
        <v>5</v>
      </c>
      <c r="AF120" s="1392">
        <v>5</v>
      </c>
      <c r="AG120" s="1392">
        <v>5</v>
      </c>
      <c r="AH120" s="1320">
        <v>185</v>
      </c>
      <c r="AI120" s="1321">
        <v>37</v>
      </c>
    </row>
    <row r="121" spans="1:36" ht="21.95" customHeight="1">
      <c r="A121" s="602">
        <v>2</v>
      </c>
      <c r="B121" s="153" t="s">
        <v>534</v>
      </c>
      <c r="C121" s="1342"/>
      <c r="D121" s="1342" t="s">
        <v>535</v>
      </c>
      <c r="E121" s="1342" t="s">
        <v>535</v>
      </c>
      <c r="F121" s="1342"/>
      <c r="G121" s="1342"/>
      <c r="H121" s="1215">
        <v>6</v>
      </c>
      <c r="I121" s="1215">
        <v>6</v>
      </c>
      <c r="J121" s="1215">
        <v>6</v>
      </c>
      <c r="K121" s="1215">
        <v>6</v>
      </c>
      <c r="L121" s="1215" t="s">
        <v>487</v>
      </c>
      <c r="M121" s="1215"/>
      <c r="N121" s="1215"/>
      <c r="O121" s="1215">
        <v>9</v>
      </c>
      <c r="P121" s="1215">
        <v>9</v>
      </c>
      <c r="Q121" s="1215">
        <v>9</v>
      </c>
      <c r="R121" s="1215" t="s">
        <v>487</v>
      </c>
      <c r="S121" s="1215" t="s">
        <v>485</v>
      </c>
      <c r="T121" s="1215"/>
      <c r="U121" s="1215"/>
      <c r="V121" s="1215"/>
      <c r="W121" s="1215">
        <v>2</v>
      </c>
      <c r="X121" s="1215">
        <v>2</v>
      </c>
      <c r="Y121" s="1215" t="s">
        <v>487</v>
      </c>
      <c r="Z121" s="1215" t="s">
        <v>487</v>
      </c>
      <c r="AA121" s="1215"/>
      <c r="AB121" s="1215"/>
      <c r="AC121" s="1215">
        <v>4</v>
      </c>
      <c r="AD121" s="1215">
        <v>4</v>
      </c>
      <c r="AE121" s="1215">
        <v>3</v>
      </c>
      <c r="AF121" s="1215">
        <v>3</v>
      </c>
      <c r="AG121" s="1215">
        <v>3</v>
      </c>
      <c r="AH121" s="1322">
        <v>3</v>
      </c>
      <c r="AI121" s="1323">
        <v>37</v>
      </c>
    </row>
    <row r="122" spans="1:36" ht="21.95" customHeight="1">
      <c r="A122" s="602">
        <v>3</v>
      </c>
      <c r="B122" s="153" t="s">
        <v>536</v>
      </c>
      <c r="C122" s="1215"/>
      <c r="D122" s="1215" t="s">
        <v>537</v>
      </c>
      <c r="E122" s="1215" t="s">
        <v>537</v>
      </c>
      <c r="F122" s="1215"/>
      <c r="G122" s="1215" t="s">
        <v>486</v>
      </c>
      <c r="H122" s="1215" t="s">
        <v>537</v>
      </c>
      <c r="I122" s="1215" t="s">
        <v>538</v>
      </c>
      <c r="J122" s="1390" t="s">
        <v>537</v>
      </c>
      <c r="K122" s="1215"/>
      <c r="L122" s="1344" t="s">
        <v>539</v>
      </c>
      <c r="M122" s="1215"/>
      <c r="N122" s="1215"/>
      <c r="O122" s="1215">
        <v>4</v>
      </c>
      <c r="P122" s="1215" t="s">
        <v>538</v>
      </c>
      <c r="Q122" s="1215" t="s">
        <v>540</v>
      </c>
      <c r="R122" s="1215">
        <v>6</v>
      </c>
      <c r="S122" s="1215">
        <v>6</v>
      </c>
      <c r="T122" s="1215" t="s">
        <v>532</v>
      </c>
      <c r="U122" s="1215" t="s">
        <v>533</v>
      </c>
      <c r="V122" s="1215"/>
      <c r="W122" s="1392" t="s">
        <v>541</v>
      </c>
      <c r="X122" s="1393" t="s">
        <v>537</v>
      </c>
      <c r="Y122" s="1215" t="s">
        <v>537</v>
      </c>
      <c r="Z122" s="1215" t="s">
        <v>537</v>
      </c>
      <c r="AA122" s="1215"/>
      <c r="AB122" s="1215"/>
      <c r="AC122" s="1344">
        <v>3</v>
      </c>
      <c r="AD122" s="1344">
        <v>3</v>
      </c>
      <c r="AE122" s="1215">
        <v>3</v>
      </c>
      <c r="AF122" s="1215">
        <v>3</v>
      </c>
      <c r="AG122" s="1215">
        <v>3</v>
      </c>
      <c r="AH122" s="1322">
        <v>255</v>
      </c>
      <c r="AI122" s="1323">
        <v>37</v>
      </c>
    </row>
    <row r="123" spans="1:36" ht="21.95" customHeight="1">
      <c r="A123" s="602">
        <v>4</v>
      </c>
      <c r="B123" s="1241" t="s">
        <v>542</v>
      </c>
      <c r="C123" s="1215">
        <v>9</v>
      </c>
      <c r="D123" s="1215">
        <v>9</v>
      </c>
      <c r="E123" s="1215">
        <v>9</v>
      </c>
      <c r="F123" s="1215" t="s">
        <v>543</v>
      </c>
      <c r="G123" s="1215" t="s">
        <v>543</v>
      </c>
      <c r="H123" s="1215" t="s">
        <v>487</v>
      </c>
      <c r="I123" s="1215" t="s">
        <v>487</v>
      </c>
      <c r="J123" s="1215">
        <v>4</v>
      </c>
      <c r="K123" s="1215">
        <v>4</v>
      </c>
      <c r="L123" s="1215">
        <v>4</v>
      </c>
      <c r="M123" s="1215"/>
      <c r="N123" s="1215"/>
      <c r="O123" s="1215" t="s">
        <v>544</v>
      </c>
      <c r="P123" s="1215" t="s">
        <v>484</v>
      </c>
      <c r="Q123" s="1215">
        <v>3</v>
      </c>
      <c r="R123" s="1215" t="s">
        <v>537</v>
      </c>
      <c r="S123" s="1215" t="s">
        <v>537</v>
      </c>
      <c r="T123" s="1215"/>
      <c r="U123" s="1215"/>
      <c r="V123" s="1215"/>
      <c r="W123" s="1215" t="s">
        <v>537</v>
      </c>
      <c r="X123" s="1215" t="s">
        <v>537</v>
      </c>
      <c r="Y123" s="1215">
        <v>6</v>
      </c>
      <c r="Z123" s="1215">
        <v>6</v>
      </c>
      <c r="AA123" s="1215"/>
      <c r="AB123" s="1215"/>
      <c r="AC123" s="1215">
        <v>6</v>
      </c>
      <c r="AD123" s="1215">
        <v>6</v>
      </c>
      <c r="AE123" s="1215" t="s">
        <v>537</v>
      </c>
      <c r="AF123" s="1215" t="s">
        <v>537</v>
      </c>
      <c r="AG123" s="1215" t="s">
        <v>537</v>
      </c>
      <c r="AH123" s="1322">
        <v>185</v>
      </c>
      <c r="AI123" s="1323">
        <v>37</v>
      </c>
    </row>
    <row r="124" spans="1:36" ht="21.95" customHeight="1">
      <c r="A124" s="602">
        <v>5</v>
      </c>
      <c r="B124" s="319" t="s">
        <v>545</v>
      </c>
      <c r="C124" s="1215"/>
      <c r="D124" s="1215">
        <v>2</v>
      </c>
      <c r="E124" s="1215">
        <v>2</v>
      </c>
      <c r="F124" s="1215">
        <v>1</v>
      </c>
      <c r="G124" s="1215"/>
      <c r="H124" s="1215" t="s">
        <v>484</v>
      </c>
      <c r="I124" s="1215" t="s">
        <v>484</v>
      </c>
      <c r="J124" s="1215" t="s">
        <v>484</v>
      </c>
      <c r="K124" s="1215" t="s">
        <v>485</v>
      </c>
      <c r="L124" s="1215" t="s">
        <v>485</v>
      </c>
      <c r="M124" s="1215" t="s">
        <v>486</v>
      </c>
      <c r="N124" s="1215" t="s">
        <v>486</v>
      </c>
      <c r="O124" s="1215" t="s">
        <v>487</v>
      </c>
      <c r="P124" s="1215" t="s">
        <v>487</v>
      </c>
      <c r="Q124" s="1215" t="s">
        <v>487</v>
      </c>
      <c r="R124" s="1215" t="s">
        <v>487</v>
      </c>
      <c r="S124" s="1215" t="s">
        <v>487</v>
      </c>
      <c r="T124" s="1215"/>
      <c r="U124" s="1215"/>
      <c r="V124" s="1215" t="s">
        <v>28</v>
      </c>
      <c r="W124" s="1215" t="s">
        <v>485</v>
      </c>
      <c r="X124" s="1215" t="s">
        <v>485</v>
      </c>
      <c r="Y124" s="1215" t="s">
        <v>484</v>
      </c>
      <c r="Z124" s="1215" t="s">
        <v>484</v>
      </c>
      <c r="AA124" s="1215"/>
      <c r="AB124" s="1215"/>
      <c r="AC124" s="1215">
        <v>3</v>
      </c>
      <c r="AD124" s="1215">
        <v>3</v>
      </c>
      <c r="AE124" s="1215" t="s">
        <v>484</v>
      </c>
      <c r="AF124" s="1215" t="s">
        <v>485</v>
      </c>
      <c r="AG124" s="1215" t="s">
        <v>485</v>
      </c>
      <c r="AH124" s="1324">
        <v>185</v>
      </c>
      <c r="AI124" s="1325">
        <v>37</v>
      </c>
    </row>
    <row r="125" spans="1:36" ht="21.95" customHeight="1">
      <c r="A125" s="602">
        <v>6</v>
      </c>
      <c r="B125" s="153" t="s">
        <v>546</v>
      </c>
      <c r="C125" s="1215"/>
      <c r="D125" s="1215" t="s">
        <v>537</v>
      </c>
      <c r="E125" s="1215" t="s">
        <v>537</v>
      </c>
      <c r="F125" s="1215"/>
      <c r="G125" s="1215"/>
      <c r="H125" s="1215" t="s">
        <v>547</v>
      </c>
      <c r="I125" s="1215" t="s">
        <v>547</v>
      </c>
      <c r="J125" s="1215" t="s">
        <v>547</v>
      </c>
      <c r="K125" s="1215"/>
      <c r="L125" s="1215" t="s">
        <v>547</v>
      </c>
      <c r="M125" s="1215"/>
      <c r="N125" s="1215"/>
      <c r="O125" s="1215" t="s">
        <v>547</v>
      </c>
      <c r="P125" s="1215" t="s">
        <v>547</v>
      </c>
      <c r="Q125" s="1215" t="s">
        <v>547</v>
      </c>
      <c r="R125" s="1215" t="s">
        <v>547</v>
      </c>
      <c r="S125" s="1215" t="s">
        <v>547</v>
      </c>
      <c r="T125" s="1215"/>
      <c r="U125" s="1215"/>
      <c r="V125" s="1215" t="s">
        <v>484</v>
      </c>
      <c r="W125" s="1215" t="s">
        <v>484</v>
      </c>
      <c r="X125" s="1215" t="s">
        <v>484</v>
      </c>
      <c r="Y125" s="1215" t="s">
        <v>485</v>
      </c>
      <c r="Z125" s="1215" t="s">
        <v>485</v>
      </c>
      <c r="AA125" s="1215" t="s">
        <v>486</v>
      </c>
      <c r="AB125" s="1215"/>
      <c r="AC125" s="1215" t="s">
        <v>548</v>
      </c>
      <c r="AD125" s="1215" t="s">
        <v>548</v>
      </c>
      <c r="AE125" s="1215" t="s">
        <v>487</v>
      </c>
      <c r="AF125" s="1215" t="s">
        <v>487</v>
      </c>
      <c r="AG125" s="1215" t="s">
        <v>487</v>
      </c>
      <c r="AH125" s="1326">
        <v>185</v>
      </c>
      <c r="AI125" s="1327">
        <v>37</v>
      </c>
    </row>
    <row r="126" spans="1:36" ht="21.95" customHeight="1">
      <c r="A126" s="602">
        <v>7</v>
      </c>
      <c r="B126" s="319" t="s">
        <v>549</v>
      </c>
      <c r="C126" s="1215"/>
      <c r="D126" s="1215" t="s">
        <v>487</v>
      </c>
      <c r="E126" s="1215" t="s">
        <v>487</v>
      </c>
      <c r="F126" s="1215"/>
      <c r="G126" s="1215" t="s">
        <v>533</v>
      </c>
      <c r="H126" s="1215" t="s">
        <v>487</v>
      </c>
      <c r="I126" s="1215" t="s">
        <v>487</v>
      </c>
      <c r="J126" s="1215" t="s">
        <v>487</v>
      </c>
      <c r="K126" s="1215"/>
      <c r="L126" s="1215" t="s">
        <v>487</v>
      </c>
      <c r="M126" s="1215"/>
      <c r="N126" s="1215"/>
      <c r="O126" s="1344" t="s">
        <v>550</v>
      </c>
      <c r="P126" s="1393" t="s">
        <v>550</v>
      </c>
      <c r="Q126" s="1335" t="s">
        <v>535</v>
      </c>
      <c r="R126" s="1335" t="s">
        <v>535</v>
      </c>
      <c r="S126" s="1335" t="s">
        <v>535</v>
      </c>
      <c r="T126" s="1215"/>
      <c r="U126" s="1215"/>
      <c r="V126" s="1215"/>
      <c r="W126" s="1335" t="s">
        <v>535</v>
      </c>
      <c r="X126" s="1335" t="s">
        <v>535</v>
      </c>
      <c r="Y126" s="1335" t="s">
        <v>535</v>
      </c>
      <c r="Z126" s="1335" t="s">
        <v>535</v>
      </c>
      <c r="AA126" s="1215"/>
      <c r="AB126" s="1215"/>
      <c r="AC126" s="1338" t="s">
        <v>535</v>
      </c>
      <c r="AD126" s="1338" t="s">
        <v>535</v>
      </c>
      <c r="AE126" s="1338" t="s">
        <v>535</v>
      </c>
      <c r="AF126" s="1338" t="s">
        <v>535</v>
      </c>
      <c r="AG126" s="1338" t="s">
        <v>535</v>
      </c>
      <c r="AH126" s="1326">
        <v>185</v>
      </c>
      <c r="AI126" s="1327">
        <v>37</v>
      </c>
    </row>
    <row r="127" spans="1:36" ht="21.95" customHeight="1">
      <c r="A127" s="602">
        <v>8</v>
      </c>
      <c r="B127" s="319"/>
      <c r="C127" s="1215"/>
      <c r="D127" s="1215"/>
      <c r="E127" s="1215"/>
      <c r="F127" s="1215"/>
      <c r="G127" s="1215"/>
      <c r="H127" s="1215"/>
      <c r="I127" s="1215"/>
      <c r="J127" s="1215"/>
      <c r="K127" s="1215"/>
      <c r="L127" s="1215"/>
      <c r="M127" s="1215"/>
      <c r="N127" s="1215"/>
      <c r="O127" s="1215"/>
      <c r="P127" s="1215"/>
      <c r="Q127" s="1215"/>
      <c r="R127" s="1215"/>
      <c r="S127" s="1215"/>
      <c r="T127" s="1215"/>
      <c r="U127" s="1215"/>
      <c r="V127" s="1215"/>
      <c r="W127" s="1215"/>
      <c r="X127" s="1215"/>
      <c r="Y127" s="1215"/>
      <c r="Z127" s="1215"/>
      <c r="AA127" s="1215"/>
      <c r="AB127" s="1215"/>
      <c r="AC127" s="1215"/>
      <c r="AD127" s="1215"/>
      <c r="AE127" s="1215"/>
      <c r="AF127" s="1215"/>
      <c r="AG127" s="1215"/>
      <c r="AH127" s="1326"/>
      <c r="AI127" s="1327"/>
    </row>
    <row r="128" spans="1:36" ht="21.95" customHeight="1">
      <c r="A128" s="602">
        <v>9</v>
      </c>
      <c r="B128" s="902"/>
      <c r="C128" s="1215"/>
      <c r="D128" s="1215"/>
      <c r="E128" s="1215"/>
      <c r="F128" s="1215"/>
      <c r="G128" s="1215"/>
      <c r="H128" s="1215"/>
      <c r="I128" s="1215"/>
      <c r="J128" s="1215"/>
      <c r="K128" s="1215"/>
      <c r="L128" s="1215"/>
      <c r="M128" s="1215"/>
      <c r="N128" s="1215"/>
      <c r="O128" s="1215"/>
      <c r="P128" s="1215"/>
      <c r="Q128" s="1215"/>
      <c r="R128" s="1215"/>
      <c r="S128" s="1215"/>
      <c r="T128" s="1215"/>
      <c r="U128" s="1215"/>
      <c r="V128" s="1215"/>
      <c r="W128" s="1215"/>
      <c r="X128" s="1215"/>
      <c r="Y128" s="1215"/>
      <c r="Z128" s="1215"/>
      <c r="AA128" s="1215"/>
      <c r="AB128" s="1215"/>
      <c r="AC128" s="1215"/>
      <c r="AD128" s="1215"/>
      <c r="AE128" s="1215"/>
      <c r="AF128" s="1215"/>
      <c r="AG128" s="1215"/>
      <c r="AH128" s="1326"/>
      <c r="AI128" s="1327"/>
    </row>
    <row r="129" spans="1:35" ht="21.95" customHeight="1">
      <c r="A129" s="602">
        <v>10</v>
      </c>
      <c r="B129" s="153"/>
      <c r="C129" s="1215"/>
      <c r="D129" s="1215"/>
      <c r="E129" s="1215"/>
      <c r="F129" s="1215"/>
      <c r="G129" s="1215"/>
      <c r="H129" s="1215"/>
      <c r="I129" s="1215"/>
      <c r="J129" s="1215"/>
      <c r="K129" s="1215"/>
      <c r="L129" s="1215"/>
      <c r="M129" s="1215"/>
      <c r="N129" s="1215"/>
      <c r="O129" s="1215"/>
      <c r="P129" s="1215"/>
      <c r="Q129" s="1215"/>
      <c r="R129" s="1215"/>
      <c r="S129" s="1215"/>
      <c r="T129" s="1215"/>
      <c r="U129" s="1215"/>
      <c r="V129" s="1215"/>
      <c r="W129" s="1215"/>
      <c r="X129" s="1215"/>
      <c r="Y129" s="1215"/>
      <c r="Z129" s="1215"/>
      <c r="AA129" s="1215"/>
      <c r="AB129" s="1215"/>
      <c r="AC129" s="1215"/>
      <c r="AD129" s="1215"/>
      <c r="AE129" s="1215"/>
      <c r="AF129" s="1215"/>
      <c r="AG129" s="1215"/>
      <c r="AH129" s="1326"/>
      <c r="AI129" s="1327"/>
    </row>
    <row r="130" spans="1:35" ht="21.95" customHeight="1">
      <c r="A130" s="602">
        <v>11</v>
      </c>
      <c r="B130" s="153"/>
      <c r="C130" s="1213"/>
      <c r="D130" s="1213"/>
      <c r="E130" s="1213"/>
      <c r="F130" s="1213"/>
      <c r="G130" s="1213"/>
      <c r="H130" s="1213"/>
      <c r="I130" s="1213"/>
      <c r="J130" s="1213"/>
      <c r="K130" s="1213"/>
      <c r="L130" s="1213"/>
      <c r="M130" s="1213"/>
      <c r="N130" s="1213"/>
      <c r="O130" s="1213"/>
      <c r="P130" s="1213"/>
      <c r="Q130" s="1213"/>
      <c r="R130" s="1213"/>
      <c r="S130" s="1213"/>
      <c r="T130" s="1213"/>
      <c r="U130" s="1213"/>
      <c r="V130" s="1213"/>
      <c r="W130" s="1215"/>
      <c r="X130" s="1213"/>
      <c r="Y130" s="1213"/>
      <c r="Z130" s="1213"/>
      <c r="AA130" s="1213"/>
      <c r="AB130" s="1213"/>
      <c r="AC130" s="1213"/>
      <c r="AD130" s="1213"/>
      <c r="AE130" s="1213"/>
      <c r="AF130" s="1213"/>
      <c r="AG130" s="1230"/>
      <c r="AH130" s="1326"/>
      <c r="AI130" s="1327"/>
    </row>
    <row r="131" spans="1:35" ht="21.95" customHeight="1" thickBot="1">
      <c r="A131" s="602">
        <v>12</v>
      </c>
      <c r="B131" s="153"/>
      <c r="C131" s="1213"/>
      <c r="D131" s="1213"/>
      <c r="E131" s="1213"/>
      <c r="F131" s="1213"/>
      <c r="G131" s="1213"/>
      <c r="H131" s="1213"/>
      <c r="I131" s="1213"/>
      <c r="J131" s="1213"/>
      <c r="K131" s="1213"/>
      <c r="L131" s="1213"/>
      <c r="M131" s="1213"/>
      <c r="N131" s="1213"/>
      <c r="O131" s="1213"/>
      <c r="P131" s="1213"/>
      <c r="Q131" s="1213"/>
      <c r="R131" s="1213"/>
      <c r="S131" s="1213"/>
      <c r="T131" s="1213"/>
      <c r="U131" s="1213"/>
      <c r="V131" s="1213"/>
      <c r="W131" s="1215"/>
      <c r="X131" s="1213"/>
      <c r="Y131" s="1213"/>
      <c r="Z131" s="1213"/>
      <c r="AA131" s="1213"/>
      <c r="AB131" s="1213"/>
      <c r="AC131" s="1213"/>
      <c r="AD131" s="1213"/>
      <c r="AE131" s="1213"/>
      <c r="AF131" s="1213"/>
      <c r="AG131" s="1230"/>
      <c r="AH131" s="1328"/>
      <c r="AI131" s="1329"/>
    </row>
    <row r="132" spans="1:35" ht="21" customHeight="1">
      <c r="A132" s="312" t="s">
        <v>551</v>
      </c>
    </row>
    <row r="133" spans="1:35" ht="21" customHeight="1">
      <c r="A133" s="556"/>
      <c r="B133" s="297" t="s">
        <v>480</v>
      </c>
      <c r="C133" s="1235">
        <v>1</v>
      </c>
      <c r="D133" s="1234">
        <v>2</v>
      </c>
      <c r="E133" s="1234">
        <v>3</v>
      </c>
      <c r="F133" s="1235">
        <v>4</v>
      </c>
      <c r="G133" s="1235">
        <v>5</v>
      </c>
      <c r="H133" s="1234">
        <v>6</v>
      </c>
      <c r="I133" s="1213">
        <v>7</v>
      </c>
      <c r="J133" s="1213">
        <v>8</v>
      </c>
      <c r="K133" s="1235">
        <v>9</v>
      </c>
      <c r="L133" s="1234">
        <v>10</v>
      </c>
      <c r="M133" s="1235">
        <v>11</v>
      </c>
      <c r="N133" s="1235">
        <v>12</v>
      </c>
      <c r="O133" s="1234">
        <v>13</v>
      </c>
      <c r="P133" s="1213">
        <v>14</v>
      </c>
      <c r="Q133" s="1213">
        <v>15</v>
      </c>
      <c r="R133" s="1234">
        <v>16</v>
      </c>
      <c r="S133" s="1234">
        <v>17</v>
      </c>
      <c r="T133" s="1235">
        <v>18</v>
      </c>
      <c r="U133" s="1235">
        <v>19</v>
      </c>
      <c r="V133" s="1330">
        <v>20</v>
      </c>
      <c r="W133" s="1213">
        <v>21</v>
      </c>
      <c r="X133" s="1213">
        <v>22</v>
      </c>
      <c r="Y133" s="1234">
        <v>23</v>
      </c>
      <c r="Z133" s="1234">
        <v>24</v>
      </c>
      <c r="AA133" s="1235">
        <v>25</v>
      </c>
      <c r="AB133" s="1235">
        <v>26</v>
      </c>
      <c r="AC133" s="1234">
        <v>27</v>
      </c>
      <c r="AD133" s="1213">
        <v>28</v>
      </c>
      <c r="AE133" s="1213">
        <v>29</v>
      </c>
      <c r="AF133" s="1234">
        <v>30</v>
      </c>
      <c r="AG133" s="1234">
        <v>31</v>
      </c>
      <c r="AH133" s="606"/>
    </row>
    <row r="134" spans="1:35" ht="21" customHeight="1">
      <c r="A134" s="556">
        <v>1</v>
      </c>
      <c r="B134" s="319" t="s">
        <v>552</v>
      </c>
      <c r="C134" s="1215"/>
      <c r="D134" s="1215" t="s">
        <v>514</v>
      </c>
      <c r="E134" s="1215" t="s">
        <v>514</v>
      </c>
      <c r="F134" s="1215"/>
      <c r="G134" s="1215"/>
      <c r="H134" s="1215" t="s">
        <v>535</v>
      </c>
      <c r="I134" s="1215" t="s">
        <v>535</v>
      </c>
      <c r="J134" s="1215" t="s">
        <v>514</v>
      </c>
      <c r="K134" s="1215"/>
      <c r="L134" s="1215" t="s">
        <v>514</v>
      </c>
      <c r="M134" s="1215"/>
      <c r="N134" s="1215"/>
      <c r="O134" s="1215" t="s">
        <v>535</v>
      </c>
      <c r="P134" s="1215" t="s">
        <v>535</v>
      </c>
      <c r="Q134" s="1215" t="s">
        <v>535</v>
      </c>
      <c r="R134" s="1215" t="s">
        <v>535</v>
      </c>
      <c r="S134" s="1215" t="s">
        <v>514</v>
      </c>
      <c r="T134" s="1215"/>
      <c r="U134" s="1215"/>
      <c r="V134" s="1215"/>
      <c r="W134" s="1215" t="s">
        <v>535</v>
      </c>
      <c r="X134" s="1215" t="s">
        <v>535</v>
      </c>
      <c r="Y134" s="1215" t="s">
        <v>535</v>
      </c>
      <c r="Z134" s="1215" t="s">
        <v>514</v>
      </c>
      <c r="AA134" s="1215"/>
      <c r="AB134" s="1215"/>
      <c r="AC134" s="1390" t="s">
        <v>537</v>
      </c>
      <c r="AD134" s="1390" t="s">
        <v>537</v>
      </c>
      <c r="AE134" s="1390" t="s">
        <v>537</v>
      </c>
      <c r="AF134" s="1390" t="s">
        <v>537</v>
      </c>
      <c r="AG134" s="1390" t="s">
        <v>537</v>
      </c>
      <c r="AH134" s="606"/>
    </row>
    <row r="135" spans="1:35" ht="21" customHeight="1">
      <c r="A135" s="556">
        <v>2</v>
      </c>
      <c r="B135" s="545" t="s">
        <v>553</v>
      </c>
      <c r="C135" s="1215"/>
      <c r="D135" s="1215" t="s">
        <v>514</v>
      </c>
      <c r="E135" s="1215" t="s">
        <v>514</v>
      </c>
      <c r="F135" s="1215"/>
      <c r="G135" s="1215"/>
      <c r="H135" s="1344"/>
      <c r="I135" s="1344"/>
      <c r="J135" s="1344"/>
      <c r="K135" s="1344"/>
      <c r="L135" s="1344"/>
      <c r="M135" s="1344"/>
      <c r="N135" s="1344"/>
      <c r="O135" s="1215"/>
      <c r="P135" s="1215"/>
      <c r="Q135" s="1393" t="s">
        <v>484</v>
      </c>
      <c r="R135" s="1393" t="s">
        <v>484</v>
      </c>
      <c r="S135" s="1393" t="s">
        <v>484</v>
      </c>
      <c r="T135" s="1215"/>
      <c r="U135" s="1215"/>
      <c r="V135" s="1215"/>
      <c r="W135" s="1393" t="s">
        <v>484</v>
      </c>
      <c r="X135" s="1393" t="s">
        <v>485</v>
      </c>
      <c r="Y135" s="1393" t="s">
        <v>485</v>
      </c>
      <c r="Z135" s="1393" t="s">
        <v>485</v>
      </c>
      <c r="AA135" s="1215"/>
      <c r="AB135" s="1215" t="s">
        <v>486</v>
      </c>
      <c r="AC135" s="1215" t="s">
        <v>484</v>
      </c>
      <c r="AD135" s="1215" t="s">
        <v>484</v>
      </c>
      <c r="AE135" s="1215" t="s">
        <v>487</v>
      </c>
      <c r="AF135" s="1215" t="s">
        <v>487</v>
      </c>
      <c r="AG135" s="1344" t="s">
        <v>487</v>
      </c>
      <c r="AH135" s="606"/>
    </row>
    <row r="136" spans="1:35" ht="21" customHeight="1">
      <c r="A136" s="556">
        <v>3</v>
      </c>
      <c r="B136" s="545" t="s">
        <v>554</v>
      </c>
      <c r="C136" s="1215">
        <v>10</v>
      </c>
      <c r="D136" s="1215">
        <v>10</v>
      </c>
      <c r="E136" s="1215">
        <v>10</v>
      </c>
      <c r="F136" s="1215" t="s">
        <v>555</v>
      </c>
      <c r="G136" s="1215" t="s">
        <v>555</v>
      </c>
      <c r="H136" s="1344" t="s">
        <v>487</v>
      </c>
      <c r="I136" s="1344" t="s">
        <v>487</v>
      </c>
      <c r="J136" s="1344" t="s">
        <v>487</v>
      </c>
      <c r="K136" s="1344"/>
      <c r="L136" s="1344" t="s">
        <v>487</v>
      </c>
      <c r="M136" s="1215"/>
      <c r="N136" s="1215"/>
      <c r="O136" s="1215">
        <v>6</v>
      </c>
      <c r="P136" s="1215">
        <v>6</v>
      </c>
      <c r="Q136" s="1215">
        <v>6</v>
      </c>
      <c r="R136" s="1393" t="s">
        <v>556</v>
      </c>
      <c r="S136" s="1393" t="s">
        <v>556</v>
      </c>
      <c r="T136" s="1215"/>
      <c r="U136" s="1215"/>
      <c r="V136" s="1215">
        <v>6</v>
      </c>
      <c r="W136" s="1215">
        <v>6</v>
      </c>
      <c r="X136" s="1215">
        <v>6</v>
      </c>
      <c r="Y136" s="1215" t="s">
        <v>487</v>
      </c>
      <c r="Z136" s="1215" t="s">
        <v>487</v>
      </c>
      <c r="AA136" s="1215" t="s">
        <v>532</v>
      </c>
      <c r="AB136" s="1215" t="s">
        <v>533</v>
      </c>
      <c r="AC136" s="1215">
        <v>7</v>
      </c>
      <c r="AD136" s="1215">
        <v>7</v>
      </c>
      <c r="AE136" s="1215" t="s">
        <v>487</v>
      </c>
      <c r="AF136" s="1215" t="s">
        <v>487</v>
      </c>
      <c r="AG136" s="1344" t="s">
        <v>487</v>
      </c>
      <c r="AH136" s="606"/>
    </row>
    <row r="137" spans="1:35" ht="21" customHeight="1">
      <c r="A137" s="556">
        <v>4</v>
      </c>
      <c r="B137" s="545" t="s">
        <v>557</v>
      </c>
      <c r="C137" s="1390">
        <v>9</v>
      </c>
      <c r="D137" s="1390">
        <v>9</v>
      </c>
      <c r="E137" s="1390">
        <v>9</v>
      </c>
      <c r="F137" s="1215"/>
      <c r="G137" s="1215"/>
      <c r="H137" s="1390" t="s">
        <v>514</v>
      </c>
      <c r="I137" s="1390">
        <v>9</v>
      </c>
      <c r="J137" s="1390">
        <v>9</v>
      </c>
      <c r="K137" s="1215"/>
      <c r="L137" s="1390">
        <v>9</v>
      </c>
      <c r="M137" s="1215"/>
      <c r="N137" s="1215"/>
      <c r="O137" s="1393">
        <v>9</v>
      </c>
      <c r="P137" s="1215" t="s">
        <v>535</v>
      </c>
      <c r="Q137" s="1215" t="s">
        <v>535</v>
      </c>
      <c r="R137" s="1215" t="s">
        <v>535</v>
      </c>
      <c r="S137" s="1215" t="s">
        <v>514</v>
      </c>
      <c r="T137" s="1215"/>
      <c r="U137" s="1215"/>
      <c r="V137" s="1215"/>
      <c r="W137" s="1215" t="s">
        <v>535</v>
      </c>
      <c r="X137" s="1215" t="s">
        <v>535</v>
      </c>
      <c r="Y137" s="1215" t="s">
        <v>535</v>
      </c>
      <c r="Z137" s="1215" t="s">
        <v>514</v>
      </c>
      <c r="AA137" s="1215"/>
      <c r="AB137" s="1215"/>
      <c r="AC137" s="1215" t="s">
        <v>535</v>
      </c>
      <c r="AD137" s="1215" t="s">
        <v>535</v>
      </c>
      <c r="AE137" s="1215" t="s">
        <v>535</v>
      </c>
      <c r="AF137" s="1215" t="s">
        <v>535</v>
      </c>
      <c r="AG137" s="1344" t="s">
        <v>514</v>
      </c>
      <c r="AH137" s="606"/>
    </row>
    <row r="138" spans="1:35" ht="21" customHeight="1">
      <c r="A138" s="556">
        <v>5</v>
      </c>
      <c r="B138" s="545" t="s">
        <v>558</v>
      </c>
      <c r="C138" s="178"/>
      <c r="D138" s="178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447" t="s">
        <v>514</v>
      </c>
      <c r="P138" s="1447" t="s">
        <v>550</v>
      </c>
      <c r="Q138" s="1447">
        <v>8</v>
      </c>
      <c r="R138" s="1447" t="s">
        <v>514</v>
      </c>
      <c r="S138" s="1447" t="s">
        <v>514</v>
      </c>
      <c r="T138" s="178"/>
      <c r="U138" s="178"/>
      <c r="V138" s="178"/>
      <c r="W138" s="178"/>
      <c r="X138" s="178"/>
      <c r="Y138" s="178"/>
      <c r="Z138" s="178"/>
      <c r="AA138" s="178"/>
      <c r="AB138" s="178"/>
      <c r="AC138" s="178"/>
      <c r="AD138" s="178"/>
      <c r="AE138" s="178"/>
      <c r="AF138" s="178"/>
      <c r="AG138" s="178"/>
      <c r="AH138" s="606"/>
    </row>
    <row r="139" spans="1:35" ht="21" customHeight="1">
      <c r="A139" s="1232">
        <v>6</v>
      </c>
      <c r="B139" s="570" t="s">
        <v>559</v>
      </c>
      <c r="C139" s="1448"/>
      <c r="D139" s="1448"/>
      <c r="E139" s="1448"/>
      <c r="F139" s="1448"/>
      <c r="G139" s="1448"/>
      <c r="H139" s="1448"/>
      <c r="I139" s="1448"/>
      <c r="J139" s="1448"/>
      <c r="K139" s="1448"/>
      <c r="L139" s="1448"/>
      <c r="M139" s="1448"/>
      <c r="N139" s="1449"/>
      <c r="O139" s="1448"/>
      <c r="P139" s="1448"/>
      <c r="Q139" s="1448"/>
      <c r="R139" s="1448"/>
      <c r="S139" s="1448"/>
      <c r="T139" s="1448"/>
      <c r="U139" s="1448"/>
      <c r="V139" s="1448"/>
      <c r="W139" s="1450" t="s">
        <v>514</v>
      </c>
      <c r="X139" s="1450" t="s">
        <v>514</v>
      </c>
      <c r="Y139" s="1450" t="s">
        <v>514</v>
      </c>
      <c r="Z139" s="1450" t="s">
        <v>514</v>
      </c>
      <c r="AA139" s="1448"/>
      <c r="AB139" s="1448"/>
      <c r="AC139" s="1450" t="s">
        <v>556</v>
      </c>
      <c r="AD139" s="1450" t="s">
        <v>556</v>
      </c>
      <c r="AE139" s="1450">
        <v>8</v>
      </c>
      <c r="AF139" s="1450" t="s">
        <v>485</v>
      </c>
      <c r="AG139" s="1450" t="s">
        <v>537</v>
      </c>
      <c r="AH139" s="606"/>
    </row>
    <row r="140" spans="1:35" ht="21.95" customHeight="1" thickBot="1">
      <c r="A140" s="1" t="s">
        <v>560</v>
      </c>
      <c r="B140" s="274"/>
      <c r="C140" s="139"/>
      <c r="D140" s="139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  <c r="AB140" s="139"/>
      <c r="AC140" s="139"/>
      <c r="AD140" s="139"/>
      <c r="AE140" s="139"/>
      <c r="AF140" s="139"/>
      <c r="AG140" s="139"/>
    </row>
    <row r="141" spans="1:35" ht="21.95" customHeight="1">
      <c r="A141" s="1"/>
      <c r="B141" s="1290" t="s">
        <v>516</v>
      </c>
      <c r="C141" s="51" t="s">
        <v>2</v>
      </c>
      <c r="D141" s="51"/>
      <c r="E141" s="51"/>
      <c r="F141" s="51"/>
      <c r="G141" s="1292" t="s">
        <v>3</v>
      </c>
      <c r="H141" s="51"/>
      <c r="I141" s="51"/>
      <c r="J141" s="51"/>
      <c r="K141" s="1292" t="s">
        <v>4</v>
      </c>
      <c r="L141" s="51"/>
      <c r="M141" s="51"/>
      <c r="N141" s="51"/>
      <c r="O141" s="1292" t="s">
        <v>5</v>
      </c>
      <c r="P141" s="51"/>
      <c r="Q141" s="51"/>
      <c r="R141" s="51"/>
      <c r="S141" s="1292" t="s">
        <v>6</v>
      </c>
      <c r="T141" s="51"/>
      <c r="U141" s="51"/>
      <c r="V141" s="51"/>
      <c r="W141" s="51"/>
      <c r="X141" s="1296" t="s">
        <v>7</v>
      </c>
      <c r="Y141" s="51"/>
      <c r="Z141" s="551"/>
      <c r="AA141" s="7"/>
      <c r="AB141" s="525" t="s">
        <v>8</v>
      </c>
      <c r="AC141" s="51"/>
      <c r="AD141" s="51"/>
      <c r="AE141" s="425" t="s">
        <v>10</v>
      </c>
      <c r="AF141" s="51"/>
      <c r="AG141" s="51"/>
      <c r="AH141" s="51"/>
      <c r="AI141" s="526"/>
    </row>
    <row r="142" spans="1:35" ht="21.95" customHeight="1">
      <c r="A142" s="1"/>
      <c r="B142" s="1290">
        <v>3701</v>
      </c>
      <c r="C142" s="55" t="s">
        <v>561</v>
      </c>
      <c r="D142" s="55"/>
      <c r="E142" s="55"/>
      <c r="F142" s="55"/>
      <c r="G142" s="1293" t="s">
        <v>124</v>
      </c>
      <c r="H142" s="55"/>
      <c r="I142" s="55"/>
      <c r="J142" s="55"/>
      <c r="K142" s="1293" t="s">
        <v>124</v>
      </c>
      <c r="L142" s="55"/>
      <c r="M142" s="55"/>
      <c r="N142" s="55"/>
      <c r="O142" s="1293" t="s">
        <v>124</v>
      </c>
      <c r="P142" s="55"/>
      <c r="Q142" s="55"/>
      <c r="R142" s="55"/>
      <c r="S142" s="1293" t="s">
        <v>125</v>
      </c>
      <c r="T142" s="55"/>
      <c r="U142" s="55"/>
      <c r="V142" s="55"/>
      <c r="W142" s="55"/>
      <c r="X142" s="1297"/>
      <c r="Y142" s="55"/>
      <c r="Z142" s="608"/>
      <c r="AA142" s="14"/>
      <c r="AB142" s="609"/>
      <c r="AC142" s="55"/>
      <c r="AD142" s="55"/>
      <c r="AE142" s="610"/>
      <c r="AF142" s="55"/>
      <c r="AG142" s="55"/>
      <c r="AH142" s="55"/>
      <c r="AI142" s="611"/>
    </row>
    <row r="143" spans="1:35" ht="21.95" customHeight="1">
      <c r="B143" s="1290">
        <v>3700</v>
      </c>
      <c r="C143" s="157" t="s">
        <v>512</v>
      </c>
      <c r="D143" s="157"/>
      <c r="E143" s="157"/>
      <c r="F143" s="157"/>
      <c r="G143" s="897" t="s">
        <v>512</v>
      </c>
      <c r="H143" s="157"/>
      <c r="I143" s="157"/>
      <c r="J143" s="157"/>
      <c r="K143" s="897" t="s">
        <v>512</v>
      </c>
      <c r="L143" s="157"/>
      <c r="M143" s="157"/>
      <c r="N143" s="157"/>
      <c r="O143" s="897" t="s">
        <v>512</v>
      </c>
      <c r="P143" s="157"/>
      <c r="Q143" s="157"/>
      <c r="R143" s="157"/>
      <c r="S143" s="897" t="s">
        <v>116</v>
      </c>
      <c r="T143" s="157"/>
      <c r="U143" s="157"/>
      <c r="V143" s="157"/>
      <c r="W143" s="157"/>
      <c r="X143" s="897"/>
      <c r="Y143" s="157"/>
      <c r="Z143" s="568"/>
      <c r="AA143" s="567"/>
      <c r="AB143" s="157"/>
      <c r="AC143" s="157"/>
      <c r="AD143" s="569"/>
      <c r="AE143" s="613"/>
      <c r="AF143" s="157"/>
      <c r="AG143" s="157" t="s">
        <v>28</v>
      </c>
      <c r="AH143" s="569"/>
      <c r="AI143" s="490"/>
    </row>
    <row r="144" spans="1:35" ht="21.95" customHeight="1">
      <c r="A144" s="1"/>
      <c r="B144" s="1290">
        <v>8514</v>
      </c>
      <c r="C144" s="157" t="s">
        <v>124</v>
      </c>
      <c r="D144" s="157"/>
      <c r="E144" s="157"/>
      <c r="F144" s="157"/>
      <c r="G144" s="897" t="s">
        <v>124</v>
      </c>
      <c r="H144" s="157"/>
      <c r="I144" s="157"/>
      <c r="J144" s="157"/>
      <c r="K144" s="897" t="s">
        <v>124</v>
      </c>
      <c r="L144" s="157"/>
      <c r="M144" s="157"/>
      <c r="N144" s="157"/>
      <c r="O144" s="897" t="s">
        <v>124</v>
      </c>
      <c r="P144" s="157"/>
      <c r="Q144" s="157"/>
      <c r="R144" s="157"/>
      <c r="S144" s="897" t="s">
        <v>562</v>
      </c>
      <c r="T144" s="157"/>
      <c r="U144" s="157"/>
      <c r="V144" s="157"/>
      <c r="W144" s="157"/>
      <c r="X144" s="897"/>
      <c r="Y144" s="157"/>
      <c r="Z144" s="568"/>
      <c r="AA144" s="121"/>
      <c r="AB144" s="157"/>
      <c r="AC144" s="157"/>
      <c r="AD144" s="569"/>
      <c r="AE144" s="121"/>
      <c r="AF144" s="157"/>
      <c r="AG144" s="157"/>
      <c r="AH144" s="569"/>
      <c r="AI144" s="490"/>
    </row>
    <row r="145" spans="1:35" ht="21.95" customHeight="1">
      <c r="A145" s="1"/>
      <c r="B145" s="1290">
        <v>8500</v>
      </c>
      <c r="C145" s="55" t="s">
        <v>11</v>
      </c>
      <c r="D145" s="55"/>
      <c r="E145" s="55"/>
      <c r="F145" s="55"/>
      <c r="G145" s="1293" t="s">
        <v>11</v>
      </c>
      <c r="H145" s="55"/>
      <c r="I145" s="55"/>
      <c r="J145" s="55"/>
      <c r="K145" s="1293" t="s">
        <v>11</v>
      </c>
      <c r="L145" s="55"/>
      <c r="M145" s="55"/>
      <c r="N145" s="55"/>
      <c r="O145" s="1293" t="s">
        <v>11</v>
      </c>
      <c r="P145" s="55"/>
      <c r="Q145" s="55"/>
      <c r="R145" s="55"/>
      <c r="S145" s="1293" t="s">
        <v>12</v>
      </c>
      <c r="T145" s="55"/>
      <c r="U145" s="55"/>
      <c r="V145" s="55"/>
      <c r="W145" s="55"/>
      <c r="X145" s="1293"/>
      <c r="Y145" s="55"/>
      <c r="Z145" s="615"/>
      <c r="AA145" s="614"/>
      <c r="AB145" s="55"/>
      <c r="AC145" s="55"/>
      <c r="AD145" s="615"/>
      <c r="AE145" s="614"/>
      <c r="AF145" s="55"/>
      <c r="AG145" s="55"/>
      <c r="AH145" s="598"/>
      <c r="AI145" s="611"/>
    </row>
    <row r="146" spans="1:35" ht="21.95" customHeight="1">
      <c r="A146" s="1"/>
      <c r="B146" s="1290">
        <v>8514</v>
      </c>
      <c r="C146" s="616" t="s">
        <v>124</v>
      </c>
      <c r="D146" s="616"/>
      <c r="E146" s="616"/>
      <c r="F146" s="616"/>
      <c r="G146" s="1294" t="s">
        <v>124</v>
      </c>
      <c r="H146" s="616"/>
      <c r="I146" s="616"/>
      <c r="J146" s="616"/>
      <c r="K146" s="1294" t="s">
        <v>124</v>
      </c>
      <c r="L146" s="616"/>
      <c r="M146" s="616"/>
      <c r="N146" s="616"/>
      <c r="O146" s="1294" t="s">
        <v>124</v>
      </c>
      <c r="P146" s="616"/>
      <c r="Q146" s="616"/>
      <c r="R146" s="616"/>
      <c r="S146" s="1294" t="s">
        <v>562</v>
      </c>
      <c r="T146" s="616"/>
      <c r="U146" s="616"/>
      <c r="V146" s="616"/>
      <c r="W146" s="616"/>
      <c r="X146" s="1297"/>
      <c r="Y146" s="55"/>
      <c r="Z146" s="608"/>
      <c r="AA146" s="14"/>
      <c r="AB146" s="609"/>
      <c r="AC146" s="55"/>
      <c r="AD146" s="55"/>
      <c r="AE146" s="610"/>
      <c r="AF146" s="55"/>
      <c r="AG146" s="55"/>
      <c r="AH146" s="55"/>
      <c r="AI146" s="611"/>
    </row>
    <row r="147" spans="1:35" ht="21.95" customHeight="1" thickBot="1">
      <c r="A147" s="1"/>
      <c r="B147" s="1291" t="s">
        <v>563</v>
      </c>
      <c r="C147" s="53" t="s">
        <v>564</v>
      </c>
      <c r="D147" s="53"/>
      <c r="E147" s="53"/>
      <c r="F147" s="53"/>
      <c r="G147" s="1295" t="s">
        <v>564</v>
      </c>
      <c r="H147" s="53"/>
      <c r="I147" s="53"/>
      <c r="J147" s="53"/>
      <c r="K147" s="53" t="s">
        <v>564</v>
      </c>
      <c r="L147" s="53"/>
      <c r="M147" s="53"/>
      <c r="N147" s="53"/>
      <c r="O147" s="1295" t="s">
        <v>564</v>
      </c>
      <c r="P147" s="53"/>
      <c r="Q147" s="53"/>
      <c r="R147" s="53"/>
      <c r="S147" s="1295" t="s">
        <v>565</v>
      </c>
      <c r="T147" s="53"/>
      <c r="U147" s="53"/>
      <c r="V147" s="53"/>
      <c r="W147" s="53"/>
      <c r="X147" s="1295"/>
      <c r="Y147" s="53"/>
      <c r="Z147" s="575"/>
      <c r="AA147" s="574"/>
      <c r="AB147" s="53"/>
      <c r="AC147" s="53"/>
      <c r="AD147" s="577"/>
      <c r="AE147" s="618"/>
      <c r="AF147" s="53"/>
      <c r="AG147" s="53" t="s">
        <v>28</v>
      </c>
      <c r="AH147" s="577"/>
      <c r="AI147" s="539"/>
    </row>
    <row r="148" spans="1:35" ht="21.95" customHeight="1">
      <c r="A148" s="1"/>
      <c r="B148" s="72"/>
      <c r="C148" s="312"/>
      <c r="F148" s="354"/>
      <c r="G148" s="312"/>
      <c r="J148" s="354"/>
      <c r="K148" s="312"/>
      <c r="N148" s="354"/>
      <c r="O148" s="312"/>
      <c r="R148" s="354"/>
      <c r="S148" s="312"/>
      <c r="V148" s="354"/>
      <c r="W148" s="354"/>
      <c r="Z148" s="354"/>
      <c r="AA148" s="354"/>
      <c r="AD148" s="354"/>
      <c r="AE148" s="354"/>
      <c r="AH148" s="354"/>
    </row>
    <row r="149" spans="1:35" ht="21.95" customHeight="1" thickBot="1">
      <c r="A149" s="1" t="s">
        <v>509</v>
      </c>
      <c r="B149" s="72"/>
      <c r="C149" s="312"/>
      <c r="F149" s="354"/>
      <c r="G149" s="312"/>
      <c r="J149" s="354"/>
      <c r="K149" s="312"/>
      <c r="N149" s="354"/>
      <c r="O149" s="312"/>
      <c r="R149" s="354"/>
      <c r="S149" s="312"/>
      <c r="V149" s="354"/>
      <c r="W149" s="354"/>
      <c r="Z149" s="354"/>
      <c r="AA149" s="354"/>
      <c r="AD149" s="354"/>
      <c r="AE149" s="354"/>
      <c r="AH149" s="354"/>
    </row>
    <row r="150" spans="1:35" ht="21.95" customHeight="1">
      <c r="A150" s="556"/>
      <c r="B150" s="297" t="s">
        <v>480</v>
      </c>
      <c r="C150" s="1235">
        <v>1</v>
      </c>
      <c r="D150" s="1234">
        <v>2</v>
      </c>
      <c r="E150" s="1234">
        <v>3</v>
      </c>
      <c r="F150" s="1235">
        <v>4</v>
      </c>
      <c r="G150" s="1235">
        <v>5</v>
      </c>
      <c r="H150" s="1234">
        <v>6</v>
      </c>
      <c r="I150" s="1213">
        <v>7</v>
      </c>
      <c r="J150" s="1213">
        <v>8</v>
      </c>
      <c r="K150" s="1235">
        <v>9</v>
      </c>
      <c r="L150" s="1234">
        <v>10</v>
      </c>
      <c r="M150" s="1235">
        <v>11</v>
      </c>
      <c r="N150" s="1235">
        <v>12</v>
      </c>
      <c r="O150" s="1234">
        <v>13</v>
      </c>
      <c r="P150" s="1213">
        <v>14</v>
      </c>
      <c r="Q150" s="1213">
        <v>15</v>
      </c>
      <c r="R150" s="1234">
        <v>16</v>
      </c>
      <c r="S150" s="1234">
        <v>17</v>
      </c>
      <c r="T150" s="1235">
        <v>18</v>
      </c>
      <c r="U150" s="1235">
        <v>19</v>
      </c>
      <c r="V150" s="1330">
        <v>20</v>
      </c>
      <c r="W150" s="1213">
        <v>21</v>
      </c>
      <c r="X150" s="1213">
        <v>22</v>
      </c>
      <c r="Y150" s="1234">
        <v>23</v>
      </c>
      <c r="Z150" s="1234">
        <v>24</v>
      </c>
      <c r="AA150" s="1235">
        <v>25</v>
      </c>
      <c r="AB150" s="1235">
        <v>26</v>
      </c>
      <c r="AC150" s="1234">
        <v>27</v>
      </c>
      <c r="AD150" s="1213">
        <v>28</v>
      </c>
      <c r="AE150" s="1213">
        <v>29</v>
      </c>
      <c r="AF150" s="1234">
        <v>30</v>
      </c>
      <c r="AG150" s="1234">
        <v>31</v>
      </c>
      <c r="AH150" s="498" t="s">
        <v>481</v>
      </c>
      <c r="AI150" s="499" t="s">
        <v>482</v>
      </c>
    </row>
    <row r="151" spans="1:35" ht="21.95" customHeight="1">
      <c r="A151" s="556"/>
      <c r="B151" s="1236" t="s">
        <v>566</v>
      </c>
      <c r="C151" s="1215"/>
      <c r="D151" s="1338" t="s">
        <v>535</v>
      </c>
      <c r="E151" s="1338" t="s">
        <v>535</v>
      </c>
      <c r="F151" s="1215"/>
      <c r="G151" s="1215"/>
      <c r="H151" s="1215" t="s">
        <v>535</v>
      </c>
      <c r="I151" s="1215" t="s">
        <v>535</v>
      </c>
      <c r="J151" s="1215" t="s">
        <v>535</v>
      </c>
      <c r="K151" s="1215"/>
      <c r="L151" s="1215" t="s">
        <v>535</v>
      </c>
      <c r="M151" s="1215"/>
      <c r="N151" s="1215"/>
      <c r="O151" s="1215" t="s">
        <v>535</v>
      </c>
      <c r="P151" s="1215" t="s">
        <v>535</v>
      </c>
      <c r="Q151" s="1215" t="s">
        <v>535</v>
      </c>
      <c r="R151" s="1215" t="s">
        <v>535</v>
      </c>
      <c r="S151" s="1215" t="s">
        <v>535</v>
      </c>
      <c r="T151" s="1215"/>
      <c r="U151" s="1215"/>
      <c r="V151" s="1215"/>
      <c r="W151" s="1215" t="s">
        <v>535</v>
      </c>
      <c r="X151" s="1215" t="s">
        <v>535</v>
      </c>
      <c r="Y151" s="1215" t="s">
        <v>535</v>
      </c>
      <c r="Z151" s="1215" t="s">
        <v>535</v>
      </c>
      <c r="AA151" s="1215"/>
      <c r="AB151" s="1215"/>
      <c r="AC151" s="1215" t="s">
        <v>535</v>
      </c>
      <c r="AD151" s="1215" t="s">
        <v>535</v>
      </c>
      <c r="AE151" s="1215" t="s">
        <v>535</v>
      </c>
      <c r="AF151" s="1215" t="s">
        <v>535</v>
      </c>
      <c r="AG151" s="1215" t="s">
        <v>535</v>
      </c>
      <c r="AH151" s="603">
        <v>185</v>
      </c>
      <c r="AI151" s="604">
        <v>37</v>
      </c>
    </row>
    <row r="152" spans="1:35" ht="21.95" customHeight="1">
      <c r="A152" s="620">
        <v>8500</v>
      </c>
      <c r="B152" s="1237" t="s">
        <v>151</v>
      </c>
      <c r="C152" s="1342"/>
      <c r="D152" s="1342" t="s">
        <v>535</v>
      </c>
      <c r="E152" s="1342" t="s">
        <v>535</v>
      </c>
      <c r="F152" s="1342"/>
      <c r="G152" s="1342"/>
      <c r="H152" s="1215" t="s">
        <v>535</v>
      </c>
      <c r="I152" s="1215" t="s">
        <v>535</v>
      </c>
      <c r="J152" s="1215" t="s">
        <v>535</v>
      </c>
      <c r="K152" s="1215"/>
      <c r="L152" s="1335" t="s">
        <v>535</v>
      </c>
      <c r="M152" s="1215"/>
      <c r="N152" s="1215"/>
      <c r="O152" s="1215" t="s">
        <v>535</v>
      </c>
      <c r="P152" s="1215" t="s">
        <v>535</v>
      </c>
      <c r="Q152" s="1215" t="s">
        <v>535</v>
      </c>
      <c r="R152" s="1215" t="s">
        <v>535</v>
      </c>
      <c r="S152" s="1215" t="s">
        <v>535</v>
      </c>
      <c r="T152" s="1215"/>
      <c r="U152" s="1215"/>
      <c r="V152" s="1215"/>
      <c r="W152" s="1215" t="s">
        <v>535</v>
      </c>
      <c r="X152" s="1215" t="s">
        <v>535</v>
      </c>
      <c r="Y152" s="1215" t="s">
        <v>535</v>
      </c>
      <c r="Z152" s="1215" t="s">
        <v>535</v>
      </c>
      <c r="AA152" s="1215"/>
      <c r="AB152" s="1215"/>
      <c r="AC152" s="1342" t="s">
        <v>535</v>
      </c>
      <c r="AD152" s="1342" t="s">
        <v>535</v>
      </c>
      <c r="AE152" s="1215" t="s">
        <v>535</v>
      </c>
      <c r="AF152" s="1215" t="s">
        <v>535</v>
      </c>
      <c r="AG152" s="1215" t="s">
        <v>535</v>
      </c>
      <c r="AH152" s="603">
        <v>185</v>
      </c>
      <c r="AI152" s="604">
        <v>37</v>
      </c>
    </row>
    <row r="153" spans="1:35" ht="21" customHeight="1">
      <c r="A153" s="442"/>
      <c r="B153" s="1236" t="s">
        <v>567</v>
      </c>
      <c r="C153" s="1215"/>
      <c r="D153" s="1215" t="s">
        <v>535</v>
      </c>
      <c r="E153" s="1215" t="s">
        <v>535</v>
      </c>
      <c r="F153" s="1215"/>
      <c r="G153" s="1215"/>
      <c r="H153" s="1342" t="s">
        <v>535</v>
      </c>
      <c r="I153" s="1215" t="s">
        <v>535</v>
      </c>
      <c r="J153" s="1215" t="s">
        <v>535</v>
      </c>
      <c r="K153" s="1215"/>
      <c r="L153" s="1215" t="s">
        <v>535</v>
      </c>
      <c r="M153" s="1215"/>
      <c r="N153" s="1215"/>
      <c r="O153" s="1342" t="s">
        <v>535</v>
      </c>
      <c r="P153" s="1215" t="s">
        <v>535</v>
      </c>
      <c r="Q153" s="1215" t="s">
        <v>535</v>
      </c>
      <c r="R153" s="1215" t="s">
        <v>535</v>
      </c>
      <c r="S153" s="1215" t="s">
        <v>535</v>
      </c>
      <c r="T153" s="1215"/>
      <c r="U153" s="1215"/>
      <c r="V153" s="1215"/>
      <c r="W153" s="1215" t="s">
        <v>535</v>
      </c>
      <c r="X153" s="1215" t="s">
        <v>535</v>
      </c>
      <c r="Y153" s="1215" t="s">
        <v>535</v>
      </c>
      <c r="Z153" s="1215" t="s">
        <v>535</v>
      </c>
      <c r="AA153" s="1215"/>
      <c r="AB153" s="1215"/>
      <c r="AC153" s="1342" t="s">
        <v>535</v>
      </c>
      <c r="AD153" s="1342" t="s">
        <v>535</v>
      </c>
      <c r="AE153" s="1215" t="s">
        <v>535</v>
      </c>
      <c r="AF153" s="1215" t="s">
        <v>535</v>
      </c>
      <c r="AG153" s="1215" t="s">
        <v>535</v>
      </c>
      <c r="AH153" s="603">
        <v>222</v>
      </c>
      <c r="AI153" s="604">
        <v>37</v>
      </c>
    </row>
    <row r="154" spans="1:35" ht="21" customHeight="1">
      <c r="A154" s="442">
        <v>8521</v>
      </c>
      <c r="B154" s="1236" t="s">
        <v>568</v>
      </c>
      <c r="C154" s="1215"/>
      <c r="D154" s="1215" t="s">
        <v>535</v>
      </c>
      <c r="E154" s="1215" t="s">
        <v>535</v>
      </c>
      <c r="F154" s="1215"/>
      <c r="G154" s="1215"/>
      <c r="H154" s="1215" t="s">
        <v>535</v>
      </c>
      <c r="I154" s="1215" t="s">
        <v>535</v>
      </c>
      <c r="J154" s="1215" t="s">
        <v>535</v>
      </c>
      <c r="K154" s="1215"/>
      <c r="L154" s="1215" t="s">
        <v>535</v>
      </c>
      <c r="M154" s="1215"/>
      <c r="N154" s="1215"/>
      <c r="O154" s="1215" t="s">
        <v>535</v>
      </c>
      <c r="P154" s="1215" t="s">
        <v>535</v>
      </c>
      <c r="Q154" s="1215" t="s">
        <v>535</v>
      </c>
      <c r="R154" s="1215" t="s">
        <v>535</v>
      </c>
      <c r="S154" s="1335" t="s">
        <v>535</v>
      </c>
      <c r="T154" s="1215"/>
      <c r="U154" s="1215"/>
      <c r="V154" s="1215"/>
      <c r="W154" s="1335" t="s">
        <v>535</v>
      </c>
      <c r="X154" s="1215" t="s">
        <v>535</v>
      </c>
      <c r="Y154" s="1215" t="s">
        <v>535</v>
      </c>
      <c r="Z154" s="1215" t="s">
        <v>535</v>
      </c>
      <c r="AA154" s="1215"/>
      <c r="AB154" s="1215"/>
      <c r="AC154" s="1342" t="s">
        <v>535</v>
      </c>
      <c r="AD154" s="1342" t="s">
        <v>535</v>
      </c>
      <c r="AE154" s="1215" t="s">
        <v>535</v>
      </c>
      <c r="AF154" s="1215" t="s">
        <v>535</v>
      </c>
      <c r="AG154" s="1215" t="s">
        <v>535</v>
      </c>
      <c r="AH154" s="603">
        <v>222</v>
      </c>
      <c r="AI154" s="604">
        <v>37</v>
      </c>
    </row>
    <row r="155" spans="1:35" ht="21" customHeight="1">
      <c r="A155" s="442"/>
      <c r="B155" s="1236"/>
      <c r="C155" s="1215"/>
      <c r="D155" s="1215" t="s">
        <v>535</v>
      </c>
      <c r="E155" s="1215" t="s">
        <v>535</v>
      </c>
      <c r="F155" s="1215"/>
      <c r="G155" s="1215"/>
      <c r="H155" s="1215" t="s">
        <v>535</v>
      </c>
      <c r="I155" s="1215" t="s">
        <v>535</v>
      </c>
      <c r="J155" s="1215" t="s">
        <v>535</v>
      </c>
      <c r="K155" s="1215"/>
      <c r="L155" s="1215" t="s">
        <v>535</v>
      </c>
      <c r="M155" s="1215"/>
      <c r="N155" s="1215"/>
      <c r="O155" s="1215" t="s">
        <v>535</v>
      </c>
      <c r="P155" s="1215" t="s">
        <v>535</v>
      </c>
      <c r="Q155" s="1215" t="s">
        <v>535</v>
      </c>
      <c r="R155" s="1215" t="s">
        <v>535</v>
      </c>
      <c r="S155" s="1215" t="s">
        <v>535</v>
      </c>
      <c r="T155" s="1215"/>
      <c r="U155" s="1215"/>
      <c r="V155" s="1215"/>
      <c r="W155" s="1215" t="s">
        <v>535</v>
      </c>
      <c r="X155" s="1215" t="s">
        <v>535</v>
      </c>
      <c r="Y155" s="1215" t="s">
        <v>535</v>
      </c>
      <c r="Z155" s="1215" t="s">
        <v>535</v>
      </c>
      <c r="AA155" s="1215"/>
      <c r="AB155" s="1215"/>
      <c r="AC155" s="1215" t="s">
        <v>535</v>
      </c>
      <c r="AD155" s="1215" t="s">
        <v>535</v>
      </c>
      <c r="AE155" s="1215" t="s">
        <v>535</v>
      </c>
      <c r="AF155" s="1215" t="s">
        <v>535</v>
      </c>
      <c r="AG155" s="1215" t="s">
        <v>535</v>
      </c>
      <c r="AH155" s="603">
        <v>185</v>
      </c>
      <c r="AI155" s="604">
        <v>37</v>
      </c>
    </row>
    <row r="156" spans="1:35" ht="21" customHeight="1">
      <c r="A156" s="442">
        <v>8514</v>
      </c>
      <c r="B156" s="1238" t="s">
        <v>569</v>
      </c>
      <c r="C156" s="1215"/>
      <c r="D156" s="1215" t="s">
        <v>535</v>
      </c>
      <c r="E156" s="1215" t="s">
        <v>535</v>
      </c>
      <c r="F156" s="1215"/>
      <c r="G156" s="1215"/>
      <c r="H156" s="1215" t="s">
        <v>535</v>
      </c>
      <c r="I156" s="1215" t="s">
        <v>535</v>
      </c>
      <c r="J156" s="1215" t="s">
        <v>535</v>
      </c>
      <c r="K156" s="1215"/>
      <c r="L156" s="1215" t="s">
        <v>535</v>
      </c>
      <c r="M156" s="1215"/>
      <c r="N156" s="1215"/>
      <c r="O156" s="1215" t="s">
        <v>535</v>
      </c>
      <c r="P156" s="1215" t="s">
        <v>535</v>
      </c>
      <c r="Q156" s="1215" t="s">
        <v>535</v>
      </c>
      <c r="R156" s="1215" t="s">
        <v>535</v>
      </c>
      <c r="S156" s="1215" t="s">
        <v>535</v>
      </c>
      <c r="T156" s="1215"/>
      <c r="U156" s="1215"/>
      <c r="V156" s="1215"/>
      <c r="W156" s="1215" t="s">
        <v>535</v>
      </c>
      <c r="X156" s="1215" t="s">
        <v>535</v>
      </c>
      <c r="Y156" s="1215" t="s">
        <v>535</v>
      </c>
      <c r="Z156" s="1215" t="s">
        <v>535</v>
      </c>
      <c r="AA156" s="1215"/>
      <c r="AB156" s="1215"/>
      <c r="AC156" s="1342" t="s">
        <v>535</v>
      </c>
      <c r="AD156" s="1342" t="s">
        <v>535</v>
      </c>
      <c r="AE156" s="1215" t="s">
        <v>535</v>
      </c>
      <c r="AF156" s="1215" t="s">
        <v>535</v>
      </c>
      <c r="AG156" s="1215" t="s">
        <v>535</v>
      </c>
      <c r="AH156" s="603">
        <v>185</v>
      </c>
      <c r="AI156" s="604">
        <v>37</v>
      </c>
    </row>
    <row r="157" spans="1:35" ht="21.95" customHeight="1">
      <c r="A157" s="442">
        <v>3701</v>
      </c>
      <c r="B157" s="1236" t="s">
        <v>347</v>
      </c>
      <c r="C157" s="1392"/>
      <c r="D157" s="1392" t="s">
        <v>535</v>
      </c>
      <c r="E157" s="1392" t="s">
        <v>535</v>
      </c>
      <c r="F157" s="1392"/>
      <c r="G157" s="1392"/>
      <c r="H157" s="1392" t="s">
        <v>535</v>
      </c>
      <c r="I157" s="1392" t="s">
        <v>535</v>
      </c>
      <c r="J157" s="1392" t="s">
        <v>535</v>
      </c>
      <c r="K157" s="1392"/>
      <c r="L157" s="1392" t="s">
        <v>535</v>
      </c>
      <c r="M157" s="1392"/>
      <c r="N157" s="1392"/>
      <c r="O157" s="1392" t="s">
        <v>535</v>
      </c>
      <c r="P157" s="1392" t="s">
        <v>535</v>
      </c>
      <c r="Q157" s="1392" t="s">
        <v>535</v>
      </c>
      <c r="R157" s="1392" t="s">
        <v>535</v>
      </c>
      <c r="S157" s="1392" t="s">
        <v>535</v>
      </c>
      <c r="T157" s="1392"/>
      <c r="U157" s="1392"/>
      <c r="V157" s="1392"/>
      <c r="W157" s="1392" t="s">
        <v>535</v>
      </c>
      <c r="X157" s="1392" t="s">
        <v>535</v>
      </c>
      <c r="Y157" s="1392" t="s">
        <v>535</v>
      </c>
      <c r="Z157" s="1392" t="s">
        <v>535</v>
      </c>
      <c r="AA157" s="1392"/>
      <c r="AB157" s="1392"/>
      <c r="AC157" s="1392" t="s">
        <v>535</v>
      </c>
      <c r="AD157" s="1392" t="s">
        <v>535</v>
      </c>
      <c r="AE157" s="1392" t="s">
        <v>535</v>
      </c>
      <c r="AF157" s="1392" t="s">
        <v>535</v>
      </c>
      <c r="AG157" s="1392" t="s">
        <v>535</v>
      </c>
      <c r="AH157" s="603">
        <v>185</v>
      </c>
      <c r="AI157" s="604">
        <v>37</v>
      </c>
    </row>
    <row r="158" spans="1:35" ht="21.95" customHeight="1">
      <c r="A158" s="442">
        <v>3701</v>
      </c>
      <c r="B158" s="1236" t="s">
        <v>345</v>
      </c>
      <c r="C158" s="1215"/>
      <c r="D158" s="1215" t="s">
        <v>535</v>
      </c>
      <c r="E158" s="1215" t="s">
        <v>535</v>
      </c>
      <c r="F158" s="1215"/>
      <c r="G158" s="1215"/>
      <c r="H158" s="1215" t="s">
        <v>535</v>
      </c>
      <c r="I158" s="1215" t="s">
        <v>535</v>
      </c>
      <c r="J158" s="1215" t="s">
        <v>535</v>
      </c>
      <c r="K158" s="1215"/>
      <c r="L158" s="1215" t="s">
        <v>535</v>
      </c>
      <c r="M158" s="1215"/>
      <c r="N158" s="1215"/>
      <c r="O158" s="1215" t="s">
        <v>535</v>
      </c>
      <c r="P158" s="1215" t="s">
        <v>514</v>
      </c>
      <c r="Q158" s="1215" t="s">
        <v>535</v>
      </c>
      <c r="R158" s="1215" t="s">
        <v>535</v>
      </c>
      <c r="S158" s="1215" t="s">
        <v>535</v>
      </c>
      <c r="T158" s="1215"/>
      <c r="U158" s="1215"/>
      <c r="V158" s="1215"/>
      <c r="W158" s="1215" t="s">
        <v>535</v>
      </c>
      <c r="X158" s="1215" t="s">
        <v>535</v>
      </c>
      <c r="Y158" s="1215" t="s">
        <v>535</v>
      </c>
      <c r="Z158" s="1215" t="s">
        <v>535</v>
      </c>
      <c r="AA158" s="1215"/>
      <c r="AB158" s="1215"/>
      <c r="AC158" s="1342" t="s">
        <v>535</v>
      </c>
      <c r="AD158" s="1342" t="s">
        <v>535</v>
      </c>
      <c r="AE158" s="1215" t="s">
        <v>535</v>
      </c>
      <c r="AF158" s="1215" t="s">
        <v>535</v>
      </c>
      <c r="AG158" s="1215" t="s">
        <v>535</v>
      </c>
      <c r="AH158" s="603">
        <v>185</v>
      </c>
      <c r="AI158" s="604">
        <v>37</v>
      </c>
    </row>
    <row r="159" spans="1:35" ht="21.95" customHeight="1">
      <c r="A159" s="442">
        <v>3701</v>
      </c>
      <c r="B159" s="1236" t="s">
        <v>348</v>
      </c>
      <c r="C159" s="1215"/>
      <c r="D159" s="1345" t="s">
        <v>535</v>
      </c>
      <c r="E159" s="1345" t="s">
        <v>535</v>
      </c>
      <c r="F159" s="1215"/>
      <c r="G159" s="1215"/>
      <c r="H159" s="1345" t="s">
        <v>535</v>
      </c>
      <c r="I159" s="1345" t="s">
        <v>535</v>
      </c>
      <c r="J159" s="1345" t="s">
        <v>535</v>
      </c>
      <c r="K159" s="1215"/>
      <c r="L159" s="1346" t="s">
        <v>535</v>
      </c>
      <c r="M159" s="1215"/>
      <c r="N159" s="1215"/>
      <c r="O159" s="1392">
        <v>19</v>
      </c>
      <c r="P159" s="1392">
        <v>19</v>
      </c>
      <c r="Q159" s="1392" t="s">
        <v>514</v>
      </c>
      <c r="R159" s="1392">
        <v>19</v>
      </c>
      <c r="S159" s="1392">
        <v>19</v>
      </c>
      <c r="T159" s="1392"/>
      <c r="U159" s="1392"/>
      <c r="V159" s="1392"/>
      <c r="W159" s="1392" t="s">
        <v>570</v>
      </c>
      <c r="X159" s="1344" t="s">
        <v>535</v>
      </c>
      <c r="Y159" s="1215" t="s">
        <v>535</v>
      </c>
      <c r="Z159" s="1215" t="s">
        <v>535</v>
      </c>
      <c r="AA159" s="1215"/>
      <c r="AB159" s="1215"/>
      <c r="AC159" s="1215" t="s">
        <v>535</v>
      </c>
      <c r="AD159" s="1215" t="s">
        <v>535</v>
      </c>
      <c r="AE159" s="1215" t="s">
        <v>535</v>
      </c>
      <c r="AF159" s="1215" t="s">
        <v>535</v>
      </c>
      <c r="AG159" s="1215" t="s">
        <v>535</v>
      </c>
      <c r="AH159" s="603">
        <v>185</v>
      </c>
      <c r="AI159" s="604">
        <v>37</v>
      </c>
    </row>
    <row r="160" spans="1:35" ht="21.95" customHeight="1">
      <c r="A160" s="442">
        <v>3701</v>
      </c>
      <c r="B160" s="1236" t="s">
        <v>350</v>
      </c>
      <c r="C160" s="1215"/>
      <c r="D160" s="1215" t="s">
        <v>535</v>
      </c>
      <c r="E160" s="1215" t="s">
        <v>535</v>
      </c>
      <c r="F160" s="1215"/>
      <c r="G160" s="1215"/>
      <c r="H160" s="1215" t="s">
        <v>535</v>
      </c>
      <c r="I160" s="1215" t="s">
        <v>535</v>
      </c>
      <c r="J160" s="1215" t="s">
        <v>535</v>
      </c>
      <c r="K160" s="1215"/>
      <c r="L160" s="1335" t="s">
        <v>535</v>
      </c>
      <c r="M160" s="1215"/>
      <c r="N160" s="1215"/>
      <c r="O160" s="1215" t="s">
        <v>535</v>
      </c>
      <c r="P160" s="1215" t="s">
        <v>535</v>
      </c>
      <c r="Q160" s="1215" t="s">
        <v>535</v>
      </c>
      <c r="R160" s="1215" t="s">
        <v>535</v>
      </c>
      <c r="S160" s="1215" t="s">
        <v>535</v>
      </c>
      <c r="T160" s="1215"/>
      <c r="U160" s="1215"/>
      <c r="V160" s="1215"/>
      <c r="W160" s="1215" t="s">
        <v>535</v>
      </c>
      <c r="X160" s="1215" t="s">
        <v>535</v>
      </c>
      <c r="Y160" s="1215" t="s">
        <v>535</v>
      </c>
      <c r="Z160" s="1215" t="s">
        <v>535</v>
      </c>
      <c r="AA160" s="1215"/>
      <c r="AB160" s="1215"/>
      <c r="AC160" s="1215" t="s">
        <v>535</v>
      </c>
      <c r="AD160" s="1215" t="s">
        <v>535</v>
      </c>
      <c r="AE160" s="1215" t="s">
        <v>535</v>
      </c>
      <c r="AF160" s="1215" t="s">
        <v>535</v>
      </c>
      <c r="AG160" s="1215" t="s">
        <v>535</v>
      </c>
      <c r="AH160" s="603">
        <v>191</v>
      </c>
      <c r="AI160" s="604">
        <v>37</v>
      </c>
    </row>
    <row r="161" spans="1:35" ht="21.95" customHeight="1">
      <c r="A161" s="442">
        <v>3701</v>
      </c>
      <c r="B161" s="1236" t="s">
        <v>351</v>
      </c>
      <c r="C161" s="1215"/>
      <c r="D161" s="1215" t="s">
        <v>535</v>
      </c>
      <c r="E161" s="1215" t="s">
        <v>535</v>
      </c>
      <c r="F161" s="1215"/>
      <c r="G161" s="1215"/>
      <c r="H161" s="1215">
        <v>19</v>
      </c>
      <c r="I161" s="1215">
        <v>19</v>
      </c>
      <c r="J161" s="1215">
        <v>19</v>
      </c>
      <c r="K161" s="1215"/>
      <c r="L161" s="1215">
        <v>19</v>
      </c>
      <c r="M161" s="1215"/>
      <c r="N161" s="1215"/>
      <c r="O161" s="1215" t="s">
        <v>535</v>
      </c>
      <c r="P161" s="1215" t="s">
        <v>535</v>
      </c>
      <c r="Q161" s="1215" t="s">
        <v>535</v>
      </c>
      <c r="R161" s="1215" t="s">
        <v>535</v>
      </c>
      <c r="S161" s="1215" t="s">
        <v>535</v>
      </c>
      <c r="T161" s="1215"/>
      <c r="U161" s="1215"/>
      <c r="V161" s="1215"/>
      <c r="W161" s="1215" t="s">
        <v>535</v>
      </c>
      <c r="X161" s="1215" t="s">
        <v>535</v>
      </c>
      <c r="Y161" s="1215" t="s">
        <v>535</v>
      </c>
      <c r="Z161" s="1215" t="s">
        <v>535</v>
      </c>
      <c r="AA161" s="1215"/>
      <c r="AB161" s="1215"/>
      <c r="AC161" s="1215" t="s">
        <v>535</v>
      </c>
      <c r="AD161" s="1215" t="s">
        <v>535</v>
      </c>
      <c r="AE161" s="1215" t="s">
        <v>535</v>
      </c>
      <c r="AF161" s="1215" t="s">
        <v>535</v>
      </c>
      <c r="AG161" s="1215" t="s">
        <v>535</v>
      </c>
      <c r="AH161" s="603">
        <v>185</v>
      </c>
      <c r="AI161" s="604">
        <v>37</v>
      </c>
    </row>
    <row r="162" spans="1:35" ht="21.95" customHeight="1">
      <c r="A162" s="442">
        <v>3701</v>
      </c>
      <c r="B162" s="1236" t="s">
        <v>571</v>
      </c>
      <c r="C162" s="1215"/>
      <c r="D162" s="1215" t="s">
        <v>535</v>
      </c>
      <c r="E162" s="1215" t="s">
        <v>535</v>
      </c>
      <c r="F162" s="1215"/>
      <c r="G162" s="1215"/>
      <c r="H162" s="1215" t="s">
        <v>535</v>
      </c>
      <c r="I162" s="1215" t="s">
        <v>535</v>
      </c>
      <c r="J162" s="1215" t="s">
        <v>535</v>
      </c>
      <c r="K162" s="1215"/>
      <c r="L162" s="1335" t="s">
        <v>535</v>
      </c>
      <c r="M162" s="1215"/>
      <c r="N162" s="1215"/>
      <c r="O162" s="1215" t="s">
        <v>535</v>
      </c>
      <c r="P162" s="1215" t="s">
        <v>535</v>
      </c>
      <c r="Q162" s="1215" t="s">
        <v>535</v>
      </c>
      <c r="R162" s="1215" t="s">
        <v>535</v>
      </c>
      <c r="S162" s="1215" t="s">
        <v>535</v>
      </c>
      <c r="T162" s="1215"/>
      <c r="U162" s="1215"/>
      <c r="V162" s="1215"/>
      <c r="W162" s="1215">
        <v>19</v>
      </c>
      <c r="X162" s="1215">
        <v>19</v>
      </c>
      <c r="Y162" s="1215">
        <v>19</v>
      </c>
      <c r="Z162" s="1215">
        <v>19</v>
      </c>
      <c r="AA162" s="1215"/>
      <c r="AB162" s="1215"/>
      <c r="AC162" s="1215" t="s">
        <v>535</v>
      </c>
      <c r="AD162" s="1215" t="s">
        <v>535</v>
      </c>
      <c r="AE162" s="1215" t="s">
        <v>535</v>
      </c>
      <c r="AF162" s="1215" t="s">
        <v>535</v>
      </c>
      <c r="AG162" s="1215" t="s">
        <v>535</v>
      </c>
      <c r="AH162" s="603">
        <v>185</v>
      </c>
      <c r="AI162" s="604">
        <v>37</v>
      </c>
    </row>
    <row r="163" spans="1:35" ht="21.95" customHeight="1">
      <c r="A163" s="442">
        <v>3701</v>
      </c>
      <c r="B163" s="545" t="s">
        <v>572</v>
      </c>
      <c r="C163" s="1215"/>
      <c r="D163" s="1215">
        <v>19</v>
      </c>
      <c r="E163" s="1215">
        <v>17</v>
      </c>
      <c r="F163" s="1215"/>
      <c r="G163" s="1215"/>
      <c r="H163" s="1215" t="s">
        <v>535</v>
      </c>
      <c r="I163" s="1215" t="s">
        <v>535</v>
      </c>
      <c r="J163" s="1215" t="s">
        <v>535</v>
      </c>
      <c r="K163" s="1215"/>
      <c r="L163" s="1335" t="s">
        <v>535</v>
      </c>
      <c r="M163" s="1215"/>
      <c r="N163" s="1215"/>
      <c r="O163" s="1215" t="s">
        <v>535</v>
      </c>
      <c r="P163" s="1215" t="s">
        <v>535</v>
      </c>
      <c r="Q163" s="1215" t="s">
        <v>535</v>
      </c>
      <c r="R163" s="1215" t="s">
        <v>535</v>
      </c>
      <c r="S163" s="1215" t="s">
        <v>535</v>
      </c>
      <c r="T163" s="1215"/>
      <c r="U163" s="1215"/>
      <c r="V163" s="1215"/>
      <c r="W163" s="1215" t="s">
        <v>535</v>
      </c>
      <c r="X163" s="1215" t="s">
        <v>535</v>
      </c>
      <c r="Y163" s="1215" t="s">
        <v>535</v>
      </c>
      <c r="Z163" s="1215" t="s">
        <v>535</v>
      </c>
      <c r="AA163" s="1215"/>
      <c r="AB163" s="1215"/>
      <c r="AC163" s="1215" t="s">
        <v>535</v>
      </c>
      <c r="AD163" s="1215" t="s">
        <v>535</v>
      </c>
      <c r="AE163" s="1215" t="s">
        <v>535</v>
      </c>
      <c r="AF163" s="1215" t="s">
        <v>535</v>
      </c>
      <c r="AG163" s="1215" t="s">
        <v>535</v>
      </c>
      <c r="AH163" s="603">
        <v>185</v>
      </c>
      <c r="AI163" s="604">
        <v>37</v>
      </c>
    </row>
    <row r="164" spans="1:35" ht="21.95" customHeight="1">
      <c r="A164" s="1318">
        <v>3701</v>
      </c>
      <c r="B164" s="1319" t="s">
        <v>573</v>
      </c>
      <c r="C164" s="1215"/>
      <c r="D164" s="1215" t="s">
        <v>535</v>
      </c>
      <c r="E164" s="1215" t="s">
        <v>535</v>
      </c>
      <c r="F164" s="1215"/>
      <c r="G164" s="1215"/>
      <c r="H164" s="1215" t="s">
        <v>535</v>
      </c>
      <c r="I164" s="1215" t="s">
        <v>535</v>
      </c>
      <c r="J164" s="1215" t="s">
        <v>535</v>
      </c>
      <c r="K164" s="1215"/>
      <c r="L164" s="1335" t="s">
        <v>535</v>
      </c>
      <c r="M164" s="1215"/>
      <c r="N164" s="1215"/>
      <c r="O164" s="1215" t="s">
        <v>514</v>
      </c>
      <c r="P164" s="1215" t="s">
        <v>535</v>
      </c>
      <c r="Q164" s="1215" t="s">
        <v>535</v>
      </c>
      <c r="R164" s="1215" t="s">
        <v>535</v>
      </c>
      <c r="S164" s="1215" t="s">
        <v>535</v>
      </c>
      <c r="T164" s="1215"/>
      <c r="U164" s="1215"/>
      <c r="V164" s="1215"/>
      <c r="W164" s="1215" t="s">
        <v>535</v>
      </c>
      <c r="X164" s="1215" t="s">
        <v>535</v>
      </c>
      <c r="Y164" s="1215" t="s">
        <v>535</v>
      </c>
      <c r="Z164" s="1215" t="s">
        <v>535</v>
      </c>
      <c r="AA164" s="1215"/>
      <c r="AB164" s="1215"/>
      <c r="AC164" s="1215">
        <v>19</v>
      </c>
      <c r="AD164" s="1215">
        <v>19</v>
      </c>
      <c r="AE164" s="1215">
        <v>19</v>
      </c>
      <c r="AF164" s="1215">
        <v>19</v>
      </c>
      <c r="AG164" s="1215">
        <v>19</v>
      </c>
      <c r="AH164" s="603">
        <v>196</v>
      </c>
      <c r="AI164" s="604">
        <v>37</v>
      </c>
    </row>
    <row r="165" spans="1:35" ht="21.95" customHeight="1">
      <c r="A165" s="442">
        <v>3701</v>
      </c>
      <c r="B165" s="545" t="s">
        <v>513</v>
      </c>
      <c r="C165" s="1342"/>
      <c r="D165" s="1342" t="s">
        <v>535</v>
      </c>
      <c r="E165" s="1342" t="s">
        <v>535</v>
      </c>
      <c r="F165" s="1342"/>
      <c r="G165" s="1342"/>
      <c r="H165" s="1215" t="s">
        <v>535</v>
      </c>
      <c r="I165" s="1215" t="s">
        <v>535</v>
      </c>
      <c r="J165" s="1215" t="s">
        <v>535</v>
      </c>
      <c r="K165" s="1215"/>
      <c r="L165" s="1215" t="s">
        <v>535</v>
      </c>
      <c r="M165" s="1215"/>
      <c r="N165" s="1215"/>
      <c r="O165" s="1215" t="s">
        <v>535</v>
      </c>
      <c r="P165" s="1215" t="s">
        <v>535</v>
      </c>
      <c r="Q165" s="1215" t="s">
        <v>535</v>
      </c>
      <c r="R165" s="1215" t="s">
        <v>535</v>
      </c>
      <c r="S165" s="1215" t="s">
        <v>535</v>
      </c>
      <c r="T165" s="1215"/>
      <c r="U165" s="1215"/>
      <c r="V165" s="1215"/>
      <c r="W165" s="1215" t="s">
        <v>535</v>
      </c>
      <c r="X165" s="1215" t="s">
        <v>535</v>
      </c>
      <c r="Y165" s="1215" t="s">
        <v>535</v>
      </c>
      <c r="Z165" s="1215" t="s">
        <v>535</v>
      </c>
      <c r="AA165" s="1215"/>
      <c r="AB165" s="1215"/>
      <c r="AC165" s="1342" t="s">
        <v>535</v>
      </c>
      <c r="AD165" s="1342" t="s">
        <v>535</v>
      </c>
      <c r="AE165" s="1215" t="s">
        <v>535</v>
      </c>
      <c r="AF165" s="1215" t="s">
        <v>535</v>
      </c>
      <c r="AG165" s="1215" t="s">
        <v>535</v>
      </c>
      <c r="AH165" s="603">
        <v>185</v>
      </c>
      <c r="AI165" s="604">
        <v>37</v>
      </c>
    </row>
    <row r="166" spans="1:35" ht="21.95" customHeight="1">
      <c r="A166" s="442">
        <v>3701</v>
      </c>
      <c r="B166" s="1236" t="s">
        <v>574</v>
      </c>
      <c r="C166" s="1215"/>
      <c r="D166" s="1215" t="s">
        <v>535</v>
      </c>
      <c r="E166" s="1215" t="s">
        <v>535</v>
      </c>
      <c r="F166" s="1215"/>
      <c r="G166" s="1215"/>
      <c r="H166" s="1215" t="s">
        <v>535</v>
      </c>
      <c r="I166" s="1215" t="s">
        <v>535</v>
      </c>
      <c r="J166" s="1215" t="s">
        <v>535</v>
      </c>
      <c r="K166" s="1215"/>
      <c r="L166" s="1215" t="s">
        <v>535</v>
      </c>
      <c r="M166" s="1215"/>
      <c r="N166" s="1215"/>
      <c r="O166" s="1215" t="s">
        <v>535</v>
      </c>
      <c r="P166" s="1215" t="s">
        <v>535</v>
      </c>
      <c r="Q166" s="1215" t="s">
        <v>535</v>
      </c>
      <c r="R166" s="1215" t="s">
        <v>535</v>
      </c>
      <c r="S166" s="1215" t="s">
        <v>535</v>
      </c>
      <c r="T166" s="1215"/>
      <c r="U166" s="1215"/>
      <c r="V166" s="1215"/>
      <c r="W166" s="1215" t="s">
        <v>535</v>
      </c>
      <c r="X166" s="1215" t="s">
        <v>535</v>
      </c>
      <c r="Y166" s="1215" t="s">
        <v>535</v>
      </c>
      <c r="Z166" s="1215" t="s">
        <v>535</v>
      </c>
      <c r="AA166" s="1215"/>
      <c r="AB166" s="1215"/>
      <c r="AC166" s="1215" t="s">
        <v>535</v>
      </c>
      <c r="AD166" s="1215" t="s">
        <v>535</v>
      </c>
      <c r="AE166" s="1215" t="s">
        <v>535</v>
      </c>
      <c r="AF166" s="1215" t="s">
        <v>535</v>
      </c>
      <c r="AG166" s="1215" t="s">
        <v>535</v>
      </c>
      <c r="AH166" s="603">
        <v>185</v>
      </c>
      <c r="AI166" s="604">
        <v>37</v>
      </c>
    </row>
    <row r="167" spans="1:35" ht="21.95" customHeight="1">
      <c r="A167" s="442">
        <v>3701</v>
      </c>
      <c r="B167" s="1239" t="s">
        <v>575</v>
      </c>
      <c r="C167" s="1215"/>
      <c r="D167" s="1215" t="s">
        <v>535</v>
      </c>
      <c r="E167" s="1215" t="s">
        <v>535</v>
      </c>
      <c r="F167" s="1215"/>
      <c r="G167" s="1215"/>
      <c r="H167" s="1215" t="s">
        <v>535</v>
      </c>
      <c r="I167" s="1215" t="s">
        <v>535</v>
      </c>
      <c r="J167" s="1215" t="s">
        <v>535</v>
      </c>
      <c r="K167" s="1215"/>
      <c r="L167" s="1215" t="s">
        <v>535</v>
      </c>
      <c r="M167" s="1215"/>
      <c r="N167" s="1215"/>
      <c r="O167" s="1215" t="s">
        <v>535</v>
      </c>
      <c r="P167" s="1215" t="s">
        <v>535</v>
      </c>
      <c r="Q167" s="1215" t="s">
        <v>535</v>
      </c>
      <c r="R167" s="1215" t="s">
        <v>535</v>
      </c>
      <c r="S167" s="1215" t="s">
        <v>535</v>
      </c>
      <c r="T167" s="1215"/>
      <c r="U167" s="1215"/>
      <c r="V167" s="1215"/>
      <c r="W167" s="1215" t="s">
        <v>535</v>
      </c>
      <c r="X167" s="1215" t="s">
        <v>535</v>
      </c>
      <c r="Y167" s="1215" t="s">
        <v>535</v>
      </c>
      <c r="Z167" s="1215" t="s">
        <v>535</v>
      </c>
      <c r="AA167" s="1215"/>
      <c r="AB167" s="1215"/>
      <c r="AC167" s="1215" t="s">
        <v>535</v>
      </c>
      <c r="AD167" s="1215" t="s">
        <v>535</v>
      </c>
      <c r="AE167" s="1215" t="s">
        <v>535</v>
      </c>
      <c r="AF167" s="1215" t="s">
        <v>535</v>
      </c>
      <c r="AG167" s="1215" t="s">
        <v>535</v>
      </c>
      <c r="AH167" s="603">
        <v>198</v>
      </c>
      <c r="AI167" s="604">
        <v>37</v>
      </c>
    </row>
    <row r="168" spans="1:35" ht="21.95" customHeight="1">
      <c r="A168" s="903">
        <v>3701</v>
      </c>
      <c r="B168" s="1240" t="s">
        <v>576</v>
      </c>
      <c r="C168" s="1229"/>
      <c r="D168" s="1215" t="s">
        <v>535</v>
      </c>
      <c r="E168" s="1215" t="s">
        <v>535</v>
      </c>
      <c r="F168" s="1215"/>
      <c r="G168" s="1215"/>
      <c r="H168" s="1215" t="s">
        <v>535</v>
      </c>
      <c r="I168" s="1344" t="s">
        <v>535</v>
      </c>
      <c r="J168" s="1344" t="s">
        <v>535</v>
      </c>
      <c r="K168" s="1344"/>
      <c r="L168" s="1344" t="s">
        <v>535</v>
      </c>
      <c r="M168" s="1344"/>
      <c r="N168" s="1344"/>
      <c r="O168" s="1344" t="s">
        <v>535</v>
      </c>
      <c r="P168" s="1344" t="s">
        <v>535</v>
      </c>
      <c r="Q168" s="1344" t="s">
        <v>535</v>
      </c>
      <c r="R168" s="1344" t="s">
        <v>535</v>
      </c>
      <c r="S168" s="1344" t="s">
        <v>535</v>
      </c>
      <c r="T168" s="1344"/>
      <c r="U168" s="1344"/>
      <c r="V168" s="1344"/>
      <c r="W168" s="1344" t="s">
        <v>535</v>
      </c>
      <c r="X168" s="1344" t="s">
        <v>535</v>
      </c>
      <c r="Y168" s="1344" t="s">
        <v>535</v>
      </c>
      <c r="Z168" s="1344" t="s">
        <v>535</v>
      </c>
      <c r="AA168" s="1344"/>
      <c r="AB168" s="1344"/>
      <c r="AC168" s="1344" t="s">
        <v>535</v>
      </c>
      <c r="AD168" s="1344" t="s">
        <v>535</v>
      </c>
      <c r="AE168" s="1215" t="s">
        <v>535</v>
      </c>
      <c r="AF168" s="1215" t="s">
        <v>535</v>
      </c>
      <c r="AG168" s="1215" t="s">
        <v>535</v>
      </c>
      <c r="AH168" s="904"/>
      <c r="AI168" s="904"/>
    </row>
    <row r="169" spans="1:35" ht="21.95" customHeight="1">
      <c r="A169" s="578"/>
      <c r="B169" s="621"/>
      <c r="C169" s="559"/>
      <c r="D169" s="559"/>
      <c r="E169" s="559"/>
      <c r="F169" s="559"/>
      <c r="G169" s="559"/>
      <c r="H169" s="559"/>
      <c r="I169" s="559"/>
      <c r="J169" s="559"/>
      <c r="K169" s="520"/>
      <c r="L169" s="559"/>
      <c r="M169" s="559"/>
      <c r="N169" s="559"/>
      <c r="O169" s="559"/>
      <c r="P169" s="541"/>
      <c r="Q169" s="541"/>
      <c r="R169" s="541"/>
      <c r="S169" s="559"/>
      <c r="T169" s="559"/>
      <c r="U169" s="559"/>
      <c r="V169" s="559"/>
      <c r="W169" s="559"/>
      <c r="X169" s="559"/>
      <c r="Y169" s="559"/>
      <c r="Z169" s="559"/>
      <c r="AA169" s="559"/>
      <c r="AB169" s="559"/>
      <c r="AC169" s="559"/>
      <c r="AD169" s="559"/>
      <c r="AE169" s="559"/>
      <c r="AF169" s="559"/>
      <c r="AG169" s="559"/>
      <c r="AH169" s="560"/>
      <c r="AI169" s="560"/>
    </row>
    <row r="170" spans="1:35" ht="21" customHeight="1" thickBot="1">
      <c r="A170" s="1" t="s">
        <v>577</v>
      </c>
    </row>
    <row r="171" spans="1:35" ht="21" customHeight="1">
      <c r="B171" s="201" t="s">
        <v>516</v>
      </c>
      <c r="C171" s="7"/>
      <c r="D171" s="525" t="s">
        <v>2</v>
      </c>
      <c r="E171" s="51"/>
      <c r="F171" s="551"/>
      <c r="G171" s="7"/>
      <c r="H171" s="525" t="s">
        <v>3</v>
      </c>
      <c r="I171" s="51"/>
      <c r="J171" s="551"/>
      <c r="K171" s="7"/>
      <c r="L171" s="525" t="s">
        <v>4</v>
      </c>
      <c r="M171" s="51"/>
      <c r="N171" s="551"/>
      <c r="O171" s="7"/>
      <c r="P171" s="525" t="s">
        <v>5</v>
      </c>
      <c r="Q171" s="51"/>
      <c r="R171" s="551"/>
      <c r="S171" s="7"/>
      <c r="T171" s="525" t="s">
        <v>6</v>
      </c>
      <c r="U171" s="51"/>
      <c r="V171" s="551"/>
      <c r="W171" s="7"/>
      <c r="X171" s="525" t="s">
        <v>7</v>
      </c>
      <c r="Y171" s="51"/>
      <c r="Z171" s="551"/>
      <c r="AA171" s="7"/>
      <c r="AB171" s="525" t="s">
        <v>8</v>
      </c>
      <c r="AC171" s="51"/>
      <c r="AD171" s="51"/>
      <c r="AE171" s="425" t="s">
        <v>10</v>
      </c>
      <c r="AF171" s="51"/>
      <c r="AG171" s="51"/>
      <c r="AH171" s="51"/>
      <c r="AI171" s="526"/>
    </row>
    <row r="172" spans="1:35" ht="21" customHeight="1">
      <c r="B172" s="9">
        <v>8502</v>
      </c>
      <c r="C172" s="14" t="s">
        <v>11</v>
      </c>
      <c r="D172" s="609"/>
      <c r="E172" s="55"/>
      <c r="F172" s="608"/>
      <c r="G172" s="14" t="s">
        <v>11</v>
      </c>
      <c r="H172" s="609"/>
      <c r="I172" s="55"/>
      <c r="J172" s="608"/>
      <c r="K172" s="14" t="s">
        <v>11</v>
      </c>
      <c r="L172" s="609"/>
      <c r="M172" s="55"/>
      <c r="N172" s="608"/>
      <c r="O172" s="14" t="s">
        <v>11</v>
      </c>
      <c r="P172" s="609"/>
      <c r="Q172" s="55"/>
      <c r="R172" s="608"/>
      <c r="S172" s="14" t="s">
        <v>12</v>
      </c>
      <c r="T172" s="609"/>
      <c r="U172" s="55"/>
      <c r="V172" s="608"/>
      <c r="W172" s="14"/>
      <c r="X172" s="609"/>
      <c r="Y172" s="55"/>
      <c r="Z172" s="608"/>
      <c r="AA172" s="14"/>
      <c r="AB172" s="609"/>
      <c r="AC172" s="55"/>
      <c r="AD172" s="55"/>
      <c r="AE172" s="610"/>
      <c r="AF172" s="55"/>
      <c r="AG172" s="55"/>
      <c r="AH172" s="55"/>
      <c r="AI172" s="611"/>
    </row>
    <row r="173" spans="1:35" ht="21" customHeight="1">
      <c r="B173" s="612">
        <v>3701</v>
      </c>
      <c r="C173" s="121" t="s">
        <v>11</v>
      </c>
      <c r="D173" s="131"/>
      <c r="E173" s="55"/>
      <c r="F173" s="608"/>
      <c r="G173" s="121" t="s">
        <v>11</v>
      </c>
      <c r="H173" s="609"/>
      <c r="I173" s="55"/>
      <c r="J173" s="608"/>
      <c r="K173" s="121" t="s">
        <v>11</v>
      </c>
      <c r="L173" s="609"/>
      <c r="M173" s="55"/>
      <c r="N173" s="608"/>
      <c r="O173" s="121" t="s">
        <v>11</v>
      </c>
      <c r="P173" s="609"/>
      <c r="Q173" s="55"/>
      <c r="R173" s="608"/>
      <c r="S173" s="14" t="s">
        <v>12</v>
      </c>
      <c r="T173" s="609"/>
      <c r="U173" s="55"/>
      <c r="V173" s="608"/>
      <c r="W173" s="14"/>
      <c r="X173" s="609"/>
      <c r="Y173" s="55"/>
      <c r="Z173" s="608"/>
      <c r="AA173" s="14"/>
      <c r="AB173" s="609"/>
      <c r="AC173" s="55"/>
      <c r="AD173" s="55"/>
      <c r="AE173" s="610"/>
      <c r="AF173" s="55"/>
      <c r="AG173" s="55"/>
      <c r="AH173" s="55"/>
      <c r="AI173" s="611"/>
    </row>
    <row r="174" spans="1:35" ht="21" customHeight="1">
      <c r="B174" s="612">
        <v>3705</v>
      </c>
      <c r="C174" s="121" t="s">
        <v>147</v>
      </c>
      <c r="D174" s="131"/>
      <c r="E174" s="55"/>
      <c r="F174" s="608"/>
      <c r="G174" s="121" t="s">
        <v>147</v>
      </c>
      <c r="H174" s="609"/>
      <c r="I174" s="55"/>
      <c r="J174" s="608"/>
      <c r="K174" s="121" t="s">
        <v>147</v>
      </c>
      <c r="L174" s="609"/>
      <c r="M174" s="55"/>
      <c r="N174" s="608"/>
      <c r="O174" s="121" t="s">
        <v>147</v>
      </c>
      <c r="P174" s="609"/>
      <c r="Q174" s="55"/>
      <c r="R174" s="608"/>
      <c r="S174" s="121" t="s">
        <v>578</v>
      </c>
      <c r="T174" s="609"/>
      <c r="U174" s="55"/>
      <c r="V174" s="608"/>
      <c r="W174" s="14"/>
      <c r="X174" s="609"/>
      <c r="Y174" s="55"/>
      <c r="Z174" s="608"/>
      <c r="AA174" s="14"/>
      <c r="AB174" s="609"/>
      <c r="AC174" s="55"/>
      <c r="AD174" s="55"/>
      <c r="AE174" s="610"/>
      <c r="AF174" s="55"/>
      <c r="AG174" s="55"/>
      <c r="AH174" s="55"/>
      <c r="AI174" s="611"/>
    </row>
    <row r="175" spans="1:35" ht="21" customHeight="1">
      <c r="B175" s="612" t="s">
        <v>579</v>
      </c>
      <c r="C175" s="567" t="s">
        <v>580</v>
      </c>
      <c r="D175" s="131"/>
      <c r="E175" s="55"/>
      <c r="F175" s="608"/>
      <c r="G175" s="567" t="s">
        <v>580</v>
      </c>
      <c r="H175" s="609"/>
      <c r="I175" s="55"/>
      <c r="J175" s="608"/>
      <c r="K175" s="567" t="s">
        <v>580</v>
      </c>
      <c r="L175" s="609"/>
      <c r="M175" s="55"/>
      <c r="N175" s="608"/>
      <c r="O175" s="567" t="s">
        <v>580</v>
      </c>
      <c r="P175" s="609"/>
      <c r="Q175" s="55"/>
      <c r="R175" s="608"/>
      <c r="S175" s="567" t="s">
        <v>580</v>
      </c>
      <c r="T175" s="609"/>
      <c r="U175" s="55"/>
      <c r="V175" s="608"/>
      <c r="W175" s="14"/>
      <c r="X175" s="609"/>
      <c r="Y175" s="55"/>
      <c r="Z175" s="608"/>
      <c r="AA175" s="14"/>
      <c r="AB175" s="609"/>
      <c r="AC175" s="55"/>
      <c r="AD175" s="55"/>
      <c r="AE175" s="610"/>
      <c r="AF175" s="55"/>
      <c r="AG175" s="55"/>
      <c r="AH175" s="55"/>
      <c r="AI175" s="611"/>
    </row>
    <row r="176" spans="1:35" ht="21" customHeight="1">
      <c r="B176" s="612" t="s">
        <v>581</v>
      </c>
      <c r="C176" s="567" t="s">
        <v>582</v>
      </c>
      <c r="D176" s="131"/>
      <c r="E176" s="55"/>
      <c r="F176" s="608"/>
      <c r="G176" s="609" t="s">
        <v>583</v>
      </c>
      <c r="H176" s="609"/>
      <c r="I176" s="55"/>
      <c r="J176" s="608"/>
      <c r="K176" s="609" t="s">
        <v>584</v>
      </c>
      <c r="L176" s="609"/>
      <c r="M176" s="55"/>
      <c r="N176" s="608"/>
      <c r="O176" s="609" t="s">
        <v>584</v>
      </c>
      <c r="P176" s="609"/>
      <c r="Q176" s="55"/>
      <c r="R176" s="608"/>
      <c r="S176" s="609" t="s">
        <v>585</v>
      </c>
      <c r="T176" s="609"/>
      <c r="U176" s="55"/>
      <c r="V176" s="608"/>
      <c r="W176" s="14"/>
      <c r="X176" s="609"/>
      <c r="Y176" s="55"/>
      <c r="Z176" s="608"/>
      <c r="AA176" s="14"/>
      <c r="AB176" s="609"/>
      <c r="AC176" s="55"/>
      <c r="AD176" s="55"/>
      <c r="AE176" s="610"/>
      <c r="AF176" s="55"/>
      <c r="AG176" s="55"/>
      <c r="AH176" s="55"/>
      <c r="AI176" s="611"/>
    </row>
    <row r="177" spans="1:35" ht="21" customHeight="1">
      <c r="B177" s="612" t="s">
        <v>164</v>
      </c>
      <c r="C177" s="567" t="s">
        <v>518</v>
      </c>
      <c r="D177" s="131"/>
      <c r="E177" s="55"/>
      <c r="F177" s="608"/>
      <c r="G177" s="567" t="s">
        <v>518</v>
      </c>
      <c r="H177" s="131"/>
      <c r="I177" s="55"/>
      <c r="J177" s="608"/>
      <c r="K177" s="567" t="s">
        <v>518</v>
      </c>
      <c r="L177" s="131"/>
      <c r="M177" s="55"/>
      <c r="N177" s="608"/>
      <c r="O177" s="567" t="s">
        <v>518</v>
      </c>
      <c r="P177" s="131"/>
      <c r="Q177" s="55"/>
      <c r="R177" s="608"/>
      <c r="S177" s="609" t="s">
        <v>519</v>
      </c>
      <c r="T177" s="609"/>
      <c r="U177" s="55"/>
      <c r="V177" s="608"/>
      <c r="W177" s="14"/>
      <c r="X177" s="609"/>
      <c r="Y177" s="55"/>
      <c r="Z177" s="608"/>
      <c r="AA177" s="14"/>
      <c r="AB177" s="609"/>
      <c r="AC177" s="55"/>
      <c r="AD177" s="55"/>
      <c r="AE177" s="610"/>
      <c r="AF177" s="55"/>
      <c r="AG177" s="55"/>
      <c r="AH177" s="55"/>
      <c r="AI177" s="611"/>
    </row>
    <row r="178" spans="1:35" ht="21" customHeight="1">
      <c r="B178" s="612" t="s">
        <v>167</v>
      </c>
      <c r="C178" s="567" t="s">
        <v>521</v>
      </c>
      <c r="D178" s="131"/>
      <c r="E178" s="55"/>
      <c r="F178" s="608"/>
      <c r="G178" s="567" t="s">
        <v>521</v>
      </c>
      <c r="H178" s="131"/>
      <c r="I178" s="55"/>
      <c r="J178" s="608"/>
      <c r="K178" s="567" t="s">
        <v>521</v>
      </c>
      <c r="L178" s="131"/>
      <c r="M178" s="55"/>
      <c r="N178" s="608"/>
      <c r="O178" s="567" t="s">
        <v>521</v>
      </c>
      <c r="P178" s="131"/>
      <c r="Q178" s="55"/>
      <c r="R178" s="608"/>
      <c r="S178" s="609" t="s">
        <v>522</v>
      </c>
      <c r="T178" s="609"/>
      <c r="U178" s="55"/>
      <c r="V178" s="608"/>
      <c r="W178" s="14"/>
      <c r="X178" s="609"/>
      <c r="Y178" s="55"/>
      <c r="Z178" s="608"/>
      <c r="AA178" s="14"/>
      <c r="AB178" s="609"/>
      <c r="AC178" s="55"/>
      <c r="AD178" s="55"/>
      <c r="AE178" s="610"/>
      <c r="AF178" s="55"/>
      <c r="AG178" s="55"/>
      <c r="AH178" s="55"/>
      <c r="AI178" s="611"/>
    </row>
    <row r="179" spans="1:35" ht="21" customHeight="1" thickBot="1">
      <c r="B179" s="617" t="s">
        <v>170</v>
      </c>
      <c r="C179" s="574" t="s">
        <v>524</v>
      </c>
      <c r="D179" s="48"/>
      <c r="E179" s="622"/>
      <c r="F179" s="240"/>
      <c r="G179" s="574" t="s">
        <v>524</v>
      </c>
      <c r="H179" s="48"/>
      <c r="I179" s="622"/>
      <c r="J179" s="240"/>
      <c r="K179" s="574" t="s">
        <v>524</v>
      </c>
      <c r="L179" s="48"/>
      <c r="M179" s="622"/>
      <c r="N179" s="240"/>
      <c r="O179" s="574" t="s">
        <v>524</v>
      </c>
      <c r="P179" s="48"/>
      <c r="Q179" s="622"/>
      <c r="R179" s="240"/>
      <c r="S179" s="149" t="s">
        <v>525</v>
      </c>
      <c r="T179" s="149"/>
      <c r="U179" s="622"/>
      <c r="V179" s="240"/>
      <c r="W179" s="623"/>
      <c r="X179" s="149"/>
      <c r="Y179" s="622"/>
      <c r="Z179" s="240"/>
      <c r="AA179" s="623"/>
      <c r="AB179" s="149"/>
      <c r="AC179" s="622"/>
      <c r="AD179" s="622"/>
      <c r="AE179" s="624"/>
      <c r="AF179" s="622"/>
      <c r="AG179" s="622"/>
      <c r="AH179" s="622"/>
      <c r="AI179" s="625"/>
    </row>
    <row r="180" spans="1:35" ht="21" customHeight="1">
      <c r="B180" s="274"/>
      <c r="C180" s="312"/>
      <c r="D180" s="72"/>
      <c r="G180" s="312"/>
      <c r="H180" s="72"/>
      <c r="K180" s="312"/>
      <c r="L180" s="72"/>
      <c r="O180" s="312"/>
      <c r="P180" s="72"/>
      <c r="S180" s="312"/>
      <c r="T180" s="312"/>
      <c r="X180" s="312"/>
      <c r="AB180" s="312"/>
      <c r="AE180" s="312"/>
    </row>
    <row r="181" spans="1:35" ht="21" customHeight="1" thickBot="1">
      <c r="A181" s="626" t="s">
        <v>586</v>
      </c>
    </row>
    <row r="182" spans="1:35" ht="21" customHeight="1">
      <c r="A182" s="556"/>
      <c r="B182" s="297" t="s">
        <v>480</v>
      </c>
      <c r="C182" s="1235">
        <v>1</v>
      </c>
      <c r="D182" s="1234">
        <v>2</v>
      </c>
      <c r="E182" s="1234">
        <v>3</v>
      </c>
      <c r="F182" s="1235">
        <v>4</v>
      </c>
      <c r="G182" s="1235">
        <v>5</v>
      </c>
      <c r="H182" s="1234">
        <v>6</v>
      </c>
      <c r="I182" s="1213">
        <v>7</v>
      </c>
      <c r="J182" s="1213">
        <v>8</v>
      </c>
      <c r="K182" s="1235">
        <v>9</v>
      </c>
      <c r="L182" s="1234">
        <v>10</v>
      </c>
      <c r="M182" s="1235">
        <v>11</v>
      </c>
      <c r="N182" s="1235">
        <v>12</v>
      </c>
      <c r="O182" s="1234">
        <v>13</v>
      </c>
      <c r="P182" s="1213">
        <v>14</v>
      </c>
      <c r="Q182" s="1213">
        <v>15</v>
      </c>
      <c r="R182" s="1234">
        <v>16</v>
      </c>
      <c r="S182" s="1234">
        <v>17</v>
      </c>
      <c r="T182" s="1235">
        <v>18</v>
      </c>
      <c r="U182" s="1235">
        <v>19</v>
      </c>
      <c r="V182" s="1330">
        <v>20</v>
      </c>
      <c r="W182" s="1213">
        <v>21</v>
      </c>
      <c r="X182" s="1213">
        <v>22</v>
      </c>
      <c r="Y182" s="1234">
        <v>23</v>
      </c>
      <c r="Z182" s="1234">
        <v>24</v>
      </c>
      <c r="AA182" s="1235">
        <v>25</v>
      </c>
      <c r="AB182" s="1235">
        <v>26</v>
      </c>
      <c r="AC182" s="1234">
        <v>27</v>
      </c>
      <c r="AD182" s="1213">
        <v>28</v>
      </c>
      <c r="AE182" s="1213">
        <v>29</v>
      </c>
      <c r="AF182" s="1234">
        <v>30</v>
      </c>
      <c r="AG182" s="1234">
        <v>31</v>
      </c>
      <c r="AH182" s="498" t="s">
        <v>481</v>
      </c>
      <c r="AI182" s="499" t="s">
        <v>482</v>
      </c>
    </row>
    <row r="183" spans="1:35" ht="21" customHeight="1">
      <c r="A183" s="442">
        <v>3702</v>
      </c>
      <c r="B183" s="153" t="s">
        <v>587</v>
      </c>
      <c r="C183" s="1343"/>
      <c r="D183" s="1343">
        <v>1</v>
      </c>
      <c r="E183" s="1343">
        <v>1</v>
      </c>
      <c r="F183" s="1342"/>
      <c r="G183" s="1343"/>
      <c r="H183" s="557">
        <v>2</v>
      </c>
      <c r="I183" s="557">
        <v>2</v>
      </c>
      <c r="J183" s="557">
        <v>2</v>
      </c>
      <c r="K183" s="557"/>
      <c r="L183" s="557">
        <v>2</v>
      </c>
      <c r="M183" s="1215"/>
      <c r="N183" s="1215"/>
      <c r="O183" s="1368">
        <v>1</v>
      </c>
      <c r="P183" s="1335" t="s">
        <v>514</v>
      </c>
      <c r="Q183" s="1368">
        <v>1</v>
      </c>
      <c r="R183" s="1368">
        <v>1</v>
      </c>
      <c r="S183" s="1368">
        <v>1</v>
      </c>
      <c r="T183" s="1215"/>
      <c r="U183" s="557"/>
      <c r="V183" s="557"/>
      <c r="W183" s="1368">
        <v>2</v>
      </c>
      <c r="X183" s="557">
        <v>2</v>
      </c>
      <c r="Y183" s="557">
        <v>2</v>
      </c>
      <c r="Z183" s="557">
        <v>2</v>
      </c>
      <c r="AA183" s="1215"/>
      <c r="AB183" s="1215"/>
      <c r="AC183" s="1343">
        <v>1</v>
      </c>
      <c r="AD183" s="1343">
        <v>1</v>
      </c>
      <c r="AE183" s="557">
        <v>1</v>
      </c>
      <c r="AF183" s="557">
        <v>1</v>
      </c>
      <c r="AG183" s="557">
        <v>1</v>
      </c>
      <c r="AH183" s="504">
        <v>185</v>
      </c>
      <c r="AI183" s="505">
        <v>37</v>
      </c>
    </row>
    <row r="184" spans="1:35" ht="21" customHeight="1">
      <c r="A184" s="442">
        <v>3701</v>
      </c>
      <c r="B184" s="153" t="s">
        <v>588</v>
      </c>
      <c r="C184" s="1343"/>
      <c r="D184" s="1343" t="s">
        <v>535</v>
      </c>
      <c r="E184" s="1343" t="s">
        <v>535</v>
      </c>
      <c r="F184" s="1342"/>
      <c r="G184" s="1343"/>
      <c r="H184" s="557" t="s">
        <v>535</v>
      </c>
      <c r="I184" s="557" t="s">
        <v>535</v>
      </c>
      <c r="J184" s="557" t="s">
        <v>535</v>
      </c>
      <c r="K184" s="557"/>
      <c r="L184" s="557" t="s">
        <v>535</v>
      </c>
      <c r="M184" s="1215"/>
      <c r="N184" s="1215"/>
      <c r="O184" s="557" t="s">
        <v>535</v>
      </c>
      <c r="P184" s="557" t="s">
        <v>535</v>
      </c>
      <c r="Q184" s="1215" t="s">
        <v>514</v>
      </c>
      <c r="R184" s="557" t="s">
        <v>535</v>
      </c>
      <c r="S184" s="557" t="s">
        <v>535</v>
      </c>
      <c r="T184" s="1215"/>
      <c r="U184" s="557"/>
      <c r="V184" s="557"/>
      <c r="W184" s="557" t="s">
        <v>535</v>
      </c>
      <c r="X184" s="557" t="s">
        <v>535</v>
      </c>
      <c r="Y184" s="557" t="s">
        <v>535</v>
      </c>
      <c r="Z184" s="557" t="s">
        <v>535</v>
      </c>
      <c r="AA184" s="1215"/>
      <c r="AB184" s="1215"/>
      <c r="AC184" s="557" t="s">
        <v>535</v>
      </c>
      <c r="AD184" s="557" t="s">
        <v>535</v>
      </c>
      <c r="AE184" s="557" t="s">
        <v>535</v>
      </c>
      <c r="AF184" s="557" t="s">
        <v>535</v>
      </c>
      <c r="AG184" s="557" t="s">
        <v>535</v>
      </c>
      <c r="AH184" s="504">
        <v>185</v>
      </c>
      <c r="AI184" s="505">
        <v>37</v>
      </c>
    </row>
    <row r="185" spans="1:35" ht="21" customHeight="1">
      <c r="A185" s="442">
        <v>3702</v>
      </c>
      <c r="B185" s="153" t="s">
        <v>589</v>
      </c>
      <c r="C185" s="557"/>
      <c r="D185" s="557">
        <v>2</v>
      </c>
      <c r="E185" s="557">
        <v>2</v>
      </c>
      <c r="F185" s="1215"/>
      <c r="G185" s="557"/>
      <c r="H185" s="557">
        <v>1</v>
      </c>
      <c r="I185" s="557">
        <v>1</v>
      </c>
      <c r="J185" s="557">
        <v>1</v>
      </c>
      <c r="K185" s="557"/>
      <c r="L185" s="1440">
        <v>1</v>
      </c>
      <c r="M185" s="1215"/>
      <c r="N185" s="1215"/>
      <c r="O185" s="1215" t="s">
        <v>514</v>
      </c>
      <c r="P185" s="557">
        <v>2</v>
      </c>
      <c r="Q185" s="557">
        <v>2</v>
      </c>
      <c r="R185" s="557">
        <v>2</v>
      </c>
      <c r="S185" s="557">
        <v>2</v>
      </c>
      <c r="T185" s="1215"/>
      <c r="U185" s="557"/>
      <c r="V185" s="557"/>
      <c r="W185" s="557">
        <v>1</v>
      </c>
      <c r="X185" s="557">
        <v>1</v>
      </c>
      <c r="Y185" s="557">
        <v>1</v>
      </c>
      <c r="Z185" s="557">
        <v>1</v>
      </c>
      <c r="AA185" s="1215"/>
      <c r="AB185" s="1215"/>
      <c r="AC185" s="557">
        <v>2</v>
      </c>
      <c r="AD185" s="557">
        <v>2</v>
      </c>
      <c r="AE185" s="557">
        <v>2</v>
      </c>
      <c r="AF185" s="557">
        <v>2</v>
      </c>
      <c r="AG185" s="557">
        <v>2</v>
      </c>
      <c r="AH185" s="504">
        <v>202</v>
      </c>
      <c r="AI185" s="505">
        <v>37</v>
      </c>
    </row>
    <row r="186" spans="1:35" ht="21" customHeight="1">
      <c r="A186" s="627">
        <v>3706</v>
      </c>
      <c r="B186" s="545"/>
      <c r="C186" s="1215"/>
      <c r="D186" s="1215"/>
      <c r="E186" s="1215"/>
      <c r="F186" s="1215"/>
      <c r="G186" s="1215"/>
      <c r="H186" s="1215"/>
      <c r="I186" s="1215"/>
      <c r="J186" s="1215"/>
      <c r="K186" s="1215"/>
      <c r="L186" s="1215"/>
      <c r="M186" s="1215"/>
      <c r="N186" s="1215"/>
      <c r="O186" s="1215"/>
      <c r="P186" s="1215"/>
      <c r="Q186" s="1215"/>
      <c r="R186" s="1215"/>
      <c r="S186" s="1215"/>
      <c r="T186" s="1215"/>
      <c r="U186" s="1215"/>
      <c r="V186" s="1215"/>
      <c r="W186" s="1215"/>
      <c r="X186" s="1215"/>
      <c r="Y186" s="1215"/>
      <c r="Z186" s="1215"/>
      <c r="AA186" s="1215"/>
      <c r="AB186" s="1215"/>
      <c r="AC186" s="1215"/>
      <c r="AD186" s="1215"/>
      <c r="AE186" s="1215"/>
      <c r="AF186" s="1215"/>
      <c r="AG186" s="1215"/>
      <c r="AH186" s="504">
        <v>202</v>
      </c>
      <c r="AI186" s="505">
        <v>37</v>
      </c>
    </row>
    <row r="187" spans="1:35" ht="21" customHeight="1">
      <c r="A187" s="628"/>
      <c r="B187" s="629" t="s">
        <v>590</v>
      </c>
      <c r="C187" s="630"/>
      <c r="D187" s="630"/>
      <c r="E187" s="630"/>
      <c r="F187" s="630"/>
      <c r="G187" s="630"/>
      <c r="H187" s="630"/>
      <c r="I187" s="630"/>
      <c r="J187" s="630"/>
      <c r="K187" s="630"/>
      <c r="L187" s="630"/>
      <c r="M187" s="630"/>
      <c r="N187" s="630"/>
      <c r="O187" s="630"/>
      <c r="P187" s="630"/>
      <c r="Q187" s="630"/>
      <c r="R187" s="630"/>
      <c r="S187" s="630"/>
      <c r="T187" s="630"/>
      <c r="U187" s="630"/>
      <c r="V187" s="630"/>
      <c r="W187" s="630"/>
      <c r="X187" s="630"/>
      <c r="Y187" s="630"/>
      <c r="Z187" s="630"/>
      <c r="AA187" s="630"/>
      <c r="AB187" s="630"/>
      <c r="AC187" s="630"/>
      <c r="AD187" s="630"/>
      <c r="AE187" s="630"/>
      <c r="AF187" s="630"/>
      <c r="AG187" s="631"/>
      <c r="AH187" s="632"/>
      <c r="AI187" s="633"/>
    </row>
    <row r="188" spans="1:35" ht="21" customHeight="1">
      <c r="A188" s="442">
        <v>3702</v>
      </c>
      <c r="B188" s="902" t="s">
        <v>520</v>
      </c>
      <c r="C188" s="1343"/>
      <c r="D188" s="1343" t="s">
        <v>591</v>
      </c>
      <c r="E188" s="1343" t="s">
        <v>591</v>
      </c>
      <c r="F188" s="1356"/>
      <c r="G188" s="1356"/>
      <c r="H188" s="557" t="s">
        <v>591</v>
      </c>
      <c r="I188" s="557" t="s">
        <v>591</v>
      </c>
      <c r="J188" s="557" t="s">
        <v>591</v>
      </c>
      <c r="K188" s="557"/>
      <c r="L188" s="557" t="s">
        <v>591</v>
      </c>
      <c r="M188" s="1231"/>
      <c r="N188" s="1215"/>
      <c r="O188" s="1215" t="s">
        <v>514</v>
      </c>
      <c r="P188" s="557" t="s">
        <v>591</v>
      </c>
      <c r="Q188" s="557" t="s">
        <v>591</v>
      </c>
      <c r="R188" s="557" t="s">
        <v>591</v>
      </c>
      <c r="S188" s="557" t="s">
        <v>591</v>
      </c>
      <c r="T188" s="1215"/>
      <c r="U188" s="1215"/>
      <c r="V188" s="557" t="s">
        <v>591</v>
      </c>
      <c r="W188" s="557" t="s">
        <v>591</v>
      </c>
      <c r="X188" s="557" t="s">
        <v>591</v>
      </c>
      <c r="Y188" s="557" t="s">
        <v>591</v>
      </c>
      <c r="Z188" s="557" t="s">
        <v>591</v>
      </c>
      <c r="AA188" s="502"/>
      <c r="AB188" s="502"/>
      <c r="AC188" s="557" t="s">
        <v>591</v>
      </c>
      <c r="AD188" s="557" t="s">
        <v>591</v>
      </c>
      <c r="AE188" s="557" t="s">
        <v>591</v>
      </c>
      <c r="AF188" s="557" t="s">
        <v>591</v>
      </c>
      <c r="AG188" s="557" t="s">
        <v>591</v>
      </c>
      <c r="AH188" s="504">
        <v>209</v>
      </c>
      <c r="AI188" s="505">
        <v>37</v>
      </c>
    </row>
    <row r="189" spans="1:35" ht="21" customHeight="1">
      <c r="A189" s="442"/>
      <c r="B189" s="153" t="s">
        <v>517</v>
      </c>
      <c r="C189" s="557"/>
      <c r="D189" s="557" t="s">
        <v>592</v>
      </c>
      <c r="E189" s="557" t="s">
        <v>592</v>
      </c>
      <c r="F189" s="502"/>
      <c r="G189" s="502"/>
      <c r="H189" s="557" t="s">
        <v>592</v>
      </c>
      <c r="I189" s="557" t="s">
        <v>592</v>
      </c>
      <c r="J189" s="557" t="s">
        <v>592</v>
      </c>
      <c r="K189" s="557"/>
      <c r="L189" s="557" t="s">
        <v>592</v>
      </c>
      <c r="M189" s="1231"/>
      <c r="N189" s="1215"/>
      <c r="O189" s="557" t="s">
        <v>592</v>
      </c>
      <c r="P189" s="1215" t="s">
        <v>514</v>
      </c>
      <c r="Q189" s="557" t="s">
        <v>592</v>
      </c>
      <c r="R189" s="557" t="s">
        <v>592</v>
      </c>
      <c r="S189" s="557" t="s">
        <v>592</v>
      </c>
      <c r="T189" s="1215"/>
      <c r="U189" s="1215"/>
      <c r="V189" s="557" t="s">
        <v>592</v>
      </c>
      <c r="W189" s="557" t="s">
        <v>592</v>
      </c>
      <c r="X189" s="557" t="s">
        <v>592</v>
      </c>
      <c r="Y189" s="557" t="s">
        <v>592</v>
      </c>
      <c r="Z189" s="557" t="s">
        <v>592</v>
      </c>
      <c r="AA189" s="502"/>
      <c r="AB189" s="502"/>
      <c r="AC189" s="557" t="s">
        <v>592</v>
      </c>
      <c r="AD189" s="557" t="s">
        <v>592</v>
      </c>
      <c r="AE189" s="557" t="s">
        <v>592</v>
      </c>
      <c r="AF189" s="557" t="s">
        <v>592</v>
      </c>
      <c r="AG189" s="557" t="s">
        <v>592</v>
      </c>
      <c r="AH189" s="504">
        <v>221</v>
      </c>
      <c r="AI189" s="505">
        <v>37</v>
      </c>
    </row>
    <row r="190" spans="1:35" ht="21" customHeight="1">
      <c r="A190" s="442"/>
      <c r="B190" s="153" t="s">
        <v>523</v>
      </c>
      <c r="C190" s="557"/>
      <c r="D190" s="557" t="s">
        <v>556</v>
      </c>
      <c r="E190" s="557" t="s">
        <v>556</v>
      </c>
      <c r="F190" s="502"/>
      <c r="G190" s="502"/>
      <c r="H190" s="557" t="s">
        <v>556</v>
      </c>
      <c r="I190" s="557" t="s">
        <v>556</v>
      </c>
      <c r="J190" s="557" t="s">
        <v>556</v>
      </c>
      <c r="K190" s="557"/>
      <c r="L190" s="557" t="s">
        <v>556</v>
      </c>
      <c r="M190" s="1231"/>
      <c r="N190" s="1215"/>
      <c r="O190" s="557" t="s">
        <v>591</v>
      </c>
      <c r="P190" s="557" t="s">
        <v>591</v>
      </c>
      <c r="Q190" s="1215" t="s">
        <v>514</v>
      </c>
      <c r="R190" s="557" t="s">
        <v>591</v>
      </c>
      <c r="S190" s="557" t="s">
        <v>591</v>
      </c>
      <c r="T190" s="1215"/>
      <c r="U190" s="1215"/>
      <c r="V190" s="557" t="s">
        <v>556</v>
      </c>
      <c r="W190" s="557" t="s">
        <v>556</v>
      </c>
      <c r="X190" s="557" t="s">
        <v>556</v>
      </c>
      <c r="Y190" s="557" t="s">
        <v>556</v>
      </c>
      <c r="Z190" s="557" t="s">
        <v>556</v>
      </c>
      <c r="AA190" s="502"/>
      <c r="AB190" s="502"/>
      <c r="AC190" s="557" t="s">
        <v>556</v>
      </c>
      <c r="AD190" s="557" t="s">
        <v>556</v>
      </c>
      <c r="AE190" s="557" t="s">
        <v>556</v>
      </c>
      <c r="AF190" s="557" t="s">
        <v>556</v>
      </c>
      <c r="AG190" s="557" t="s">
        <v>556</v>
      </c>
      <c r="AH190" s="504">
        <v>200</v>
      </c>
      <c r="AI190" s="505">
        <v>37</v>
      </c>
    </row>
    <row r="191" spans="1:35" ht="21" customHeight="1"/>
    <row r="192" spans="1:35" ht="21" customHeight="1"/>
    <row r="193" spans="1:35" ht="21" customHeight="1" thickBot="1">
      <c r="A193" s="1" t="s">
        <v>593</v>
      </c>
    </row>
    <row r="194" spans="1:35" ht="21" customHeight="1">
      <c r="B194" s="201" t="s">
        <v>516</v>
      </c>
      <c r="C194" s="7"/>
      <c r="D194" s="525" t="s">
        <v>2</v>
      </c>
      <c r="E194" s="51"/>
      <c r="F194" s="551"/>
      <c r="G194" s="7"/>
      <c r="H194" s="525" t="s">
        <v>3</v>
      </c>
      <c r="I194" s="51"/>
      <c r="J194" s="551"/>
      <c r="K194" s="7"/>
      <c r="L194" s="525" t="s">
        <v>4</v>
      </c>
      <c r="M194" s="51"/>
      <c r="N194" s="551"/>
      <c r="O194" s="7"/>
      <c r="P194" s="525" t="s">
        <v>5</v>
      </c>
      <c r="Q194" s="51"/>
      <c r="R194" s="551"/>
      <c r="S194" s="7"/>
      <c r="T194" s="525" t="s">
        <v>6</v>
      </c>
      <c r="U194" s="51"/>
      <c r="V194" s="551"/>
      <c r="W194" s="7"/>
      <c r="X194" s="525" t="s">
        <v>7</v>
      </c>
      <c r="Y194" s="51"/>
      <c r="Z194" s="551"/>
      <c r="AA194" s="7"/>
      <c r="AB194" s="525" t="s">
        <v>8</v>
      </c>
      <c r="AC194" s="51"/>
      <c r="AD194" s="51"/>
      <c r="AE194" s="425" t="s">
        <v>10</v>
      </c>
      <c r="AF194" s="51"/>
      <c r="AG194" s="51"/>
      <c r="AH194" s="51"/>
      <c r="AI194" s="526"/>
    </row>
    <row r="195" spans="1:35" ht="21" customHeight="1">
      <c r="B195" s="9">
        <v>8500</v>
      </c>
      <c r="C195" s="121" t="s">
        <v>33</v>
      </c>
      <c r="D195" s="609"/>
      <c r="E195" s="55"/>
      <c r="F195" s="608"/>
      <c r="G195" s="121" t="s">
        <v>33</v>
      </c>
      <c r="H195" s="609"/>
      <c r="I195" s="55"/>
      <c r="J195" s="608"/>
      <c r="K195" s="121" t="s">
        <v>33</v>
      </c>
      <c r="L195" s="609"/>
      <c r="M195" s="55"/>
      <c r="N195" s="608"/>
      <c r="O195" s="121" t="s">
        <v>33</v>
      </c>
      <c r="P195" s="609"/>
      <c r="Q195" s="55"/>
      <c r="R195" s="608"/>
      <c r="S195" s="121" t="s">
        <v>34</v>
      </c>
      <c r="T195" s="609"/>
      <c r="U195" s="55"/>
      <c r="V195" s="608"/>
      <c r="W195" s="14"/>
      <c r="X195" s="609"/>
      <c r="Y195" s="55"/>
      <c r="Z195" s="608"/>
      <c r="AA195" s="14"/>
      <c r="AB195" s="609"/>
      <c r="AC195" s="55"/>
      <c r="AD195" s="55"/>
      <c r="AE195" s="610"/>
      <c r="AF195" s="55"/>
      <c r="AG195" s="55"/>
      <c r="AH195" s="55"/>
      <c r="AI195" s="611"/>
    </row>
    <row r="196" spans="1:35" ht="21" customHeight="1" thickBot="1">
      <c r="B196" s="163" t="s">
        <v>594</v>
      </c>
      <c r="C196" s="634" t="s">
        <v>595</v>
      </c>
      <c r="D196" s="635"/>
      <c r="E196" s="622"/>
      <c r="F196" s="240"/>
      <c r="G196" s="634" t="s">
        <v>595</v>
      </c>
      <c r="H196" s="149"/>
      <c r="I196" s="622"/>
      <c r="J196" s="240"/>
      <c r="K196" s="634" t="s">
        <v>595</v>
      </c>
      <c r="L196" s="149"/>
      <c r="M196" s="622"/>
      <c r="N196" s="240"/>
      <c r="O196" s="634" t="s">
        <v>596</v>
      </c>
      <c r="P196" s="149"/>
      <c r="Q196" s="622"/>
      <c r="R196" s="240"/>
      <c r="S196" s="634" t="s">
        <v>16</v>
      </c>
      <c r="T196" s="149"/>
      <c r="U196" s="622"/>
      <c r="V196" s="240"/>
      <c r="W196" s="623"/>
      <c r="X196" s="149"/>
      <c r="Y196" s="622"/>
      <c r="Z196" s="240"/>
      <c r="AA196" s="623"/>
      <c r="AB196" s="149"/>
      <c r="AC196" s="622"/>
      <c r="AD196" s="622"/>
      <c r="AE196" s="624"/>
      <c r="AF196" s="622"/>
      <c r="AG196" s="622"/>
      <c r="AH196" s="622"/>
      <c r="AI196" s="625"/>
    </row>
    <row r="197" spans="1:35" ht="21" customHeight="1" thickBot="1">
      <c r="A197" s="60" t="s">
        <v>597</v>
      </c>
    </row>
    <row r="198" spans="1:35" ht="21" customHeight="1">
      <c r="A198" s="636"/>
      <c r="B198" s="297" t="s">
        <v>480</v>
      </c>
      <c r="C198" s="1235">
        <v>1</v>
      </c>
      <c r="D198" s="1234">
        <v>2</v>
      </c>
      <c r="E198" s="1234">
        <v>3</v>
      </c>
      <c r="F198" s="1235">
        <v>4</v>
      </c>
      <c r="G198" s="1235">
        <v>5</v>
      </c>
      <c r="H198" s="1234">
        <v>6</v>
      </c>
      <c r="I198" s="1213">
        <v>7</v>
      </c>
      <c r="J198" s="1213">
        <v>8</v>
      </c>
      <c r="K198" s="1235">
        <v>9</v>
      </c>
      <c r="L198" s="1234">
        <v>10</v>
      </c>
      <c r="M198" s="1235">
        <v>11</v>
      </c>
      <c r="N198" s="1235">
        <v>12</v>
      </c>
      <c r="O198" s="1234">
        <v>13</v>
      </c>
      <c r="P198" s="1213">
        <v>14</v>
      </c>
      <c r="Q198" s="1213">
        <v>15</v>
      </c>
      <c r="R198" s="1234">
        <v>16</v>
      </c>
      <c r="S198" s="1234">
        <v>17</v>
      </c>
      <c r="T198" s="1235">
        <v>18</v>
      </c>
      <c r="U198" s="1235">
        <v>19</v>
      </c>
      <c r="V198" s="1330">
        <v>20</v>
      </c>
      <c r="W198" s="1213">
        <v>21</v>
      </c>
      <c r="X198" s="1213">
        <v>22</v>
      </c>
      <c r="Y198" s="1234">
        <v>23</v>
      </c>
      <c r="Z198" s="1234">
        <v>24</v>
      </c>
      <c r="AA198" s="1235">
        <v>25</v>
      </c>
      <c r="AB198" s="1235">
        <v>26</v>
      </c>
      <c r="AC198" s="1234">
        <v>27</v>
      </c>
      <c r="AD198" s="1213">
        <v>28</v>
      </c>
      <c r="AE198" s="1213">
        <v>29</v>
      </c>
      <c r="AF198" s="1234">
        <v>30</v>
      </c>
      <c r="AG198" s="1234">
        <v>31</v>
      </c>
      <c r="AH198" s="498" t="s">
        <v>481</v>
      </c>
      <c r="AI198" s="499" t="s">
        <v>482</v>
      </c>
    </row>
    <row r="199" spans="1:35" ht="21" customHeight="1">
      <c r="A199" s="155">
        <v>8500</v>
      </c>
      <c r="B199" s="637" t="s">
        <v>598</v>
      </c>
      <c r="C199" s="1215"/>
      <c r="D199" s="1215" t="s">
        <v>535</v>
      </c>
      <c r="E199" s="1215" t="s">
        <v>535</v>
      </c>
      <c r="F199" s="1215"/>
      <c r="G199" s="1215"/>
      <c r="H199" s="1215" t="s">
        <v>535</v>
      </c>
      <c r="I199" s="1215" t="s">
        <v>535</v>
      </c>
      <c r="J199" s="1215" t="s">
        <v>535</v>
      </c>
      <c r="K199" s="1215"/>
      <c r="L199" s="1215" t="s">
        <v>535</v>
      </c>
      <c r="M199" s="1215"/>
      <c r="N199" s="1215"/>
      <c r="O199" s="1215" t="s">
        <v>514</v>
      </c>
      <c r="P199" s="1215" t="s">
        <v>535</v>
      </c>
      <c r="Q199" s="1215" t="s">
        <v>535</v>
      </c>
      <c r="R199" s="1215" t="s">
        <v>535</v>
      </c>
      <c r="S199" s="1215" t="s">
        <v>535</v>
      </c>
      <c r="T199" s="1215"/>
      <c r="U199" s="1215"/>
      <c r="V199" s="1215"/>
      <c r="W199" s="1215" t="s">
        <v>535</v>
      </c>
      <c r="X199" s="1215" t="s">
        <v>535</v>
      </c>
      <c r="Y199" s="1215" t="s">
        <v>535</v>
      </c>
      <c r="Z199" s="1215" t="s">
        <v>535</v>
      </c>
      <c r="AA199" s="1215"/>
      <c r="AB199" s="1215"/>
      <c r="AC199" s="1342" t="s">
        <v>535</v>
      </c>
      <c r="AD199" s="1342" t="s">
        <v>535</v>
      </c>
      <c r="AE199" s="1215" t="s">
        <v>535</v>
      </c>
      <c r="AF199" s="1215" t="s">
        <v>535</v>
      </c>
      <c r="AG199" s="1215" t="s">
        <v>535</v>
      </c>
      <c r="AH199" s="638">
        <v>222</v>
      </c>
      <c r="AI199" s="639">
        <v>37</v>
      </c>
    </row>
    <row r="200" spans="1:35" ht="21" customHeight="1">
      <c r="A200" s="500" t="s">
        <v>599</v>
      </c>
      <c r="B200" s="153" t="s">
        <v>600</v>
      </c>
      <c r="C200" s="1215"/>
      <c r="D200" s="1338" t="s">
        <v>535</v>
      </c>
      <c r="E200" s="1215" t="s">
        <v>535</v>
      </c>
      <c r="F200" s="1215"/>
      <c r="G200" s="1215"/>
      <c r="H200" s="1215" t="s">
        <v>535</v>
      </c>
      <c r="I200" s="1215" t="s">
        <v>535</v>
      </c>
      <c r="J200" s="1215" t="s">
        <v>535</v>
      </c>
      <c r="K200" s="1215"/>
      <c r="L200" s="1215" t="s">
        <v>535</v>
      </c>
      <c r="M200" s="1215"/>
      <c r="N200" s="1215"/>
      <c r="O200" s="1215" t="s">
        <v>535</v>
      </c>
      <c r="P200" s="1215" t="s">
        <v>514</v>
      </c>
      <c r="Q200" s="1215" t="s">
        <v>535</v>
      </c>
      <c r="R200" s="1215" t="s">
        <v>535</v>
      </c>
      <c r="S200" s="1215" t="s">
        <v>535</v>
      </c>
      <c r="T200" s="1215"/>
      <c r="U200" s="1215"/>
      <c r="V200" s="1215"/>
      <c r="W200" s="1215" t="s">
        <v>535</v>
      </c>
      <c r="X200" s="1215" t="s">
        <v>535</v>
      </c>
      <c r="Y200" s="1215" t="s">
        <v>535</v>
      </c>
      <c r="Z200" s="1215" t="s">
        <v>535</v>
      </c>
      <c r="AA200" s="1215"/>
      <c r="AB200" s="1215"/>
      <c r="AC200" s="1215" t="s">
        <v>535</v>
      </c>
      <c r="AD200" s="1215" t="s">
        <v>535</v>
      </c>
      <c r="AE200" s="1215" t="s">
        <v>535</v>
      </c>
      <c r="AF200" s="1215" t="s">
        <v>535</v>
      </c>
      <c r="AG200" s="1215" t="s">
        <v>535</v>
      </c>
      <c r="AH200" s="638">
        <v>185</v>
      </c>
      <c r="AI200" s="639">
        <v>37</v>
      </c>
    </row>
    <row r="201" spans="1:35" ht="21" customHeight="1">
      <c r="A201" s="153">
        <v>8500</v>
      </c>
      <c r="B201" s="153"/>
      <c r="C201" s="1215"/>
      <c r="D201" s="1215" t="s">
        <v>535</v>
      </c>
      <c r="E201" s="1215" t="s">
        <v>535</v>
      </c>
      <c r="F201" s="1215"/>
      <c r="G201" s="1215"/>
      <c r="H201" s="1215" t="s">
        <v>535</v>
      </c>
      <c r="I201" s="1215" t="s">
        <v>535</v>
      </c>
      <c r="J201" s="1215" t="s">
        <v>535</v>
      </c>
      <c r="K201" s="1215"/>
      <c r="L201" s="1215" t="s">
        <v>535</v>
      </c>
      <c r="M201" s="1215"/>
      <c r="N201" s="1215"/>
      <c r="O201" s="1215" t="s">
        <v>535</v>
      </c>
      <c r="P201" s="1215" t="s">
        <v>535</v>
      </c>
      <c r="Q201" s="1215" t="s">
        <v>535</v>
      </c>
      <c r="R201" s="1215" t="s">
        <v>535</v>
      </c>
      <c r="S201" s="1215" t="s">
        <v>535</v>
      </c>
      <c r="T201" s="1215"/>
      <c r="U201" s="1215"/>
      <c r="V201" s="1215"/>
      <c r="W201" s="1215" t="s">
        <v>535</v>
      </c>
      <c r="X201" s="1215" t="s">
        <v>535</v>
      </c>
      <c r="Y201" s="1215" t="s">
        <v>535</v>
      </c>
      <c r="Z201" s="1215" t="s">
        <v>535</v>
      </c>
      <c r="AA201" s="1215"/>
      <c r="AB201" s="1215"/>
      <c r="AC201" s="1215" t="s">
        <v>535</v>
      </c>
      <c r="AD201" s="1215" t="s">
        <v>535</v>
      </c>
      <c r="AE201" s="1215" t="s">
        <v>535</v>
      </c>
      <c r="AF201" s="1215" t="s">
        <v>535</v>
      </c>
      <c r="AG201" s="1215" t="s">
        <v>535</v>
      </c>
      <c r="AH201" s="638">
        <v>185</v>
      </c>
      <c r="AI201" s="639">
        <v>37</v>
      </c>
    </row>
    <row r="202" spans="1:35" ht="21.95" customHeight="1">
      <c r="A202" s="442"/>
      <c r="B202" s="153" t="s">
        <v>601</v>
      </c>
      <c r="C202" s="1215"/>
      <c r="D202" s="1215" t="s">
        <v>535</v>
      </c>
      <c r="E202" s="1215" t="s">
        <v>535</v>
      </c>
      <c r="F202" s="1215"/>
      <c r="G202" s="1215"/>
      <c r="H202" s="1215" t="s">
        <v>535</v>
      </c>
      <c r="I202" s="1215" t="s">
        <v>535</v>
      </c>
      <c r="J202" s="1215" t="s">
        <v>535</v>
      </c>
      <c r="K202" s="1215"/>
      <c r="L202" s="1215" t="s">
        <v>535</v>
      </c>
      <c r="M202" s="1215"/>
      <c r="N202" s="1215"/>
      <c r="O202" s="1215" t="s">
        <v>535</v>
      </c>
      <c r="P202" s="1215" t="s">
        <v>535</v>
      </c>
      <c r="Q202" s="1215" t="s">
        <v>514</v>
      </c>
      <c r="R202" s="1215" t="s">
        <v>535</v>
      </c>
      <c r="S202" s="1215" t="s">
        <v>535</v>
      </c>
      <c r="T202" s="1215"/>
      <c r="U202" s="1215"/>
      <c r="V202" s="1215"/>
      <c r="W202" s="1215" t="s">
        <v>535</v>
      </c>
      <c r="X202" s="1215" t="s">
        <v>535</v>
      </c>
      <c r="Y202" s="1215" t="s">
        <v>535</v>
      </c>
      <c r="Z202" s="1215" t="s">
        <v>535</v>
      </c>
      <c r="AA202" s="1215"/>
      <c r="AB202" s="1215"/>
      <c r="AC202" s="1344" t="s">
        <v>535</v>
      </c>
      <c r="AD202" s="1344" t="s">
        <v>535</v>
      </c>
      <c r="AE202" s="1215" t="s">
        <v>535</v>
      </c>
      <c r="AF202" s="1215" t="s">
        <v>535</v>
      </c>
      <c r="AG202" s="1215" t="s">
        <v>535</v>
      </c>
      <c r="AH202" s="638">
        <v>185</v>
      </c>
      <c r="AI202" s="639">
        <v>37</v>
      </c>
    </row>
    <row r="203" spans="1:35" ht="21.95" customHeight="1">
      <c r="A203" s="511">
        <v>3350</v>
      </c>
      <c r="B203" s="54" t="s">
        <v>602</v>
      </c>
      <c r="C203" s="1215"/>
      <c r="D203" s="1215" t="s">
        <v>535</v>
      </c>
      <c r="E203" s="1215" t="s">
        <v>535</v>
      </c>
      <c r="F203" s="1215"/>
      <c r="G203" s="1215"/>
      <c r="H203" s="1215" t="s">
        <v>535</v>
      </c>
      <c r="I203" s="1215" t="s">
        <v>535</v>
      </c>
      <c r="J203" s="1215" t="s">
        <v>535</v>
      </c>
      <c r="K203" s="1215"/>
      <c r="L203" s="1215" t="s">
        <v>535</v>
      </c>
      <c r="M203" s="1215"/>
      <c r="N203" s="1215"/>
      <c r="O203" s="1215" t="s">
        <v>535</v>
      </c>
      <c r="P203" s="1215" t="s">
        <v>514</v>
      </c>
      <c r="Q203" s="1215" t="s">
        <v>535</v>
      </c>
      <c r="R203" s="1215" t="s">
        <v>535</v>
      </c>
      <c r="S203" s="1215" t="s">
        <v>535</v>
      </c>
      <c r="T203" s="1215"/>
      <c r="U203" s="1215"/>
      <c r="V203" s="1215"/>
      <c r="W203" s="1215" t="s">
        <v>535</v>
      </c>
      <c r="X203" s="1215" t="s">
        <v>535</v>
      </c>
      <c r="Y203" s="1215" t="s">
        <v>535</v>
      </c>
      <c r="Z203" s="1215" t="s">
        <v>535</v>
      </c>
      <c r="AA203" s="1215"/>
      <c r="AB203" s="1215"/>
      <c r="AC203" s="1215" t="s">
        <v>535</v>
      </c>
      <c r="AD203" s="1215" t="s">
        <v>535</v>
      </c>
      <c r="AE203" s="1215" t="s">
        <v>535</v>
      </c>
      <c r="AF203" s="1215" t="s">
        <v>535</v>
      </c>
      <c r="AG203" s="1215" t="s">
        <v>535</v>
      </c>
      <c r="AH203" s="638">
        <v>185</v>
      </c>
      <c r="AI203" s="639">
        <v>37</v>
      </c>
    </row>
    <row r="204" spans="1:35" ht="21.95" customHeight="1">
      <c r="A204" s="519">
        <v>3701</v>
      </c>
      <c r="B204" s="153" t="s">
        <v>603</v>
      </c>
      <c r="C204" s="1215"/>
      <c r="D204" s="1215" t="s">
        <v>535</v>
      </c>
      <c r="E204" s="1215" t="s">
        <v>535</v>
      </c>
      <c r="F204" s="1215"/>
      <c r="G204" s="1215"/>
      <c r="H204" s="1215" t="s">
        <v>535</v>
      </c>
      <c r="I204" s="1215" t="s">
        <v>535</v>
      </c>
      <c r="J204" s="1215" t="s">
        <v>535</v>
      </c>
      <c r="K204" s="1215"/>
      <c r="L204" s="1215" t="s">
        <v>535</v>
      </c>
      <c r="M204" s="1215"/>
      <c r="N204" s="1215"/>
      <c r="O204" s="1392" t="s">
        <v>535</v>
      </c>
      <c r="P204" s="1392" t="s">
        <v>535</v>
      </c>
      <c r="Q204" s="1392" t="s">
        <v>535</v>
      </c>
      <c r="R204" s="1392" t="s">
        <v>570</v>
      </c>
      <c r="S204" s="1215" t="s">
        <v>535</v>
      </c>
      <c r="T204" s="1215"/>
      <c r="U204" s="1215"/>
      <c r="V204" s="1215"/>
      <c r="W204" s="1215" t="s">
        <v>535</v>
      </c>
      <c r="X204" s="1215" t="s">
        <v>535</v>
      </c>
      <c r="Y204" s="1215" t="s">
        <v>535</v>
      </c>
      <c r="Z204" s="1215" t="s">
        <v>535</v>
      </c>
      <c r="AA204" s="1215"/>
      <c r="AB204" s="1215"/>
      <c r="AC204" s="1215" t="s">
        <v>535</v>
      </c>
      <c r="AD204" s="1215" t="s">
        <v>535</v>
      </c>
      <c r="AE204" s="1215" t="s">
        <v>535</v>
      </c>
      <c r="AF204" s="1215" t="s">
        <v>535</v>
      </c>
      <c r="AG204" s="1215" t="s">
        <v>535</v>
      </c>
      <c r="AH204" s="638">
        <v>215</v>
      </c>
      <c r="AI204" s="639">
        <v>37</v>
      </c>
    </row>
    <row r="205" spans="1:35" ht="25.5" customHeight="1" thickBot="1">
      <c r="A205" s="1" t="s">
        <v>604</v>
      </c>
    </row>
    <row r="206" spans="1:35" ht="21" customHeight="1">
      <c r="A206" s="1"/>
      <c r="B206" s="201" t="s">
        <v>516</v>
      </c>
      <c r="C206" s="7"/>
      <c r="D206" s="525" t="s">
        <v>2</v>
      </c>
      <c r="E206" s="51"/>
      <c r="F206" s="551"/>
      <c r="G206" s="7"/>
      <c r="H206" s="525" t="s">
        <v>3</v>
      </c>
      <c r="I206" s="51"/>
      <c r="J206" s="551"/>
      <c r="K206" s="7"/>
      <c r="L206" s="525" t="s">
        <v>4</v>
      </c>
      <c r="M206" s="51"/>
      <c r="N206" s="551"/>
      <c r="O206" s="7"/>
      <c r="P206" s="525" t="s">
        <v>5</v>
      </c>
      <c r="Q206" s="51"/>
      <c r="R206" s="551"/>
      <c r="S206" s="7"/>
      <c r="T206" s="525" t="s">
        <v>6</v>
      </c>
      <c r="U206" s="51"/>
      <c r="V206" s="551"/>
      <c r="W206" s="7"/>
      <c r="X206" s="525" t="s">
        <v>7</v>
      </c>
      <c r="Y206" s="51"/>
      <c r="Z206" s="551"/>
      <c r="AA206" s="7"/>
      <c r="AB206" s="525" t="s">
        <v>8</v>
      </c>
      <c r="AC206" s="51"/>
      <c r="AD206" s="51"/>
      <c r="AE206" s="425" t="s">
        <v>10</v>
      </c>
      <c r="AF206" s="51"/>
      <c r="AG206" s="51"/>
      <c r="AH206" s="51"/>
      <c r="AI206" s="526"/>
    </row>
    <row r="207" spans="1:35" ht="21" customHeight="1">
      <c r="A207" s="1"/>
      <c r="B207" s="9"/>
      <c r="C207" s="14"/>
      <c r="D207" s="609"/>
      <c r="E207" s="55"/>
      <c r="F207" s="608"/>
      <c r="G207" s="14"/>
      <c r="H207" s="609"/>
      <c r="I207" s="55"/>
      <c r="J207" s="608"/>
      <c r="K207" s="14"/>
      <c r="L207" s="609"/>
      <c r="M207" s="55"/>
      <c r="N207" s="608"/>
      <c r="O207" s="14"/>
      <c r="P207" s="609"/>
      <c r="Q207" s="55"/>
      <c r="R207" s="608"/>
      <c r="S207" s="14"/>
      <c r="T207" s="609"/>
      <c r="U207" s="55"/>
      <c r="V207" s="608"/>
      <c r="W207" s="14"/>
      <c r="X207" s="609"/>
      <c r="Y207" s="55"/>
      <c r="Z207" s="608"/>
      <c r="AA207" s="14"/>
      <c r="AB207" s="609"/>
      <c r="AC207" s="55"/>
      <c r="AD207" s="55"/>
      <c r="AE207" s="610"/>
      <c r="AF207" s="55"/>
      <c r="AG207" s="55"/>
      <c r="AH207" s="55"/>
      <c r="AI207" s="611"/>
    </row>
    <row r="208" spans="1:35" ht="21" customHeight="1">
      <c r="B208" s="612"/>
      <c r="C208" s="121"/>
      <c r="D208" s="157"/>
      <c r="E208" s="157"/>
      <c r="F208" s="568"/>
      <c r="G208" s="121"/>
      <c r="H208" s="157"/>
      <c r="I208" s="157"/>
      <c r="J208" s="568"/>
      <c r="K208" s="121"/>
      <c r="L208" s="157"/>
      <c r="M208" s="157"/>
      <c r="N208" s="568"/>
      <c r="O208" s="121"/>
      <c r="P208" s="157"/>
      <c r="Q208" s="157"/>
      <c r="R208" s="568"/>
      <c r="S208" s="121"/>
      <c r="T208" s="157"/>
      <c r="U208" s="157"/>
      <c r="V208" s="568"/>
      <c r="W208" s="121"/>
      <c r="X208" s="157"/>
      <c r="Y208" s="157"/>
      <c r="Z208" s="568"/>
      <c r="AA208" s="567"/>
      <c r="AB208" s="157"/>
      <c r="AC208" s="157"/>
      <c r="AD208" s="569"/>
      <c r="AE208" s="613"/>
      <c r="AF208" s="157"/>
      <c r="AG208" s="157" t="s">
        <v>28</v>
      </c>
      <c r="AH208" s="569"/>
      <c r="AI208" s="490"/>
    </row>
    <row r="209" spans="1:35" ht="21" customHeight="1" thickBot="1">
      <c r="A209" s="1"/>
      <c r="B209" s="47"/>
      <c r="C209" s="574"/>
      <c r="D209" s="53"/>
      <c r="E209" s="53"/>
      <c r="F209" s="575"/>
      <c r="G209" s="574"/>
      <c r="H209" s="53"/>
      <c r="I209" s="53"/>
      <c r="J209" s="575"/>
      <c r="K209" s="574"/>
      <c r="L209" s="53"/>
      <c r="M209" s="53"/>
      <c r="N209" s="575"/>
      <c r="O209" s="574"/>
      <c r="P209" s="53"/>
      <c r="Q209" s="53"/>
      <c r="R209" s="575"/>
      <c r="S209" s="574"/>
      <c r="T209" s="53"/>
      <c r="U209" s="53"/>
      <c r="V209" s="575"/>
      <c r="W209" s="57"/>
      <c r="X209" s="53"/>
      <c r="Y209" s="53"/>
      <c r="Z209" s="575"/>
      <c r="AA209" s="57"/>
      <c r="AB209" s="53"/>
      <c r="AC209" s="53"/>
      <c r="AD209" s="577"/>
      <c r="AE209" s="57"/>
      <c r="AF209" s="53"/>
      <c r="AG209" s="53"/>
      <c r="AH209" s="577"/>
      <c r="AI209" s="539"/>
    </row>
    <row r="210" spans="1:35" ht="33" customHeight="1" thickBot="1">
      <c r="A210" s="1" t="s">
        <v>605</v>
      </c>
      <c r="B210" s="72"/>
      <c r="C210" s="312"/>
      <c r="F210" s="354"/>
      <c r="G210" s="312"/>
      <c r="J210" s="354"/>
      <c r="K210" s="312"/>
      <c r="N210" s="354"/>
      <c r="O210" s="312"/>
      <c r="R210" s="354"/>
      <c r="S210" s="312"/>
      <c r="V210" s="354"/>
      <c r="W210" s="354"/>
      <c r="Z210" s="354"/>
      <c r="AA210" s="354"/>
      <c r="AD210" s="354"/>
      <c r="AE210" s="354"/>
      <c r="AH210" s="354"/>
    </row>
    <row r="211" spans="1:35" ht="21" customHeight="1">
      <c r="A211" s="556" t="s">
        <v>528</v>
      </c>
      <c r="B211" s="297" t="s">
        <v>480</v>
      </c>
      <c r="C211" s="1235">
        <v>1</v>
      </c>
      <c r="D211" s="1234">
        <v>2</v>
      </c>
      <c r="E211" s="1234">
        <v>3</v>
      </c>
      <c r="F211" s="1235">
        <v>4</v>
      </c>
      <c r="G211" s="1235">
        <v>5</v>
      </c>
      <c r="H211" s="1234">
        <v>6</v>
      </c>
      <c r="I211" s="1213">
        <v>7</v>
      </c>
      <c r="J211" s="1213">
        <v>8</v>
      </c>
      <c r="K211" s="1235">
        <v>9</v>
      </c>
      <c r="L211" s="1234">
        <v>10</v>
      </c>
      <c r="M211" s="1235">
        <v>11</v>
      </c>
      <c r="N211" s="1235">
        <v>12</v>
      </c>
      <c r="O211" s="1234">
        <v>13</v>
      </c>
      <c r="P211" s="1213">
        <v>14</v>
      </c>
      <c r="Q211" s="1213">
        <v>15</v>
      </c>
      <c r="R211" s="1234">
        <v>16</v>
      </c>
      <c r="S211" s="1234">
        <v>17</v>
      </c>
      <c r="T211" s="1235">
        <v>18</v>
      </c>
      <c r="U211" s="1235">
        <v>19</v>
      </c>
      <c r="V211" s="1330">
        <v>20</v>
      </c>
      <c r="W211" s="1213">
        <v>21</v>
      </c>
      <c r="X211" s="1213">
        <v>22</v>
      </c>
      <c r="Y211" s="1234">
        <v>23</v>
      </c>
      <c r="Z211" s="1234">
        <v>24</v>
      </c>
      <c r="AA211" s="1235">
        <v>25</v>
      </c>
      <c r="AB211" s="1235">
        <v>26</v>
      </c>
      <c r="AC211" s="1234">
        <v>27</v>
      </c>
      <c r="AD211" s="1213">
        <v>28</v>
      </c>
      <c r="AE211" s="1213">
        <v>29</v>
      </c>
      <c r="AF211" s="1234">
        <v>30</v>
      </c>
      <c r="AG211" s="1234">
        <v>31</v>
      </c>
      <c r="AH211" s="498" t="s">
        <v>481</v>
      </c>
      <c r="AI211" s="499" t="s">
        <v>482</v>
      </c>
    </row>
    <row r="212" spans="1:35" ht="21" customHeight="1">
      <c r="A212" s="442"/>
      <c r="B212" s="619" t="s">
        <v>606</v>
      </c>
      <c r="C212" s="1215"/>
      <c r="D212" s="1215" t="s">
        <v>535</v>
      </c>
      <c r="E212" s="1215" t="s">
        <v>535</v>
      </c>
      <c r="F212" s="1215"/>
      <c r="G212" s="1215"/>
      <c r="H212" s="1215" t="s">
        <v>535</v>
      </c>
      <c r="I212" s="1215" t="s">
        <v>535</v>
      </c>
      <c r="J212" s="1215" t="s">
        <v>535</v>
      </c>
      <c r="K212" s="1215"/>
      <c r="L212" s="1215" t="s">
        <v>535</v>
      </c>
      <c r="M212" s="1215"/>
      <c r="N212" s="1215"/>
      <c r="O212" s="1215" t="s">
        <v>535</v>
      </c>
      <c r="P212" s="1215" t="s">
        <v>535</v>
      </c>
      <c r="Q212" s="1215" t="s">
        <v>535</v>
      </c>
      <c r="R212" s="1215" t="s">
        <v>535</v>
      </c>
      <c r="S212" s="1215" t="s">
        <v>535</v>
      </c>
      <c r="T212" s="1215"/>
      <c r="U212" s="1215"/>
      <c r="V212" s="1215"/>
      <c r="W212" s="1215" t="s">
        <v>535</v>
      </c>
      <c r="X212" s="1215" t="s">
        <v>535</v>
      </c>
      <c r="Y212" s="1215" t="s">
        <v>535</v>
      </c>
      <c r="Z212" s="1215" t="s">
        <v>535</v>
      </c>
      <c r="AA212" s="1215"/>
      <c r="AB212" s="1215"/>
      <c r="AC212" s="1342" t="s">
        <v>535</v>
      </c>
      <c r="AD212" s="1342" t="s">
        <v>535</v>
      </c>
      <c r="AE212" s="1215" t="s">
        <v>535</v>
      </c>
      <c r="AF212" s="1215" t="s">
        <v>535</v>
      </c>
      <c r="AG212" s="1215" t="s">
        <v>535</v>
      </c>
      <c r="AH212" s="638">
        <v>185</v>
      </c>
      <c r="AI212" s="639">
        <v>37</v>
      </c>
    </row>
    <row r="213" spans="1:35" ht="21" customHeight="1">
      <c r="A213" s="442"/>
      <c r="B213" s="619" t="s">
        <v>607</v>
      </c>
      <c r="C213" s="1215"/>
      <c r="D213" s="1215" t="s">
        <v>535</v>
      </c>
      <c r="E213" s="1215" t="s">
        <v>535</v>
      </c>
      <c r="F213" s="1215"/>
      <c r="G213" s="1215"/>
      <c r="H213" s="1215" t="s">
        <v>535</v>
      </c>
      <c r="I213" s="1215" t="s">
        <v>535</v>
      </c>
      <c r="J213" s="1215" t="s">
        <v>535</v>
      </c>
      <c r="K213" s="1215"/>
      <c r="L213" s="1338" t="s">
        <v>535</v>
      </c>
      <c r="M213" s="1215"/>
      <c r="N213" s="1215"/>
      <c r="O213" s="1215" t="s">
        <v>535</v>
      </c>
      <c r="P213" s="1215" t="s">
        <v>535</v>
      </c>
      <c r="Q213" s="1215" t="s">
        <v>535</v>
      </c>
      <c r="R213" s="1215" t="s">
        <v>535</v>
      </c>
      <c r="S213" s="1215" t="s">
        <v>535</v>
      </c>
      <c r="T213" s="1215"/>
      <c r="U213" s="1215"/>
      <c r="V213" s="1215"/>
      <c r="W213" s="1215" t="s">
        <v>535</v>
      </c>
      <c r="X213" s="1215" t="s">
        <v>535</v>
      </c>
      <c r="Y213" s="1215" t="s">
        <v>535</v>
      </c>
      <c r="Z213" s="1215" t="s">
        <v>535</v>
      </c>
      <c r="AA213" s="1215"/>
      <c r="AB213" s="1215"/>
      <c r="AC213" s="1342" t="s">
        <v>535</v>
      </c>
      <c r="AD213" s="1342" t="s">
        <v>535</v>
      </c>
      <c r="AE213" s="1215" t="s">
        <v>535</v>
      </c>
      <c r="AF213" s="1215" t="s">
        <v>535</v>
      </c>
      <c r="AG213" s="1215" t="s">
        <v>535</v>
      </c>
      <c r="AH213" s="638">
        <v>185</v>
      </c>
      <c r="AI213" s="639">
        <v>37</v>
      </c>
    </row>
    <row r="214" spans="1:35" ht="21" customHeight="1">
      <c r="A214" s="442"/>
      <c r="B214" s="619" t="s">
        <v>608</v>
      </c>
      <c r="C214" s="1215"/>
      <c r="D214" s="1215" t="s">
        <v>535</v>
      </c>
      <c r="E214" s="1215" t="s">
        <v>535</v>
      </c>
      <c r="F214" s="1215"/>
      <c r="G214" s="1215"/>
      <c r="H214" s="1215" t="s">
        <v>535</v>
      </c>
      <c r="I214" s="1215" t="s">
        <v>535</v>
      </c>
      <c r="J214" s="1215" t="s">
        <v>535</v>
      </c>
      <c r="K214" s="1215"/>
      <c r="L214" s="1338" t="s">
        <v>535</v>
      </c>
      <c r="M214" s="1215"/>
      <c r="N214" s="1215"/>
      <c r="O214" s="1215" t="s">
        <v>535</v>
      </c>
      <c r="P214" s="1215" t="s">
        <v>535</v>
      </c>
      <c r="Q214" s="1215" t="s">
        <v>535</v>
      </c>
      <c r="R214" s="1215" t="s">
        <v>535</v>
      </c>
      <c r="S214" s="1215" t="s">
        <v>535</v>
      </c>
      <c r="T214" s="1215"/>
      <c r="U214" s="1215"/>
      <c r="V214" s="1215"/>
      <c r="W214" s="1215" t="s">
        <v>535</v>
      </c>
      <c r="X214" s="1215" t="s">
        <v>535</v>
      </c>
      <c r="Y214" s="1215" t="s">
        <v>535</v>
      </c>
      <c r="Z214" s="1215" t="s">
        <v>535</v>
      </c>
      <c r="AA214" s="1215"/>
      <c r="AB214" s="1215"/>
      <c r="AC214" s="1342" t="s">
        <v>535</v>
      </c>
      <c r="AD214" s="1342" t="s">
        <v>535</v>
      </c>
      <c r="AE214" s="1215" t="s">
        <v>535</v>
      </c>
      <c r="AF214" s="1215" t="s">
        <v>535</v>
      </c>
      <c r="AG214" s="1215" t="s">
        <v>535</v>
      </c>
      <c r="AH214" s="638">
        <v>185</v>
      </c>
      <c r="AI214" s="639">
        <v>37</v>
      </c>
    </row>
    <row r="215" spans="1:35" ht="21" customHeight="1">
      <c r="A215" s="442"/>
      <c r="B215" s="619" t="s">
        <v>609</v>
      </c>
      <c r="C215" s="1215"/>
      <c r="D215" s="1215" t="s">
        <v>535</v>
      </c>
      <c r="E215" s="1215" t="s">
        <v>535</v>
      </c>
      <c r="F215" s="1215"/>
      <c r="G215" s="1215"/>
      <c r="H215" s="1215" t="s">
        <v>535</v>
      </c>
      <c r="I215" s="1215" t="s">
        <v>535</v>
      </c>
      <c r="J215" s="1215" t="s">
        <v>535</v>
      </c>
      <c r="K215" s="1215"/>
      <c r="L215" s="1338" t="s">
        <v>535</v>
      </c>
      <c r="M215" s="1215"/>
      <c r="N215" s="1215"/>
      <c r="O215" s="1215" t="s">
        <v>535</v>
      </c>
      <c r="P215" s="1215" t="s">
        <v>535</v>
      </c>
      <c r="Q215" s="1215" t="s">
        <v>535</v>
      </c>
      <c r="R215" s="1215" t="s">
        <v>535</v>
      </c>
      <c r="S215" s="1215" t="s">
        <v>535</v>
      </c>
      <c r="T215" s="1215"/>
      <c r="U215" s="1215"/>
      <c r="V215" s="1215"/>
      <c r="W215" s="1215" t="s">
        <v>535</v>
      </c>
      <c r="X215" s="1215" t="s">
        <v>535</v>
      </c>
      <c r="Y215" s="1215" t="s">
        <v>535</v>
      </c>
      <c r="Z215" s="1215" t="s">
        <v>535</v>
      </c>
      <c r="AA215" s="1215"/>
      <c r="AB215" s="1215"/>
      <c r="AC215" s="1215" t="s">
        <v>535</v>
      </c>
      <c r="AD215" s="1215" t="s">
        <v>535</v>
      </c>
      <c r="AE215" s="1215" t="s">
        <v>535</v>
      </c>
      <c r="AF215" s="1215" t="s">
        <v>535</v>
      </c>
      <c r="AG215" s="1215" t="s">
        <v>535</v>
      </c>
      <c r="AH215" s="638">
        <v>185</v>
      </c>
      <c r="AI215" s="639">
        <v>37</v>
      </c>
    </row>
    <row r="216" spans="1:35" ht="21" customHeight="1">
      <c r="A216" s="442"/>
      <c r="B216" s="619" t="s">
        <v>610</v>
      </c>
      <c r="C216" s="1215"/>
      <c r="D216" s="1215" t="s">
        <v>535</v>
      </c>
      <c r="E216" s="1215" t="s">
        <v>535</v>
      </c>
      <c r="F216" s="1215"/>
      <c r="G216" s="1215"/>
      <c r="H216" s="1215" t="s">
        <v>535</v>
      </c>
      <c r="I216" s="1215" t="s">
        <v>535</v>
      </c>
      <c r="J216" s="1215" t="s">
        <v>535</v>
      </c>
      <c r="K216" s="1215"/>
      <c r="L216" s="1215" t="s">
        <v>535</v>
      </c>
      <c r="M216" s="1215"/>
      <c r="N216" s="1215"/>
      <c r="O216" s="1215" t="s">
        <v>535</v>
      </c>
      <c r="P216" s="1215" t="s">
        <v>535</v>
      </c>
      <c r="Q216" s="1215" t="s">
        <v>535</v>
      </c>
      <c r="R216" s="1215" t="s">
        <v>535</v>
      </c>
      <c r="S216" s="1215" t="s">
        <v>535</v>
      </c>
      <c r="T216" s="1215"/>
      <c r="U216" s="1215"/>
      <c r="V216" s="1215"/>
      <c r="W216" s="1215" t="s">
        <v>535</v>
      </c>
      <c r="X216" s="1215" t="s">
        <v>535</v>
      </c>
      <c r="Y216" s="1215" t="s">
        <v>535</v>
      </c>
      <c r="Z216" s="1215" t="s">
        <v>535</v>
      </c>
      <c r="AA216" s="1215"/>
      <c r="AB216" s="1215"/>
      <c r="AC216" s="1215" t="s">
        <v>535</v>
      </c>
      <c r="AD216" s="1215" t="s">
        <v>535</v>
      </c>
      <c r="AE216" s="1215" t="s">
        <v>535</v>
      </c>
      <c r="AF216" s="1215" t="s">
        <v>535</v>
      </c>
      <c r="AG216" s="1215" t="s">
        <v>535</v>
      </c>
      <c r="AH216" s="638">
        <v>185</v>
      </c>
      <c r="AI216" s="639">
        <v>37</v>
      </c>
    </row>
    <row r="217" spans="1:35" ht="21" customHeight="1">
      <c r="A217" s="442"/>
      <c r="B217" s="619" t="s">
        <v>611</v>
      </c>
      <c r="C217" s="1215"/>
      <c r="D217" s="1215" t="s">
        <v>535</v>
      </c>
      <c r="E217" s="1215" t="s">
        <v>535</v>
      </c>
      <c r="F217" s="1215"/>
      <c r="G217" s="1215"/>
      <c r="H217" s="1215" t="s">
        <v>535</v>
      </c>
      <c r="I217" s="1215" t="s">
        <v>535</v>
      </c>
      <c r="J217" s="1215" t="s">
        <v>535</v>
      </c>
      <c r="K217" s="1215"/>
      <c r="L217" s="1338" t="s">
        <v>535</v>
      </c>
      <c r="M217" s="1215"/>
      <c r="N217" s="1215"/>
      <c r="O217" s="1215" t="s">
        <v>535</v>
      </c>
      <c r="P217" s="1215" t="s">
        <v>535</v>
      </c>
      <c r="Q217" s="1215" t="s">
        <v>535</v>
      </c>
      <c r="R217" s="1215" t="s">
        <v>535</v>
      </c>
      <c r="S217" s="1338" t="s">
        <v>535</v>
      </c>
      <c r="T217" s="1215"/>
      <c r="U217" s="1215"/>
      <c r="V217" s="1215"/>
      <c r="W217" s="1215" t="s">
        <v>535</v>
      </c>
      <c r="X217" s="1215" t="s">
        <v>535</v>
      </c>
      <c r="Y217" s="1215" t="s">
        <v>535</v>
      </c>
      <c r="Z217" s="1215" t="s">
        <v>535</v>
      </c>
      <c r="AA217" s="1215"/>
      <c r="AB217" s="1215"/>
      <c r="AC217" s="1215" t="s">
        <v>535</v>
      </c>
      <c r="AD217" s="1215" t="s">
        <v>535</v>
      </c>
      <c r="AE217" s="1215" t="s">
        <v>535</v>
      </c>
      <c r="AF217" s="1215" t="s">
        <v>535</v>
      </c>
      <c r="AG217" s="1215" t="s">
        <v>535</v>
      </c>
      <c r="AH217" s="638">
        <v>185</v>
      </c>
      <c r="AI217" s="639">
        <v>37</v>
      </c>
    </row>
    <row r="218" spans="1:35" ht="21" customHeight="1">
      <c r="A218" s="442"/>
      <c r="B218" s="619" t="s">
        <v>612</v>
      </c>
      <c r="C218" s="1215"/>
      <c r="D218" s="1345" t="s">
        <v>535</v>
      </c>
      <c r="E218" s="1345" t="s">
        <v>535</v>
      </c>
      <c r="F218" s="1215"/>
      <c r="G218" s="1215"/>
      <c r="H218" s="1215" t="s">
        <v>535</v>
      </c>
      <c r="I218" s="1215" t="s">
        <v>535</v>
      </c>
      <c r="J218" s="1215" t="s">
        <v>535</v>
      </c>
      <c r="K218" s="1215"/>
      <c r="L218" s="1338" t="s">
        <v>535</v>
      </c>
      <c r="M218" s="1215"/>
      <c r="N218" s="1215"/>
      <c r="O218" s="1215" t="s">
        <v>535</v>
      </c>
      <c r="P218" s="1215" t="s">
        <v>535</v>
      </c>
      <c r="Q218" s="1215" t="s">
        <v>514</v>
      </c>
      <c r="R218" s="1215" t="s">
        <v>535</v>
      </c>
      <c r="S218" s="1215" t="s">
        <v>535</v>
      </c>
      <c r="T218" s="1215"/>
      <c r="U218" s="1215"/>
      <c r="V218" s="1215"/>
      <c r="W218" s="1215" t="s">
        <v>535</v>
      </c>
      <c r="X218" s="1215" t="s">
        <v>535</v>
      </c>
      <c r="Y218" s="1215" t="s">
        <v>535</v>
      </c>
      <c r="Z218" s="1215" t="s">
        <v>535</v>
      </c>
      <c r="AA218" s="1215"/>
      <c r="AB218" s="1215"/>
      <c r="AC218" s="1215" t="s">
        <v>535</v>
      </c>
      <c r="AD218" s="1215" t="s">
        <v>535</v>
      </c>
      <c r="AE218" s="1215" t="s">
        <v>535</v>
      </c>
      <c r="AF218" s="1215" t="s">
        <v>535</v>
      </c>
      <c r="AG218" s="1215" t="s">
        <v>535</v>
      </c>
      <c r="AH218" s="638">
        <v>185</v>
      </c>
      <c r="AI218" s="639">
        <v>37</v>
      </c>
    </row>
    <row r="219" spans="1:35" ht="21" customHeight="1">
      <c r="A219" s="442"/>
      <c r="B219" s="619" t="s">
        <v>613</v>
      </c>
      <c r="C219" s="1215"/>
      <c r="D219" s="1215" t="s">
        <v>535</v>
      </c>
      <c r="E219" s="1215" t="s">
        <v>535</v>
      </c>
      <c r="F219" s="1215"/>
      <c r="G219" s="1215"/>
      <c r="H219" s="1215" t="s">
        <v>535</v>
      </c>
      <c r="I219" s="1215" t="s">
        <v>535</v>
      </c>
      <c r="J219" s="1215" t="s">
        <v>535</v>
      </c>
      <c r="K219" s="1215"/>
      <c r="L219" s="1215" t="s">
        <v>535</v>
      </c>
      <c r="M219" s="1215"/>
      <c r="N219" s="1215"/>
      <c r="O219" s="1215" t="s">
        <v>535</v>
      </c>
      <c r="P219" s="1215" t="s">
        <v>514</v>
      </c>
      <c r="Q219" s="1215" t="s">
        <v>535</v>
      </c>
      <c r="R219" s="1215" t="s">
        <v>535</v>
      </c>
      <c r="S219" s="1215" t="s">
        <v>535</v>
      </c>
      <c r="T219" s="1215"/>
      <c r="U219" s="1215"/>
      <c r="V219" s="1215"/>
      <c r="W219" s="1215" t="s">
        <v>535</v>
      </c>
      <c r="X219" s="1215" t="s">
        <v>535</v>
      </c>
      <c r="Y219" s="1215" t="s">
        <v>535</v>
      </c>
      <c r="Z219" s="1215" t="s">
        <v>535</v>
      </c>
      <c r="AA219" s="1215"/>
      <c r="AB219" s="1215"/>
      <c r="AC219" s="1342" t="s">
        <v>535</v>
      </c>
      <c r="AD219" s="1342" t="s">
        <v>535</v>
      </c>
      <c r="AE219" s="1215" t="s">
        <v>535</v>
      </c>
      <c r="AF219" s="1215" t="s">
        <v>535</v>
      </c>
      <c r="AG219" s="1215" t="s">
        <v>535</v>
      </c>
      <c r="AH219" s="638">
        <v>185</v>
      </c>
      <c r="AI219" s="639">
        <v>37</v>
      </c>
    </row>
    <row r="220" spans="1:35" ht="21" customHeight="1">
      <c r="A220" s="442"/>
      <c r="B220" s="619" t="s">
        <v>614</v>
      </c>
      <c r="C220" s="1215"/>
      <c r="D220" s="1215" t="s">
        <v>535</v>
      </c>
      <c r="E220" s="1215" t="s">
        <v>535</v>
      </c>
      <c r="F220" s="1215"/>
      <c r="G220" s="1215"/>
      <c r="H220" s="1215" t="s">
        <v>535</v>
      </c>
      <c r="I220" s="1215" t="s">
        <v>535</v>
      </c>
      <c r="J220" s="1215" t="s">
        <v>535</v>
      </c>
      <c r="K220" s="1215"/>
      <c r="L220" s="1215" t="s">
        <v>535</v>
      </c>
      <c r="M220" s="1215"/>
      <c r="N220" s="1215"/>
      <c r="O220" s="1215" t="s">
        <v>535</v>
      </c>
      <c r="P220" s="1215" t="s">
        <v>514</v>
      </c>
      <c r="Q220" s="1215" t="s">
        <v>535</v>
      </c>
      <c r="R220" s="1215" t="s">
        <v>535</v>
      </c>
      <c r="S220" s="1215" t="s">
        <v>535</v>
      </c>
      <c r="T220" s="1215"/>
      <c r="U220" s="1215"/>
      <c r="V220" s="1215"/>
      <c r="W220" s="1215" t="s">
        <v>535</v>
      </c>
      <c r="X220" s="1215" t="s">
        <v>535</v>
      </c>
      <c r="Y220" s="1215" t="s">
        <v>535</v>
      </c>
      <c r="Z220" s="1215" t="s">
        <v>535</v>
      </c>
      <c r="AA220" s="1215"/>
      <c r="AB220" s="1215"/>
      <c r="AC220" s="1215" t="s">
        <v>535</v>
      </c>
      <c r="AD220" s="1215" t="s">
        <v>535</v>
      </c>
      <c r="AE220" s="1215" t="s">
        <v>535</v>
      </c>
      <c r="AF220" s="1215" t="s">
        <v>535</v>
      </c>
      <c r="AG220" s="1215" t="s">
        <v>535</v>
      </c>
      <c r="AH220" s="638">
        <v>185</v>
      </c>
      <c r="AI220" s="639">
        <v>37</v>
      </c>
    </row>
    <row r="221" spans="1:35" ht="21" customHeight="1">
      <c r="A221" s="442"/>
      <c r="B221" s="619" t="s">
        <v>615</v>
      </c>
      <c r="C221" s="1215"/>
      <c r="D221" s="1215" t="s">
        <v>535</v>
      </c>
      <c r="E221" s="1215" t="s">
        <v>535</v>
      </c>
      <c r="F221" s="1215"/>
      <c r="G221" s="1215"/>
      <c r="H221" s="1215" t="s">
        <v>535</v>
      </c>
      <c r="I221" s="1215" t="s">
        <v>535</v>
      </c>
      <c r="J221" s="1215" t="s">
        <v>535</v>
      </c>
      <c r="K221" s="1215"/>
      <c r="L221" s="1338" t="s">
        <v>535</v>
      </c>
      <c r="M221" s="1215"/>
      <c r="N221" s="1215"/>
      <c r="O221" s="1215" t="s">
        <v>535</v>
      </c>
      <c r="P221" s="1215" t="s">
        <v>535</v>
      </c>
      <c r="Q221" s="1215" t="s">
        <v>535</v>
      </c>
      <c r="R221" s="1215" t="s">
        <v>535</v>
      </c>
      <c r="S221" s="1215" t="s">
        <v>535</v>
      </c>
      <c r="T221" s="1215"/>
      <c r="U221" s="1215"/>
      <c r="V221" s="1215"/>
      <c r="W221" s="1215" t="s">
        <v>535</v>
      </c>
      <c r="X221" s="1215" t="s">
        <v>535</v>
      </c>
      <c r="Y221" s="1215" t="s">
        <v>535</v>
      </c>
      <c r="Z221" s="1215" t="s">
        <v>535</v>
      </c>
      <c r="AA221" s="1215"/>
      <c r="AB221" s="1215"/>
      <c r="AC221" s="1215" t="s">
        <v>535</v>
      </c>
      <c r="AD221" s="1215" t="s">
        <v>535</v>
      </c>
      <c r="AE221" s="1215" t="s">
        <v>535</v>
      </c>
      <c r="AF221" s="1215" t="s">
        <v>535</v>
      </c>
      <c r="AG221" s="1215" t="s">
        <v>535</v>
      </c>
      <c r="AH221" s="638">
        <v>185</v>
      </c>
      <c r="AI221" s="639">
        <v>37</v>
      </c>
    </row>
    <row r="222" spans="1:35" ht="21" customHeight="1">
      <c r="A222" s="442"/>
      <c r="B222" s="153" t="s">
        <v>616</v>
      </c>
      <c r="C222" s="1215"/>
      <c r="D222" s="1215" t="s">
        <v>535</v>
      </c>
      <c r="E222" s="1215" t="s">
        <v>535</v>
      </c>
      <c r="F222" s="1215"/>
      <c r="G222" s="1215"/>
      <c r="H222" s="1215" t="s">
        <v>535</v>
      </c>
      <c r="I222" s="1215" t="s">
        <v>535</v>
      </c>
      <c r="J222" s="1215" t="s">
        <v>535</v>
      </c>
      <c r="K222" s="1215"/>
      <c r="L222" s="1345" t="s">
        <v>535</v>
      </c>
      <c r="M222" s="1215"/>
      <c r="N222" s="1215"/>
      <c r="O222" s="1215" t="s">
        <v>535</v>
      </c>
      <c r="P222" s="1215" t="s">
        <v>535</v>
      </c>
      <c r="Q222" s="1215" t="s">
        <v>535</v>
      </c>
      <c r="R222" s="1215" t="s">
        <v>535</v>
      </c>
      <c r="S222" s="1345" t="s">
        <v>535</v>
      </c>
      <c r="T222" s="1215"/>
      <c r="U222" s="1215"/>
      <c r="V222" s="1215"/>
      <c r="W222" s="1215" t="s">
        <v>535</v>
      </c>
      <c r="X222" s="1215" t="s">
        <v>535</v>
      </c>
      <c r="Y222" s="1215" t="s">
        <v>535</v>
      </c>
      <c r="Z222" s="1215" t="s">
        <v>535</v>
      </c>
      <c r="AA222" s="1215"/>
      <c r="AB222" s="1215"/>
      <c r="AC222" s="1215" t="s">
        <v>535</v>
      </c>
      <c r="AD222" s="1215" t="s">
        <v>535</v>
      </c>
      <c r="AE222" s="1215" t="s">
        <v>535</v>
      </c>
      <c r="AF222" s="1215" t="s">
        <v>535</v>
      </c>
      <c r="AG222" s="1215" t="s">
        <v>535</v>
      </c>
      <c r="AH222" s="638">
        <v>185</v>
      </c>
      <c r="AI222" s="639">
        <v>37</v>
      </c>
    </row>
    <row r="223" spans="1:35" ht="21" customHeight="1">
      <c r="A223" s="442"/>
      <c r="B223" s="153" t="s">
        <v>617</v>
      </c>
      <c r="C223" s="1215"/>
      <c r="D223" s="1215" t="s">
        <v>535</v>
      </c>
      <c r="E223" s="1215" t="s">
        <v>535</v>
      </c>
      <c r="F223" s="1215"/>
      <c r="G223" s="1215"/>
      <c r="H223" s="1215" t="s">
        <v>535</v>
      </c>
      <c r="I223" s="1215" t="s">
        <v>535</v>
      </c>
      <c r="J223" s="1215" t="s">
        <v>535</v>
      </c>
      <c r="K223" s="1215"/>
      <c r="L223" s="1215" t="s">
        <v>535</v>
      </c>
      <c r="M223" s="1215"/>
      <c r="N223" s="1215"/>
      <c r="O223" s="1215" t="s">
        <v>514</v>
      </c>
      <c r="P223" s="1215" t="s">
        <v>535</v>
      </c>
      <c r="Q223" s="1215" t="s">
        <v>535</v>
      </c>
      <c r="R223" s="1215" t="s">
        <v>535</v>
      </c>
      <c r="S223" s="1215" t="s">
        <v>535</v>
      </c>
      <c r="T223" s="1215"/>
      <c r="U223" s="1215"/>
      <c r="V223" s="1215"/>
      <c r="W223" s="1215" t="s">
        <v>535</v>
      </c>
      <c r="X223" s="1215" t="s">
        <v>535</v>
      </c>
      <c r="Y223" s="1215" t="s">
        <v>535</v>
      </c>
      <c r="Z223" s="1215" t="s">
        <v>535</v>
      </c>
      <c r="AA223" s="1215"/>
      <c r="AB223" s="1215"/>
      <c r="AC223" s="1215" t="s">
        <v>535</v>
      </c>
      <c r="AD223" s="1215" t="s">
        <v>535</v>
      </c>
      <c r="AE223" s="1215" t="s">
        <v>535</v>
      </c>
      <c r="AF223" s="1215" t="s">
        <v>535</v>
      </c>
      <c r="AG223" s="1215" t="s">
        <v>535</v>
      </c>
      <c r="AH223" s="638">
        <v>185</v>
      </c>
      <c r="AI223" s="639">
        <v>37</v>
      </c>
    </row>
    <row r="224" spans="1:35" ht="21" customHeight="1">
      <c r="A224" s="442"/>
      <c r="B224" s="153" t="s">
        <v>618</v>
      </c>
      <c r="C224" s="1215"/>
      <c r="D224" s="1215" t="s">
        <v>535</v>
      </c>
      <c r="E224" s="1215" t="s">
        <v>535</v>
      </c>
      <c r="F224" s="1215"/>
      <c r="G224" s="1215"/>
      <c r="H224" s="1392" t="s">
        <v>535</v>
      </c>
      <c r="I224" s="1392" t="s">
        <v>535</v>
      </c>
      <c r="J224" s="1392" t="s">
        <v>570</v>
      </c>
      <c r="K224" s="1215"/>
      <c r="L224" s="1215" t="s">
        <v>535</v>
      </c>
      <c r="M224" s="1215"/>
      <c r="N224" s="1215"/>
      <c r="O224" s="1215" t="s">
        <v>535</v>
      </c>
      <c r="P224" s="1215" t="s">
        <v>535</v>
      </c>
      <c r="Q224" s="1215" t="s">
        <v>535</v>
      </c>
      <c r="R224" s="1215" t="s">
        <v>535</v>
      </c>
      <c r="S224" s="1215" t="s">
        <v>535</v>
      </c>
      <c r="T224" s="1215"/>
      <c r="U224" s="1215"/>
      <c r="V224" s="1215"/>
      <c r="W224" s="1215" t="s">
        <v>535</v>
      </c>
      <c r="X224" s="1215" t="s">
        <v>535</v>
      </c>
      <c r="Y224" s="1215" t="s">
        <v>535</v>
      </c>
      <c r="Z224" s="1215" t="s">
        <v>535</v>
      </c>
      <c r="AA224" s="1215"/>
      <c r="AB224" s="1215"/>
      <c r="AC224" s="1215" t="s">
        <v>535</v>
      </c>
      <c r="AD224" s="1215" t="s">
        <v>535</v>
      </c>
      <c r="AE224" s="1215" t="s">
        <v>535</v>
      </c>
      <c r="AF224" s="1215" t="s">
        <v>535</v>
      </c>
      <c r="AG224" s="1215" t="s">
        <v>535</v>
      </c>
      <c r="AH224" s="638"/>
      <c r="AI224" s="639"/>
    </row>
    <row r="225" spans="1:35" ht="21" customHeight="1">
      <c r="A225" s="153"/>
      <c r="B225" s="153" t="s">
        <v>619</v>
      </c>
      <c r="C225" s="1215"/>
      <c r="D225" s="1215" t="s">
        <v>535</v>
      </c>
      <c r="E225" s="1215" t="s">
        <v>535</v>
      </c>
      <c r="F225" s="1215"/>
      <c r="G225" s="1215"/>
      <c r="H225" s="1215" t="s">
        <v>535</v>
      </c>
      <c r="I225" s="1215" t="s">
        <v>535</v>
      </c>
      <c r="J225" s="1215" t="s">
        <v>535</v>
      </c>
      <c r="K225" s="1215"/>
      <c r="L225" s="1338" t="s">
        <v>535</v>
      </c>
      <c r="M225" s="1215"/>
      <c r="N225" s="1215"/>
      <c r="O225" s="1382" t="s">
        <v>535</v>
      </c>
      <c r="P225" s="1382" t="s">
        <v>535</v>
      </c>
      <c r="Q225" s="1382" t="s">
        <v>535</v>
      </c>
      <c r="R225" s="1382" t="s">
        <v>535</v>
      </c>
      <c r="S225" s="1382" t="s">
        <v>535</v>
      </c>
      <c r="T225" s="1215"/>
      <c r="U225" s="1215"/>
      <c r="V225" s="1215"/>
      <c r="W225" s="1215" t="s">
        <v>535</v>
      </c>
      <c r="X225" s="1215" t="s">
        <v>535</v>
      </c>
      <c r="Y225" s="1215" t="s">
        <v>535</v>
      </c>
      <c r="Z225" s="1215" t="s">
        <v>535</v>
      </c>
      <c r="AA225" s="1215"/>
      <c r="AB225" s="1215"/>
      <c r="AC225" s="1215" t="s">
        <v>535</v>
      </c>
      <c r="AD225" s="1215" t="s">
        <v>535</v>
      </c>
      <c r="AE225" s="1215" t="s">
        <v>535</v>
      </c>
      <c r="AF225" s="1215" t="s">
        <v>535</v>
      </c>
      <c r="AG225" s="1215" t="s">
        <v>535</v>
      </c>
      <c r="AH225" s="638">
        <v>185</v>
      </c>
      <c r="AI225" s="639">
        <v>37</v>
      </c>
    </row>
  </sheetData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13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12"/>
  <dimension ref="A1:AL243"/>
  <sheetViews>
    <sheetView topLeftCell="B34" zoomScale="78" zoomScaleNormal="78" workbookViewId="0">
      <selection activeCell="G44" sqref="G44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620</v>
      </c>
      <c r="B6" s="157"/>
      <c r="C6" s="489"/>
      <c r="D6" s="488" t="s">
        <v>621</v>
      </c>
      <c r="E6" s="157"/>
      <c r="F6" s="157"/>
      <c r="G6" s="157"/>
      <c r="H6" s="490"/>
      <c r="I6" s="157"/>
      <c r="J6" s="157"/>
      <c r="K6" s="157"/>
      <c r="L6" s="488" t="s">
        <v>622</v>
      </c>
      <c r="M6" s="157"/>
      <c r="N6" s="157"/>
      <c r="O6" s="157"/>
      <c r="P6" s="157"/>
      <c r="Q6" s="157"/>
      <c r="R6" s="157"/>
      <c r="S6" s="489"/>
      <c r="T6" s="491" t="s">
        <v>623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624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625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626</v>
      </c>
      <c r="L8" s="496"/>
      <c r="AB8" s="1"/>
    </row>
    <row r="9" spans="1:35" ht="21.95" customHeight="1" thickBot="1">
      <c r="B9" s="497" t="s">
        <v>627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528</v>
      </c>
      <c r="B10" s="297" t="s">
        <v>480</v>
      </c>
      <c r="C10" s="1235">
        <v>1</v>
      </c>
      <c r="D10" s="1234">
        <v>2</v>
      </c>
      <c r="E10" s="1234">
        <v>3</v>
      </c>
      <c r="F10" s="1235">
        <v>4</v>
      </c>
      <c r="G10" s="1235">
        <v>5</v>
      </c>
      <c r="H10" s="1234">
        <v>6</v>
      </c>
      <c r="I10" s="1213">
        <v>7</v>
      </c>
      <c r="J10" s="1213">
        <v>8</v>
      </c>
      <c r="K10" s="1235">
        <v>9</v>
      </c>
      <c r="L10" s="1234">
        <v>10</v>
      </c>
      <c r="M10" s="1235">
        <v>11</v>
      </c>
      <c r="N10" s="1235">
        <v>12</v>
      </c>
      <c r="O10" s="1234">
        <v>13</v>
      </c>
      <c r="P10" s="1213">
        <v>14</v>
      </c>
      <c r="Q10" s="1213">
        <v>15</v>
      </c>
      <c r="R10" s="1234">
        <v>16</v>
      </c>
      <c r="S10" s="1234">
        <v>17</v>
      </c>
      <c r="T10" s="1235">
        <v>18</v>
      </c>
      <c r="U10" s="1235">
        <v>19</v>
      </c>
      <c r="V10" s="1330">
        <v>20</v>
      </c>
      <c r="W10" s="1213">
        <v>21</v>
      </c>
      <c r="X10" s="1213">
        <v>22</v>
      </c>
      <c r="Y10" s="1234">
        <v>23</v>
      </c>
      <c r="Z10" s="1234">
        <v>24</v>
      </c>
      <c r="AA10" s="1235">
        <v>25</v>
      </c>
      <c r="AB10" s="1235">
        <v>26</v>
      </c>
      <c r="AC10" s="1234">
        <v>27</v>
      </c>
      <c r="AD10" s="1213">
        <v>28</v>
      </c>
      <c r="AE10" s="1213">
        <v>29</v>
      </c>
      <c r="AF10" s="1234">
        <v>30</v>
      </c>
      <c r="AG10" s="1234">
        <v>31</v>
      </c>
      <c r="AH10" s="498" t="s">
        <v>481</v>
      </c>
      <c r="AI10" s="499" t="s">
        <v>482</v>
      </c>
    </row>
    <row r="11" spans="1:35" ht="21.95" customHeight="1">
      <c r="A11" s="500"/>
      <c r="B11" s="501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1215"/>
      <c r="N11" s="1215"/>
      <c r="O11" s="1215"/>
      <c r="P11" s="1215"/>
      <c r="Q11" s="1215"/>
      <c r="R11" s="1215"/>
      <c r="S11" s="1215"/>
      <c r="T11" s="1215"/>
      <c r="U11" s="1215"/>
      <c r="V11" s="1215"/>
      <c r="W11" s="1215"/>
      <c r="X11" s="1215"/>
      <c r="Y11" s="1215"/>
      <c r="Z11" s="1215"/>
      <c r="AA11" s="1215"/>
      <c r="AB11" s="1215"/>
      <c r="AC11" s="1215"/>
      <c r="AD11" s="1215"/>
      <c r="AE11" s="1215"/>
      <c r="AF11" s="1215"/>
      <c r="AG11" s="503"/>
      <c r="AH11" s="504"/>
      <c r="AI11" s="505"/>
    </row>
    <row r="12" spans="1:35" ht="21.95" customHeight="1">
      <c r="A12" s="506" t="s">
        <v>628</v>
      </c>
      <c r="B12" s="45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509"/>
      <c r="AI12" s="510"/>
    </row>
    <row r="13" spans="1:35" ht="21.95" customHeight="1">
      <c r="A13" s="511">
        <v>8546</v>
      </c>
      <c r="B13" s="512" t="s">
        <v>629</v>
      </c>
      <c r="C13" s="1211">
        <v>4</v>
      </c>
      <c r="D13" s="1211">
        <v>4</v>
      </c>
      <c r="E13" s="1211">
        <v>4</v>
      </c>
      <c r="F13" s="1211" t="s">
        <v>630</v>
      </c>
      <c r="G13" s="1349" t="s">
        <v>630</v>
      </c>
      <c r="H13" s="1215" t="s">
        <v>487</v>
      </c>
      <c r="I13" s="1211" t="s">
        <v>487</v>
      </c>
      <c r="J13" s="1211" t="s">
        <v>487</v>
      </c>
      <c r="K13" s="1211" t="s">
        <v>487</v>
      </c>
      <c r="L13" s="1211" t="s">
        <v>487</v>
      </c>
      <c r="M13" s="1211"/>
      <c r="N13" s="1211"/>
      <c r="O13" s="1394">
        <v>1</v>
      </c>
      <c r="P13" s="1211">
        <v>1</v>
      </c>
      <c r="Q13" s="1211">
        <v>1</v>
      </c>
      <c r="R13" s="1394">
        <v>1</v>
      </c>
      <c r="S13" s="1394">
        <v>1</v>
      </c>
      <c r="T13" s="1211"/>
      <c r="U13" s="1211"/>
      <c r="V13" s="1211">
        <v>2</v>
      </c>
      <c r="W13" s="1211">
        <v>2</v>
      </c>
      <c r="X13" s="1211">
        <v>2</v>
      </c>
      <c r="Y13" s="1211">
        <v>2</v>
      </c>
      <c r="Z13" s="1211">
        <v>2</v>
      </c>
      <c r="AA13" s="1211" t="s">
        <v>631</v>
      </c>
      <c r="AB13" s="1211" t="s">
        <v>631</v>
      </c>
      <c r="AC13" s="1341" t="s">
        <v>487</v>
      </c>
      <c r="AD13" s="1341" t="s">
        <v>487</v>
      </c>
      <c r="AE13" s="1211" t="s">
        <v>487</v>
      </c>
      <c r="AF13" s="1211" t="s">
        <v>487</v>
      </c>
      <c r="AG13" s="1218" t="s">
        <v>487</v>
      </c>
      <c r="AH13" s="513">
        <v>172</v>
      </c>
      <c r="AI13" s="514">
        <v>37</v>
      </c>
    </row>
    <row r="14" spans="1:35" ht="21.95" customHeight="1">
      <c r="A14" s="500">
        <v>8546</v>
      </c>
      <c r="B14" s="347" t="s">
        <v>632</v>
      </c>
      <c r="C14" s="1215" t="s">
        <v>487</v>
      </c>
      <c r="D14" s="1215" t="s">
        <v>487</v>
      </c>
      <c r="E14" s="1215" t="s">
        <v>487</v>
      </c>
      <c r="F14" s="1215"/>
      <c r="G14" s="1215"/>
      <c r="H14" s="1215">
        <v>3</v>
      </c>
      <c r="I14" s="1215">
        <v>3</v>
      </c>
      <c r="J14" s="1215">
        <v>3</v>
      </c>
      <c r="K14" s="1215">
        <v>3</v>
      </c>
      <c r="L14" s="1335">
        <v>3</v>
      </c>
      <c r="M14" s="1215"/>
      <c r="N14" s="1215"/>
      <c r="O14" s="1215">
        <v>4</v>
      </c>
      <c r="P14" s="1215">
        <v>4</v>
      </c>
      <c r="Q14" s="1215">
        <v>4</v>
      </c>
      <c r="R14" s="1215">
        <v>4</v>
      </c>
      <c r="S14" s="1215">
        <v>4</v>
      </c>
      <c r="T14" s="1215" t="s">
        <v>630</v>
      </c>
      <c r="U14" s="1215" t="s">
        <v>630</v>
      </c>
      <c r="V14" s="1215" t="s">
        <v>487</v>
      </c>
      <c r="W14" s="1215" t="s">
        <v>487</v>
      </c>
      <c r="X14" s="1215" t="s">
        <v>487</v>
      </c>
      <c r="Y14" s="1215" t="s">
        <v>487</v>
      </c>
      <c r="Z14" s="1215" t="s">
        <v>487</v>
      </c>
      <c r="AA14" s="1215"/>
      <c r="AB14" s="1215"/>
      <c r="AC14" s="1344">
        <v>1</v>
      </c>
      <c r="AD14" s="1344">
        <v>1</v>
      </c>
      <c r="AE14" s="1215">
        <v>1</v>
      </c>
      <c r="AF14" s="1215">
        <v>1</v>
      </c>
      <c r="AG14" s="1216">
        <v>1</v>
      </c>
      <c r="AH14" s="513">
        <v>185</v>
      </c>
      <c r="AI14" s="514">
        <v>37</v>
      </c>
    </row>
    <row r="15" spans="1:35" ht="21.95" customHeight="1">
      <c r="A15" s="500">
        <v>8546</v>
      </c>
      <c r="B15" s="347" t="s">
        <v>171</v>
      </c>
      <c r="C15" s="1215">
        <v>3</v>
      </c>
      <c r="D15" s="1215">
        <v>3</v>
      </c>
      <c r="E15" s="1215">
        <v>3</v>
      </c>
      <c r="F15" s="1215"/>
      <c r="G15" s="1215"/>
      <c r="H15" s="1215">
        <v>4</v>
      </c>
      <c r="I15" s="1215">
        <v>4</v>
      </c>
      <c r="J15" s="1215">
        <v>4</v>
      </c>
      <c r="K15" s="1215">
        <v>4</v>
      </c>
      <c r="L15" s="1215">
        <v>4</v>
      </c>
      <c r="M15" s="1215" t="s">
        <v>630</v>
      </c>
      <c r="N15" s="1215" t="s">
        <v>630</v>
      </c>
      <c r="O15" s="1215" t="s">
        <v>487</v>
      </c>
      <c r="P15" s="1215" t="s">
        <v>487</v>
      </c>
      <c r="Q15" s="1215" t="s">
        <v>487</v>
      </c>
      <c r="R15" s="1215" t="s">
        <v>487</v>
      </c>
      <c r="S15" s="1215" t="s">
        <v>487</v>
      </c>
      <c r="T15" s="1215"/>
      <c r="U15" s="1215"/>
      <c r="V15" s="1215">
        <v>1</v>
      </c>
      <c r="W15" s="1215">
        <v>1</v>
      </c>
      <c r="X15" s="1215">
        <v>1</v>
      </c>
      <c r="Y15" s="1335">
        <v>1</v>
      </c>
      <c r="Z15" s="1335">
        <v>1</v>
      </c>
      <c r="AA15" s="1215"/>
      <c r="AB15" s="1215"/>
      <c r="AC15" s="1342">
        <v>2</v>
      </c>
      <c r="AD15" s="1342">
        <v>2</v>
      </c>
      <c r="AE15" s="1215">
        <v>2</v>
      </c>
      <c r="AF15" s="1215">
        <v>2</v>
      </c>
      <c r="AG15" s="1216">
        <v>2</v>
      </c>
      <c r="AH15" s="513">
        <v>185</v>
      </c>
      <c r="AI15" s="514">
        <v>37</v>
      </c>
    </row>
    <row r="16" spans="1:35" ht="21.95" customHeight="1">
      <c r="A16" s="500">
        <v>8546</v>
      </c>
      <c r="B16" s="347" t="s">
        <v>633</v>
      </c>
      <c r="C16" s="1215">
        <v>1</v>
      </c>
      <c r="D16" s="1215">
        <v>1</v>
      </c>
      <c r="E16" s="1215">
        <v>1</v>
      </c>
      <c r="F16" s="1215"/>
      <c r="G16" s="1215"/>
      <c r="H16" s="1215">
        <v>2</v>
      </c>
      <c r="I16" s="1344">
        <v>1</v>
      </c>
      <c r="J16" s="1215">
        <v>2</v>
      </c>
      <c r="K16" s="1215">
        <v>2</v>
      </c>
      <c r="L16" s="1215">
        <v>2</v>
      </c>
      <c r="M16" s="1215" t="s">
        <v>631</v>
      </c>
      <c r="N16" s="1215" t="s">
        <v>631</v>
      </c>
      <c r="O16" s="1215" t="s">
        <v>487</v>
      </c>
      <c r="P16" s="1215" t="s">
        <v>487</v>
      </c>
      <c r="Q16" s="1215" t="s">
        <v>487</v>
      </c>
      <c r="R16" s="1215" t="s">
        <v>487</v>
      </c>
      <c r="S16" s="1215" t="s">
        <v>487</v>
      </c>
      <c r="T16" s="1215"/>
      <c r="U16" s="1215"/>
      <c r="V16" s="1215">
        <v>3</v>
      </c>
      <c r="W16" s="1335">
        <v>3</v>
      </c>
      <c r="X16" s="1335">
        <v>3</v>
      </c>
      <c r="Y16" s="1335">
        <v>3</v>
      </c>
      <c r="Z16" s="1335">
        <v>3</v>
      </c>
      <c r="AA16" s="1215"/>
      <c r="AB16" s="1215"/>
      <c r="AC16" s="1342">
        <v>4</v>
      </c>
      <c r="AD16" s="1342">
        <v>4</v>
      </c>
      <c r="AE16" s="1215">
        <v>4</v>
      </c>
      <c r="AF16" s="1215">
        <v>4</v>
      </c>
      <c r="AG16" s="1216">
        <v>4</v>
      </c>
      <c r="AH16" s="513">
        <v>185</v>
      </c>
      <c r="AI16" s="514">
        <v>37</v>
      </c>
    </row>
    <row r="17" spans="1:37" ht="21.95" customHeight="1">
      <c r="A17" s="500">
        <v>8546</v>
      </c>
      <c r="B17" s="347" t="s">
        <v>634</v>
      </c>
      <c r="C17" s="1342" t="s">
        <v>487</v>
      </c>
      <c r="D17" s="1342" t="s">
        <v>487</v>
      </c>
      <c r="E17" s="1342" t="s">
        <v>487</v>
      </c>
      <c r="F17" s="1342"/>
      <c r="G17" s="1342"/>
      <c r="H17" s="1335">
        <v>1</v>
      </c>
      <c r="I17" s="1335">
        <v>1</v>
      </c>
      <c r="J17" s="1335">
        <v>1</v>
      </c>
      <c r="K17" s="1335">
        <v>1</v>
      </c>
      <c r="L17" s="1335">
        <v>1</v>
      </c>
      <c r="M17" s="1215"/>
      <c r="N17" s="1215"/>
      <c r="O17" s="1215">
        <v>2</v>
      </c>
      <c r="P17" s="1215">
        <v>2</v>
      </c>
      <c r="Q17" s="1215">
        <v>2</v>
      </c>
      <c r="R17" s="1215">
        <v>2</v>
      </c>
      <c r="S17" s="1215">
        <v>2</v>
      </c>
      <c r="T17" s="1215" t="s">
        <v>631</v>
      </c>
      <c r="U17" s="1215" t="s">
        <v>631</v>
      </c>
      <c r="V17" s="1215" t="s">
        <v>487</v>
      </c>
      <c r="W17" s="1215" t="s">
        <v>487</v>
      </c>
      <c r="X17" s="1215" t="s">
        <v>487</v>
      </c>
      <c r="Y17" s="1215" t="s">
        <v>487</v>
      </c>
      <c r="Z17" s="1215" t="s">
        <v>487</v>
      </c>
      <c r="AA17" s="1215"/>
      <c r="AB17" s="1215"/>
      <c r="AC17" s="1342">
        <v>3</v>
      </c>
      <c r="AD17" s="1342">
        <v>3</v>
      </c>
      <c r="AE17" s="1215">
        <v>3</v>
      </c>
      <c r="AF17" s="1335">
        <v>3</v>
      </c>
      <c r="AG17" s="1398">
        <v>3</v>
      </c>
      <c r="AH17" s="513">
        <v>185</v>
      </c>
      <c r="AI17" s="514">
        <v>37</v>
      </c>
    </row>
    <row r="18" spans="1:37" ht="21.95" customHeight="1">
      <c r="A18" s="500">
        <v>8546</v>
      </c>
      <c r="B18" s="347" t="s">
        <v>635</v>
      </c>
      <c r="C18" s="1215">
        <v>2</v>
      </c>
      <c r="D18" s="1215">
        <v>2</v>
      </c>
      <c r="E18" s="1215">
        <v>2</v>
      </c>
      <c r="F18" s="1215" t="s">
        <v>631</v>
      </c>
      <c r="G18" s="1346" t="s">
        <v>631</v>
      </c>
      <c r="H18" s="1215" t="s">
        <v>487</v>
      </c>
      <c r="I18" s="1215" t="s">
        <v>487</v>
      </c>
      <c r="J18" s="1215" t="s">
        <v>487</v>
      </c>
      <c r="K18" s="1215" t="s">
        <v>487</v>
      </c>
      <c r="L18" s="1215" t="s">
        <v>487</v>
      </c>
      <c r="M18" s="1215"/>
      <c r="N18" s="1215"/>
      <c r="O18" s="1215">
        <v>3</v>
      </c>
      <c r="P18" s="1341">
        <v>3</v>
      </c>
      <c r="Q18" s="1215">
        <v>3</v>
      </c>
      <c r="R18" s="1215">
        <v>3</v>
      </c>
      <c r="S18" s="1215">
        <v>3</v>
      </c>
      <c r="T18" s="1215"/>
      <c r="U18" s="1215"/>
      <c r="V18" s="1215">
        <v>4</v>
      </c>
      <c r="W18" s="1215">
        <v>4</v>
      </c>
      <c r="X18" s="1215">
        <v>4</v>
      </c>
      <c r="Y18" s="1215">
        <v>4</v>
      </c>
      <c r="Z18" s="1215">
        <v>4</v>
      </c>
      <c r="AA18" s="1215" t="s">
        <v>630</v>
      </c>
      <c r="AB18" s="1342" t="s">
        <v>630</v>
      </c>
      <c r="AC18" s="1342" t="s">
        <v>487</v>
      </c>
      <c r="AD18" s="1342" t="s">
        <v>487</v>
      </c>
      <c r="AE18" s="1215" t="s">
        <v>487</v>
      </c>
      <c r="AF18" s="1215" t="s">
        <v>487</v>
      </c>
      <c r="AG18" s="1216" t="s">
        <v>487</v>
      </c>
      <c r="AH18" s="513">
        <v>189</v>
      </c>
      <c r="AI18" s="514">
        <v>37</v>
      </c>
    </row>
    <row r="19" spans="1:37" ht="21.95" customHeight="1">
      <c r="A19" s="515" t="s">
        <v>636</v>
      </c>
      <c r="B19" s="516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507"/>
      <c r="AE19" s="507"/>
      <c r="AF19" s="507"/>
      <c r="AG19" s="508"/>
      <c r="AH19" s="509"/>
      <c r="AI19" s="510"/>
    </row>
    <row r="20" spans="1:37" ht="21.95" customHeight="1">
      <c r="A20" s="500">
        <v>8500</v>
      </c>
      <c r="B20" s="186" t="s">
        <v>192</v>
      </c>
      <c r="C20" s="1342"/>
      <c r="D20" s="1342" t="s">
        <v>535</v>
      </c>
      <c r="E20" s="1342" t="s">
        <v>535</v>
      </c>
      <c r="F20" s="1342"/>
      <c r="G20" s="1342"/>
      <c r="H20" s="1346" t="s">
        <v>535</v>
      </c>
      <c r="I20" s="1215">
        <v>2</v>
      </c>
      <c r="J20" s="1346" t="s">
        <v>535</v>
      </c>
      <c r="K20" s="1215" t="s">
        <v>637</v>
      </c>
      <c r="L20" s="1346" t="s">
        <v>535</v>
      </c>
      <c r="M20" s="1215" t="s">
        <v>637</v>
      </c>
      <c r="N20" s="1215" t="s">
        <v>637</v>
      </c>
      <c r="O20" s="1442" t="s">
        <v>514</v>
      </c>
      <c r="P20" s="1392">
        <v>3</v>
      </c>
      <c r="Q20" s="1392" t="s">
        <v>570</v>
      </c>
      <c r="R20" s="1215" t="s">
        <v>535</v>
      </c>
      <c r="S20" s="1215">
        <v>1</v>
      </c>
      <c r="T20" s="1215" t="s">
        <v>637</v>
      </c>
      <c r="U20" s="1215" t="s">
        <v>637</v>
      </c>
      <c r="V20" s="1215" t="s">
        <v>637</v>
      </c>
      <c r="W20" s="1215">
        <v>3</v>
      </c>
      <c r="X20" s="1215">
        <v>3</v>
      </c>
      <c r="Y20" s="1215">
        <v>3</v>
      </c>
      <c r="Z20" s="1335">
        <v>3</v>
      </c>
      <c r="AA20" s="1215"/>
      <c r="AB20" s="1215"/>
      <c r="AC20" s="1342" t="s">
        <v>535</v>
      </c>
      <c r="AD20" s="1342" t="s">
        <v>535</v>
      </c>
      <c r="AE20" s="1335" t="s">
        <v>535</v>
      </c>
      <c r="AF20" s="1215">
        <v>3</v>
      </c>
      <c r="AG20" s="1215">
        <v>3</v>
      </c>
      <c r="AH20" s="504">
        <v>206</v>
      </c>
      <c r="AI20" s="505">
        <v>37</v>
      </c>
    </row>
    <row r="21" spans="1:37" ht="21.95" customHeight="1">
      <c r="A21" s="500">
        <v>8500</v>
      </c>
      <c r="B21" s="153" t="s">
        <v>638</v>
      </c>
      <c r="C21" s="1215"/>
      <c r="D21" s="1346" t="s">
        <v>535</v>
      </c>
      <c r="E21" s="1346" t="s">
        <v>535</v>
      </c>
      <c r="F21" s="1215"/>
      <c r="G21" s="1215" t="s">
        <v>630</v>
      </c>
      <c r="H21" s="1215" t="s">
        <v>487</v>
      </c>
      <c r="I21" s="1215" t="s">
        <v>514</v>
      </c>
      <c r="J21" s="1215">
        <v>1</v>
      </c>
      <c r="K21" s="1215">
        <v>1</v>
      </c>
      <c r="L21" s="1215">
        <v>1</v>
      </c>
      <c r="M21" s="1215"/>
      <c r="N21" s="1215"/>
      <c r="O21" s="1215">
        <v>1</v>
      </c>
      <c r="P21" s="1341" t="s">
        <v>514</v>
      </c>
      <c r="Q21" s="1215" t="s">
        <v>535</v>
      </c>
      <c r="R21" s="1215">
        <v>1</v>
      </c>
      <c r="S21" s="1346" t="s">
        <v>514</v>
      </c>
      <c r="T21" s="1215"/>
      <c r="U21" s="1215"/>
      <c r="V21" s="1215"/>
      <c r="W21" s="1215" t="s">
        <v>514</v>
      </c>
      <c r="X21" s="1215" t="s">
        <v>514</v>
      </c>
      <c r="Y21" s="1215">
        <v>1</v>
      </c>
      <c r="Z21" s="1215">
        <v>1</v>
      </c>
      <c r="AA21" s="1215"/>
      <c r="AB21" s="1215"/>
      <c r="AC21" s="1342" t="s">
        <v>535</v>
      </c>
      <c r="AD21" s="1342" t="s">
        <v>535</v>
      </c>
      <c r="AE21" s="1215" t="s">
        <v>535</v>
      </c>
      <c r="AF21" s="1215" t="s">
        <v>535</v>
      </c>
      <c r="AG21" s="1215" t="s">
        <v>535</v>
      </c>
      <c r="AH21" s="504">
        <v>185</v>
      </c>
      <c r="AI21" s="505">
        <v>37</v>
      </c>
    </row>
    <row r="22" spans="1:37" ht="21.95" customHeight="1" thickBot="1">
      <c r="A22" s="500"/>
      <c r="B22" s="153"/>
      <c r="C22" s="1215"/>
      <c r="D22" s="1215"/>
      <c r="E22" s="1215"/>
      <c r="F22" s="1215"/>
      <c r="G22" s="1215"/>
      <c r="H22" s="1215"/>
      <c r="I22" s="1215"/>
      <c r="J22" s="1215"/>
      <c r="K22" s="1215"/>
      <c r="L22" s="1215"/>
      <c r="M22" s="1215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15"/>
      <c r="AA22" s="1215"/>
      <c r="AB22" s="1215"/>
      <c r="AC22" s="1215"/>
      <c r="AD22" s="1215"/>
      <c r="AE22" s="1215"/>
      <c r="AF22" s="1215"/>
      <c r="AG22" s="1215"/>
      <c r="AH22" s="517">
        <v>185</v>
      </c>
      <c r="AI22" s="518">
        <v>37</v>
      </c>
    </row>
    <row r="23" spans="1:37" ht="21.95" customHeight="1">
      <c r="A23" s="519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</row>
    <row r="24" spans="1:37" ht="21.95" customHeight="1">
      <c r="A24" s="519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</row>
    <row r="25" spans="1:37" ht="21.95" customHeight="1">
      <c r="A25" s="519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</row>
    <row r="26" spans="1:37" ht="21.95" customHeight="1">
      <c r="A26" s="519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</row>
    <row r="27" spans="1:37" ht="21.95" customHeight="1">
      <c r="A27" s="519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</row>
    <row r="28" spans="1:37" ht="21.95" customHeight="1">
      <c r="A28" s="519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</row>
    <row r="29" spans="1:37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7" ht="21.95" customHeight="1" thickBot="1">
      <c r="A30" s="1" t="s">
        <v>639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640</v>
      </c>
      <c r="B31" s="521"/>
      <c r="C31" s="521"/>
      <c r="D31" s="425" t="s">
        <v>641</v>
      </c>
      <c r="E31" s="522"/>
      <c r="F31" s="522"/>
      <c r="G31" s="522"/>
      <c r="H31" s="522"/>
      <c r="I31" s="522"/>
      <c r="J31" s="522"/>
      <c r="K31" s="522"/>
      <c r="L31" s="522"/>
      <c r="M31" s="523" t="s">
        <v>642</v>
      </c>
      <c r="N31" s="522"/>
      <c r="O31" s="522"/>
      <c r="P31" s="522"/>
      <c r="Q31" s="522"/>
      <c r="R31" s="522"/>
      <c r="S31" s="524"/>
      <c r="T31" s="524" t="s">
        <v>643</v>
      </c>
      <c r="U31" s="522"/>
      <c r="V31" s="522"/>
      <c r="W31" s="522"/>
      <c r="X31" s="522"/>
      <c r="Y31" s="522"/>
      <c r="Z31" s="238"/>
      <c r="AA31" s="525" t="s">
        <v>644</v>
      </c>
      <c r="AB31" s="51"/>
      <c r="AC31" s="51"/>
      <c r="AD31" s="51"/>
      <c r="AE31" s="51"/>
      <c r="AF31" s="51"/>
      <c r="AG31" s="526"/>
      <c r="AK31" s="1"/>
    </row>
    <row r="32" spans="1:37" ht="21.95" customHeight="1">
      <c r="A32" s="527" t="s">
        <v>645</v>
      </c>
      <c r="B32" s="135"/>
      <c r="C32" s="135"/>
      <c r="D32" s="495" t="s">
        <v>646</v>
      </c>
      <c r="E32" s="491"/>
      <c r="F32" s="157"/>
      <c r="G32" s="157"/>
      <c r="H32" s="157"/>
      <c r="I32" s="157"/>
      <c r="J32" s="157"/>
      <c r="K32" s="157"/>
      <c r="L32" s="489"/>
      <c r="M32" s="528" t="s">
        <v>647</v>
      </c>
      <c r="N32" s="135"/>
      <c r="O32" s="529"/>
      <c r="P32" s="135"/>
      <c r="Q32" s="135"/>
      <c r="R32" s="135"/>
      <c r="S32" s="530"/>
      <c r="T32" s="495" t="s">
        <v>648</v>
      </c>
      <c r="U32" s="157"/>
      <c r="V32" s="491"/>
      <c r="W32" s="157"/>
      <c r="X32" s="157"/>
      <c r="Y32" s="157"/>
      <c r="Z32" s="489"/>
      <c r="AA32" s="1" t="s">
        <v>649</v>
      </c>
      <c r="AD32" s="496"/>
      <c r="AG32" s="531"/>
      <c r="AK32" s="1"/>
    </row>
    <row r="33" spans="1:38" ht="21.95" customHeight="1">
      <c r="A33" s="532" t="s">
        <v>650</v>
      </c>
      <c r="B33" s="157"/>
      <c r="C33" s="157"/>
      <c r="D33" s="157"/>
      <c r="E33" s="157"/>
      <c r="F33" s="157"/>
      <c r="G33" s="489"/>
      <c r="H33" s="495" t="s">
        <v>651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3" t="s">
        <v>652</v>
      </c>
      <c r="AA33" s="529"/>
      <c r="AB33" s="135"/>
      <c r="AC33" s="135"/>
      <c r="AD33" s="135"/>
      <c r="AE33" s="135"/>
      <c r="AF33" s="135"/>
      <c r="AG33" s="534"/>
      <c r="AK33" s="312"/>
    </row>
    <row r="34" spans="1:38" ht="21.95" customHeight="1" thickBot="1">
      <c r="A34" s="535" t="s">
        <v>653</v>
      </c>
      <c r="B34" s="53"/>
      <c r="C34" s="53"/>
      <c r="D34" s="53"/>
      <c r="E34" s="53"/>
      <c r="F34" s="53"/>
      <c r="G34" s="536"/>
      <c r="H34" s="537" t="s">
        <v>654</v>
      </c>
      <c r="I34" s="536"/>
      <c r="J34" s="53"/>
      <c r="K34" s="53"/>
      <c r="L34" s="53"/>
      <c r="M34" s="53"/>
      <c r="N34" s="53"/>
      <c r="O34" s="53"/>
      <c r="P34" s="53"/>
      <c r="Q34" s="538"/>
      <c r="R34" s="538"/>
      <c r="S34" s="538"/>
      <c r="T34" s="53"/>
      <c r="U34" s="537" t="s">
        <v>655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9"/>
      <c r="AK34" s="1"/>
    </row>
    <row r="35" spans="1:38" ht="21.95" customHeight="1" thickBot="1">
      <c r="B35" s="540" t="s">
        <v>627</v>
      </c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41"/>
      <c r="Y35" s="541"/>
      <c r="Z35" s="541"/>
      <c r="AA35" s="541"/>
      <c r="AB35" s="541"/>
      <c r="AC35" s="541"/>
      <c r="AD35" s="541"/>
      <c r="AE35" s="541"/>
      <c r="AF35" s="541"/>
      <c r="AG35" s="541"/>
      <c r="AH35" s="1"/>
    </row>
    <row r="36" spans="1:38" ht="21.95" customHeight="1" thickBot="1">
      <c r="A36" s="542" t="s">
        <v>528</v>
      </c>
      <c r="B36" s="182" t="s">
        <v>480</v>
      </c>
      <c r="C36" s="1235">
        <v>1</v>
      </c>
      <c r="D36" s="1234">
        <v>2</v>
      </c>
      <c r="E36" s="1234">
        <v>3</v>
      </c>
      <c r="F36" s="1235">
        <v>4</v>
      </c>
      <c r="G36" s="1235">
        <v>5</v>
      </c>
      <c r="H36" s="1234">
        <v>6</v>
      </c>
      <c r="I36" s="1213">
        <v>7</v>
      </c>
      <c r="J36" s="1213">
        <v>8</v>
      </c>
      <c r="K36" s="1235">
        <v>9</v>
      </c>
      <c r="L36" s="1234">
        <v>10</v>
      </c>
      <c r="M36" s="1235">
        <v>11</v>
      </c>
      <c r="N36" s="1235">
        <v>12</v>
      </c>
      <c r="O36" s="1234">
        <v>13</v>
      </c>
      <c r="P36" s="1213">
        <v>14</v>
      </c>
      <c r="Q36" s="1213">
        <v>15</v>
      </c>
      <c r="R36" s="1234">
        <v>16</v>
      </c>
      <c r="S36" s="1234">
        <v>17</v>
      </c>
      <c r="T36" s="1235">
        <v>18</v>
      </c>
      <c r="U36" s="1235">
        <v>19</v>
      </c>
      <c r="V36" s="1330">
        <v>20</v>
      </c>
      <c r="W36" s="1213">
        <v>21</v>
      </c>
      <c r="X36" s="1213">
        <v>22</v>
      </c>
      <c r="Y36" s="1234">
        <v>23</v>
      </c>
      <c r="Z36" s="1234">
        <v>24</v>
      </c>
      <c r="AA36" s="1235">
        <v>25</v>
      </c>
      <c r="AB36" s="1235">
        <v>26</v>
      </c>
      <c r="AC36" s="1234">
        <v>27</v>
      </c>
      <c r="AD36" s="1213">
        <v>28</v>
      </c>
      <c r="AE36" s="1213">
        <v>29</v>
      </c>
      <c r="AF36" s="1234">
        <v>30</v>
      </c>
      <c r="AG36" s="1234">
        <v>31</v>
      </c>
      <c r="AH36" s="498" t="s">
        <v>481</v>
      </c>
      <c r="AI36" s="499" t="s">
        <v>482</v>
      </c>
      <c r="AL36" t="s">
        <v>28</v>
      </c>
    </row>
    <row r="37" spans="1:38" ht="21.95" customHeight="1">
      <c r="A37" s="543">
        <v>1</v>
      </c>
      <c r="B37" s="45" t="s">
        <v>656</v>
      </c>
      <c r="C37" s="1209">
        <v>11</v>
      </c>
      <c r="D37" s="1209">
        <v>11</v>
      </c>
      <c r="E37" s="1209">
        <v>11</v>
      </c>
      <c r="F37" s="1209" t="s">
        <v>657</v>
      </c>
      <c r="G37" s="1209" t="s">
        <v>657</v>
      </c>
      <c r="H37" s="1209" t="s">
        <v>487</v>
      </c>
      <c r="I37" s="1209" t="s">
        <v>487</v>
      </c>
      <c r="J37" s="1209" t="s">
        <v>487</v>
      </c>
      <c r="K37" s="1209" t="s">
        <v>487</v>
      </c>
      <c r="L37" s="1209" t="s">
        <v>487</v>
      </c>
      <c r="M37" s="1209"/>
      <c r="N37" s="1209"/>
      <c r="O37" s="1209">
        <v>8</v>
      </c>
      <c r="P37" s="1209">
        <v>8</v>
      </c>
      <c r="Q37" s="1215" t="s">
        <v>539</v>
      </c>
      <c r="R37" s="1209">
        <v>8</v>
      </c>
      <c r="S37" s="1209">
        <v>8</v>
      </c>
      <c r="T37" s="1209" t="s">
        <v>533</v>
      </c>
      <c r="U37" s="1209" t="s">
        <v>533</v>
      </c>
      <c r="V37" s="1209" t="s">
        <v>487</v>
      </c>
      <c r="W37" s="1209" t="s">
        <v>487</v>
      </c>
      <c r="X37" s="1209" t="s">
        <v>487</v>
      </c>
      <c r="Y37" s="1209" t="s">
        <v>487</v>
      </c>
      <c r="Z37" s="1209" t="s">
        <v>487</v>
      </c>
      <c r="AA37" s="1209"/>
      <c r="AB37" s="1209"/>
      <c r="AC37" s="1209">
        <v>1</v>
      </c>
      <c r="AD37" s="1209">
        <v>1</v>
      </c>
      <c r="AE37" s="1209">
        <v>1</v>
      </c>
      <c r="AF37" s="1209">
        <v>1</v>
      </c>
      <c r="AG37" s="1209">
        <v>1</v>
      </c>
      <c r="AH37" s="504">
        <v>196</v>
      </c>
      <c r="AI37" s="505">
        <v>37</v>
      </c>
    </row>
    <row r="38" spans="1:38" ht="21.95" customHeight="1">
      <c r="A38" s="544">
        <v>6</v>
      </c>
      <c r="B38" s="545" t="s">
        <v>658</v>
      </c>
      <c r="C38" s="1376">
        <v>9</v>
      </c>
      <c r="D38" s="1376">
        <v>9</v>
      </c>
      <c r="E38" s="1376">
        <v>9</v>
      </c>
      <c r="F38" s="1376" t="s">
        <v>543</v>
      </c>
      <c r="G38" s="1376" t="s">
        <v>555</v>
      </c>
      <c r="H38" s="1376" t="s">
        <v>487</v>
      </c>
      <c r="I38" s="1376" t="s">
        <v>487</v>
      </c>
      <c r="J38" s="1376" t="s">
        <v>487</v>
      </c>
      <c r="K38" s="1376" t="s">
        <v>487</v>
      </c>
      <c r="L38" s="1376" t="s">
        <v>487</v>
      </c>
      <c r="M38" s="1376"/>
      <c r="N38" s="1376"/>
      <c r="O38" s="1376">
        <v>6</v>
      </c>
      <c r="P38" s="1376">
        <v>6</v>
      </c>
      <c r="Q38" s="1376">
        <v>6</v>
      </c>
      <c r="R38" s="1376">
        <v>6</v>
      </c>
      <c r="S38" s="1376">
        <v>6</v>
      </c>
      <c r="T38" s="1376" t="s">
        <v>532</v>
      </c>
      <c r="U38" s="1376" t="s">
        <v>533</v>
      </c>
      <c r="V38" s="1376" t="s">
        <v>487</v>
      </c>
      <c r="W38" s="1376" t="s">
        <v>487</v>
      </c>
      <c r="X38" s="1376" t="s">
        <v>487</v>
      </c>
      <c r="Y38" s="1376" t="s">
        <v>487</v>
      </c>
      <c r="Z38" s="1376" t="s">
        <v>487</v>
      </c>
      <c r="AA38" s="1376"/>
      <c r="AB38" s="1376"/>
      <c r="AC38" s="1376">
        <v>5</v>
      </c>
      <c r="AD38" s="1376">
        <v>5</v>
      </c>
      <c r="AE38" s="1376">
        <v>5</v>
      </c>
      <c r="AF38" s="1376">
        <v>5</v>
      </c>
      <c r="AG38" s="1376">
        <v>5</v>
      </c>
      <c r="AH38" s="504">
        <v>185</v>
      </c>
      <c r="AI38" s="505">
        <v>37</v>
      </c>
    </row>
    <row r="39" spans="1:38" ht="21.95" customHeight="1" thickBot="1">
      <c r="A39" s="546">
        <v>11</v>
      </c>
      <c r="B39" s="1242" t="s">
        <v>659</v>
      </c>
      <c r="C39" s="1355">
        <v>10</v>
      </c>
      <c r="D39" s="1355">
        <v>10</v>
      </c>
      <c r="E39" s="1355">
        <v>10</v>
      </c>
      <c r="F39" s="1355" t="s">
        <v>555</v>
      </c>
      <c r="G39" s="1355" t="s">
        <v>555</v>
      </c>
      <c r="H39" s="1207" t="s">
        <v>487</v>
      </c>
      <c r="I39" s="1207" t="s">
        <v>487</v>
      </c>
      <c r="J39" s="1207" t="s">
        <v>487</v>
      </c>
      <c r="K39" s="1207" t="s">
        <v>487</v>
      </c>
      <c r="L39" s="1207" t="s">
        <v>487</v>
      </c>
      <c r="M39" s="1207" t="s">
        <v>660</v>
      </c>
      <c r="N39" s="1207" t="s">
        <v>660</v>
      </c>
      <c r="O39" s="1443" t="s">
        <v>661</v>
      </c>
      <c r="P39" s="1445">
        <v>7</v>
      </c>
      <c r="Q39" s="1215">
        <v>7</v>
      </c>
      <c r="R39" s="1207">
        <v>7</v>
      </c>
      <c r="S39" s="1207">
        <v>7</v>
      </c>
      <c r="T39" s="1207"/>
      <c r="U39" s="1207"/>
      <c r="V39" s="1207">
        <v>4</v>
      </c>
      <c r="W39" s="1207">
        <v>4</v>
      </c>
      <c r="X39" s="1207">
        <v>4</v>
      </c>
      <c r="Y39" s="1207">
        <v>4</v>
      </c>
      <c r="Z39" s="1207">
        <v>4</v>
      </c>
      <c r="AA39" s="1207"/>
      <c r="AB39" s="1207"/>
      <c r="AC39" s="1360">
        <v>3</v>
      </c>
      <c r="AD39" s="1360">
        <v>3</v>
      </c>
      <c r="AE39" s="1360">
        <v>3</v>
      </c>
      <c r="AF39" s="1360">
        <v>3</v>
      </c>
      <c r="AG39" s="1360">
        <v>3</v>
      </c>
      <c r="AH39" s="504">
        <v>200</v>
      </c>
      <c r="AI39" s="505">
        <v>37</v>
      </c>
    </row>
    <row r="40" spans="1:38" ht="21.95" customHeight="1">
      <c r="A40" s="543">
        <v>2</v>
      </c>
      <c r="B40" s="45" t="s">
        <v>662</v>
      </c>
      <c r="C40" s="1209" t="s">
        <v>487</v>
      </c>
      <c r="D40" s="1209" t="s">
        <v>487</v>
      </c>
      <c r="E40" s="1209" t="s">
        <v>487</v>
      </c>
      <c r="F40" s="1223"/>
      <c r="G40" s="1223"/>
      <c r="H40" s="1438">
        <v>8</v>
      </c>
      <c r="I40" s="1438">
        <v>8</v>
      </c>
      <c r="J40" s="1438">
        <v>8</v>
      </c>
      <c r="K40" s="1438" t="s">
        <v>663</v>
      </c>
      <c r="L40" s="1209">
        <v>8</v>
      </c>
      <c r="M40" s="1209" t="s">
        <v>533</v>
      </c>
      <c r="N40" s="1209" t="s">
        <v>533</v>
      </c>
      <c r="O40" s="1209" t="s">
        <v>487</v>
      </c>
      <c r="P40" s="1209" t="s">
        <v>487</v>
      </c>
      <c r="Q40" s="1209" t="s">
        <v>487</v>
      </c>
      <c r="R40" s="1209" t="s">
        <v>487</v>
      </c>
      <c r="S40" s="1209" t="s">
        <v>487</v>
      </c>
      <c r="T40" s="1223"/>
      <c r="U40" s="1223"/>
      <c r="V40" s="1209">
        <v>1</v>
      </c>
      <c r="W40" s="1209">
        <v>1</v>
      </c>
      <c r="X40" s="1209">
        <v>1</v>
      </c>
      <c r="Y40" s="1209">
        <v>1</v>
      </c>
      <c r="Z40" s="1209">
        <v>1</v>
      </c>
      <c r="AA40" s="1209"/>
      <c r="AB40" s="1209"/>
      <c r="AC40" s="1209">
        <v>9</v>
      </c>
      <c r="AD40" s="1209">
        <v>9</v>
      </c>
      <c r="AE40" s="1209">
        <v>9</v>
      </c>
      <c r="AF40" s="1209">
        <v>9</v>
      </c>
      <c r="AG40" s="1209">
        <v>9</v>
      </c>
      <c r="AH40" s="504">
        <v>189</v>
      </c>
      <c r="AI40" s="505">
        <v>37</v>
      </c>
    </row>
    <row r="41" spans="1:38" ht="21.95" customHeight="1">
      <c r="A41" s="544">
        <v>7</v>
      </c>
      <c r="B41" s="153" t="s">
        <v>664</v>
      </c>
      <c r="C41" s="1215" t="s">
        <v>487</v>
      </c>
      <c r="D41" s="1215" t="s">
        <v>487</v>
      </c>
      <c r="E41" s="1215" t="s">
        <v>487</v>
      </c>
      <c r="F41" s="1215"/>
      <c r="G41" s="1215" t="s">
        <v>631</v>
      </c>
      <c r="H41" s="1215" t="s">
        <v>487</v>
      </c>
      <c r="I41" s="1215" t="s">
        <v>487</v>
      </c>
      <c r="J41" s="1215" t="s">
        <v>487</v>
      </c>
      <c r="K41" s="1335">
        <v>6</v>
      </c>
      <c r="L41" s="1215">
        <v>6</v>
      </c>
      <c r="M41" s="1215" t="s">
        <v>532</v>
      </c>
      <c r="N41" s="1215" t="s">
        <v>533</v>
      </c>
      <c r="O41" s="1215" t="s">
        <v>487</v>
      </c>
      <c r="P41" s="1215" t="s">
        <v>487</v>
      </c>
      <c r="Q41" s="1215" t="s">
        <v>487</v>
      </c>
      <c r="R41" s="1215" t="s">
        <v>487</v>
      </c>
      <c r="S41" s="1215" t="s">
        <v>487</v>
      </c>
      <c r="T41" s="1215"/>
      <c r="U41" s="1215"/>
      <c r="V41" s="1215">
        <v>5</v>
      </c>
      <c r="W41" s="1215">
        <v>5</v>
      </c>
      <c r="X41" s="1215">
        <v>5</v>
      </c>
      <c r="Y41" s="1215">
        <v>5</v>
      </c>
      <c r="Z41" s="1215">
        <v>3</v>
      </c>
      <c r="AA41" s="1215"/>
      <c r="AB41" s="1444" t="s">
        <v>630</v>
      </c>
      <c r="AC41" s="1215">
        <v>10</v>
      </c>
      <c r="AD41" s="1215">
        <v>10</v>
      </c>
      <c r="AE41" s="1215">
        <v>10</v>
      </c>
      <c r="AF41" s="1215">
        <v>10</v>
      </c>
      <c r="AG41" s="1221">
        <v>10</v>
      </c>
      <c r="AH41" s="504">
        <v>206</v>
      </c>
      <c r="AI41" s="505">
        <v>37</v>
      </c>
    </row>
    <row r="42" spans="1:38" ht="21.95" customHeight="1" thickBot="1">
      <c r="A42" s="546">
        <v>12</v>
      </c>
      <c r="B42" s="547" t="s">
        <v>665</v>
      </c>
      <c r="C42" s="1207" t="s">
        <v>487</v>
      </c>
      <c r="D42" s="1207" t="s">
        <v>487</v>
      </c>
      <c r="E42" s="1207" t="s">
        <v>487</v>
      </c>
      <c r="F42" s="1207" t="s">
        <v>660</v>
      </c>
      <c r="G42" s="1207" t="s">
        <v>660</v>
      </c>
      <c r="H42" s="1207">
        <v>7</v>
      </c>
      <c r="I42" s="1207">
        <v>7</v>
      </c>
      <c r="J42" s="1207">
        <v>7</v>
      </c>
      <c r="K42" s="1207">
        <v>7</v>
      </c>
      <c r="L42" s="1207">
        <v>7</v>
      </c>
      <c r="M42" s="1207"/>
      <c r="N42" s="1207"/>
      <c r="O42" s="1215">
        <v>4</v>
      </c>
      <c r="P42" s="1215">
        <v>4</v>
      </c>
      <c r="Q42" s="1207">
        <v>4</v>
      </c>
      <c r="R42" s="1207">
        <v>4</v>
      </c>
      <c r="S42" s="1207">
        <v>4</v>
      </c>
      <c r="T42" s="1207"/>
      <c r="U42" s="1207"/>
      <c r="V42" s="1207">
        <v>3</v>
      </c>
      <c r="W42" s="1207">
        <v>3</v>
      </c>
      <c r="X42" s="1207">
        <v>3</v>
      </c>
      <c r="Y42" s="1207">
        <v>3</v>
      </c>
      <c r="Z42" s="1207">
        <v>3</v>
      </c>
      <c r="AA42" s="1207"/>
      <c r="AB42" s="1207"/>
      <c r="AC42" s="1207">
        <v>11</v>
      </c>
      <c r="AD42" s="1207">
        <v>11</v>
      </c>
      <c r="AE42" s="1207">
        <v>11</v>
      </c>
      <c r="AF42" s="1207">
        <v>11</v>
      </c>
      <c r="AG42" s="1222">
        <v>11</v>
      </c>
      <c r="AH42" s="504">
        <v>185</v>
      </c>
      <c r="AI42" s="505">
        <v>37</v>
      </c>
    </row>
    <row r="43" spans="1:38" ht="21.95" customHeight="1">
      <c r="A43" s="548">
        <v>3</v>
      </c>
      <c r="B43" s="1373" t="s">
        <v>666</v>
      </c>
      <c r="C43" s="1211">
        <v>8</v>
      </c>
      <c r="D43" s="1211">
        <v>8</v>
      </c>
      <c r="E43" s="1211">
        <v>8</v>
      </c>
      <c r="F43" s="1211" t="s">
        <v>533</v>
      </c>
      <c r="G43" s="1211" t="s">
        <v>533</v>
      </c>
      <c r="H43" s="1211" t="s">
        <v>487</v>
      </c>
      <c r="I43" s="1211" t="s">
        <v>487</v>
      </c>
      <c r="J43" s="1211" t="s">
        <v>487</v>
      </c>
      <c r="K43" s="1211" t="s">
        <v>487</v>
      </c>
      <c r="L43" s="1211" t="s">
        <v>487</v>
      </c>
      <c r="M43" s="1211"/>
      <c r="N43" s="1211"/>
      <c r="O43" s="1211">
        <v>1</v>
      </c>
      <c r="P43" s="1342">
        <v>1</v>
      </c>
      <c r="Q43" s="1211">
        <v>1</v>
      </c>
      <c r="R43" s="1214">
        <v>1</v>
      </c>
      <c r="S43" s="1211">
        <v>1</v>
      </c>
      <c r="T43" s="1211"/>
      <c r="U43" s="1211"/>
      <c r="V43" s="1211">
        <v>9</v>
      </c>
      <c r="W43" s="1211">
        <v>9</v>
      </c>
      <c r="X43" s="1211">
        <v>9</v>
      </c>
      <c r="Y43" s="1211">
        <v>9</v>
      </c>
      <c r="Z43" s="1211">
        <v>9</v>
      </c>
      <c r="AA43" s="1211" t="s">
        <v>543</v>
      </c>
      <c r="AB43" s="1211" t="s">
        <v>555</v>
      </c>
      <c r="AC43" s="1211" t="s">
        <v>487</v>
      </c>
      <c r="AD43" s="1211" t="s">
        <v>487</v>
      </c>
      <c r="AE43" s="1211" t="s">
        <v>487</v>
      </c>
      <c r="AF43" s="1211" t="s">
        <v>487</v>
      </c>
      <c r="AG43" s="1224" t="s">
        <v>487</v>
      </c>
      <c r="AH43" s="504">
        <v>185</v>
      </c>
      <c r="AI43" s="505">
        <v>37</v>
      </c>
    </row>
    <row r="44" spans="1:38" ht="21.95" customHeight="1">
      <c r="A44" s="544">
        <v>8</v>
      </c>
      <c r="B44" s="319" t="s">
        <v>667</v>
      </c>
      <c r="C44" s="1215">
        <v>6</v>
      </c>
      <c r="D44" s="1215">
        <v>6</v>
      </c>
      <c r="E44" s="1215">
        <v>6</v>
      </c>
      <c r="F44" s="1215" t="s">
        <v>532</v>
      </c>
      <c r="G44" s="1357" t="s">
        <v>533</v>
      </c>
      <c r="H44" s="1215" t="s">
        <v>487</v>
      </c>
      <c r="I44" s="1215" t="s">
        <v>487</v>
      </c>
      <c r="J44" s="1215" t="s">
        <v>487</v>
      </c>
      <c r="K44" s="1215" t="s">
        <v>487</v>
      </c>
      <c r="L44" s="1215" t="s">
        <v>487</v>
      </c>
      <c r="M44" s="1215"/>
      <c r="N44" s="1215"/>
      <c r="O44" s="1215" t="s">
        <v>514</v>
      </c>
      <c r="P44" s="1215">
        <v>5</v>
      </c>
      <c r="Q44" s="1216">
        <v>8</v>
      </c>
      <c r="R44" s="1335">
        <v>5</v>
      </c>
      <c r="S44" s="1451">
        <v>5</v>
      </c>
      <c r="T44" s="1215"/>
      <c r="U44" s="1215"/>
      <c r="V44" s="1215">
        <v>10</v>
      </c>
      <c r="W44" s="1215">
        <v>10</v>
      </c>
      <c r="X44" s="1215">
        <v>10</v>
      </c>
      <c r="Y44" s="1215">
        <v>10</v>
      </c>
      <c r="Z44" s="1215">
        <v>10</v>
      </c>
      <c r="AA44" s="1215" t="s">
        <v>555</v>
      </c>
      <c r="AB44" s="1215" t="s">
        <v>555</v>
      </c>
      <c r="AC44" s="1215" t="s">
        <v>487</v>
      </c>
      <c r="AD44" s="1215" t="s">
        <v>487</v>
      </c>
      <c r="AE44" s="1215" t="s">
        <v>487</v>
      </c>
      <c r="AF44" s="1215" t="s">
        <v>487</v>
      </c>
      <c r="AG44" s="1215" t="s">
        <v>487</v>
      </c>
      <c r="AH44" s="504">
        <v>185</v>
      </c>
      <c r="AI44" s="505">
        <v>37</v>
      </c>
    </row>
    <row r="45" spans="1:38" ht="21.95" customHeight="1" thickBot="1">
      <c r="A45" s="546">
        <v>13</v>
      </c>
      <c r="B45" s="52" t="s">
        <v>668</v>
      </c>
      <c r="C45" s="1207">
        <v>7</v>
      </c>
      <c r="D45" s="1207">
        <v>7</v>
      </c>
      <c r="E45" s="1207">
        <v>7</v>
      </c>
      <c r="F45" s="1207"/>
      <c r="G45" s="1207"/>
      <c r="H45" s="1207">
        <v>4</v>
      </c>
      <c r="I45" s="1207">
        <v>4</v>
      </c>
      <c r="J45" s="1371">
        <v>4</v>
      </c>
      <c r="K45" s="1371">
        <v>4</v>
      </c>
      <c r="L45" s="1371">
        <v>4</v>
      </c>
      <c r="M45" s="1207"/>
      <c r="N45" s="1207"/>
      <c r="O45" s="1207">
        <v>3</v>
      </c>
      <c r="P45" s="1207">
        <v>3</v>
      </c>
      <c r="Q45" s="1215">
        <v>3</v>
      </c>
      <c r="R45" s="1207">
        <v>3</v>
      </c>
      <c r="S45" s="1207">
        <v>3</v>
      </c>
      <c r="T45" s="1207"/>
      <c r="U45" s="1207"/>
      <c r="V45" s="1207">
        <v>11</v>
      </c>
      <c r="W45" s="1207">
        <v>11</v>
      </c>
      <c r="X45" s="1207">
        <v>11</v>
      </c>
      <c r="Y45" s="1207">
        <v>11</v>
      </c>
      <c r="Z45" s="1207">
        <v>11</v>
      </c>
      <c r="AA45" s="1207" t="s">
        <v>657</v>
      </c>
      <c r="AB45" s="1207" t="s">
        <v>657</v>
      </c>
      <c r="AC45" s="1207" t="s">
        <v>487</v>
      </c>
      <c r="AD45" s="1207" t="s">
        <v>487</v>
      </c>
      <c r="AE45" s="1207" t="s">
        <v>487</v>
      </c>
      <c r="AF45" s="1207" t="s">
        <v>487</v>
      </c>
      <c r="AG45" s="1207" t="s">
        <v>487</v>
      </c>
      <c r="AH45" s="504">
        <v>256</v>
      </c>
      <c r="AI45" s="505">
        <v>37</v>
      </c>
    </row>
    <row r="46" spans="1:38" ht="21.95" customHeight="1">
      <c r="A46" s="548">
        <v>4</v>
      </c>
      <c r="B46" s="121" t="s">
        <v>669</v>
      </c>
      <c r="C46" s="1211" t="s">
        <v>487</v>
      </c>
      <c r="D46" s="1211" t="s">
        <v>487</v>
      </c>
      <c r="E46" s="1211" t="s">
        <v>487</v>
      </c>
      <c r="F46" s="1211"/>
      <c r="G46" s="1211"/>
      <c r="H46" s="1211">
        <v>1</v>
      </c>
      <c r="I46" s="1211">
        <v>1</v>
      </c>
      <c r="J46" s="1211">
        <v>1</v>
      </c>
      <c r="K46" s="1211">
        <v>1</v>
      </c>
      <c r="L46" s="1211">
        <v>1</v>
      </c>
      <c r="M46" s="1211"/>
      <c r="N46" s="1211"/>
      <c r="O46" s="1215" t="s">
        <v>514</v>
      </c>
      <c r="P46" s="1215" t="s">
        <v>514</v>
      </c>
      <c r="Q46" s="1215" t="s">
        <v>514</v>
      </c>
      <c r="R46" s="1211">
        <v>9</v>
      </c>
      <c r="S46" s="1211">
        <v>9</v>
      </c>
      <c r="T46" s="1211" t="s">
        <v>543</v>
      </c>
      <c r="U46" s="1211" t="s">
        <v>555</v>
      </c>
      <c r="V46" s="1211" t="s">
        <v>487</v>
      </c>
      <c r="W46" s="1341" t="s">
        <v>487</v>
      </c>
      <c r="X46" s="1341" t="s">
        <v>487</v>
      </c>
      <c r="Y46" s="1341" t="s">
        <v>487</v>
      </c>
      <c r="Z46" s="1211" t="s">
        <v>487</v>
      </c>
      <c r="AA46" s="1211"/>
      <c r="AB46" s="1211"/>
      <c r="AC46" s="1341">
        <v>6</v>
      </c>
      <c r="AD46" s="1341">
        <v>6</v>
      </c>
      <c r="AE46" s="1211">
        <v>6</v>
      </c>
      <c r="AF46" s="1211">
        <v>6</v>
      </c>
      <c r="AG46" s="1218">
        <v>6</v>
      </c>
      <c r="AH46" s="504">
        <v>185</v>
      </c>
      <c r="AI46" s="505">
        <v>37</v>
      </c>
    </row>
    <row r="47" spans="1:38" ht="21.95" customHeight="1">
      <c r="A47" s="544">
        <v>9</v>
      </c>
      <c r="B47" s="121" t="s">
        <v>670</v>
      </c>
      <c r="C47" s="1342" t="s">
        <v>487</v>
      </c>
      <c r="D47" s="1342" t="s">
        <v>487</v>
      </c>
      <c r="E47" s="1342" t="s">
        <v>487</v>
      </c>
      <c r="F47" s="1342"/>
      <c r="G47" s="1342"/>
      <c r="H47" s="1215">
        <v>8</v>
      </c>
      <c r="I47" s="1344">
        <v>8</v>
      </c>
      <c r="J47" s="1215">
        <v>8</v>
      </c>
      <c r="K47" s="1215">
        <v>5</v>
      </c>
      <c r="L47" s="1215">
        <v>3</v>
      </c>
      <c r="M47" s="1215"/>
      <c r="N47" s="1215"/>
      <c r="O47" s="1215">
        <v>10</v>
      </c>
      <c r="P47" s="1215">
        <v>10</v>
      </c>
      <c r="Q47" s="1215">
        <v>10</v>
      </c>
      <c r="R47" s="1215">
        <v>10</v>
      </c>
      <c r="S47" s="1215">
        <v>10</v>
      </c>
      <c r="T47" s="1215" t="s">
        <v>555</v>
      </c>
      <c r="U47" s="1215" t="s">
        <v>555</v>
      </c>
      <c r="V47" s="1215" t="s">
        <v>487</v>
      </c>
      <c r="W47" s="1215" t="s">
        <v>487</v>
      </c>
      <c r="X47" s="1215" t="s">
        <v>487</v>
      </c>
      <c r="Y47" s="1215" t="s">
        <v>487</v>
      </c>
      <c r="Z47" s="1215" t="s">
        <v>487</v>
      </c>
      <c r="AA47" s="1215" t="s">
        <v>660</v>
      </c>
      <c r="AB47" s="1215" t="s">
        <v>660</v>
      </c>
      <c r="AC47" s="1215">
        <v>2</v>
      </c>
      <c r="AD47" s="1215">
        <v>2</v>
      </c>
      <c r="AE47" s="1215">
        <v>7</v>
      </c>
      <c r="AF47" s="1215">
        <v>7</v>
      </c>
      <c r="AG47" s="1216">
        <v>7</v>
      </c>
      <c r="AH47" s="504">
        <v>185</v>
      </c>
      <c r="AI47" s="505">
        <v>37</v>
      </c>
    </row>
    <row r="48" spans="1:38" ht="21.95" customHeight="1" thickBot="1">
      <c r="A48" s="546">
        <v>14</v>
      </c>
      <c r="B48" s="57" t="s">
        <v>671</v>
      </c>
      <c r="C48" s="1207">
        <v>4</v>
      </c>
      <c r="D48" s="1207">
        <v>4</v>
      </c>
      <c r="E48" s="1207">
        <v>4</v>
      </c>
      <c r="F48" s="1207"/>
      <c r="G48" s="1207"/>
      <c r="H48" s="1207">
        <v>3</v>
      </c>
      <c r="I48" s="1207">
        <v>3</v>
      </c>
      <c r="J48" s="1207">
        <v>3</v>
      </c>
      <c r="K48" s="1207">
        <v>3</v>
      </c>
      <c r="L48" s="1207">
        <v>3</v>
      </c>
      <c r="M48" s="1207"/>
      <c r="N48" s="1207"/>
      <c r="O48" s="1207">
        <v>11</v>
      </c>
      <c r="P48" s="1207">
        <v>11</v>
      </c>
      <c r="Q48" s="1207">
        <v>11</v>
      </c>
      <c r="R48" s="1207">
        <v>11</v>
      </c>
      <c r="S48" s="1207">
        <v>11</v>
      </c>
      <c r="T48" s="1207" t="s">
        <v>657</v>
      </c>
      <c r="U48" s="1207" t="s">
        <v>657</v>
      </c>
      <c r="V48" s="1207" t="s">
        <v>487</v>
      </c>
      <c r="W48" s="1207" t="s">
        <v>487</v>
      </c>
      <c r="X48" s="1207" t="s">
        <v>487</v>
      </c>
      <c r="Y48" s="1207" t="s">
        <v>487</v>
      </c>
      <c r="Z48" s="1207" t="s">
        <v>487</v>
      </c>
      <c r="AA48" s="1207"/>
      <c r="AB48" s="1207"/>
      <c r="AC48" s="1207">
        <v>8</v>
      </c>
      <c r="AD48" s="1207">
        <v>8</v>
      </c>
      <c r="AE48" s="1207">
        <v>8</v>
      </c>
      <c r="AF48" s="1207">
        <v>8</v>
      </c>
      <c r="AG48" s="1227">
        <v>8</v>
      </c>
      <c r="AH48" s="504">
        <v>185</v>
      </c>
      <c r="AI48" s="505">
        <v>37</v>
      </c>
    </row>
    <row r="49" spans="1:35" ht="21.95" customHeight="1">
      <c r="A49" s="543">
        <v>5</v>
      </c>
      <c r="B49" s="545" t="s">
        <v>672</v>
      </c>
      <c r="C49" s="1211">
        <v>1</v>
      </c>
      <c r="D49" s="1211">
        <v>1</v>
      </c>
      <c r="E49" s="1211">
        <v>1</v>
      </c>
      <c r="F49" s="1211"/>
      <c r="G49" s="1211"/>
      <c r="H49" s="1211">
        <v>9</v>
      </c>
      <c r="I49" s="1211">
        <v>9</v>
      </c>
      <c r="J49" s="1211">
        <v>9</v>
      </c>
      <c r="K49" s="1211">
        <v>9</v>
      </c>
      <c r="L49" s="1211">
        <v>9</v>
      </c>
      <c r="M49" s="1211" t="s">
        <v>543</v>
      </c>
      <c r="N49" s="1211" t="s">
        <v>555</v>
      </c>
      <c r="O49" s="1211" t="s">
        <v>487</v>
      </c>
      <c r="P49" s="1211" t="s">
        <v>487</v>
      </c>
      <c r="Q49" s="1211" t="s">
        <v>487</v>
      </c>
      <c r="R49" s="1211" t="s">
        <v>487</v>
      </c>
      <c r="S49" s="1211" t="s">
        <v>487</v>
      </c>
      <c r="T49" s="1211"/>
      <c r="U49" s="1211"/>
      <c r="V49" s="1394">
        <v>6</v>
      </c>
      <c r="W49" s="1394">
        <v>6</v>
      </c>
      <c r="X49" s="1394">
        <v>6</v>
      </c>
      <c r="Y49" s="1394">
        <v>6</v>
      </c>
      <c r="Z49" s="1394">
        <v>6</v>
      </c>
      <c r="AA49" s="1394" t="s">
        <v>532</v>
      </c>
      <c r="AB49" s="1394" t="s">
        <v>533</v>
      </c>
      <c r="AC49" s="1215" t="s">
        <v>487</v>
      </c>
      <c r="AD49" s="1215" t="s">
        <v>487</v>
      </c>
      <c r="AE49" s="1228" t="s">
        <v>487</v>
      </c>
      <c r="AF49" s="1209" t="s">
        <v>487</v>
      </c>
      <c r="AG49" s="1228" t="s">
        <v>487</v>
      </c>
      <c r="AH49" s="504">
        <v>233</v>
      </c>
      <c r="AI49" s="505">
        <v>37</v>
      </c>
    </row>
    <row r="50" spans="1:35" ht="21.95" customHeight="1">
      <c r="A50" s="544">
        <v>10</v>
      </c>
      <c r="B50" s="319" t="s">
        <v>673</v>
      </c>
      <c r="C50" s="1215">
        <v>5</v>
      </c>
      <c r="D50" s="1215" t="s">
        <v>485</v>
      </c>
      <c r="E50" s="1215" t="s">
        <v>485</v>
      </c>
      <c r="F50" s="1215"/>
      <c r="G50" s="1215"/>
      <c r="H50" s="1215">
        <v>10</v>
      </c>
      <c r="I50" s="1215">
        <v>10</v>
      </c>
      <c r="J50" s="1215">
        <v>10</v>
      </c>
      <c r="K50" s="1215">
        <v>10</v>
      </c>
      <c r="L50" s="1215">
        <v>10</v>
      </c>
      <c r="M50" s="1215" t="s">
        <v>555</v>
      </c>
      <c r="N50" s="1215" t="s">
        <v>555</v>
      </c>
      <c r="O50" s="1215" t="s">
        <v>487</v>
      </c>
      <c r="P50" s="1215" t="s">
        <v>487</v>
      </c>
      <c r="Q50" s="1215" t="s">
        <v>487</v>
      </c>
      <c r="R50" s="1215" t="s">
        <v>487</v>
      </c>
      <c r="S50" s="1215" t="s">
        <v>487</v>
      </c>
      <c r="T50" s="1215" t="s">
        <v>660</v>
      </c>
      <c r="U50" s="1215" t="s">
        <v>660</v>
      </c>
      <c r="V50" s="1215">
        <v>7</v>
      </c>
      <c r="W50" s="1215">
        <v>7</v>
      </c>
      <c r="X50" s="1215">
        <v>7</v>
      </c>
      <c r="Y50" s="1215">
        <v>7</v>
      </c>
      <c r="Z50" s="1215">
        <v>7</v>
      </c>
      <c r="AA50" s="1215"/>
      <c r="AB50" s="1215"/>
      <c r="AC50" s="1342">
        <v>4</v>
      </c>
      <c r="AD50" s="1342">
        <v>4</v>
      </c>
      <c r="AE50" s="1216">
        <v>4</v>
      </c>
      <c r="AF50" s="1215">
        <v>4</v>
      </c>
      <c r="AG50" s="1216">
        <v>4</v>
      </c>
      <c r="AH50" s="504">
        <v>185</v>
      </c>
      <c r="AI50" s="505">
        <v>37</v>
      </c>
    </row>
    <row r="51" spans="1:35" ht="21.95" customHeight="1" thickBot="1">
      <c r="A51" s="546">
        <v>15</v>
      </c>
      <c r="B51" s="52" t="s">
        <v>674</v>
      </c>
      <c r="C51" s="1207">
        <v>3</v>
      </c>
      <c r="D51" s="1207">
        <v>3</v>
      </c>
      <c r="E51" s="1207">
        <v>3</v>
      </c>
      <c r="F51" s="1207"/>
      <c r="G51" s="1207"/>
      <c r="H51" s="1207">
        <v>11</v>
      </c>
      <c r="I51" s="1207">
        <v>11</v>
      </c>
      <c r="J51" s="1207">
        <v>11</v>
      </c>
      <c r="K51" s="1207">
        <v>11</v>
      </c>
      <c r="L51" s="1207">
        <v>11</v>
      </c>
      <c r="M51" s="1207" t="s">
        <v>657</v>
      </c>
      <c r="N51" s="1207" t="s">
        <v>657</v>
      </c>
      <c r="O51" s="1207" t="s">
        <v>487</v>
      </c>
      <c r="P51" s="1207" t="s">
        <v>487</v>
      </c>
      <c r="Q51" s="1207" t="s">
        <v>487</v>
      </c>
      <c r="R51" s="1207" t="s">
        <v>487</v>
      </c>
      <c r="S51" s="1207" t="s">
        <v>487</v>
      </c>
      <c r="T51" s="1207"/>
      <c r="U51" s="1207"/>
      <c r="V51" s="1207">
        <v>8</v>
      </c>
      <c r="W51" s="1207">
        <v>8</v>
      </c>
      <c r="X51" s="1207">
        <v>8</v>
      </c>
      <c r="Y51" s="1207">
        <v>8</v>
      </c>
      <c r="Z51" s="1207">
        <v>8</v>
      </c>
      <c r="AA51" s="1207" t="s">
        <v>533</v>
      </c>
      <c r="AB51" s="1207" t="s">
        <v>533</v>
      </c>
      <c r="AC51" s="1207" t="s">
        <v>487</v>
      </c>
      <c r="AD51" s="1207" t="s">
        <v>487</v>
      </c>
      <c r="AE51" s="1227" t="s">
        <v>487</v>
      </c>
      <c r="AF51" s="1207" t="s">
        <v>487</v>
      </c>
      <c r="AG51" s="1227" t="s">
        <v>487</v>
      </c>
      <c r="AH51" s="504">
        <v>185</v>
      </c>
      <c r="AI51" s="505">
        <v>37</v>
      </c>
    </row>
    <row r="52" spans="1:35" ht="21.95" customHeight="1">
      <c r="A52" s="519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  <c r="T52" s="541"/>
      <c r="U52" s="541"/>
      <c r="V52" s="541"/>
      <c r="W52" s="541"/>
      <c r="X52" s="541"/>
      <c r="Y52" s="541"/>
      <c r="Z52" s="541"/>
      <c r="AA52" s="541"/>
      <c r="AB52" s="541"/>
      <c r="AC52" s="541"/>
      <c r="AD52" s="541"/>
      <c r="AE52" s="541"/>
      <c r="AF52" s="541"/>
      <c r="AG52" s="541"/>
      <c r="AH52" s="1"/>
    </row>
    <row r="53" spans="1:35" ht="21.95" customHeight="1">
      <c r="A53" s="519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1"/>
      <c r="W53" s="541"/>
      <c r="X53" s="541"/>
      <c r="Y53" s="541"/>
      <c r="Z53" s="541"/>
      <c r="AA53" s="541"/>
      <c r="AB53" s="541"/>
      <c r="AC53" s="541"/>
      <c r="AD53" s="541"/>
      <c r="AE53" s="541"/>
      <c r="AF53" s="541"/>
      <c r="AG53" s="541"/>
      <c r="AH53" s="1"/>
    </row>
    <row r="54" spans="1:35" ht="21.95" customHeight="1">
      <c r="A54" s="519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1"/>
      <c r="AA54" s="541"/>
      <c r="AB54" s="541"/>
      <c r="AC54" s="541"/>
      <c r="AD54" s="541"/>
      <c r="AE54" s="541"/>
      <c r="AF54" s="541"/>
      <c r="AG54" s="541"/>
      <c r="AH54" s="1"/>
    </row>
    <row r="55" spans="1:35" ht="21.95" customHeight="1" thickBot="1">
      <c r="A55" s="558"/>
      <c r="C55" s="559"/>
      <c r="D55" s="559"/>
      <c r="E55" s="559"/>
      <c r="F55" s="559"/>
      <c r="G55" s="559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59"/>
      <c r="AA55" s="559"/>
      <c r="AB55" s="559"/>
      <c r="AC55" s="559"/>
      <c r="AD55" s="559"/>
      <c r="AE55" s="559"/>
      <c r="AF55" s="559"/>
      <c r="AG55" s="559"/>
      <c r="AH55" s="560"/>
      <c r="AI55" s="560"/>
    </row>
    <row r="56" spans="1:35" ht="21.95" customHeight="1">
      <c r="A56" s="361"/>
      <c r="B56" s="23" t="s">
        <v>675</v>
      </c>
      <c r="C56" s="7"/>
      <c r="D56" s="414" t="s">
        <v>2</v>
      </c>
      <c r="E56" s="550"/>
      <c r="F56" s="7"/>
      <c r="G56" s="6" t="s">
        <v>3</v>
      </c>
      <c r="H56" s="551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52"/>
      <c r="R56" s="118"/>
      <c r="S56" s="6" t="s">
        <v>7</v>
      </c>
      <c r="T56" s="553"/>
      <c r="U56" s="118"/>
      <c r="V56" s="6" t="s">
        <v>8</v>
      </c>
      <c r="W56" s="552"/>
      <c r="X56" s="349" t="s">
        <v>9</v>
      </c>
      <c r="Y56" s="561"/>
      <c r="Z56" s="561"/>
      <c r="AA56" s="562"/>
      <c r="AB56" s="27" t="s">
        <v>10</v>
      </c>
      <c r="AC56" s="554"/>
      <c r="AD56" s="554"/>
      <c r="AE56" s="563"/>
      <c r="AF56" s="563"/>
      <c r="AG56" s="564"/>
    </row>
    <row r="57" spans="1:35" ht="21.95" customHeight="1">
      <c r="A57" s="361"/>
      <c r="B57" s="306" t="s">
        <v>676</v>
      </c>
      <c r="C57" s="565" t="s">
        <v>512</v>
      </c>
      <c r="D57" s="483"/>
      <c r="E57" s="484"/>
      <c r="F57" s="565" t="s">
        <v>512</v>
      </c>
      <c r="G57" s="483"/>
      <c r="H57" s="484"/>
      <c r="I57" s="565" t="s">
        <v>512</v>
      </c>
      <c r="J57" s="483"/>
      <c r="K57" s="484"/>
      <c r="L57" s="565" t="s">
        <v>512</v>
      </c>
      <c r="M57" s="483"/>
      <c r="N57" s="484"/>
      <c r="O57" s="565" t="s">
        <v>116</v>
      </c>
      <c r="P57" s="483"/>
      <c r="Q57" s="484"/>
      <c r="R57" s="565"/>
      <c r="S57" s="483"/>
      <c r="T57" s="484"/>
      <c r="U57" s="565"/>
      <c r="V57" s="483"/>
      <c r="W57" s="484"/>
      <c r="X57" s="565"/>
      <c r="Y57" s="483"/>
      <c r="Z57" s="483"/>
      <c r="AA57" s="483"/>
      <c r="AB57" s="476"/>
      <c r="AC57" s="483"/>
      <c r="AD57" s="483"/>
      <c r="AE57" s="483"/>
      <c r="AF57" s="483"/>
      <c r="AG57" s="566"/>
    </row>
    <row r="58" spans="1:35" ht="21.95" customHeight="1">
      <c r="A58" s="361"/>
      <c r="B58" s="306" t="s">
        <v>677</v>
      </c>
      <c r="C58" s="565" t="s">
        <v>147</v>
      </c>
      <c r="D58" s="483"/>
      <c r="E58" s="484"/>
      <c r="F58" s="565" t="s">
        <v>147</v>
      </c>
      <c r="G58" s="483"/>
      <c r="H58" s="484"/>
      <c r="I58" s="565" t="s">
        <v>147</v>
      </c>
      <c r="J58" s="483"/>
      <c r="K58" s="484"/>
      <c r="L58" s="565" t="s">
        <v>147</v>
      </c>
      <c r="M58" s="483"/>
      <c r="N58" s="484"/>
      <c r="O58" s="565" t="s">
        <v>578</v>
      </c>
      <c r="P58" s="483"/>
      <c r="Q58" s="484"/>
      <c r="R58" s="565"/>
      <c r="S58" s="483"/>
      <c r="T58" s="484"/>
      <c r="U58" s="565"/>
      <c r="V58" s="483"/>
      <c r="W58" s="484"/>
      <c r="X58" s="565"/>
      <c r="Y58" s="483"/>
      <c r="Z58" s="483"/>
      <c r="AA58" s="483"/>
      <c r="AB58" s="476"/>
      <c r="AC58" s="483"/>
      <c r="AD58" s="483"/>
      <c r="AE58" s="483"/>
      <c r="AF58" s="483"/>
      <c r="AG58" s="566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>
      <c r="A60" s="556" t="s">
        <v>528</v>
      </c>
      <c r="B60" s="297" t="s">
        <v>480</v>
      </c>
      <c r="C60" s="1235">
        <v>1</v>
      </c>
      <c r="D60" s="1234">
        <v>2</v>
      </c>
      <c r="E60" s="1234">
        <v>3</v>
      </c>
      <c r="F60" s="1235">
        <v>4</v>
      </c>
      <c r="G60" s="1235">
        <v>5</v>
      </c>
      <c r="H60" s="1234">
        <v>6</v>
      </c>
      <c r="I60" s="1213">
        <v>7</v>
      </c>
      <c r="J60" s="1213">
        <v>8</v>
      </c>
      <c r="K60" s="1235">
        <v>9</v>
      </c>
      <c r="L60" s="1234">
        <v>10</v>
      </c>
      <c r="M60" s="1235">
        <v>11</v>
      </c>
      <c r="N60" s="1235">
        <v>12</v>
      </c>
      <c r="O60" s="1234">
        <v>13</v>
      </c>
      <c r="P60" s="1213">
        <v>14</v>
      </c>
      <c r="Q60" s="1213">
        <v>15</v>
      </c>
      <c r="R60" s="1234">
        <v>16</v>
      </c>
      <c r="S60" s="1234">
        <v>17</v>
      </c>
      <c r="T60" s="1235">
        <v>18</v>
      </c>
      <c r="U60" s="1235">
        <v>19</v>
      </c>
      <c r="V60" s="1330">
        <v>20</v>
      </c>
      <c r="W60" s="1213">
        <v>21</v>
      </c>
      <c r="X60" s="1213">
        <v>22</v>
      </c>
      <c r="Y60" s="1234">
        <v>23</v>
      </c>
      <c r="Z60" s="1234">
        <v>24</v>
      </c>
      <c r="AA60" s="1235">
        <v>25</v>
      </c>
      <c r="AB60" s="1235">
        <v>26</v>
      </c>
      <c r="AC60" s="1234">
        <v>27</v>
      </c>
      <c r="AD60" s="1213">
        <v>28</v>
      </c>
      <c r="AE60" s="1213">
        <v>29</v>
      </c>
      <c r="AF60" s="1234">
        <v>30</v>
      </c>
      <c r="AG60" s="1234">
        <v>31</v>
      </c>
      <c r="AH60" s="498" t="s">
        <v>481</v>
      </c>
      <c r="AI60" s="499" t="s">
        <v>482</v>
      </c>
    </row>
    <row r="61" spans="1:35" ht="21.95" customHeight="1">
      <c r="A61" s="186">
        <v>8520</v>
      </c>
      <c r="B61" s="186" t="s">
        <v>678</v>
      </c>
      <c r="C61" s="1215"/>
      <c r="D61" s="1215" t="s">
        <v>679</v>
      </c>
      <c r="E61" s="1215" t="s">
        <v>679</v>
      </c>
      <c r="F61" s="1215"/>
      <c r="G61" s="1215"/>
      <c r="H61" s="1392" t="s">
        <v>680</v>
      </c>
      <c r="I61" s="1344" t="s">
        <v>679</v>
      </c>
      <c r="J61" s="1344" t="s">
        <v>679</v>
      </c>
      <c r="K61" s="1215"/>
      <c r="L61" s="1391" t="s">
        <v>679</v>
      </c>
      <c r="M61" s="1215"/>
      <c r="N61" s="1215"/>
      <c r="O61" s="1215" t="s">
        <v>679</v>
      </c>
      <c r="P61" s="1342" t="s">
        <v>679</v>
      </c>
      <c r="Q61" s="1215" t="s">
        <v>679</v>
      </c>
      <c r="R61" s="1215" t="s">
        <v>679</v>
      </c>
      <c r="S61" s="1215" t="s">
        <v>679</v>
      </c>
      <c r="T61" s="1215"/>
      <c r="U61" s="1215"/>
      <c r="V61" s="1215"/>
      <c r="W61" s="1215" t="s">
        <v>679</v>
      </c>
      <c r="X61" s="1215" t="s">
        <v>679</v>
      </c>
      <c r="Y61" s="1215" t="s">
        <v>679</v>
      </c>
      <c r="Z61" s="1215" t="s">
        <v>679</v>
      </c>
      <c r="AA61" s="1215"/>
      <c r="AB61" s="1215"/>
      <c r="AC61" s="1342" t="s">
        <v>679</v>
      </c>
      <c r="AD61" s="1342" t="s">
        <v>679</v>
      </c>
      <c r="AE61" s="1215" t="s">
        <v>679</v>
      </c>
      <c r="AF61" s="1215" t="s">
        <v>679</v>
      </c>
      <c r="AG61" s="1215" t="s">
        <v>679</v>
      </c>
      <c r="AH61" s="504">
        <v>185</v>
      </c>
      <c r="AI61" s="505">
        <v>37</v>
      </c>
    </row>
    <row r="62" spans="1:35" ht="21.95" customHeight="1">
      <c r="A62" s="186">
        <v>8521</v>
      </c>
      <c r="B62" s="186" t="s">
        <v>681</v>
      </c>
      <c r="C62" s="1342"/>
      <c r="D62" s="1342" t="s">
        <v>550</v>
      </c>
      <c r="E62" s="1342" t="s">
        <v>550</v>
      </c>
      <c r="F62" s="1342"/>
      <c r="G62" s="1342"/>
      <c r="H62" s="1215" t="s">
        <v>550</v>
      </c>
      <c r="I62" s="1215" t="s">
        <v>550</v>
      </c>
      <c r="J62" s="1215" t="s">
        <v>550</v>
      </c>
      <c r="K62" s="1215"/>
      <c r="L62" s="1215" t="s">
        <v>550</v>
      </c>
      <c r="M62" s="1215"/>
      <c r="N62" s="1215"/>
      <c r="O62" s="1342" t="s">
        <v>514</v>
      </c>
      <c r="P62" s="1215" t="s">
        <v>550</v>
      </c>
      <c r="Q62" s="1215" t="s">
        <v>550</v>
      </c>
      <c r="R62" s="1215" t="s">
        <v>550</v>
      </c>
      <c r="S62" s="1215" t="s">
        <v>550</v>
      </c>
      <c r="T62" s="1215"/>
      <c r="U62" s="1215"/>
      <c r="V62" s="1215"/>
      <c r="W62" s="1338" t="s">
        <v>550</v>
      </c>
      <c r="X62" s="1338" t="s">
        <v>550</v>
      </c>
      <c r="Y62" s="1338" t="s">
        <v>550</v>
      </c>
      <c r="Z62" s="1338" t="s">
        <v>550</v>
      </c>
      <c r="AA62" s="1215"/>
      <c r="AB62" s="1215"/>
      <c r="AC62" s="1342" t="s">
        <v>550</v>
      </c>
      <c r="AD62" s="1342" t="s">
        <v>550</v>
      </c>
      <c r="AE62" s="1215" t="s">
        <v>550</v>
      </c>
      <c r="AF62" s="1215" t="s">
        <v>550</v>
      </c>
      <c r="AG62" s="1215" t="s">
        <v>550</v>
      </c>
      <c r="AH62" s="504">
        <v>222</v>
      </c>
      <c r="AI62" s="505">
        <v>37</v>
      </c>
    </row>
    <row r="63" spans="1:35" ht="21.95" customHeight="1">
      <c r="A63" s="361"/>
      <c r="B63" s="361"/>
      <c r="C63" s="541"/>
      <c r="D63" s="520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520"/>
      <c r="AE63" s="520"/>
      <c r="AF63" s="520"/>
      <c r="AG63" s="520"/>
      <c r="AH63" s="560"/>
      <c r="AI63" s="560"/>
    </row>
    <row r="64" spans="1:35" ht="21.95" customHeight="1">
      <c r="A64" s="361"/>
      <c r="B64" s="361"/>
      <c r="C64" s="541"/>
      <c r="D64" s="520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520"/>
      <c r="AE64" s="520"/>
      <c r="AF64" s="520"/>
      <c r="AG64" s="520"/>
      <c r="AH64" s="560"/>
      <c r="AI64" s="560"/>
    </row>
    <row r="65" spans="1:35" ht="21.95" customHeight="1">
      <c r="A65" s="361"/>
      <c r="B65" s="361"/>
      <c r="C65" s="541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60"/>
      <c r="AI65" s="560"/>
    </row>
    <row r="66" spans="1:35" ht="21.95" customHeight="1" thickBot="1">
      <c r="A66" s="1" t="s">
        <v>468</v>
      </c>
      <c r="D66" s="361"/>
      <c r="E66" s="361"/>
      <c r="F66" s="361"/>
      <c r="G66" s="549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469</v>
      </c>
      <c r="C67" s="7"/>
      <c r="D67" s="525" t="s">
        <v>2</v>
      </c>
      <c r="E67" s="51"/>
      <c r="F67" s="551"/>
      <c r="G67" s="7"/>
      <c r="H67" s="525" t="s">
        <v>3</v>
      </c>
      <c r="I67" s="51"/>
      <c r="J67" s="551"/>
      <c r="K67" s="7"/>
      <c r="L67" s="525" t="s">
        <v>4</v>
      </c>
      <c r="M67" s="51"/>
      <c r="N67" s="551"/>
      <c r="O67" s="7"/>
      <c r="P67" s="525" t="s">
        <v>5</v>
      </c>
      <c r="Q67" s="51"/>
      <c r="R67" s="551"/>
      <c r="S67" s="7"/>
      <c r="T67" s="525" t="s">
        <v>6</v>
      </c>
      <c r="U67" s="51"/>
      <c r="V67" s="551"/>
      <c r="W67" s="27"/>
      <c r="X67" s="898" t="s">
        <v>7</v>
      </c>
      <c r="Y67" s="522"/>
      <c r="Z67" s="238"/>
      <c r="AA67" s="7"/>
      <c r="AB67" s="525" t="s">
        <v>8</v>
      </c>
      <c r="AC67" s="51"/>
      <c r="AD67" s="51"/>
      <c r="AE67" s="349" t="s">
        <v>9</v>
      </c>
      <c r="AF67" s="51"/>
      <c r="AG67" s="51"/>
      <c r="AH67" s="51"/>
      <c r="AI67" s="526"/>
    </row>
    <row r="68" spans="1:35" ht="21.95" customHeight="1">
      <c r="A68" s="1"/>
      <c r="B68" s="129" t="s">
        <v>164</v>
      </c>
      <c r="C68" s="567" t="s">
        <v>471</v>
      </c>
      <c r="E68" s="157"/>
      <c r="F68" s="568"/>
      <c r="G68" s="567" t="s">
        <v>471</v>
      </c>
      <c r="H68" s="157"/>
      <c r="I68" s="157"/>
      <c r="J68" s="568"/>
      <c r="K68" s="567" t="s">
        <v>471</v>
      </c>
      <c r="L68" s="157"/>
      <c r="M68" s="157"/>
      <c r="N68" s="568"/>
      <c r="O68" s="567" t="s">
        <v>472</v>
      </c>
      <c r="P68" s="157"/>
      <c r="Q68" s="157"/>
      <c r="R68" s="568"/>
      <c r="S68" s="567" t="s">
        <v>473</v>
      </c>
      <c r="T68" s="157"/>
      <c r="U68" s="157"/>
      <c r="V68" s="569"/>
      <c r="W68" s="899"/>
      <c r="X68" s="900"/>
      <c r="Y68" s="900"/>
      <c r="Z68" s="901"/>
      <c r="AA68" s="569"/>
      <c r="AB68" s="157"/>
      <c r="AC68" s="157"/>
      <c r="AD68" s="569"/>
      <c r="AE68" s="121">
        <v>37</v>
      </c>
      <c r="AG68" s="157"/>
      <c r="AH68" s="569"/>
      <c r="AI68" s="490"/>
    </row>
    <row r="69" spans="1:35" ht="21.95" customHeight="1">
      <c r="A69" s="1"/>
      <c r="B69" s="129" t="s">
        <v>167</v>
      </c>
      <c r="C69" s="567" t="s">
        <v>474</v>
      </c>
      <c r="D69" s="157"/>
      <c r="E69" s="157"/>
      <c r="F69" s="568"/>
      <c r="G69" s="567" t="s">
        <v>474</v>
      </c>
      <c r="H69" s="157"/>
      <c r="I69" s="157"/>
      <c r="J69" s="568"/>
      <c r="K69" s="567" t="s">
        <v>474</v>
      </c>
      <c r="L69" s="157"/>
      <c r="M69" s="157"/>
      <c r="N69" s="568"/>
      <c r="O69" s="567" t="s">
        <v>475</v>
      </c>
      <c r="P69" s="157" t="s">
        <v>476</v>
      </c>
      <c r="Q69" s="157"/>
      <c r="R69" s="568"/>
      <c r="S69" s="567" t="s">
        <v>477</v>
      </c>
      <c r="T69" s="157" t="s">
        <v>476</v>
      </c>
      <c r="U69" s="157"/>
      <c r="V69" s="568"/>
      <c r="W69" s="610" t="s">
        <v>478</v>
      </c>
      <c r="X69" s="55"/>
      <c r="Y69" s="55"/>
      <c r="Z69" s="55"/>
      <c r="AA69" s="567" t="s">
        <v>479</v>
      </c>
      <c r="AB69" s="567"/>
      <c r="AC69" s="567"/>
      <c r="AD69" s="567"/>
      <c r="AE69" s="155">
        <v>68.25</v>
      </c>
      <c r="AF69" s="157"/>
      <c r="AG69" s="571"/>
      <c r="AH69" s="572"/>
      <c r="AI69" s="573"/>
    </row>
    <row r="70" spans="1:35" ht="21.95" customHeight="1">
      <c r="A70" s="1"/>
      <c r="B70" s="129" t="s">
        <v>170</v>
      </c>
      <c r="C70" s="897" t="s">
        <v>162</v>
      </c>
      <c r="D70" s="157"/>
      <c r="E70" s="157"/>
      <c r="F70" s="568"/>
      <c r="G70" s="157" t="s">
        <v>162</v>
      </c>
      <c r="H70" s="157"/>
      <c r="I70" s="157"/>
      <c r="J70" s="568"/>
      <c r="K70" s="157" t="s">
        <v>162</v>
      </c>
      <c r="L70" s="157"/>
      <c r="M70" s="157"/>
      <c r="N70" s="568"/>
      <c r="O70" s="157" t="s">
        <v>162</v>
      </c>
      <c r="P70" s="157"/>
      <c r="Q70" s="157"/>
      <c r="R70" s="568"/>
      <c r="S70" s="157" t="s">
        <v>162</v>
      </c>
      <c r="T70" s="157"/>
      <c r="U70" s="157"/>
      <c r="V70" s="568"/>
      <c r="W70" s="567"/>
      <c r="X70" s="157"/>
      <c r="Y70" s="157"/>
      <c r="Z70" s="568"/>
      <c r="AA70" s="567"/>
      <c r="AB70" s="157"/>
      <c r="AC70" s="157"/>
      <c r="AD70" s="569"/>
      <c r="AE70" s="570">
        <v>0</v>
      </c>
      <c r="AF70" s="571"/>
      <c r="AG70" s="157"/>
      <c r="AH70" s="569"/>
      <c r="AI70" s="490"/>
    </row>
    <row r="71" spans="1:35" ht="21.95" customHeight="1" thickBot="1">
      <c r="A71" s="1"/>
      <c r="B71" s="47"/>
      <c r="C71" s="574"/>
      <c r="D71" s="53"/>
      <c r="E71" s="53"/>
      <c r="F71" s="575"/>
      <c r="G71" s="574"/>
      <c r="H71" s="53"/>
      <c r="I71" s="53"/>
      <c r="J71" s="575"/>
      <c r="K71" s="574"/>
      <c r="L71" s="53"/>
      <c r="M71" s="53"/>
      <c r="N71" s="575"/>
      <c r="O71" s="574"/>
      <c r="P71" s="53"/>
      <c r="Q71" s="53"/>
      <c r="R71" s="575"/>
      <c r="S71" s="574"/>
      <c r="T71" s="53"/>
      <c r="U71" s="53"/>
      <c r="V71" s="575"/>
      <c r="W71" s="53"/>
      <c r="X71" s="53"/>
      <c r="Y71" s="53"/>
      <c r="Z71" s="53"/>
      <c r="AA71" s="53"/>
      <c r="AB71" s="53"/>
      <c r="AC71" s="53"/>
      <c r="AD71" s="53"/>
      <c r="AE71" s="576"/>
      <c r="AF71" s="53"/>
      <c r="AG71" s="53"/>
      <c r="AH71" s="577"/>
      <c r="AI71" s="539"/>
    </row>
    <row r="72" spans="1:35" ht="21.95" customHeight="1" thickBot="1">
      <c r="A72" s="578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>
      <c r="A73" s="556"/>
      <c r="B73" s="297" t="s">
        <v>480</v>
      </c>
      <c r="C73" s="1235">
        <v>1</v>
      </c>
      <c r="D73" s="1234">
        <v>2</v>
      </c>
      <c r="E73" s="1234">
        <v>3</v>
      </c>
      <c r="F73" s="1235">
        <v>4</v>
      </c>
      <c r="G73" s="1235">
        <v>5</v>
      </c>
      <c r="H73" s="1234">
        <v>6</v>
      </c>
      <c r="I73" s="1213">
        <v>7</v>
      </c>
      <c r="J73" s="1213">
        <v>8</v>
      </c>
      <c r="K73" s="1235">
        <v>9</v>
      </c>
      <c r="L73" s="1234">
        <v>10</v>
      </c>
      <c r="M73" s="1235">
        <v>11</v>
      </c>
      <c r="N73" s="1235">
        <v>12</v>
      </c>
      <c r="O73" s="1234">
        <v>13</v>
      </c>
      <c r="P73" s="1213">
        <v>14</v>
      </c>
      <c r="Q73" s="1213">
        <v>15</v>
      </c>
      <c r="R73" s="1234">
        <v>16</v>
      </c>
      <c r="S73" s="1234">
        <v>17</v>
      </c>
      <c r="T73" s="1235">
        <v>18</v>
      </c>
      <c r="U73" s="1235">
        <v>19</v>
      </c>
      <c r="V73" s="1330">
        <v>20</v>
      </c>
      <c r="W73" s="1213">
        <v>21</v>
      </c>
      <c r="X73" s="1213">
        <v>22</v>
      </c>
      <c r="Y73" s="1234">
        <v>23</v>
      </c>
      <c r="Z73" s="1234">
        <v>24</v>
      </c>
      <c r="AA73" s="1235">
        <v>25</v>
      </c>
      <c r="AB73" s="1235">
        <v>26</v>
      </c>
      <c r="AC73" s="1234">
        <v>27</v>
      </c>
      <c r="AD73" s="1213">
        <v>28</v>
      </c>
      <c r="AE73" s="1213">
        <v>29</v>
      </c>
      <c r="AF73" s="1234">
        <v>30</v>
      </c>
      <c r="AG73" s="1234">
        <v>31</v>
      </c>
      <c r="AH73" s="498" t="s">
        <v>481</v>
      </c>
      <c r="AI73" s="499" t="s">
        <v>482</v>
      </c>
    </row>
    <row r="74" spans="1:35" ht="21.95" customHeight="1" thickBot="1">
      <c r="A74" s="579">
        <v>1</v>
      </c>
      <c r="B74" s="153" t="s">
        <v>483</v>
      </c>
      <c r="C74" s="1208" t="s">
        <v>484</v>
      </c>
      <c r="D74" s="1208" t="s">
        <v>538</v>
      </c>
      <c r="E74" s="1208" t="s">
        <v>538</v>
      </c>
      <c r="F74" s="1208" t="s">
        <v>486</v>
      </c>
      <c r="G74" s="1368" t="s">
        <v>486</v>
      </c>
      <c r="H74" s="1208" t="s">
        <v>487</v>
      </c>
      <c r="I74" s="1343" t="s">
        <v>487</v>
      </c>
      <c r="J74" s="1208" t="s">
        <v>487</v>
      </c>
      <c r="K74" s="1208" t="s">
        <v>487</v>
      </c>
      <c r="L74" s="1208" t="s">
        <v>487</v>
      </c>
      <c r="M74" s="1208"/>
      <c r="N74" s="1208"/>
      <c r="O74" s="1208" t="s">
        <v>538</v>
      </c>
      <c r="P74" s="1343" t="s">
        <v>538</v>
      </c>
      <c r="Q74" s="1208" t="s">
        <v>538</v>
      </c>
      <c r="R74" s="1208" t="s">
        <v>538</v>
      </c>
      <c r="S74" s="1208" t="s">
        <v>487</v>
      </c>
      <c r="T74" s="1208"/>
      <c r="U74" s="1208"/>
      <c r="V74" s="1208" t="s">
        <v>487</v>
      </c>
      <c r="W74" s="1343" t="s">
        <v>538</v>
      </c>
      <c r="X74" s="1208" t="s">
        <v>538</v>
      </c>
      <c r="Y74" s="1368" t="s">
        <v>484</v>
      </c>
      <c r="Z74" s="1368" t="s">
        <v>484</v>
      </c>
      <c r="AA74" s="1368" t="s">
        <v>486</v>
      </c>
      <c r="AB74" s="1368" t="s">
        <v>486</v>
      </c>
      <c r="AC74" s="1343" t="s">
        <v>487</v>
      </c>
      <c r="AD74" s="1343" t="s">
        <v>487</v>
      </c>
      <c r="AE74" s="1208" t="s">
        <v>487</v>
      </c>
      <c r="AF74" s="1208" t="s">
        <v>538</v>
      </c>
      <c r="AG74" s="1208" t="s">
        <v>538</v>
      </c>
      <c r="AH74" s="504">
        <v>185</v>
      </c>
      <c r="AI74" s="505">
        <v>37</v>
      </c>
    </row>
    <row r="75" spans="1:35" ht="21.95" customHeight="1">
      <c r="A75" s="579">
        <v>2</v>
      </c>
      <c r="B75" s="45" t="s">
        <v>489</v>
      </c>
      <c r="C75" s="1208" t="s">
        <v>487</v>
      </c>
      <c r="D75" s="1208" t="s">
        <v>487</v>
      </c>
      <c r="E75" s="1208" t="s">
        <v>487</v>
      </c>
      <c r="F75" s="1208"/>
      <c r="G75" s="1208"/>
      <c r="H75" s="1208" t="s">
        <v>538</v>
      </c>
      <c r="I75" s="1343" t="s">
        <v>538</v>
      </c>
      <c r="J75" s="1208" t="s">
        <v>538</v>
      </c>
      <c r="K75" s="1208" t="s">
        <v>538</v>
      </c>
      <c r="L75" s="1208" t="s">
        <v>538</v>
      </c>
      <c r="M75" s="1208"/>
      <c r="N75" s="1208"/>
      <c r="O75" s="1208" t="s">
        <v>484</v>
      </c>
      <c r="P75" s="1343" t="s">
        <v>484</v>
      </c>
      <c r="Q75" s="1208" t="s">
        <v>484</v>
      </c>
      <c r="R75" s="1208" t="s">
        <v>485</v>
      </c>
      <c r="S75" s="1208" t="s">
        <v>538</v>
      </c>
      <c r="T75" s="1208" t="s">
        <v>486</v>
      </c>
      <c r="U75" s="1208" t="s">
        <v>486</v>
      </c>
      <c r="V75" s="1208" t="s">
        <v>487</v>
      </c>
      <c r="W75" s="1388" t="s">
        <v>487</v>
      </c>
      <c r="X75" s="1208" t="s">
        <v>487</v>
      </c>
      <c r="Y75" s="1208" t="s">
        <v>487</v>
      </c>
      <c r="Z75" s="1343" t="s">
        <v>487</v>
      </c>
      <c r="AA75" s="1208"/>
      <c r="AB75" s="1208"/>
      <c r="AC75" s="1208" t="s">
        <v>538</v>
      </c>
      <c r="AD75" s="1208" t="s">
        <v>538</v>
      </c>
      <c r="AE75" s="1208" t="s">
        <v>538</v>
      </c>
      <c r="AF75" s="1347" t="s">
        <v>538</v>
      </c>
      <c r="AG75" s="1347" t="s">
        <v>538</v>
      </c>
      <c r="AH75" s="504">
        <v>185</v>
      </c>
      <c r="AI75" s="505">
        <v>37</v>
      </c>
    </row>
    <row r="76" spans="1:35" ht="21.95" customHeight="1">
      <c r="A76" s="579">
        <v>3</v>
      </c>
      <c r="B76" s="545" t="s">
        <v>490</v>
      </c>
      <c r="C76" s="1372" t="s">
        <v>682</v>
      </c>
      <c r="D76" s="1372" t="s">
        <v>485</v>
      </c>
      <c r="E76" s="1372" t="s">
        <v>485</v>
      </c>
      <c r="F76" s="1372"/>
      <c r="G76" s="1372"/>
      <c r="H76" s="1372" t="s">
        <v>484</v>
      </c>
      <c r="I76" s="1372" t="s">
        <v>484</v>
      </c>
      <c r="J76" s="1372" t="s">
        <v>484</v>
      </c>
      <c r="K76" s="1372" t="s">
        <v>485</v>
      </c>
      <c r="L76" s="1372" t="s">
        <v>485</v>
      </c>
      <c r="M76" s="1372" t="s">
        <v>486</v>
      </c>
      <c r="N76" s="1372" t="s">
        <v>486</v>
      </c>
      <c r="O76" s="1372" t="s">
        <v>487</v>
      </c>
      <c r="P76" s="1372" t="s">
        <v>487</v>
      </c>
      <c r="Q76" s="1372" t="s">
        <v>487</v>
      </c>
      <c r="R76" s="1372" t="s">
        <v>487</v>
      </c>
      <c r="S76" s="1372" t="s">
        <v>487</v>
      </c>
      <c r="T76" s="1372"/>
      <c r="U76" s="1372"/>
      <c r="V76" s="1372" t="s">
        <v>682</v>
      </c>
      <c r="W76" s="1375" t="s">
        <v>682</v>
      </c>
      <c r="X76" s="1372" t="s">
        <v>682</v>
      </c>
      <c r="Y76" s="1372" t="s">
        <v>682</v>
      </c>
      <c r="Z76" s="1372" t="s">
        <v>682</v>
      </c>
      <c r="AA76" s="1372"/>
      <c r="AB76" s="1372"/>
      <c r="AC76" s="1372" t="s">
        <v>484</v>
      </c>
      <c r="AD76" s="1372" t="s">
        <v>484</v>
      </c>
      <c r="AE76" s="1372" t="s">
        <v>484</v>
      </c>
      <c r="AF76" s="1372" t="s">
        <v>485</v>
      </c>
      <c r="AG76" s="1372" t="s">
        <v>485</v>
      </c>
      <c r="AH76" s="504">
        <v>196.5</v>
      </c>
      <c r="AI76" s="505">
        <v>37</v>
      </c>
    </row>
    <row r="77" spans="1:35" ht="21" customHeight="1"/>
    <row r="78" spans="1:35" ht="21.95" customHeight="1" thickBot="1">
      <c r="A78" s="312" t="s">
        <v>491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  <c r="O78" s="559"/>
      <c r="P78" s="559"/>
      <c r="Q78" s="559"/>
      <c r="R78" s="559"/>
      <c r="S78" s="559"/>
      <c r="T78" s="559"/>
      <c r="U78" s="559"/>
      <c r="V78" s="559"/>
      <c r="W78" s="559"/>
      <c r="X78" s="559"/>
      <c r="Y78" s="559"/>
      <c r="Z78" s="559"/>
      <c r="AA78" s="559"/>
      <c r="AB78" s="559"/>
      <c r="AC78" s="559"/>
      <c r="AD78" s="559"/>
      <c r="AE78" s="559"/>
      <c r="AF78" s="559"/>
      <c r="AH78" s="560"/>
      <c r="AI78" s="560"/>
    </row>
    <row r="79" spans="1:35" ht="21.95" customHeight="1">
      <c r="A79" s="580"/>
      <c r="B79" s="23" t="s">
        <v>123</v>
      </c>
      <c r="C79" s="7"/>
      <c r="D79" s="525" t="s">
        <v>2</v>
      </c>
      <c r="E79" s="51"/>
      <c r="F79" s="551"/>
      <c r="G79" s="7"/>
      <c r="H79" s="525" t="s">
        <v>3</v>
      </c>
      <c r="I79" s="51"/>
      <c r="J79" s="551"/>
      <c r="K79" s="7"/>
      <c r="L79" s="525" t="s">
        <v>4</v>
      </c>
      <c r="M79" s="51"/>
      <c r="N79" s="551"/>
      <c r="O79" s="7"/>
      <c r="P79" s="525" t="s">
        <v>5</v>
      </c>
      <c r="Q79" s="51"/>
      <c r="R79" s="551"/>
      <c r="S79" s="7"/>
      <c r="T79" s="525" t="s">
        <v>6</v>
      </c>
      <c r="U79" s="51"/>
      <c r="V79" s="551"/>
      <c r="W79" s="27"/>
      <c r="X79" s="898" t="s">
        <v>7</v>
      </c>
      <c r="Y79" s="522"/>
      <c r="Z79" s="238"/>
      <c r="AA79" s="7"/>
      <c r="AB79" s="525" t="s">
        <v>8</v>
      </c>
      <c r="AC79" s="51"/>
      <c r="AD79" s="51"/>
      <c r="AE79" s="349" t="s">
        <v>9</v>
      </c>
      <c r="AF79" s="51"/>
      <c r="AG79" s="51"/>
      <c r="AH79" s="51"/>
      <c r="AI79" s="526"/>
    </row>
    <row r="80" spans="1:35" ht="21.95" customHeight="1">
      <c r="B80" s="129" t="s">
        <v>164</v>
      </c>
      <c r="C80" s="593" t="s">
        <v>492</v>
      </c>
      <c r="E80" s="157"/>
      <c r="F80" s="568"/>
      <c r="G80" s="567" t="s">
        <v>488</v>
      </c>
      <c r="H80" s="483" t="s">
        <v>493</v>
      </c>
      <c r="I80" s="157"/>
      <c r="J80" s="568"/>
      <c r="K80" s="593" t="s">
        <v>492</v>
      </c>
      <c r="L80" s="483"/>
      <c r="M80" s="483"/>
      <c r="N80" s="592"/>
      <c r="O80" s="593" t="s">
        <v>494</v>
      </c>
      <c r="P80" s="483"/>
      <c r="Q80" s="483"/>
      <c r="R80" s="592"/>
      <c r="S80" s="593" t="s">
        <v>495</v>
      </c>
      <c r="T80" s="483"/>
      <c r="U80" s="483"/>
      <c r="V80" s="477"/>
      <c r="W80" s="899"/>
      <c r="X80" s="900"/>
      <c r="Y80" s="900"/>
      <c r="Z80" s="901"/>
      <c r="AA80" s="569"/>
      <c r="AB80" s="157"/>
      <c r="AC80" s="157"/>
      <c r="AD80" s="569"/>
      <c r="AE80" s="121">
        <v>37</v>
      </c>
      <c r="AG80" s="157"/>
      <c r="AH80" s="569"/>
      <c r="AI80" s="490"/>
    </row>
    <row r="81" spans="1:35" ht="21.95" customHeight="1">
      <c r="B81" s="129" t="s">
        <v>167</v>
      </c>
      <c r="C81" s="593" t="s">
        <v>496</v>
      </c>
      <c r="E81" s="157"/>
      <c r="F81" s="568"/>
      <c r="G81" s="593" t="s">
        <v>496</v>
      </c>
      <c r="I81" s="157"/>
      <c r="J81" s="568"/>
      <c r="K81" s="593" t="s">
        <v>496</v>
      </c>
      <c r="L81" s="157"/>
      <c r="M81" s="157"/>
      <c r="N81" s="568"/>
      <c r="O81" s="593" t="s">
        <v>497</v>
      </c>
      <c r="P81" s="157"/>
      <c r="Q81" s="157"/>
      <c r="R81" s="568"/>
      <c r="S81" s="567" t="s">
        <v>498</v>
      </c>
      <c r="T81" s="157"/>
      <c r="U81" s="157"/>
      <c r="V81" s="568"/>
      <c r="W81" s="610" t="s">
        <v>414</v>
      </c>
      <c r="X81" s="55"/>
      <c r="Y81" s="55"/>
      <c r="Z81" s="55"/>
      <c r="AA81" s="567" t="s">
        <v>28</v>
      </c>
      <c r="AB81" s="567"/>
      <c r="AC81" s="567"/>
      <c r="AD81" s="567"/>
      <c r="AE81" s="155">
        <v>37</v>
      </c>
      <c r="AF81" s="157"/>
      <c r="AG81" s="571"/>
      <c r="AH81" s="572"/>
      <c r="AI81" s="573"/>
    </row>
    <row r="82" spans="1:35" ht="21.95" customHeight="1">
      <c r="B82" s="129" t="s">
        <v>170</v>
      </c>
      <c r="C82" s="1336" t="s">
        <v>499</v>
      </c>
      <c r="D82" s="157"/>
      <c r="E82" s="157"/>
      <c r="F82" s="568"/>
      <c r="G82" s="157" t="s">
        <v>500</v>
      </c>
      <c r="H82" s="157"/>
      <c r="I82" s="157"/>
      <c r="J82" s="568"/>
      <c r="K82" s="1337" t="s">
        <v>501</v>
      </c>
      <c r="L82" s="157"/>
      <c r="M82" s="157"/>
      <c r="N82" s="568"/>
      <c r="O82" s="581" t="s">
        <v>502</v>
      </c>
      <c r="P82" s="157" t="s">
        <v>503</v>
      </c>
      <c r="Q82" s="157"/>
      <c r="R82" s="568"/>
      <c r="S82" s="581" t="s">
        <v>504</v>
      </c>
      <c r="T82" s="157" t="s">
        <v>503</v>
      </c>
      <c r="U82" s="157"/>
      <c r="V82" s="568"/>
      <c r="W82" s="567"/>
      <c r="X82" s="157"/>
      <c r="Y82" s="157"/>
      <c r="Z82" s="568"/>
      <c r="AA82" s="567"/>
      <c r="AB82" s="157"/>
      <c r="AC82" s="157"/>
      <c r="AD82" s="569"/>
      <c r="AE82" s="570">
        <v>36.25</v>
      </c>
      <c r="AF82" s="571"/>
      <c r="AG82" s="157"/>
      <c r="AH82" s="569"/>
      <c r="AI82" s="490"/>
    </row>
    <row r="83" spans="1:35" ht="21.95" customHeight="1" thickBot="1">
      <c r="B83" s="47"/>
      <c r="C83" s="574"/>
      <c r="D83" s="53"/>
      <c r="E83" s="53"/>
      <c r="F83" s="575"/>
      <c r="G83" s="574"/>
      <c r="H83" s="53"/>
      <c r="I83" s="53"/>
      <c r="J83" s="575"/>
      <c r="K83" s="574"/>
      <c r="L83" s="53"/>
      <c r="M83" s="53"/>
      <c r="N83" s="575"/>
      <c r="O83" s="574"/>
      <c r="P83" s="53"/>
      <c r="Q83" s="53"/>
      <c r="R83" s="575"/>
      <c r="S83" s="574"/>
      <c r="T83" s="53"/>
      <c r="U83" s="53"/>
      <c r="V83" s="575"/>
      <c r="W83" s="53"/>
      <c r="X83" s="53"/>
      <c r="Y83" s="53"/>
      <c r="Z83" s="53"/>
      <c r="AA83" s="53"/>
      <c r="AB83" s="53"/>
      <c r="AC83" s="53"/>
      <c r="AD83" s="53"/>
      <c r="AE83" s="576"/>
      <c r="AF83" s="53"/>
      <c r="AG83" s="53"/>
      <c r="AH83" s="577"/>
      <c r="AI83" s="539"/>
    </row>
    <row r="84" spans="1:35" ht="21.95" customHeight="1" thickBot="1"/>
    <row r="85" spans="1:35" ht="21.95" customHeight="1">
      <c r="A85" s="556"/>
      <c r="B85" s="297" t="s">
        <v>480</v>
      </c>
      <c r="C85" s="1235">
        <v>1</v>
      </c>
      <c r="D85" s="1234">
        <v>2</v>
      </c>
      <c r="E85" s="1234">
        <v>3</v>
      </c>
      <c r="F85" s="1235">
        <v>4</v>
      </c>
      <c r="G85" s="1235">
        <v>5</v>
      </c>
      <c r="H85" s="1234">
        <v>6</v>
      </c>
      <c r="I85" s="1213">
        <v>7</v>
      </c>
      <c r="J85" s="1213">
        <v>8</v>
      </c>
      <c r="K85" s="1235">
        <v>9</v>
      </c>
      <c r="L85" s="1234">
        <v>10</v>
      </c>
      <c r="M85" s="1235">
        <v>11</v>
      </c>
      <c r="N85" s="1235">
        <v>12</v>
      </c>
      <c r="O85" s="1234">
        <v>13</v>
      </c>
      <c r="P85" s="1213">
        <v>14</v>
      </c>
      <c r="Q85" s="1213">
        <v>15</v>
      </c>
      <c r="R85" s="1234">
        <v>16</v>
      </c>
      <c r="S85" s="1234">
        <v>17</v>
      </c>
      <c r="T85" s="1235">
        <v>18</v>
      </c>
      <c r="U85" s="1235">
        <v>19</v>
      </c>
      <c r="V85" s="1330">
        <v>20</v>
      </c>
      <c r="W85" s="1213">
        <v>21</v>
      </c>
      <c r="X85" s="1213">
        <v>22</v>
      </c>
      <c r="Y85" s="1234">
        <v>23</v>
      </c>
      <c r="Z85" s="1234">
        <v>24</v>
      </c>
      <c r="AA85" s="1235">
        <v>25</v>
      </c>
      <c r="AB85" s="1235">
        <v>26</v>
      </c>
      <c r="AC85" s="1234">
        <v>27</v>
      </c>
      <c r="AD85" s="1213">
        <v>28</v>
      </c>
      <c r="AE85" s="1213">
        <v>29</v>
      </c>
      <c r="AF85" s="1234">
        <v>30</v>
      </c>
      <c r="AG85" s="1234">
        <v>31</v>
      </c>
      <c r="AH85" s="498" t="s">
        <v>481</v>
      </c>
      <c r="AI85" s="499" t="s">
        <v>482</v>
      </c>
    </row>
    <row r="86" spans="1:35" ht="21.95" customHeight="1">
      <c r="A86" s="579">
        <v>1</v>
      </c>
      <c r="B86" s="545" t="s">
        <v>505</v>
      </c>
      <c r="C86" s="1208" t="s">
        <v>506</v>
      </c>
      <c r="D86" s="1208" t="s">
        <v>506</v>
      </c>
      <c r="E86" s="1208" t="s">
        <v>506</v>
      </c>
      <c r="F86" s="1208"/>
      <c r="G86" s="1208"/>
      <c r="H86" s="1208" t="s">
        <v>485</v>
      </c>
      <c r="I86" s="1208" t="s">
        <v>485</v>
      </c>
      <c r="J86" s="1208" t="s">
        <v>485</v>
      </c>
      <c r="K86" s="1208" t="s">
        <v>484</v>
      </c>
      <c r="L86" s="1208" t="s">
        <v>484</v>
      </c>
      <c r="M86" s="1208"/>
      <c r="N86" s="1208"/>
      <c r="O86" s="1208" t="s">
        <v>683</v>
      </c>
      <c r="P86" s="1208" t="s">
        <v>488</v>
      </c>
      <c r="Q86" s="1208" t="s">
        <v>488</v>
      </c>
      <c r="R86" s="1208" t="s">
        <v>488</v>
      </c>
      <c r="S86" s="1208" t="s">
        <v>488</v>
      </c>
      <c r="T86" s="1208" t="s">
        <v>28</v>
      </c>
      <c r="U86" s="1208" t="s">
        <v>28</v>
      </c>
      <c r="V86" s="1208" t="s">
        <v>506</v>
      </c>
      <c r="W86" s="1208" t="s">
        <v>506</v>
      </c>
      <c r="X86" s="1208" t="s">
        <v>506</v>
      </c>
      <c r="Y86" s="1208" t="s">
        <v>506</v>
      </c>
      <c r="Z86" s="1208" t="s">
        <v>506</v>
      </c>
      <c r="AA86" s="1208" t="s">
        <v>28</v>
      </c>
      <c r="AB86" s="1208" t="s">
        <v>28</v>
      </c>
      <c r="AC86" s="1208" t="s">
        <v>485</v>
      </c>
      <c r="AD86" s="1208" t="s">
        <v>485</v>
      </c>
      <c r="AE86" s="1208" t="s">
        <v>485</v>
      </c>
      <c r="AF86" s="1208" t="s">
        <v>484</v>
      </c>
      <c r="AG86" s="1208" t="s">
        <v>484</v>
      </c>
      <c r="AH86" s="504">
        <v>185</v>
      </c>
      <c r="AI86" s="505">
        <v>37</v>
      </c>
    </row>
    <row r="87" spans="1:35" ht="21.95" customHeight="1">
      <c r="A87" s="579">
        <v>2</v>
      </c>
      <c r="B87" s="319" t="s">
        <v>507</v>
      </c>
      <c r="C87" s="1208" t="s">
        <v>485</v>
      </c>
      <c r="D87" s="1208" t="s">
        <v>484</v>
      </c>
      <c r="E87" s="1208" t="s">
        <v>484</v>
      </c>
      <c r="F87" s="1208"/>
      <c r="G87" s="1208"/>
      <c r="H87" s="1208" t="s">
        <v>488</v>
      </c>
      <c r="I87" s="1208" t="s">
        <v>684</v>
      </c>
      <c r="J87" s="1208" t="s">
        <v>684</v>
      </c>
      <c r="K87" s="1208" t="s">
        <v>488</v>
      </c>
      <c r="L87" s="1208" t="s">
        <v>684</v>
      </c>
      <c r="M87" s="1208" t="s">
        <v>28</v>
      </c>
      <c r="N87" s="1208" t="s">
        <v>28</v>
      </c>
      <c r="O87" s="1215" t="s">
        <v>684</v>
      </c>
      <c r="P87" s="1215" t="s">
        <v>684</v>
      </c>
      <c r="Q87" s="1208" t="s">
        <v>684</v>
      </c>
      <c r="R87" s="1208" t="s">
        <v>684</v>
      </c>
      <c r="S87" s="1208" t="s">
        <v>684</v>
      </c>
      <c r="T87" s="1208"/>
      <c r="U87" s="1208"/>
      <c r="V87" s="1208" t="s">
        <v>485</v>
      </c>
      <c r="W87" s="1208" t="s">
        <v>684</v>
      </c>
      <c r="X87" s="1208" t="s">
        <v>684</v>
      </c>
      <c r="Y87" s="1208" t="s">
        <v>684</v>
      </c>
      <c r="Z87" s="1208" t="s">
        <v>684</v>
      </c>
      <c r="AA87" s="1208"/>
      <c r="AB87" s="1208"/>
      <c r="AC87" s="1208" t="s">
        <v>684</v>
      </c>
      <c r="AD87" s="1208" t="s">
        <v>684</v>
      </c>
      <c r="AE87" s="1208" t="s">
        <v>684</v>
      </c>
      <c r="AF87" s="1208" t="s">
        <v>684</v>
      </c>
      <c r="AG87" s="1208" t="s">
        <v>684</v>
      </c>
      <c r="AH87" s="504">
        <v>185</v>
      </c>
      <c r="AI87" s="505">
        <v>37</v>
      </c>
    </row>
    <row r="88" spans="1:35" ht="21.95" customHeight="1">
      <c r="A88" s="579">
        <v>3</v>
      </c>
      <c r="B88" s="153" t="s">
        <v>508</v>
      </c>
      <c r="C88" s="1208" t="s">
        <v>488</v>
      </c>
      <c r="D88" s="1208" t="s">
        <v>538</v>
      </c>
      <c r="E88" s="1208" t="s">
        <v>488</v>
      </c>
      <c r="F88" s="1208" t="s">
        <v>28</v>
      </c>
      <c r="G88" s="1208" t="s">
        <v>28</v>
      </c>
      <c r="H88" s="1208" t="s">
        <v>683</v>
      </c>
      <c r="I88" s="1208" t="s">
        <v>506</v>
      </c>
      <c r="J88" s="1396" t="s">
        <v>685</v>
      </c>
      <c r="K88" s="1208" t="s">
        <v>506</v>
      </c>
      <c r="L88" s="1208" t="s">
        <v>685</v>
      </c>
      <c r="M88" s="1208"/>
      <c r="N88" s="1208"/>
      <c r="O88" s="1208" t="s">
        <v>485</v>
      </c>
      <c r="P88" s="1208" t="s">
        <v>485</v>
      </c>
      <c r="Q88" s="1215" t="s">
        <v>514</v>
      </c>
      <c r="R88" s="1208" t="s">
        <v>484</v>
      </c>
      <c r="S88" s="1208" t="s">
        <v>484</v>
      </c>
      <c r="T88" s="1208"/>
      <c r="U88" s="1208"/>
      <c r="V88" s="1208" t="s">
        <v>488</v>
      </c>
      <c r="W88" s="1208" t="s">
        <v>488</v>
      </c>
      <c r="X88" s="1208" t="s">
        <v>488</v>
      </c>
      <c r="Y88" s="1208" t="s">
        <v>538</v>
      </c>
      <c r="Z88" s="1208" t="s">
        <v>538</v>
      </c>
      <c r="AA88" s="1208"/>
      <c r="AB88" s="1208"/>
      <c r="AC88" s="1215" t="s">
        <v>539</v>
      </c>
      <c r="AD88" s="1215" t="s">
        <v>539</v>
      </c>
      <c r="AE88" s="1208" t="s">
        <v>539</v>
      </c>
      <c r="AF88" s="1208" t="s">
        <v>539</v>
      </c>
      <c r="AG88" s="1208" t="s">
        <v>539</v>
      </c>
      <c r="AH88" s="504">
        <v>203</v>
      </c>
      <c r="AI88" s="505">
        <v>37</v>
      </c>
    </row>
    <row r="89" spans="1:35" ht="21.95" customHeight="1">
      <c r="A89" s="580"/>
      <c r="C89" s="559"/>
      <c r="D89" s="559"/>
      <c r="E89" s="559"/>
      <c r="F89" s="559"/>
      <c r="G89" s="559"/>
      <c r="H89" s="559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H89" s="560"/>
      <c r="AI89" s="560"/>
    </row>
    <row r="90" spans="1:35" ht="21.95" customHeight="1">
      <c r="A90" s="580"/>
      <c r="B90" s="587"/>
      <c r="C90" s="559"/>
      <c r="D90" s="559"/>
      <c r="E90" s="559"/>
      <c r="F90" s="559"/>
      <c r="G90" s="559"/>
      <c r="H90" s="559"/>
      <c r="I90" s="559"/>
      <c r="J90" s="559"/>
      <c r="K90" s="559"/>
      <c r="L90" s="559"/>
      <c r="M90" s="559"/>
      <c r="N90" s="559"/>
      <c r="O90" s="559"/>
      <c r="P90" s="559"/>
      <c r="Q90" s="559"/>
      <c r="R90" s="559"/>
      <c r="S90" s="559"/>
      <c r="T90" s="559"/>
      <c r="U90" s="559"/>
      <c r="V90" s="559"/>
      <c r="W90" s="559"/>
      <c r="X90" s="559"/>
      <c r="Y90" s="559"/>
      <c r="Z90" s="559"/>
      <c r="AA90" s="559"/>
      <c r="AB90" s="559"/>
      <c r="AC90" s="559"/>
      <c r="AD90" s="559"/>
      <c r="AE90" s="559"/>
      <c r="AF90" s="559"/>
      <c r="AG90" s="559"/>
      <c r="AH90" s="560"/>
      <c r="AI90" s="560"/>
    </row>
    <row r="91" spans="1:35" ht="21.95" customHeight="1" thickBot="1">
      <c r="A91" s="1" t="s">
        <v>686</v>
      </c>
      <c r="D91" s="361"/>
      <c r="E91" s="361"/>
      <c r="F91" s="361"/>
      <c r="G91" s="549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687</v>
      </c>
      <c r="C92" s="7"/>
      <c r="D92" s="525" t="s">
        <v>2</v>
      </c>
      <c r="E92" s="51"/>
      <c r="F92" s="551"/>
      <c r="G92" s="7"/>
      <c r="H92" s="525" t="s">
        <v>3</v>
      </c>
      <c r="I92" s="51"/>
      <c r="J92" s="551"/>
      <c r="K92" s="7"/>
      <c r="L92" s="525" t="s">
        <v>4</v>
      </c>
      <c r="M92" s="51"/>
      <c r="N92" s="551"/>
      <c r="O92" s="7"/>
      <c r="P92" s="525" t="s">
        <v>5</v>
      </c>
      <c r="Q92" s="51"/>
      <c r="R92" s="551"/>
      <c r="S92" s="7"/>
      <c r="T92" s="525" t="s">
        <v>6</v>
      </c>
      <c r="U92" s="51"/>
      <c r="V92" s="551"/>
      <c r="W92" s="7"/>
      <c r="X92" s="525" t="s">
        <v>7</v>
      </c>
      <c r="Y92" s="51"/>
      <c r="Z92" s="551"/>
      <c r="AA92" s="7"/>
      <c r="AB92" s="525" t="s">
        <v>8</v>
      </c>
      <c r="AC92" s="51"/>
      <c r="AD92" s="51"/>
      <c r="AE92" s="425" t="s">
        <v>10</v>
      </c>
      <c r="AF92" s="51"/>
      <c r="AG92" s="51"/>
      <c r="AH92" s="51"/>
      <c r="AI92" s="526"/>
    </row>
    <row r="93" spans="1:35" ht="21.95" customHeight="1">
      <c r="A93" s="1"/>
      <c r="B93" s="129" t="s">
        <v>164</v>
      </c>
      <c r="C93" s="121" t="s">
        <v>162</v>
      </c>
      <c r="D93" s="157"/>
      <c r="E93" s="157"/>
      <c r="F93" s="568"/>
      <c r="G93" s="121" t="s">
        <v>688</v>
      </c>
      <c r="H93" s="157"/>
      <c r="I93" s="157"/>
      <c r="J93" s="568"/>
      <c r="K93" s="121" t="s">
        <v>688</v>
      </c>
      <c r="L93" s="157"/>
      <c r="M93" s="157"/>
      <c r="N93" s="568"/>
      <c r="O93" s="121" t="s">
        <v>688</v>
      </c>
      <c r="P93" s="157"/>
      <c r="Q93" s="157"/>
      <c r="R93" s="568"/>
      <c r="S93" s="121" t="s">
        <v>688</v>
      </c>
      <c r="T93" s="157"/>
      <c r="U93" s="157"/>
      <c r="V93" s="568"/>
      <c r="W93" s="1243" t="s">
        <v>689</v>
      </c>
      <c r="X93" s="581"/>
      <c r="Y93" s="581"/>
      <c r="Z93" s="582"/>
      <c r="AA93" s="567"/>
      <c r="AB93" s="157"/>
      <c r="AC93" s="157"/>
      <c r="AD93" s="569"/>
      <c r="AE93" s="128">
        <v>37</v>
      </c>
      <c r="AF93" s="157"/>
      <c r="AG93" s="157" t="s">
        <v>28</v>
      </c>
      <c r="AH93" s="569"/>
      <c r="AI93" s="490"/>
    </row>
    <row r="94" spans="1:35" ht="21.95" customHeight="1">
      <c r="A94" s="1"/>
      <c r="B94" s="129" t="s">
        <v>167</v>
      </c>
      <c r="C94" s="121" t="s">
        <v>688</v>
      </c>
      <c r="D94" s="157"/>
      <c r="E94" s="157"/>
      <c r="F94" s="568"/>
      <c r="G94" s="121" t="s">
        <v>688</v>
      </c>
      <c r="H94" s="157"/>
      <c r="I94" s="157"/>
      <c r="J94" s="568"/>
      <c r="K94" s="121" t="s">
        <v>688</v>
      </c>
      <c r="L94" s="157"/>
      <c r="M94" s="157"/>
      <c r="N94" s="568"/>
      <c r="O94" s="121" t="s">
        <v>688</v>
      </c>
      <c r="P94" s="157"/>
      <c r="Q94" s="157"/>
      <c r="R94" s="568"/>
      <c r="S94" s="121" t="s">
        <v>162</v>
      </c>
      <c r="T94" s="157"/>
      <c r="U94" s="157"/>
      <c r="V94" s="568"/>
      <c r="W94" s="121"/>
      <c r="X94" s="157"/>
      <c r="Y94" s="157"/>
      <c r="Z94" s="568"/>
      <c r="AA94" s="157"/>
      <c r="AB94" s="157"/>
      <c r="AC94" s="157"/>
      <c r="AD94" s="569"/>
      <c r="AE94" s="128">
        <v>32</v>
      </c>
      <c r="AF94" s="157"/>
      <c r="AG94" s="157"/>
      <c r="AH94" s="569"/>
      <c r="AI94" s="490"/>
    </row>
    <row r="95" spans="1:35" ht="21.95" customHeight="1">
      <c r="A95" s="1"/>
      <c r="B95" s="129" t="s">
        <v>170</v>
      </c>
      <c r="C95" s="121" t="s">
        <v>690</v>
      </c>
      <c r="D95" s="157"/>
      <c r="E95" s="157"/>
      <c r="F95" s="568"/>
      <c r="G95" s="121" t="s">
        <v>690</v>
      </c>
      <c r="H95" s="157"/>
      <c r="I95" s="157"/>
      <c r="J95" s="568"/>
      <c r="K95" s="121" t="s">
        <v>690</v>
      </c>
      <c r="L95" s="157"/>
      <c r="M95" s="157"/>
      <c r="N95" s="568"/>
      <c r="O95" s="121" t="s">
        <v>690</v>
      </c>
      <c r="P95" s="157"/>
      <c r="Q95" s="157"/>
      <c r="R95" s="568"/>
      <c r="S95" s="121" t="s">
        <v>690</v>
      </c>
      <c r="T95" s="157"/>
      <c r="U95" s="157"/>
      <c r="V95" s="568"/>
      <c r="W95" s="588" t="s">
        <v>689</v>
      </c>
      <c r="X95" s="135"/>
      <c r="Y95" s="135"/>
      <c r="Z95" s="584"/>
      <c r="AA95" s="583"/>
      <c r="AB95" s="135"/>
      <c r="AC95" s="135"/>
      <c r="AD95" s="585"/>
      <c r="AE95" s="128">
        <v>40</v>
      </c>
      <c r="AF95" s="157"/>
      <c r="AG95" s="157"/>
      <c r="AH95" s="569"/>
      <c r="AI95" s="490"/>
    </row>
    <row r="96" spans="1:35" ht="21.95" customHeight="1" thickBot="1">
      <c r="A96" s="1"/>
      <c r="B96" s="16" t="s">
        <v>173</v>
      </c>
      <c r="C96" s="57" t="s">
        <v>688</v>
      </c>
      <c r="D96" s="53"/>
      <c r="E96" s="53"/>
      <c r="F96" s="575"/>
      <c r="G96" s="57" t="s">
        <v>688</v>
      </c>
      <c r="H96" s="53"/>
      <c r="I96" s="53"/>
      <c r="J96" s="575"/>
      <c r="K96" s="57" t="s">
        <v>688</v>
      </c>
      <c r="L96" s="53"/>
      <c r="M96" s="53"/>
      <c r="N96" s="575"/>
      <c r="O96" s="57" t="s">
        <v>688</v>
      </c>
      <c r="P96" s="53"/>
      <c r="Q96" s="53"/>
      <c r="R96" s="575"/>
      <c r="S96" s="57" t="s">
        <v>691</v>
      </c>
      <c r="T96" s="53"/>
      <c r="U96" s="53"/>
      <c r="V96" s="577"/>
      <c r="W96" s="57"/>
      <c r="X96" s="577"/>
      <c r="Y96" s="53"/>
      <c r="Z96" s="575"/>
      <c r="AA96" s="57"/>
      <c r="AB96" s="577"/>
      <c r="AC96" s="53"/>
      <c r="AD96" s="575"/>
      <c r="AE96" s="586">
        <v>39</v>
      </c>
      <c r="AF96" s="53"/>
      <c r="AG96" s="53"/>
      <c r="AH96" s="577"/>
      <c r="AI96" s="539"/>
    </row>
    <row r="97" spans="1:35" ht="21.95" customHeight="1" thickBot="1">
      <c r="A97" s="578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>
      <c r="A98" s="556"/>
      <c r="B98" s="297" t="s">
        <v>480</v>
      </c>
      <c r="C98" s="1235">
        <v>1</v>
      </c>
      <c r="D98" s="1234">
        <v>2</v>
      </c>
      <c r="E98" s="1234">
        <v>3</v>
      </c>
      <c r="F98" s="1235">
        <v>4</v>
      </c>
      <c r="G98" s="1235">
        <v>5</v>
      </c>
      <c r="H98" s="1234">
        <v>6</v>
      </c>
      <c r="I98" s="1213">
        <v>7</v>
      </c>
      <c r="J98" s="1213">
        <v>8</v>
      </c>
      <c r="K98" s="1235">
        <v>9</v>
      </c>
      <c r="L98" s="1234">
        <v>10</v>
      </c>
      <c r="M98" s="1235">
        <v>11</v>
      </c>
      <c r="N98" s="1235">
        <v>12</v>
      </c>
      <c r="O98" s="1234">
        <v>13</v>
      </c>
      <c r="P98" s="1213">
        <v>14</v>
      </c>
      <c r="Q98" s="1213">
        <v>15</v>
      </c>
      <c r="R98" s="1234">
        <v>16</v>
      </c>
      <c r="S98" s="1234">
        <v>17</v>
      </c>
      <c r="T98" s="1235">
        <v>18</v>
      </c>
      <c r="U98" s="1235">
        <v>19</v>
      </c>
      <c r="V98" s="1330">
        <v>20</v>
      </c>
      <c r="W98" s="1213">
        <v>21</v>
      </c>
      <c r="X98" s="1213">
        <v>22</v>
      </c>
      <c r="Y98" s="1234">
        <v>23</v>
      </c>
      <c r="Z98" s="1234">
        <v>24</v>
      </c>
      <c r="AA98" s="1235">
        <v>25</v>
      </c>
      <c r="AB98" s="1235">
        <v>26</v>
      </c>
      <c r="AC98" s="1234">
        <v>27</v>
      </c>
      <c r="AD98" s="1213">
        <v>28</v>
      </c>
      <c r="AE98" s="1213">
        <v>29</v>
      </c>
      <c r="AF98" s="1234">
        <v>30</v>
      </c>
      <c r="AG98" s="1234">
        <v>31</v>
      </c>
      <c r="AH98" s="498" t="s">
        <v>481</v>
      </c>
      <c r="AI98" s="499" t="s">
        <v>482</v>
      </c>
    </row>
    <row r="99" spans="1:35" ht="21.95" customHeight="1">
      <c r="A99" s="579">
        <v>1</v>
      </c>
      <c r="B99" s="545" t="s">
        <v>692</v>
      </c>
      <c r="C99" s="1343"/>
      <c r="D99" s="1342">
        <v>3</v>
      </c>
      <c r="E99" s="1342">
        <v>3</v>
      </c>
      <c r="F99" s="1342">
        <v>3</v>
      </c>
      <c r="G99" s="1342"/>
      <c r="H99" s="1346">
        <v>4</v>
      </c>
      <c r="I99" s="1439">
        <v>4</v>
      </c>
      <c r="J99" s="1439">
        <v>4</v>
      </c>
      <c r="K99" s="1215"/>
      <c r="L99" s="1392" t="s">
        <v>693</v>
      </c>
      <c r="M99" s="1215"/>
      <c r="N99" s="1215"/>
      <c r="O99" s="1215" t="s">
        <v>487</v>
      </c>
      <c r="P99" s="1215">
        <v>1</v>
      </c>
      <c r="Q99" s="1208">
        <v>1</v>
      </c>
      <c r="R99" s="1381" t="s">
        <v>694</v>
      </c>
      <c r="S99" s="1215">
        <v>1</v>
      </c>
      <c r="T99" s="1215">
        <v>1</v>
      </c>
      <c r="U99" s="1215"/>
      <c r="V99" s="1215"/>
      <c r="W99" s="1381" t="s">
        <v>694</v>
      </c>
      <c r="X99" s="1381" t="s">
        <v>694</v>
      </c>
      <c r="Y99" s="1215">
        <v>2</v>
      </c>
      <c r="Z99" s="1215" t="s">
        <v>487</v>
      </c>
      <c r="AA99" s="1215"/>
      <c r="AB99" s="1215"/>
      <c r="AC99" s="1342">
        <v>3</v>
      </c>
      <c r="AD99" s="1342">
        <v>3</v>
      </c>
      <c r="AE99" s="1208">
        <v>3</v>
      </c>
      <c r="AF99" s="1215">
        <v>3</v>
      </c>
      <c r="AG99" s="1215">
        <v>3</v>
      </c>
      <c r="AH99" s="504">
        <v>185</v>
      </c>
      <c r="AI99" s="505">
        <v>37</v>
      </c>
    </row>
    <row r="100" spans="1:35" ht="21.95" customHeight="1">
      <c r="A100" s="579">
        <v>2</v>
      </c>
      <c r="B100" s="545"/>
      <c r="C100" s="1208"/>
      <c r="D100" s="1215">
        <v>4</v>
      </c>
      <c r="E100" s="1215">
        <v>4</v>
      </c>
      <c r="F100" s="1215"/>
      <c r="G100" s="1215"/>
      <c r="H100" s="1215" t="s">
        <v>487</v>
      </c>
      <c r="I100" s="1215">
        <v>1</v>
      </c>
      <c r="J100" s="1208">
        <v>1</v>
      </c>
      <c r="K100" s="1215"/>
      <c r="L100" s="1215">
        <v>1</v>
      </c>
      <c r="M100" s="1215">
        <v>1</v>
      </c>
      <c r="N100" s="1215"/>
      <c r="O100" s="1215">
        <v>2</v>
      </c>
      <c r="P100" s="1208">
        <v>2</v>
      </c>
      <c r="Q100" s="1208">
        <v>2</v>
      </c>
      <c r="R100" s="1215">
        <v>2</v>
      </c>
      <c r="S100" s="1215" t="s">
        <v>487</v>
      </c>
      <c r="T100" s="1215"/>
      <c r="U100" s="1215"/>
      <c r="V100" s="1215"/>
      <c r="W100" s="1215">
        <v>3</v>
      </c>
      <c r="X100" s="1208">
        <v>3</v>
      </c>
      <c r="Y100" s="1215">
        <v>3</v>
      </c>
      <c r="Z100" s="1215">
        <v>3</v>
      </c>
      <c r="AA100" s="1215">
        <v>3</v>
      </c>
      <c r="AB100" s="1215"/>
      <c r="AC100" s="1215">
        <v>4</v>
      </c>
      <c r="AD100" s="1208">
        <v>4</v>
      </c>
      <c r="AE100" s="1208">
        <v>4</v>
      </c>
      <c r="AF100" s="1215">
        <v>4</v>
      </c>
      <c r="AG100" s="1215">
        <v>4</v>
      </c>
      <c r="AH100" s="504">
        <v>185</v>
      </c>
      <c r="AI100" s="505">
        <v>37</v>
      </c>
    </row>
    <row r="101" spans="1:35" ht="21.95" customHeight="1">
      <c r="A101" s="579">
        <v>3</v>
      </c>
      <c r="B101" s="545"/>
      <c r="C101" s="1208"/>
      <c r="D101" s="1215">
        <v>1</v>
      </c>
      <c r="E101" s="1215">
        <v>1</v>
      </c>
      <c r="F101" s="1215">
        <v>1</v>
      </c>
      <c r="G101" s="1215"/>
      <c r="H101" s="1215">
        <v>2</v>
      </c>
      <c r="I101" s="1215">
        <v>2</v>
      </c>
      <c r="J101" s="1208">
        <v>2</v>
      </c>
      <c r="K101" s="1215"/>
      <c r="L101" s="1215" t="s">
        <v>487</v>
      </c>
      <c r="M101" s="1215"/>
      <c r="N101" s="1215"/>
      <c r="O101" s="1215">
        <v>3</v>
      </c>
      <c r="P101" s="1208">
        <v>3</v>
      </c>
      <c r="Q101" s="1208">
        <v>3</v>
      </c>
      <c r="R101" s="1215">
        <v>3</v>
      </c>
      <c r="S101" s="1215">
        <v>3</v>
      </c>
      <c r="T101" s="1215">
        <v>3</v>
      </c>
      <c r="U101" s="1215"/>
      <c r="V101" s="1215"/>
      <c r="W101" s="1215">
        <v>4</v>
      </c>
      <c r="X101" s="1208">
        <v>4</v>
      </c>
      <c r="Y101" s="1215">
        <v>4</v>
      </c>
      <c r="Z101" s="1215">
        <v>4</v>
      </c>
      <c r="AA101" s="1215"/>
      <c r="AB101" s="1215"/>
      <c r="AC101" s="1215" t="s">
        <v>487</v>
      </c>
      <c r="AD101" s="1208">
        <v>1</v>
      </c>
      <c r="AE101" s="1208">
        <v>1</v>
      </c>
      <c r="AF101" s="1215">
        <v>1</v>
      </c>
      <c r="AG101" s="1215">
        <v>1</v>
      </c>
      <c r="AH101" s="504">
        <v>185</v>
      </c>
      <c r="AI101" s="505">
        <v>37</v>
      </c>
    </row>
    <row r="102" spans="1:35" ht="21.95" customHeight="1">
      <c r="A102" s="579">
        <v>4</v>
      </c>
      <c r="B102" s="545" t="s">
        <v>412</v>
      </c>
      <c r="C102" s="1343"/>
      <c r="D102" s="1342">
        <v>2</v>
      </c>
      <c r="E102" s="1342" t="s">
        <v>487</v>
      </c>
      <c r="F102" s="1342"/>
      <c r="G102" s="1342"/>
      <c r="H102" s="1215">
        <v>3</v>
      </c>
      <c r="I102" s="1208">
        <v>3</v>
      </c>
      <c r="J102" s="1208">
        <v>3</v>
      </c>
      <c r="K102" s="1215"/>
      <c r="L102" s="1215">
        <v>3</v>
      </c>
      <c r="M102" s="1215">
        <v>3</v>
      </c>
      <c r="N102" s="1215"/>
      <c r="O102" s="1215">
        <v>4</v>
      </c>
      <c r="P102" s="1215">
        <v>4</v>
      </c>
      <c r="Q102" s="1208">
        <v>4</v>
      </c>
      <c r="R102" s="1215">
        <v>4</v>
      </c>
      <c r="S102" s="1219">
        <v>4</v>
      </c>
      <c r="T102" s="1219"/>
      <c r="U102" s="1219"/>
      <c r="V102" s="1219"/>
      <c r="W102" s="1368">
        <v>1</v>
      </c>
      <c r="X102" s="1208">
        <v>1</v>
      </c>
      <c r="Y102" s="1215">
        <v>1</v>
      </c>
      <c r="Z102" s="1215">
        <v>1</v>
      </c>
      <c r="AA102" s="1215">
        <v>1</v>
      </c>
      <c r="AB102" s="1215"/>
      <c r="AC102" s="1215">
        <v>2</v>
      </c>
      <c r="AD102" s="1215">
        <v>2</v>
      </c>
      <c r="AE102" s="1208">
        <v>2</v>
      </c>
      <c r="AF102" s="1215">
        <v>2</v>
      </c>
      <c r="AG102" s="1215" t="s">
        <v>487</v>
      </c>
      <c r="AH102" s="504">
        <v>185</v>
      </c>
      <c r="AI102" s="505">
        <v>37</v>
      </c>
    </row>
    <row r="103" spans="1:35" ht="21.95" customHeight="1">
      <c r="A103" s="580"/>
      <c r="B103" s="587"/>
      <c r="C103" s="559"/>
      <c r="D103" s="541"/>
      <c r="E103" s="541"/>
      <c r="F103" s="541"/>
      <c r="G103" s="541"/>
      <c r="H103" s="541"/>
      <c r="I103" s="559"/>
      <c r="J103" s="559"/>
      <c r="K103" s="541"/>
      <c r="L103" s="541"/>
      <c r="M103" s="541"/>
      <c r="N103" s="541"/>
      <c r="O103" s="541"/>
      <c r="P103" s="541"/>
      <c r="Q103" s="559"/>
      <c r="R103" s="541"/>
      <c r="S103" s="1315"/>
      <c r="T103" s="1315"/>
      <c r="U103" s="1315"/>
      <c r="V103" s="1315"/>
      <c r="W103" s="559"/>
      <c r="X103" s="559"/>
      <c r="Y103" s="541"/>
      <c r="Z103" s="541"/>
      <c r="AA103" s="541"/>
      <c r="AB103" s="541"/>
      <c r="AC103" s="541"/>
      <c r="AD103" s="541"/>
      <c r="AE103" s="559"/>
      <c r="AF103" s="541"/>
      <c r="AG103" s="541"/>
      <c r="AH103" s="560"/>
      <c r="AI103" s="560"/>
    </row>
    <row r="104" spans="1:35" ht="21.95" customHeight="1" thickBot="1">
      <c r="A104" s="1303" t="s">
        <v>695</v>
      </c>
      <c r="B104" s="541"/>
      <c r="C104" s="559"/>
      <c r="D104" s="541"/>
      <c r="E104" s="541"/>
      <c r="F104" s="541"/>
      <c r="G104" s="541"/>
      <c r="H104" s="541"/>
      <c r="I104" s="559"/>
      <c r="J104" s="559"/>
      <c r="K104" s="541"/>
      <c r="L104" s="541"/>
      <c r="M104" s="541"/>
      <c r="N104" s="541"/>
      <c r="O104" s="541"/>
      <c r="P104" s="541"/>
      <c r="Q104" s="559"/>
      <c r="R104" s="541"/>
      <c r="S104" s="541"/>
      <c r="T104" s="541"/>
      <c r="U104" s="541"/>
      <c r="V104" s="541"/>
      <c r="W104" s="559"/>
      <c r="X104" s="559"/>
      <c r="Y104" s="541"/>
      <c r="Z104" s="541"/>
      <c r="AA104" s="541"/>
      <c r="AB104" s="541"/>
      <c r="AC104" s="541"/>
      <c r="AD104" s="541"/>
      <c r="AE104" s="559"/>
      <c r="AF104" s="541"/>
      <c r="AG104" s="541"/>
      <c r="AH104" s="560"/>
      <c r="AI104" s="560"/>
    </row>
    <row r="105" spans="1:35" ht="21.95" customHeight="1">
      <c r="A105" s="580"/>
      <c r="B105" s="1304" t="s">
        <v>696</v>
      </c>
      <c r="C105" s="1312"/>
      <c r="D105" s="1305" t="s">
        <v>2</v>
      </c>
      <c r="E105" s="1306"/>
      <c r="F105" s="1307"/>
      <c r="G105" s="1308"/>
      <c r="H105" s="1305" t="s">
        <v>3</v>
      </c>
      <c r="I105" s="1306"/>
      <c r="J105" s="1307"/>
      <c r="K105" s="1308"/>
      <c r="L105" s="1305" t="s">
        <v>4</v>
      </c>
      <c r="M105" s="1306"/>
      <c r="N105" s="1307"/>
      <c r="O105" s="1308"/>
      <c r="P105" s="1305" t="s">
        <v>5</v>
      </c>
      <c r="Q105" s="1306"/>
      <c r="R105" s="1307"/>
      <c r="S105" s="1308"/>
      <c r="T105" s="1305" t="s">
        <v>6</v>
      </c>
      <c r="U105" s="1306"/>
      <c r="V105" s="1307"/>
      <c r="W105" s="1308"/>
      <c r="X105" s="1305" t="s">
        <v>7</v>
      </c>
      <c r="Y105" s="1306"/>
      <c r="Z105" s="1307"/>
      <c r="AA105" s="1308"/>
      <c r="AB105" s="1305" t="s">
        <v>8</v>
      </c>
      <c r="AC105" s="1306"/>
      <c r="AD105" s="1306"/>
      <c r="AE105" s="1309" t="s">
        <v>10</v>
      </c>
      <c r="AF105" s="1306"/>
      <c r="AG105" s="1306"/>
      <c r="AH105" s="1306"/>
      <c r="AI105" s="1310"/>
    </row>
    <row r="106" spans="1:35" ht="21.95" customHeight="1">
      <c r="A106" s="580"/>
      <c r="B106" s="1332" t="s">
        <v>697</v>
      </c>
      <c r="C106" s="1313" t="s">
        <v>698</v>
      </c>
      <c r="D106" s="1331" t="s">
        <v>699</v>
      </c>
      <c r="E106" s="1314"/>
      <c r="F106" s="1311"/>
      <c r="G106" s="1313"/>
      <c r="H106" s="1331" t="s">
        <v>699</v>
      </c>
      <c r="I106" s="1314"/>
      <c r="J106" s="1311"/>
      <c r="K106" s="1313"/>
      <c r="L106" s="1331" t="s">
        <v>699</v>
      </c>
      <c r="M106" s="1314"/>
      <c r="N106" s="1311"/>
      <c r="O106" s="1313"/>
      <c r="P106" s="1331" t="s">
        <v>700</v>
      </c>
      <c r="Q106" s="1314"/>
      <c r="R106" s="1311"/>
      <c r="S106" s="1313"/>
      <c r="T106" s="1331" t="s">
        <v>701</v>
      </c>
      <c r="U106" s="1314"/>
      <c r="V106" s="1311"/>
      <c r="W106" s="1313"/>
      <c r="X106" s="1314"/>
      <c r="Y106" s="1314"/>
      <c r="Z106" s="1311"/>
      <c r="AA106" s="1313"/>
      <c r="AB106" s="1314"/>
      <c r="AC106" s="1314"/>
      <c r="AD106" s="1314"/>
      <c r="AE106" s="1313"/>
      <c r="AF106" s="1314"/>
      <c r="AG106" s="1314"/>
      <c r="AH106" s="1316"/>
      <c r="AI106" s="1317"/>
    </row>
    <row r="107" spans="1:35" ht="21.95" customHeight="1">
      <c r="A107" s="580"/>
      <c r="B107" s="1333" t="s">
        <v>702</v>
      </c>
      <c r="C107" s="1313" t="s">
        <v>683</v>
      </c>
      <c r="D107" s="1331" t="s">
        <v>699</v>
      </c>
      <c r="E107" s="1314"/>
      <c r="F107" s="1311"/>
      <c r="G107" s="1313"/>
      <c r="H107" s="1331" t="s">
        <v>699</v>
      </c>
      <c r="I107" s="1314"/>
      <c r="J107" s="1311"/>
      <c r="K107" s="1313"/>
      <c r="L107" s="1331" t="s">
        <v>699</v>
      </c>
      <c r="M107" s="1314"/>
      <c r="N107" s="1311"/>
      <c r="O107" s="1313"/>
      <c r="P107" s="1331" t="s">
        <v>700</v>
      </c>
      <c r="Q107" s="1314"/>
      <c r="R107" s="1311"/>
      <c r="S107" s="1313"/>
      <c r="T107" s="1331" t="s">
        <v>701</v>
      </c>
      <c r="U107" s="1314"/>
      <c r="V107" s="1311"/>
      <c r="W107" s="1313"/>
      <c r="X107" s="1314"/>
      <c r="Y107" s="1314"/>
      <c r="Z107" s="1311"/>
      <c r="AA107" s="1313"/>
      <c r="AB107" s="1314"/>
      <c r="AC107" s="1314"/>
      <c r="AD107" s="1314"/>
      <c r="AE107" s="1313"/>
      <c r="AF107" s="1314"/>
      <c r="AG107" s="1314"/>
      <c r="AH107" s="1316"/>
      <c r="AI107" s="1317"/>
    </row>
    <row r="108" spans="1:35" ht="21.95" customHeight="1">
      <c r="A108" s="580"/>
      <c r="B108" s="1333" t="s">
        <v>703</v>
      </c>
      <c r="C108" s="1313" t="s">
        <v>547</v>
      </c>
      <c r="D108" s="1331" t="s">
        <v>699</v>
      </c>
      <c r="E108" s="1314"/>
      <c r="F108" s="1311"/>
      <c r="G108" s="1313"/>
      <c r="H108" s="1331" t="s">
        <v>699</v>
      </c>
      <c r="I108" s="1314"/>
      <c r="J108" s="1311"/>
      <c r="K108" s="1313"/>
      <c r="L108" s="1331" t="s">
        <v>699</v>
      </c>
      <c r="M108" s="1314"/>
      <c r="N108" s="1311"/>
      <c r="O108" s="1313"/>
      <c r="P108" s="1331" t="s">
        <v>700</v>
      </c>
      <c r="Q108" s="1314"/>
      <c r="R108" s="1311"/>
      <c r="S108" s="1313"/>
      <c r="T108" s="1331" t="s">
        <v>701</v>
      </c>
      <c r="U108" s="1314"/>
      <c r="V108" s="1311"/>
      <c r="W108" s="1313"/>
      <c r="X108" s="1314"/>
      <c r="Y108" s="1314"/>
      <c r="Z108" s="1311"/>
      <c r="AA108" s="1313"/>
      <c r="AB108" s="1314"/>
      <c r="AC108" s="1314"/>
      <c r="AD108" s="1314"/>
      <c r="AE108" s="1313"/>
      <c r="AF108" s="1314"/>
      <c r="AG108" s="1314"/>
      <c r="AH108" s="1316"/>
      <c r="AI108" s="1317"/>
    </row>
    <row r="109" spans="1:35" ht="21.95" customHeight="1">
      <c r="A109" s="580"/>
      <c r="B109" s="1333" t="s">
        <v>704</v>
      </c>
      <c r="C109" s="1313" t="s">
        <v>685</v>
      </c>
      <c r="D109" s="1331" t="s">
        <v>699</v>
      </c>
      <c r="E109" s="1314"/>
      <c r="F109" s="1311"/>
      <c r="G109" s="1313"/>
      <c r="H109" s="1331" t="s">
        <v>699</v>
      </c>
      <c r="I109" s="1314"/>
      <c r="J109" s="1311"/>
      <c r="K109" s="1313"/>
      <c r="L109" s="1331" t="s">
        <v>699</v>
      </c>
      <c r="M109" s="1314"/>
      <c r="N109" s="1311"/>
      <c r="O109" s="1313"/>
      <c r="P109" s="1331" t="s">
        <v>700</v>
      </c>
      <c r="Q109" s="1314"/>
      <c r="R109" s="1311"/>
      <c r="S109" s="1313"/>
      <c r="T109" s="1331" t="s">
        <v>701</v>
      </c>
      <c r="U109" s="1314"/>
      <c r="V109" s="1311"/>
      <c r="W109" s="1313"/>
      <c r="X109" s="1314"/>
      <c r="Y109" s="1314"/>
      <c r="Z109" s="1311"/>
      <c r="AA109" s="1313"/>
      <c r="AB109" s="1314"/>
      <c r="AC109" s="1314"/>
      <c r="AD109" s="1314"/>
      <c r="AE109" s="1313"/>
      <c r="AF109" s="1314"/>
      <c r="AG109" s="1314"/>
      <c r="AH109" s="1316"/>
      <c r="AI109" s="1317"/>
    </row>
    <row r="110" spans="1:35" ht="21.95" customHeight="1">
      <c r="A110" s="580"/>
      <c r="B110" s="1333" t="s">
        <v>705</v>
      </c>
      <c r="C110" s="1313" t="s">
        <v>684</v>
      </c>
      <c r="D110" s="1331" t="s">
        <v>699</v>
      </c>
      <c r="E110" s="1314"/>
      <c r="F110" s="1311"/>
      <c r="G110" s="1313"/>
      <c r="H110" s="1331" t="s">
        <v>699</v>
      </c>
      <c r="I110" s="1314"/>
      <c r="J110" s="1311"/>
      <c r="K110" s="1313"/>
      <c r="L110" s="1331" t="s">
        <v>699</v>
      </c>
      <c r="M110" s="1314"/>
      <c r="N110" s="1311"/>
      <c r="O110" s="1313"/>
      <c r="P110" s="1331" t="s">
        <v>700</v>
      </c>
      <c r="Q110" s="1314"/>
      <c r="R110" s="1311"/>
      <c r="S110" s="1313"/>
      <c r="T110" s="1331" t="s">
        <v>701</v>
      </c>
      <c r="U110" s="1314"/>
      <c r="V110" s="1311"/>
      <c r="W110" s="1313"/>
      <c r="X110" s="1314"/>
      <c r="Y110" s="1314"/>
      <c r="Z110" s="1311"/>
      <c r="AA110" s="1313"/>
      <c r="AB110" s="1314"/>
      <c r="AC110" s="1314"/>
      <c r="AD110" s="1314"/>
      <c r="AE110" s="1313"/>
      <c r="AF110" s="1314"/>
      <c r="AG110" s="1314"/>
      <c r="AH110" s="1316"/>
      <c r="AI110" s="1317"/>
    </row>
    <row r="111" spans="1:35" ht="21.95" customHeight="1">
      <c r="A111" s="580"/>
      <c r="B111" s="1333" t="s">
        <v>706</v>
      </c>
      <c r="C111" s="1313" t="s">
        <v>539</v>
      </c>
      <c r="D111" s="1331" t="s">
        <v>699</v>
      </c>
      <c r="E111" s="1314"/>
      <c r="F111" s="1311"/>
      <c r="G111" s="1313"/>
      <c r="H111" s="1331" t="s">
        <v>699</v>
      </c>
      <c r="I111" s="1314"/>
      <c r="J111" s="1311"/>
      <c r="K111" s="1313"/>
      <c r="L111" s="1331" t="s">
        <v>699</v>
      </c>
      <c r="M111" s="1314"/>
      <c r="N111" s="1311"/>
      <c r="O111" s="1313"/>
      <c r="P111" s="1331" t="s">
        <v>700</v>
      </c>
      <c r="Q111" s="1314"/>
      <c r="R111" s="1311"/>
      <c r="S111" s="1313"/>
      <c r="T111" s="1331" t="s">
        <v>701</v>
      </c>
      <c r="U111" s="1314"/>
      <c r="V111" s="1311"/>
      <c r="W111" s="1313"/>
      <c r="X111" s="1314"/>
      <c r="Y111" s="1314"/>
      <c r="Z111" s="1311"/>
      <c r="AA111" s="1313"/>
      <c r="AB111" s="1314"/>
      <c r="AC111" s="1314"/>
      <c r="AD111" s="1314"/>
      <c r="AE111" s="1313"/>
      <c r="AF111" s="1314"/>
      <c r="AG111" s="1314"/>
      <c r="AH111" s="1316"/>
      <c r="AI111" s="1317"/>
    </row>
    <row r="112" spans="1:35" ht="21.95" customHeight="1">
      <c r="A112" s="580"/>
      <c r="B112" s="1333" t="s">
        <v>707</v>
      </c>
      <c r="C112" s="1313" t="s">
        <v>540</v>
      </c>
      <c r="D112" s="1331" t="s">
        <v>699</v>
      </c>
      <c r="E112" s="1314"/>
      <c r="F112" s="1311"/>
      <c r="G112" s="1313"/>
      <c r="H112" s="1331" t="s">
        <v>699</v>
      </c>
      <c r="I112" s="1314"/>
      <c r="J112" s="1311"/>
      <c r="K112" s="1313"/>
      <c r="L112" s="1331" t="s">
        <v>699</v>
      </c>
      <c r="M112" s="1314"/>
      <c r="N112" s="1311"/>
      <c r="O112" s="1313"/>
      <c r="P112" s="1331" t="s">
        <v>700</v>
      </c>
      <c r="Q112" s="1314"/>
      <c r="R112" s="1311"/>
      <c r="S112" s="1313"/>
      <c r="T112" s="1331" t="s">
        <v>701</v>
      </c>
      <c r="U112" s="1314"/>
      <c r="V112" s="1311"/>
      <c r="W112" s="1313"/>
      <c r="X112" s="1314"/>
      <c r="Y112" s="1314"/>
      <c r="Z112" s="1311"/>
      <c r="AA112" s="1313"/>
      <c r="AB112" s="1314"/>
      <c r="AC112" s="1314"/>
      <c r="AD112" s="1314"/>
      <c r="AE112" s="1313"/>
      <c r="AF112" s="1314"/>
      <c r="AG112" s="1314"/>
      <c r="AH112" s="1316"/>
      <c r="AI112" s="1317"/>
    </row>
    <row r="113" spans="1:35" ht="21.95" customHeight="1">
      <c r="A113" s="580"/>
      <c r="B113" s="1333" t="s">
        <v>707</v>
      </c>
      <c r="C113" s="1313" t="s">
        <v>708</v>
      </c>
      <c r="D113" s="1331" t="s">
        <v>699</v>
      </c>
      <c r="E113" s="1314"/>
      <c r="F113" s="1311"/>
      <c r="G113" s="1313"/>
      <c r="H113" s="1331" t="s">
        <v>699</v>
      </c>
      <c r="I113" s="1314"/>
      <c r="J113" s="1311"/>
      <c r="K113" s="1313"/>
      <c r="L113" s="1331" t="s">
        <v>699</v>
      </c>
      <c r="M113" s="1314"/>
      <c r="N113" s="1311"/>
      <c r="O113" s="1313"/>
      <c r="P113" s="1331" t="s">
        <v>700</v>
      </c>
      <c r="Q113" s="1314"/>
      <c r="R113" s="1311"/>
      <c r="S113" s="1313"/>
      <c r="T113" s="1331" t="s">
        <v>701</v>
      </c>
      <c r="U113" s="1314"/>
      <c r="V113" s="1311"/>
      <c r="W113" s="1313"/>
      <c r="X113" s="1314"/>
      <c r="Y113" s="1314"/>
      <c r="Z113" s="1311"/>
      <c r="AA113" s="1313"/>
      <c r="AB113" s="1314"/>
      <c r="AC113" s="1314"/>
      <c r="AD113" s="1314"/>
      <c r="AE113" s="1313"/>
      <c r="AF113" s="1314"/>
      <c r="AG113" s="1314"/>
      <c r="AH113" s="1316"/>
      <c r="AI113" s="1317"/>
    </row>
    <row r="114" spans="1:35" ht="21.95" customHeight="1">
      <c r="A114" s="580"/>
      <c r="B114" s="1333" t="s">
        <v>709</v>
      </c>
      <c r="C114" s="1313" t="s">
        <v>538</v>
      </c>
      <c r="D114" s="1331" t="s">
        <v>699</v>
      </c>
      <c r="E114" s="1314"/>
      <c r="F114" s="1311"/>
      <c r="G114" s="1313"/>
      <c r="H114" s="1331" t="s">
        <v>699</v>
      </c>
      <c r="I114" s="1314"/>
      <c r="J114" s="1311"/>
      <c r="K114" s="1313"/>
      <c r="L114" s="1331" t="s">
        <v>699</v>
      </c>
      <c r="M114" s="1314"/>
      <c r="N114" s="1311"/>
      <c r="O114" s="1313"/>
      <c r="P114" s="1331" t="s">
        <v>700</v>
      </c>
      <c r="Q114" s="1314"/>
      <c r="R114" s="1311"/>
      <c r="S114" s="1313"/>
      <c r="T114" s="1331" t="s">
        <v>701</v>
      </c>
      <c r="U114" s="1314"/>
      <c r="V114" s="1311"/>
      <c r="W114" s="1313"/>
      <c r="X114" s="1314"/>
      <c r="Y114" s="1314"/>
      <c r="Z114" s="1311"/>
      <c r="AA114" s="1313"/>
      <c r="AB114" s="1314"/>
      <c r="AC114" s="1314"/>
      <c r="AD114" s="1314"/>
      <c r="AE114" s="1313"/>
      <c r="AF114" s="1314"/>
      <c r="AG114" s="1314"/>
      <c r="AH114" s="1316"/>
      <c r="AI114" s="1317"/>
    </row>
    <row r="115" spans="1:35" ht="21.95" customHeight="1">
      <c r="A115" s="580"/>
      <c r="B115" s="1333" t="s">
        <v>710</v>
      </c>
      <c r="C115" s="1313" t="s">
        <v>711</v>
      </c>
      <c r="D115" s="1331" t="s">
        <v>699</v>
      </c>
      <c r="E115" s="1314"/>
      <c r="F115" s="1311"/>
      <c r="G115" s="1313"/>
      <c r="H115" s="1331" t="s">
        <v>699</v>
      </c>
      <c r="I115" s="1314"/>
      <c r="J115" s="1311"/>
      <c r="K115" s="1313"/>
      <c r="L115" s="1331" t="s">
        <v>699</v>
      </c>
      <c r="M115" s="1314"/>
      <c r="N115" s="1311"/>
      <c r="O115" s="1313"/>
      <c r="P115" s="1331" t="s">
        <v>700</v>
      </c>
      <c r="Q115" s="1314"/>
      <c r="R115" s="1311"/>
      <c r="S115" s="1313"/>
      <c r="T115" s="1331" t="s">
        <v>701</v>
      </c>
      <c r="U115" s="1314"/>
      <c r="V115" s="1311"/>
      <c r="W115" s="1313"/>
      <c r="X115" s="1314"/>
      <c r="Y115" s="1314"/>
      <c r="Z115" s="1311"/>
      <c r="AA115" s="1313"/>
      <c r="AB115" s="1314"/>
      <c r="AC115" s="1314"/>
      <c r="AD115" s="1314"/>
      <c r="AE115" s="1313"/>
      <c r="AF115" s="1314"/>
      <c r="AG115" s="1314"/>
      <c r="AH115" s="1316"/>
      <c r="AI115" s="1317"/>
    </row>
    <row r="116" spans="1:35" ht="21.95" customHeight="1">
      <c r="A116" s="580"/>
      <c r="B116" s="1333" t="s">
        <v>712</v>
      </c>
      <c r="C116" s="1313" t="s">
        <v>544</v>
      </c>
      <c r="D116" s="1331" t="s">
        <v>699</v>
      </c>
      <c r="E116" s="1314"/>
      <c r="F116" s="1311"/>
      <c r="G116" s="1313"/>
      <c r="H116" s="1331" t="s">
        <v>699</v>
      </c>
      <c r="I116" s="1314"/>
      <c r="J116" s="1311"/>
      <c r="K116" s="1313"/>
      <c r="L116" s="1331" t="s">
        <v>699</v>
      </c>
      <c r="M116" s="1314"/>
      <c r="N116" s="1311"/>
      <c r="O116" s="1313"/>
      <c r="P116" s="1331" t="s">
        <v>700</v>
      </c>
      <c r="Q116" s="1314"/>
      <c r="R116" s="1311"/>
      <c r="S116" s="1313"/>
      <c r="T116" s="1331" t="s">
        <v>701</v>
      </c>
      <c r="U116" s="1314"/>
      <c r="V116" s="1311"/>
      <c r="W116" s="1313"/>
      <c r="X116" s="1314"/>
      <c r="Y116" s="1314"/>
      <c r="Z116" s="1311"/>
      <c r="AA116" s="1313"/>
      <c r="AB116" s="1314"/>
      <c r="AC116" s="1314"/>
      <c r="AD116" s="1314"/>
      <c r="AE116" s="1313"/>
      <c r="AF116" s="1314"/>
      <c r="AG116" s="1314"/>
      <c r="AH116" s="1316"/>
      <c r="AI116" s="1317"/>
    </row>
    <row r="117" spans="1:35" ht="21.95" customHeight="1" thickBot="1">
      <c r="A117" s="580"/>
      <c r="B117" s="587"/>
      <c r="C117" s="559"/>
      <c r="D117" s="541"/>
      <c r="E117" s="541"/>
      <c r="F117" s="541"/>
      <c r="G117" s="541"/>
      <c r="H117" s="541"/>
      <c r="I117" s="559"/>
      <c r="J117" s="559"/>
      <c r="K117" s="541"/>
      <c r="L117" s="541"/>
      <c r="M117" s="541"/>
      <c r="N117" s="541"/>
      <c r="O117" s="541"/>
      <c r="P117" s="541"/>
      <c r="Q117" s="559"/>
      <c r="R117" s="541"/>
      <c r="S117" s="541"/>
      <c r="T117" s="541"/>
      <c r="U117" s="541"/>
      <c r="V117" s="541"/>
      <c r="W117" s="559"/>
      <c r="X117" s="559"/>
      <c r="Y117" s="541"/>
      <c r="Z117" s="541"/>
      <c r="AA117" s="541"/>
      <c r="AB117" s="541"/>
      <c r="AC117" s="541"/>
      <c r="AD117" s="541"/>
      <c r="AE117" s="559"/>
      <c r="AF117" s="541"/>
      <c r="AG117" s="541"/>
      <c r="AH117" s="560"/>
      <c r="AI117" s="560"/>
    </row>
    <row r="118" spans="1:35" ht="21.95" customHeight="1">
      <c r="A118" s="1232"/>
      <c r="B118" s="1298" t="s">
        <v>480</v>
      </c>
      <c r="C118" s="1235">
        <v>1</v>
      </c>
      <c r="D118" s="1234">
        <v>2</v>
      </c>
      <c r="E118" s="1234">
        <v>3</v>
      </c>
      <c r="F118" s="1235">
        <v>4</v>
      </c>
      <c r="G118" s="1235">
        <v>5</v>
      </c>
      <c r="H118" s="1234">
        <v>6</v>
      </c>
      <c r="I118" s="1213">
        <v>7</v>
      </c>
      <c r="J118" s="1213">
        <v>8</v>
      </c>
      <c r="K118" s="1235">
        <v>9</v>
      </c>
      <c r="L118" s="1234">
        <v>10</v>
      </c>
      <c r="M118" s="1235">
        <v>11</v>
      </c>
      <c r="N118" s="1235">
        <v>12</v>
      </c>
      <c r="O118" s="1234">
        <v>13</v>
      </c>
      <c r="P118" s="1213">
        <v>14</v>
      </c>
      <c r="Q118" s="1213">
        <v>15</v>
      </c>
      <c r="R118" s="1234">
        <v>16</v>
      </c>
      <c r="S118" s="1234">
        <v>17</v>
      </c>
      <c r="T118" s="1235">
        <v>18</v>
      </c>
      <c r="U118" s="1235">
        <v>19</v>
      </c>
      <c r="V118" s="1330">
        <v>20</v>
      </c>
      <c r="W118" s="1213">
        <v>21</v>
      </c>
      <c r="X118" s="1213">
        <v>22</v>
      </c>
      <c r="Y118" s="1234">
        <v>23</v>
      </c>
      <c r="Z118" s="1234">
        <v>24</v>
      </c>
      <c r="AA118" s="1235">
        <v>25</v>
      </c>
      <c r="AB118" s="1235">
        <v>26</v>
      </c>
      <c r="AC118" s="1234">
        <v>27</v>
      </c>
      <c r="AD118" s="1213">
        <v>28</v>
      </c>
      <c r="AE118" s="1213">
        <v>29</v>
      </c>
      <c r="AF118" s="1234">
        <v>30</v>
      </c>
      <c r="AG118" s="1234">
        <v>31</v>
      </c>
      <c r="AH118" s="1301" t="s">
        <v>481</v>
      </c>
      <c r="AI118" s="1302" t="s">
        <v>482</v>
      </c>
    </row>
    <row r="119" spans="1:35" ht="21.95" customHeight="1">
      <c r="A119" s="580"/>
      <c r="B119" s="1299" t="s">
        <v>713</v>
      </c>
      <c r="C119" s="1313"/>
      <c r="D119" s="1313" t="s">
        <v>698</v>
      </c>
      <c r="E119" s="1313" t="s">
        <v>698</v>
      </c>
      <c r="F119" s="1313"/>
      <c r="G119" s="1313"/>
      <c r="H119" s="1313" t="s">
        <v>698</v>
      </c>
      <c r="I119" s="1313" t="s">
        <v>698</v>
      </c>
      <c r="J119" s="1313" t="s">
        <v>698</v>
      </c>
      <c r="K119" s="1313"/>
      <c r="L119" s="1313" t="s">
        <v>698</v>
      </c>
      <c r="M119" s="1313"/>
      <c r="N119" s="1313"/>
      <c r="O119" s="1313" t="s">
        <v>698</v>
      </c>
      <c r="P119" s="1313" t="s">
        <v>698</v>
      </c>
      <c r="Q119" s="1313" t="s">
        <v>698</v>
      </c>
      <c r="R119" s="1313" t="s">
        <v>698</v>
      </c>
      <c r="S119" s="1313" t="s">
        <v>698</v>
      </c>
      <c r="T119" s="1313"/>
      <c r="U119" s="1313"/>
      <c r="V119" s="1313"/>
      <c r="W119" s="1313" t="s">
        <v>698</v>
      </c>
      <c r="X119" s="1313" t="s">
        <v>698</v>
      </c>
      <c r="Y119" s="1313" t="s">
        <v>698</v>
      </c>
      <c r="Z119" s="1313" t="s">
        <v>698</v>
      </c>
      <c r="AA119" s="1313"/>
      <c r="AB119" s="1313"/>
      <c r="AC119" s="1313" t="s">
        <v>698</v>
      </c>
      <c r="AD119" s="1313" t="s">
        <v>698</v>
      </c>
      <c r="AE119" s="1313" t="s">
        <v>698</v>
      </c>
      <c r="AF119" s="1313" t="s">
        <v>698</v>
      </c>
      <c r="AG119" s="1313" t="s">
        <v>698</v>
      </c>
      <c r="AH119" s="504">
        <v>185</v>
      </c>
      <c r="AI119" s="505">
        <v>37</v>
      </c>
    </row>
    <row r="120" spans="1:35" ht="21.95" customHeight="1">
      <c r="A120" s="580"/>
      <c r="B120" s="1299" t="s">
        <v>714</v>
      </c>
      <c r="C120" s="1313"/>
      <c r="D120" s="1313" t="s">
        <v>698</v>
      </c>
      <c r="E120" s="1313" t="s">
        <v>698</v>
      </c>
      <c r="F120" s="1313"/>
      <c r="G120" s="1313"/>
      <c r="H120" s="1313" t="s">
        <v>698</v>
      </c>
      <c r="I120" s="1313" t="s">
        <v>698</v>
      </c>
      <c r="J120" s="1313" t="s">
        <v>698</v>
      </c>
      <c r="K120" s="1313"/>
      <c r="L120" s="1384" t="s">
        <v>698</v>
      </c>
      <c r="M120" s="1313"/>
      <c r="N120" s="1313"/>
      <c r="O120" s="1384" t="s">
        <v>698</v>
      </c>
      <c r="P120" s="1384" t="s">
        <v>698</v>
      </c>
      <c r="Q120" s="1384" t="s">
        <v>698</v>
      </c>
      <c r="R120" s="1384" t="s">
        <v>698</v>
      </c>
      <c r="S120" s="1384" t="s">
        <v>698</v>
      </c>
      <c r="T120" s="1384"/>
      <c r="U120" s="1384"/>
      <c r="V120" s="1384"/>
      <c r="W120" s="1385" t="s">
        <v>698</v>
      </c>
      <c r="X120" s="1385" t="s">
        <v>698</v>
      </c>
      <c r="Y120" s="1384" t="s">
        <v>698</v>
      </c>
      <c r="Z120" s="1313" t="s">
        <v>698</v>
      </c>
      <c r="AA120" s="1313"/>
      <c r="AB120" s="1313"/>
      <c r="AC120" s="1313" t="s">
        <v>698</v>
      </c>
      <c r="AD120" s="1313" t="s">
        <v>698</v>
      </c>
      <c r="AE120" s="1313" t="s">
        <v>698</v>
      </c>
      <c r="AF120" s="1313" t="s">
        <v>698</v>
      </c>
      <c r="AG120" s="1313" t="s">
        <v>698</v>
      </c>
      <c r="AH120" s="504">
        <v>222</v>
      </c>
      <c r="AI120" s="505">
        <v>37</v>
      </c>
    </row>
    <row r="121" spans="1:35" ht="21.95" customHeight="1">
      <c r="A121" s="580"/>
      <c r="B121" s="1299" t="s">
        <v>715</v>
      </c>
      <c r="C121" s="1313"/>
      <c r="D121" s="1313" t="s">
        <v>683</v>
      </c>
      <c r="E121" s="1313" t="s">
        <v>683</v>
      </c>
      <c r="F121" s="1313"/>
      <c r="G121" s="1313"/>
      <c r="H121" s="1313" t="s">
        <v>683</v>
      </c>
      <c r="I121" s="1313" t="s">
        <v>683</v>
      </c>
      <c r="J121" s="1313" t="s">
        <v>683</v>
      </c>
      <c r="K121" s="1313"/>
      <c r="L121" s="1313" t="s">
        <v>683</v>
      </c>
      <c r="M121" s="1313"/>
      <c r="N121" s="1313"/>
      <c r="O121" s="1215" t="s">
        <v>514</v>
      </c>
      <c r="P121" s="1313" t="s">
        <v>683</v>
      </c>
      <c r="Q121" s="1313" t="s">
        <v>683</v>
      </c>
      <c r="R121" s="1313" t="s">
        <v>683</v>
      </c>
      <c r="S121" s="1313" t="s">
        <v>683</v>
      </c>
      <c r="T121" s="1313"/>
      <c r="U121" s="1313"/>
      <c r="V121" s="1313"/>
      <c r="W121" s="1313" t="s">
        <v>683</v>
      </c>
      <c r="X121" s="1313" t="s">
        <v>683</v>
      </c>
      <c r="Y121" s="1313" t="s">
        <v>683</v>
      </c>
      <c r="Z121" s="1313" t="s">
        <v>683</v>
      </c>
      <c r="AA121" s="1313"/>
      <c r="AB121" s="1313"/>
      <c r="AC121" s="1313" t="s">
        <v>683</v>
      </c>
      <c r="AD121" s="1313" t="s">
        <v>683</v>
      </c>
      <c r="AE121" s="1313" t="s">
        <v>683</v>
      </c>
      <c r="AF121" s="1313" t="s">
        <v>683</v>
      </c>
      <c r="AG121" s="1313" t="s">
        <v>683</v>
      </c>
      <c r="AH121" s="504">
        <v>259</v>
      </c>
      <c r="AI121" s="505">
        <v>37</v>
      </c>
    </row>
    <row r="122" spans="1:35" ht="21.95" customHeight="1">
      <c r="A122" s="580"/>
      <c r="B122" s="1299" t="s">
        <v>716</v>
      </c>
      <c r="C122" s="1313"/>
      <c r="D122" s="1313" t="s">
        <v>547</v>
      </c>
      <c r="E122" s="1313" t="s">
        <v>547</v>
      </c>
      <c r="F122" s="1313"/>
      <c r="G122" s="1313"/>
      <c r="H122" s="1372" t="s">
        <v>547</v>
      </c>
      <c r="I122" s="1372" t="s">
        <v>547</v>
      </c>
      <c r="J122" s="1372" t="s">
        <v>547</v>
      </c>
      <c r="K122" s="1372"/>
      <c r="L122" s="1372" t="s">
        <v>547</v>
      </c>
      <c r="M122" s="1372"/>
      <c r="N122" s="1372"/>
      <c r="O122" s="1372" t="s">
        <v>547</v>
      </c>
      <c r="P122" s="1372" t="s">
        <v>547</v>
      </c>
      <c r="Q122" s="1372" t="s">
        <v>547</v>
      </c>
      <c r="R122" s="1372" t="s">
        <v>547</v>
      </c>
      <c r="S122" s="1372" t="s">
        <v>547</v>
      </c>
      <c r="T122" s="1208"/>
      <c r="U122" s="1208"/>
      <c r="V122" s="1208"/>
      <c r="W122" s="1313" t="s">
        <v>547</v>
      </c>
      <c r="X122" s="1313" t="s">
        <v>547</v>
      </c>
      <c r="Y122" s="1313" t="s">
        <v>547</v>
      </c>
      <c r="Z122" s="1313" t="s">
        <v>547</v>
      </c>
      <c r="AA122" s="1313"/>
      <c r="AB122" s="1313"/>
      <c r="AC122" s="1313" t="s">
        <v>547</v>
      </c>
      <c r="AD122" s="1313" t="s">
        <v>547</v>
      </c>
      <c r="AE122" s="1313" t="s">
        <v>547</v>
      </c>
      <c r="AF122" s="1313" t="s">
        <v>547</v>
      </c>
      <c r="AG122" s="1313" t="s">
        <v>547</v>
      </c>
      <c r="AH122" s="504">
        <v>207</v>
      </c>
      <c r="AI122" s="505">
        <v>37</v>
      </c>
    </row>
    <row r="123" spans="1:35" ht="21.95" customHeight="1">
      <c r="A123" s="580"/>
      <c r="B123" s="1300" t="s">
        <v>717</v>
      </c>
      <c r="C123" s="1313"/>
      <c r="D123" s="1313" t="s">
        <v>685</v>
      </c>
      <c r="E123" s="1313" t="s">
        <v>685</v>
      </c>
      <c r="F123" s="1313"/>
      <c r="G123" s="1313"/>
      <c r="H123" s="1313" t="s">
        <v>685</v>
      </c>
      <c r="I123" s="1313" t="s">
        <v>685</v>
      </c>
      <c r="J123" s="1313" t="s">
        <v>685</v>
      </c>
      <c r="K123" s="1313"/>
      <c r="L123" s="1378" t="s">
        <v>685</v>
      </c>
      <c r="M123" s="1313"/>
      <c r="N123" s="1313"/>
      <c r="O123" s="1313" t="s">
        <v>685</v>
      </c>
      <c r="P123" s="1313" t="s">
        <v>685</v>
      </c>
      <c r="Q123" s="1313" t="s">
        <v>685</v>
      </c>
      <c r="R123" s="1313" t="s">
        <v>685</v>
      </c>
      <c r="S123" s="1313" t="s">
        <v>685</v>
      </c>
      <c r="T123" s="1313"/>
      <c r="U123" s="1313"/>
      <c r="V123" s="1313"/>
      <c r="W123" s="1313" t="s">
        <v>685</v>
      </c>
      <c r="X123" s="1313" t="s">
        <v>685</v>
      </c>
      <c r="Y123" s="1313" t="s">
        <v>685</v>
      </c>
      <c r="Z123" s="1313" t="s">
        <v>685</v>
      </c>
      <c r="AA123" s="1313"/>
      <c r="AB123" s="1313"/>
      <c r="AC123" s="1313" t="s">
        <v>685</v>
      </c>
      <c r="AD123" s="1313" t="s">
        <v>685</v>
      </c>
      <c r="AE123" s="1313" t="s">
        <v>685</v>
      </c>
      <c r="AF123" s="1313" t="s">
        <v>685</v>
      </c>
      <c r="AG123" s="1313" t="s">
        <v>685</v>
      </c>
      <c r="AH123" s="504">
        <v>185</v>
      </c>
      <c r="AI123" s="505">
        <v>37</v>
      </c>
    </row>
    <row r="124" spans="1:35" ht="21.95" customHeight="1">
      <c r="A124" s="580"/>
      <c r="B124" s="1299" t="s">
        <v>718</v>
      </c>
      <c r="C124" s="1313"/>
      <c r="D124" s="1313" t="s">
        <v>684</v>
      </c>
      <c r="E124" s="1313" t="s">
        <v>684</v>
      </c>
      <c r="F124" s="1313"/>
      <c r="G124" s="1313"/>
      <c r="H124" s="1313" t="s">
        <v>684</v>
      </c>
      <c r="I124" s="1313" t="s">
        <v>684</v>
      </c>
      <c r="J124" s="1313" t="s">
        <v>684</v>
      </c>
      <c r="K124" s="1313"/>
      <c r="L124" s="1313" t="s">
        <v>684</v>
      </c>
      <c r="M124" s="1313"/>
      <c r="N124" s="1313"/>
      <c r="O124" s="1446" t="s">
        <v>684</v>
      </c>
      <c r="P124" s="1392" t="s">
        <v>514</v>
      </c>
      <c r="Q124" s="1446" t="s">
        <v>684</v>
      </c>
      <c r="R124" s="1446" t="s">
        <v>684</v>
      </c>
      <c r="S124" s="1446" t="s">
        <v>684</v>
      </c>
      <c r="T124" s="1446"/>
      <c r="U124" s="1446"/>
      <c r="V124" s="1446"/>
      <c r="W124" s="1446" t="s">
        <v>684</v>
      </c>
      <c r="X124" s="1446" t="s">
        <v>684</v>
      </c>
      <c r="Y124" s="1446" t="s">
        <v>684</v>
      </c>
      <c r="Z124" s="1446" t="s">
        <v>684</v>
      </c>
      <c r="AA124" s="1446"/>
      <c r="AB124" s="1446"/>
      <c r="AC124" s="1446" t="s">
        <v>684</v>
      </c>
      <c r="AD124" s="1446" t="s">
        <v>684</v>
      </c>
      <c r="AE124" s="1446" t="s">
        <v>684</v>
      </c>
      <c r="AF124" s="1446" t="s">
        <v>684</v>
      </c>
      <c r="AG124" s="1446" t="s">
        <v>684</v>
      </c>
      <c r="AH124" s="504">
        <v>191</v>
      </c>
      <c r="AI124" s="505">
        <v>37</v>
      </c>
    </row>
    <row r="125" spans="1:35" ht="21.95" customHeight="1">
      <c r="A125" s="580"/>
      <c r="B125" s="1300" t="s">
        <v>719</v>
      </c>
      <c r="C125" s="1313"/>
      <c r="D125" s="1313" t="s">
        <v>539</v>
      </c>
      <c r="E125" s="1313" t="s">
        <v>539</v>
      </c>
      <c r="F125" s="1313"/>
      <c r="G125" s="1313"/>
      <c r="H125" s="1313" t="s">
        <v>539</v>
      </c>
      <c r="I125" s="1313" t="s">
        <v>539</v>
      </c>
      <c r="J125" s="1313" t="s">
        <v>539</v>
      </c>
      <c r="K125" s="1313"/>
      <c r="L125" s="1378" t="s">
        <v>539</v>
      </c>
      <c r="M125" s="1313"/>
      <c r="N125" s="1313"/>
      <c r="O125" s="1313" t="s">
        <v>539</v>
      </c>
      <c r="P125" s="1313" t="s">
        <v>539</v>
      </c>
      <c r="Q125" s="1215" t="s">
        <v>514</v>
      </c>
      <c r="R125" s="1313" t="s">
        <v>539</v>
      </c>
      <c r="S125" s="1313" t="s">
        <v>539</v>
      </c>
      <c r="T125" s="1313"/>
      <c r="U125" s="1313"/>
      <c r="V125" s="1313"/>
      <c r="W125" s="1313" t="s">
        <v>539</v>
      </c>
      <c r="X125" s="1313" t="s">
        <v>539</v>
      </c>
      <c r="Y125" s="1313" t="s">
        <v>539</v>
      </c>
      <c r="Z125" s="1313" t="s">
        <v>539</v>
      </c>
      <c r="AA125" s="1313"/>
      <c r="AB125" s="1313"/>
      <c r="AC125" s="1363" t="s">
        <v>539</v>
      </c>
      <c r="AD125" s="1363" t="s">
        <v>539</v>
      </c>
      <c r="AE125" s="1363" t="s">
        <v>539</v>
      </c>
      <c r="AF125" s="1363" t="s">
        <v>539</v>
      </c>
      <c r="AG125" s="1363" t="s">
        <v>539</v>
      </c>
      <c r="AH125" s="504">
        <v>222</v>
      </c>
      <c r="AI125" s="505">
        <v>37</v>
      </c>
    </row>
    <row r="126" spans="1:35" ht="21.95" customHeight="1">
      <c r="A126" s="580"/>
      <c r="B126" s="1299" t="s">
        <v>720</v>
      </c>
      <c r="C126" s="1313"/>
      <c r="D126" s="1313" t="s">
        <v>540</v>
      </c>
      <c r="E126" s="1313" t="s">
        <v>540</v>
      </c>
      <c r="F126" s="1313"/>
      <c r="G126" s="1313"/>
      <c r="H126" s="1313" t="s">
        <v>540</v>
      </c>
      <c r="I126" s="1313" t="s">
        <v>540</v>
      </c>
      <c r="J126" s="1313" t="s">
        <v>540</v>
      </c>
      <c r="K126" s="1313"/>
      <c r="L126" s="1313" t="s">
        <v>540</v>
      </c>
      <c r="M126" s="1313"/>
      <c r="N126" s="1313"/>
      <c r="O126" s="1313" t="s">
        <v>540</v>
      </c>
      <c r="P126" s="1313" t="s">
        <v>540</v>
      </c>
      <c r="Q126" s="1215" t="s">
        <v>514</v>
      </c>
      <c r="R126" s="1313" t="s">
        <v>540</v>
      </c>
      <c r="S126" s="1313" t="s">
        <v>540</v>
      </c>
      <c r="T126" s="1313"/>
      <c r="U126" s="1313"/>
      <c r="V126" s="1313"/>
      <c r="W126" s="1313" t="s">
        <v>540</v>
      </c>
      <c r="X126" s="1313" t="s">
        <v>540</v>
      </c>
      <c r="Y126" s="1313" t="s">
        <v>540</v>
      </c>
      <c r="Z126" s="1313" t="s">
        <v>540</v>
      </c>
      <c r="AA126" s="1313"/>
      <c r="AB126" s="1313"/>
      <c r="AC126" s="1313" t="s">
        <v>540</v>
      </c>
      <c r="AD126" s="1313" t="s">
        <v>540</v>
      </c>
      <c r="AE126" s="1313" t="s">
        <v>540</v>
      </c>
      <c r="AF126" s="1313" t="s">
        <v>540</v>
      </c>
      <c r="AG126" s="1313" t="s">
        <v>540</v>
      </c>
      <c r="AH126" s="504">
        <v>185</v>
      </c>
      <c r="AI126" s="505">
        <v>37</v>
      </c>
    </row>
    <row r="127" spans="1:35" ht="21.95" customHeight="1">
      <c r="A127" s="580"/>
      <c r="B127" s="1299" t="s">
        <v>721</v>
      </c>
      <c r="C127" s="1313"/>
      <c r="D127" s="1313" t="s">
        <v>708</v>
      </c>
      <c r="E127" s="1313" t="s">
        <v>708</v>
      </c>
      <c r="F127" s="1313"/>
      <c r="G127" s="1313"/>
      <c r="H127" s="1313" t="s">
        <v>708</v>
      </c>
      <c r="I127" s="1313" t="s">
        <v>708</v>
      </c>
      <c r="J127" s="1313" t="s">
        <v>708</v>
      </c>
      <c r="K127" s="1313"/>
      <c r="L127" s="1313" t="s">
        <v>708</v>
      </c>
      <c r="M127" s="1313"/>
      <c r="N127" s="1313"/>
      <c r="O127" s="1313" t="s">
        <v>708</v>
      </c>
      <c r="P127" s="1313" t="s">
        <v>708</v>
      </c>
      <c r="Q127" s="1313" t="s">
        <v>708</v>
      </c>
      <c r="R127" s="1313" t="s">
        <v>708</v>
      </c>
      <c r="S127" s="1313" t="s">
        <v>708</v>
      </c>
      <c r="T127" s="1313"/>
      <c r="U127" s="1313"/>
      <c r="V127" s="1313"/>
      <c r="W127" s="1313" t="s">
        <v>708</v>
      </c>
      <c r="X127" s="1313" t="s">
        <v>708</v>
      </c>
      <c r="Y127" s="1313" t="s">
        <v>708</v>
      </c>
      <c r="Z127" s="1313" t="s">
        <v>708</v>
      </c>
      <c r="AA127" s="1313"/>
      <c r="AB127" s="1313"/>
      <c r="AC127" s="1313" t="s">
        <v>708</v>
      </c>
      <c r="AD127" s="1313" t="s">
        <v>708</v>
      </c>
      <c r="AE127" s="1313" t="s">
        <v>708</v>
      </c>
      <c r="AF127" s="1313" t="s">
        <v>708</v>
      </c>
      <c r="AG127" s="1313" t="s">
        <v>708</v>
      </c>
      <c r="AH127" s="504">
        <v>244</v>
      </c>
      <c r="AI127" s="505">
        <v>37</v>
      </c>
    </row>
    <row r="128" spans="1:35" ht="21.95" customHeight="1">
      <c r="A128" s="580"/>
      <c r="B128" s="1299" t="s">
        <v>722</v>
      </c>
      <c r="C128" s="1486"/>
      <c r="D128" s="1486" t="s">
        <v>538</v>
      </c>
      <c r="E128" s="1486" t="s">
        <v>538</v>
      </c>
      <c r="F128" s="1486"/>
      <c r="G128" s="1486"/>
      <c r="H128" s="1486" t="s">
        <v>538</v>
      </c>
      <c r="I128" s="1486" t="s">
        <v>538</v>
      </c>
      <c r="J128" s="1486" t="s">
        <v>538</v>
      </c>
      <c r="K128" s="1486"/>
      <c r="L128" s="1486" t="s">
        <v>538</v>
      </c>
      <c r="M128" s="1486"/>
      <c r="N128" s="1486"/>
      <c r="O128" s="1486" t="s">
        <v>538</v>
      </c>
      <c r="P128" s="1486" t="s">
        <v>538</v>
      </c>
      <c r="Q128" s="1486" t="s">
        <v>538</v>
      </c>
      <c r="R128" s="1486" t="s">
        <v>538</v>
      </c>
      <c r="S128" s="1486" t="s">
        <v>538</v>
      </c>
      <c r="T128" s="1486"/>
      <c r="U128" s="1486"/>
      <c r="V128" s="1486"/>
      <c r="W128" s="1486" t="s">
        <v>538</v>
      </c>
      <c r="X128" s="1486" t="s">
        <v>538</v>
      </c>
      <c r="Y128" s="1486" t="s">
        <v>538</v>
      </c>
      <c r="Z128" s="1486" t="s">
        <v>538</v>
      </c>
      <c r="AA128" s="1486"/>
      <c r="AB128" s="1486"/>
      <c r="AC128" s="1486" t="s">
        <v>538</v>
      </c>
      <c r="AD128" s="1486" t="s">
        <v>538</v>
      </c>
      <c r="AE128" s="1486" t="s">
        <v>538</v>
      </c>
      <c r="AF128" s="1486" t="s">
        <v>538</v>
      </c>
      <c r="AG128" s="1486" t="s">
        <v>538</v>
      </c>
      <c r="AH128" s="504">
        <v>236</v>
      </c>
      <c r="AI128" s="505">
        <v>37</v>
      </c>
    </row>
    <row r="129" spans="1:36" ht="21.95" customHeight="1">
      <c r="A129" s="580"/>
      <c r="B129" s="1299" t="s">
        <v>723</v>
      </c>
      <c r="C129" s="1313"/>
      <c r="D129" s="1313" t="s">
        <v>711</v>
      </c>
      <c r="E129" s="1313" t="s">
        <v>711</v>
      </c>
      <c r="F129" s="1313"/>
      <c r="G129" s="1313"/>
      <c r="H129" s="1313" t="s">
        <v>711</v>
      </c>
      <c r="I129" s="1313" t="s">
        <v>711</v>
      </c>
      <c r="J129" s="1313" t="s">
        <v>711</v>
      </c>
      <c r="K129" s="1313"/>
      <c r="L129" s="1313" t="s">
        <v>711</v>
      </c>
      <c r="M129" s="1313"/>
      <c r="N129" s="1313"/>
      <c r="O129" s="1313" t="s">
        <v>711</v>
      </c>
      <c r="P129" s="1313" t="s">
        <v>711</v>
      </c>
      <c r="Q129" s="1363" t="s">
        <v>711</v>
      </c>
      <c r="R129" s="1313" t="s">
        <v>711</v>
      </c>
      <c r="S129" s="1313" t="s">
        <v>711</v>
      </c>
      <c r="T129" s="1313"/>
      <c r="U129" s="1313"/>
      <c r="V129" s="1313"/>
      <c r="W129" s="1313" t="s">
        <v>711</v>
      </c>
      <c r="X129" s="1313" t="s">
        <v>711</v>
      </c>
      <c r="Y129" s="1313" t="s">
        <v>711</v>
      </c>
      <c r="Z129" s="1313" t="s">
        <v>711</v>
      </c>
      <c r="AA129" s="1313"/>
      <c r="AB129" s="1313"/>
      <c r="AC129" s="1313" t="s">
        <v>711</v>
      </c>
      <c r="AD129" s="1313" t="s">
        <v>711</v>
      </c>
      <c r="AE129" s="1313" t="s">
        <v>711</v>
      </c>
      <c r="AF129" s="1313" t="s">
        <v>711</v>
      </c>
      <c r="AG129" s="1313" t="s">
        <v>711</v>
      </c>
      <c r="AH129" s="504">
        <v>185</v>
      </c>
      <c r="AI129" s="505">
        <v>37</v>
      </c>
    </row>
    <row r="130" spans="1:36" ht="21.95" customHeight="1">
      <c r="A130" s="580"/>
      <c r="B130" s="1299" t="s">
        <v>724</v>
      </c>
      <c r="C130" s="1313"/>
      <c r="D130" s="1313" t="s">
        <v>544</v>
      </c>
      <c r="E130" s="1313" t="s">
        <v>544</v>
      </c>
      <c r="F130" s="1313"/>
      <c r="G130" s="1313"/>
      <c r="H130" s="1313" t="s">
        <v>544</v>
      </c>
      <c r="I130" s="1313" t="s">
        <v>544</v>
      </c>
      <c r="J130" s="1313" t="s">
        <v>544</v>
      </c>
      <c r="K130" s="1313"/>
      <c r="L130" s="1313" t="s">
        <v>544</v>
      </c>
      <c r="M130" s="1313"/>
      <c r="N130" s="1313"/>
      <c r="O130" s="1215" t="s">
        <v>514</v>
      </c>
      <c r="P130" s="1313" t="s">
        <v>544</v>
      </c>
      <c r="Q130" s="1313" t="s">
        <v>544</v>
      </c>
      <c r="R130" s="1313" t="s">
        <v>544</v>
      </c>
      <c r="S130" s="1313" t="s">
        <v>544</v>
      </c>
      <c r="T130" s="1313"/>
      <c r="U130" s="1313"/>
      <c r="V130" s="1313"/>
      <c r="W130" s="1313" t="s">
        <v>544</v>
      </c>
      <c r="X130" s="1313" t="s">
        <v>544</v>
      </c>
      <c r="Y130" s="1313" t="s">
        <v>544</v>
      </c>
      <c r="Z130" s="1313" t="s">
        <v>544</v>
      </c>
      <c r="AA130" s="1313"/>
      <c r="AB130" s="1313"/>
      <c r="AC130" s="1313" t="s">
        <v>544</v>
      </c>
      <c r="AD130" s="1313" t="s">
        <v>544</v>
      </c>
      <c r="AE130" s="1313" t="s">
        <v>544</v>
      </c>
      <c r="AF130" s="1313" t="s">
        <v>544</v>
      </c>
      <c r="AG130" s="1313" t="s">
        <v>544</v>
      </c>
      <c r="AH130" s="504">
        <v>0</v>
      </c>
      <c r="AI130" s="505">
        <v>17</v>
      </c>
    </row>
    <row r="131" spans="1:36" ht="21.95" customHeight="1">
      <c r="A131" s="580"/>
      <c r="B131" s="587"/>
      <c r="C131" s="559"/>
      <c r="D131" s="541"/>
      <c r="E131" s="541"/>
      <c r="F131" s="541"/>
      <c r="G131" s="541"/>
      <c r="H131" s="541"/>
      <c r="I131" s="559"/>
      <c r="J131" s="559"/>
      <c r="K131" s="541"/>
      <c r="L131" s="541"/>
      <c r="M131" s="541"/>
      <c r="N131" s="541"/>
      <c r="O131" s="541"/>
      <c r="P131" s="541"/>
      <c r="Q131" s="559"/>
      <c r="R131" s="541"/>
      <c r="S131" s="541"/>
      <c r="T131" s="541"/>
      <c r="U131" s="541"/>
      <c r="V131" s="541"/>
      <c r="W131" s="559"/>
      <c r="X131" s="559"/>
      <c r="Y131" s="541"/>
      <c r="Z131" s="541"/>
      <c r="AA131" s="541"/>
      <c r="AB131" s="541"/>
      <c r="AC131" s="541"/>
      <c r="AD131" s="541"/>
      <c r="AE131" s="559"/>
      <c r="AF131" s="541"/>
      <c r="AG131" s="541"/>
      <c r="AH131" s="560"/>
      <c r="AI131" s="560"/>
    </row>
    <row r="132" spans="1:36" ht="21.95" customHeight="1">
      <c r="A132" s="312" t="s">
        <v>527</v>
      </c>
      <c r="C132" s="559"/>
      <c r="D132" s="559"/>
      <c r="E132" s="559"/>
      <c r="F132" s="559"/>
      <c r="G132" s="559"/>
      <c r="H132" s="559"/>
      <c r="I132" s="559"/>
      <c r="J132" s="559"/>
      <c r="K132" s="559"/>
      <c r="L132" s="559"/>
      <c r="M132" s="559"/>
      <c r="N132" s="559"/>
      <c r="O132" s="559"/>
      <c r="P132" s="559"/>
      <c r="Q132" s="559"/>
      <c r="R132" s="559"/>
      <c r="S132" s="559"/>
      <c r="T132" s="559"/>
      <c r="U132" s="559"/>
      <c r="V132" s="559"/>
      <c r="W132" s="559"/>
      <c r="X132" s="559"/>
      <c r="Y132" s="559"/>
      <c r="Z132" s="559"/>
      <c r="AA132" s="559"/>
      <c r="AB132" s="559"/>
      <c r="AC132" s="559"/>
      <c r="AD132" s="559"/>
      <c r="AE132" s="559"/>
      <c r="AF132" s="559"/>
      <c r="AG132" s="559"/>
      <c r="AH132" s="560"/>
      <c r="AI132" s="560"/>
      <c r="AJ132" s="361"/>
    </row>
    <row r="133" spans="1:36" ht="21.95" customHeight="1">
      <c r="A133" s="299" t="s">
        <v>528</v>
      </c>
      <c r="B133" s="299"/>
      <c r="C133" s="153"/>
      <c r="D133" s="299" t="s">
        <v>2</v>
      </c>
      <c r="E133" s="186"/>
      <c r="F133" s="153"/>
      <c r="G133" s="299" t="s">
        <v>3</v>
      </c>
      <c r="H133" s="186"/>
      <c r="I133" s="153"/>
      <c r="J133" s="299" t="s">
        <v>4</v>
      </c>
      <c r="K133" s="186"/>
      <c r="L133" s="153"/>
      <c r="M133" s="299" t="s">
        <v>5</v>
      </c>
      <c r="N133" s="186"/>
      <c r="O133" s="153"/>
      <c r="P133" s="299" t="s">
        <v>6</v>
      </c>
      <c r="Q133" s="186"/>
      <c r="R133" s="134"/>
      <c r="S133" s="199" t="s">
        <v>7</v>
      </c>
      <c r="T133" s="186"/>
      <c r="U133" s="153"/>
      <c r="V133" s="299" t="s">
        <v>8</v>
      </c>
      <c r="W133" s="186"/>
      <c r="X133" s="589" t="s">
        <v>10</v>
      </c>
      <c r="Y133" s="186"/>
      <c r="Z133" s="186"/>
      <c r="AA133" s="565"/>
      <c r="AB133" s="483"/>
      <c r="AC133" s="483"/>
      <c r="AD133" s="483"/>
      <c r="AE133" s="483"/>
      <c r="AF133" s="483"/>
      <c r="AG133" s="484"/>
      <c r="AH133" s="361"/>
      <c r="AI133" s="361"/>
      <c r="AJ133" s="361"/>
    </row>
    <row r="134" spans="1:36" ht="21.95" customHeight="1">
      <c r="A134" s="130">
        <v>8517</v>
      </c>
      <c r="B134" s="500" t="s">
        <v>529</v>
      </c>
      <c r="C134" s="588" t="s">
        <v>124</v>
      </c>
      <c r="D134" s="585"/>
      <c r="E134" s="590"/>
      <c r="F134" s="588" t="s">
        <v>124</v>
      </c>
      <c r="G134" s="591"/>
      <c r="H134" s="590"/>
      <c r="I134" s="121" t="s">
        <v>124</v>
      </c>
      <c r="J134" s="569"/>
      <c r="K134" s="592"/>
      <c r="L134" s="121" t="s">
        <v>124</v>
      </c>
      <c r="M134" s="569"/>
      <c r="N134" s="592"/>
      <c r="O134" s="121" t="s">
        <v>125</v>
      </c>
      <c r="P134" s="569"/>
      <c r="Q134" s="477"/>
      <c r="R134" s="593" t="s">
        <v>28</v>
      </c>
      <c r="S134" s="569"/>
      <c r="T134" s="592"/>
      <c r="U134" s="569" t="s">
        <v>28</v>
      </c>
      <c r="V134" s="569"/>
      <c r="W134" s="477"/>
      <c r="X134" s="145" t="s">
        <v>28</v>
      </c>
      <c r="Y134" s="361"/>
      <c r="Z134" s="361"/>
      <c r="AA134" s="361"/>
      <c r="AB134" s="361"/>
      <c r="AC134" s="361"/>
      <c r="AD134" s="361"/>
      <c r="AE134" s="361"/>
      <c r="AF134" s="361"/>
      <c r="AG134" s="594"/>
      <c r="AH134" s="361"/>
      <c r="AI134" s="361"/>
      <c r="AJ134" s="361"/>
    </row>
    <row r="135" spans="1:36" ht="21.95" customHeight="1">
      <c r="A135" s="595">
        <v>8502</v>
      </c>
      <c r="B135" s="596" t="s">
        <v>530</v>
      </c>
      <c r="C135" s="121" t="s">
        <v>11</v>
      </c>
      <c r="D135" s="569"/>
      <c r="E135" s="477"/>
      <c r="F135" s="121" t="s">
        <v>11</v>
      </c>
      <c r="G135" s="569"/>
      <c r="H135" s="592"/>
      <c r="I135" s="121" t="s">
        <v>11</v>
      </c>
      <c r="J135" s="569"/>
      <c r="K135" s="592"/>
      <c r="L135" s="121" t="s">
        <v>11</v>
      </c>
      <c r="M135" s="569"/>
      <c r="N135" s="592"/>
      <c r="O135" s="121" t="s">
        <v>12</v>
      </c>
      <c r="P135" s="569"/>
      <c r="Q135" s="477"/>
      <c r="R135" s="597"/>
      <c r="S135" s="598"/>
      <c r="T135" s="592"/>
      <c r="U135" s="569"/>
      <c r="V135" s="569"/>
      <c r="W135" s="477"/>
      <c r="X135" s="476"/>
      <c r="Y135" s="483"/>
      <c r="Z135" s="483"/>
      <c r="AA135" s="483"/>
      <c r="AB135" s="483"/>
      <c r="AC135" s="483"/>
      <c r="AD135" s="483"/>
      <c r="AE135" s="483"/>
      <c r="AF135" s="483"/>
      <c r="AG135" s="484"/>
      <c r="AH135" s="361"/>
      <c r="AI135" s="361"/>
      <c r="AJ135" s="361"/>
    </row>
    <row r="136" spans="1:36" ht="21.95" customHeight="1" thickBot="1">
      <c r="A136" s="274"/>
      <c r="B136" s="519"/>
      <c r="C136" s="354"/>
      <c r="D136" s="354"/>
      <c r="E136" s="73"/>
      <c r="F136" s="354"/>
      <c r="G136" s="354"/>
      <c r="H136" s="73"/>
      <c r="I136" s="354"/>
      <c r="J136" s="354"/>
      <c r="K136" s="73"/>
      <c r="L136" s="354"/>
      <c r="M136" s="354"/>
      <c r="N136" s="73"/>
      <c r="O136" s="354"/>
      <c r="P136" s="354"/>
      <c r="Q136" s="73"/>
      <c r="R136" s="168"/>
      <c r="S136" s="354"/>
      <c r="T136" s="73"/>
      <c r="U136" s="354"/>
      <c r="V136" s="354"/>
      <c r="W136" s="73"/>
      <c r="X136" s="73"/>
      <c r="Y136" s="361"/>
      <c r="Z136" s="361"/>
      <c r="AA136" s="361"/>
      <c r="AB136" s="361"/>
      <c r="AC136" s="361"/>
      <c r="AD136" s="361"/>
      <c r="AE136" s="361"/>
      <c r="AF136" s="361"/>
      <c r="AG136" s="361"/>
      <c r="AH136" s="361"/>
      <c r="AI136" s="361"/>
    </row>
    <row r="137" spans="1:36" ht="21.95" customHeight="1" thickBot="1">
      <c r="A137" s="599"/>
      <c r="B137" s="182" t="s">
        <v>480</v>
      </c>
      <c r="C137" s="1235">
        <v>1</v>
      </c>
      <c r="D137" s="1234">
        <v>2</v>
      </c>
      <c r="E137" s="1234">
        <v>3</v>
      </c>
      <c r="F137" s="1235">
        <v>4</v>
      </c>
      <c r="G137" s="1235">
        <v>5</v>
      </c>
      <c r="H137" s="1234">
        <v>6</v>
      </c>
      <c r="I137" s="1213">
        <v>7</v>
      </c>
      <c r="J137" s="1213">
        <v>8</v>
      </c>
      <c r="K137" s="1235">
        <v>9</v>
      </c>
      <c r="L137" s="1234">
        <v>10</v>
      </c>
      <c r="M137" s="1235">
        <v>11</v>
      </c>
      <c r="N137" s="1235">
        <v>12</v>
      </c>
      <c r="O137" s="1234">
        <v>13</v>
      </c>
      <c r="P137" s="1213">
        <v>14</v>
      </c>
      <c r="Q137" s="1213">
        <v>15</v>
      </c>
      <c r="R137" s="1234">
        <v>16</v>
      </c>
      <c r="S137" s="1234">
        <v>17</v>
      </c>
      <c r="T137" s="1235">
        <v>18</v>
      </c>
      <c r="U137" s="1235">
        <v>19</v>
      </c>
      <c r="V137" s="1330">
        <v>20</v>
      </c>
      <c r="W137" s="1213">
        <v>21</v>
      </c>
      <c r="X137" s="1213">
        <v>22</v>
      </c>
      <c r="Y137" s="1234">
        <v>23</v>
      </c>
      <c r="Z137" s="1234">
        <v>24</v>
      </c>
      <c r="AA137" s="1235">
        <v>25</v>
      </c>
      <c r="AB137" s="1235">
        <v>26</v>
      </c>
      <c r="AC137" s="1234">
        <v>27</v>
      </c>
      <c r="AD137" s="1213">
        <v>28</v>
      </c>
      <c r="AE137" s="1213">
        <v>29</v>
      </c>
      <c r="AF137" s="1234">
        <v>30</v>
      </c>
      <c r="AG137" s="1234">
        <v>31</v>
      </c>
      <c r="AH137" s="600" t="s">
        <v>481</v>
      </c>
      <c r="AI137" s="601" t="s">
        <v>482</v>
      </c>
    </row>
    <row r="138" spans="1:36" ht="21.95" customHeight="1">
      <c r="A138" s="602">
        <v>1</v>
      </c>
      <c r="B138" s="153" t="s">
        <v>531</v>
      </c>
      <c r="C138" s="1344" t="s">
        <v>487</v>
      </c>
      <c r="D138" s="1344" t="s">
        <v>487</v>
      </c>
      <c r="E138" s="1344" t="s">
        <v>487</v>
      </c>
      <c r="F138" s="1344"/>
      <c r="G138" s="1344"/>
      <c r="H138" s="1392" t="s">
        <v>514</v>
      </c>
      <c r="I138" s="1392" t="s">
        <v>514</v>
      </c>
      <c r="J138" s="1392" t="s">
        <v>514</v>
      </c>
      <c r="K138" s="1392" t="s">
        <v>487</v>
      </c>
      <c r="L138" s="1392" t="s">
        <v>514</v>
      </c>
      <c r="M138" s="1215"/>
      <c r="N138" s="1215"/>
      <c r="O138" s="1392">
        <v>6</v>
      </c>
      <c r="P138" s="1392">
        <v>6</v>
      </c>
      <c r="Q138" s="1392">
        <v>6</v>
      </c>
      <c r="R138" s="1392">
        <v>6</v>
      </c>
      <c r="S138" s="1392">
        <v>6</v>
      </c>
      <c r="T138" s="1392" t="s">
        <v>532</v>
      </c>
      <c r="U138" s="1392" t="s">
        <v>533</v>
      </c>
      <c r="V138" s="1392" t="s">
        <v>487</v>
      </c>
      <c r="W138" s="1392" t="s">
        <v>487</v>
      </c>
      <c r="X138" s="1392" t="s">
        <v>487</v>
      </c>
      <c r="Y138" s="1392" t="s">
        <v>487</v>
      </c>
      <c r="Z138" s="1392" t="s">
        <v>487</v>
      </c>
      <c r="AA138" s="1392"/>
      <c r="AB138" s="1392"/>
      <c r="AC138" s="1392">
        <v>5</v>
      </c>
      <c r="AD138" s="1392">
        <v>5</v>
      </c>
      <c r="AE138" s="1392">
        <v>5</v>
      </c>
      <c r="AF138" s="1392">
        <v>5</v>
      </c>
      <c r="AG138" s="1392">
        <v>5</v>
      </c>
      <c r="AH138" s="1320">
        <v>185</v>
      </c>
      <c r="AI138" s="1321">
        <v>37</v>
      </c>
    </row>
    <row r="139" spans="1:36" ht="21.95" customHeight="1">
      <c r="A139" s="602">
        <v>2</v>
      </c>
      <c r="B139" s="153" t="s">
        <v>534</v>
      </c>
      <c r="C139" s="1342"/>
      <c r="D139" s="1342" t="s">
        <v>535</v>
      </c>
      <c r="E139" s="1342" t="s">
        <v>535</v>
      </c>
      <c r="F139" s="1342"/>
      <c r="G139" s="1342"/>
      <c r="H139" s="1215">
        <v>6</v>
      </c>
      <c r="I139" s="1215">
        <v>6</v>
      </c>
      <c r="J139" s="1215">
        <v>6</v>
      </c>
      <c r="K139" s="1215">
        <v>6</v>
      </c>
      <c r="L139" s="1215" t="s">
        <v>487</v>
      </c>
      <c r="M139" s="1215"/>
      <c r="N139" s="1215"/>
      <c r="O139" s="1215">
        <v>9</v>
      </c>
      <c r="P139" s="1215">
        <v>9</v>
      </c>
      <c r="Q139" s="1215">
        <v>9</v>
      </c>
      <c r="R139" s="1215" t="s">
        <v>487</v>
      </c>
      <c r="S139" s="1215" t="s">
        <v>485</v>
      </c>
      <c r="T139" s="1215"/>
      <c r="U139" s="1215"/>
      <c r="V139" s="1215"/>
      <c r="W139" s="1215">
        <v>2</v>
      </c>
      <c r="X139" s="1215">
        <v>2</v>
      </c>
      <c r="Y139" s="1215" t="s">
        <v>487</v>
      </c>
      <c r="Z139" s="1215" t="s">
        <v>487</v>
      </c>
      <c r="AA139" s="1215"/>
      <c r="AB139" s="1215"/>
      <c r="AC139" s="1215">
        <v>4</v>
      </c>
      <c r="AD139" s="1215">
        <v>4</v>
      </c>
      <c r="AE139" s="1215">
        <v>3</v>
      </c>
      <c r="AF139" s="1215">
        <v>3</v>
      </c>
      <c r="AG139" s="1215">
        <v>3</v>
      </c>
      <c r="AH139" s="1322">
        <v>3</v>
      </c>
      <c r="AI139" s="1323">
        <v>37</v>
      </c>
    </row>
    <row r="140" spans="1:36" ht="21.95" customHeight="1">
      <c r="A140" s="602">
        <v>3</v>
      </c>
      <c r="B140" s="153" t="s">
        <v>536</v>
      </c>
      <c r="C140" s="1215"/>
      <c r="D140" s="1215" t="s">
        <v>537</v>
      </c>
      <c r="E140" s="1215" t="s">
        <v>537</v>
      </c>
      <c r="F140" s="1215"/>
      <c r="G140" s="1215" t="s">
        <v>486</v>
      </c>
      <c r="H140" s="1215" t="s">
        <v>537</v>
      </c>
      <c r="I140" s="1215" t="s">
        <v>538</v>
      </c>
      <c r="J140" s="1390" t="s">
        <v>537</v>
      </c>
      <c r="K140" s="1215"/>
      <c r="L140" s="1344" t="s">
        <v>539</v>
      </c>
      <c r="M140" s="1215"/>
      <c r="N140" s="1215"/>
      <c r="O140" s="1215">
        <v>4</v>
      </c>
      <c r="P140" s="1215" t="s">
        <v>538</v>
      </c>
      <c r="Q140" s="1215" t="s">
        <v>540</v>
      </c>
      <c r="R140" s="1215">
        <v>6</v>
      </c>
      <c r="S140" s="1215">
        <v>6</v>
      </c>
      <c r="T140" s="1215" t="s">
        <v>532</v>
      </c>
      <c r="U140" s="1215" t="s">
        <v>533</v>
      </c>
      <c r="V140" s="1215"/>
      <c r="W140" s="1392" t="s">
        <v>541</v>
      </c>
      <c r="X140" s="1393" t="s">
        <v>537</v>
      </c>
      <c r="Y140" s="1215" t="s">
        <v>537</v>
      </c>
      <c r="Z140" s="1215" t="s">
        <v>537</v>
      </c>
      <c r="AA140" s="1215"/>
      <c r="AB140" s="1215"/>
      <c r="AC140" s="1344">
        <v>3</v>
      </c>
      <c r="AD140" s="1344">
        <v>3</v>
      </c>
      <c r="AE140" s="1215">
        <v>3</v>
      </c>
      <c r="AF140" s="1215">
        <v>3</v>
      </c>
      <c r="AG140" s="1215">
        <v>3</v>
      </c>
      <c r="AH140" s="1322">
        <v>255</v>
      </c>
      <c r="AI140" s="1323">
        <v>37</v>
      </c>
    </row>
    <row r="141" spans="1:36" ht="21.95" customHeight="1">
      <c r="A141" s="602">
        <v>4</v>
      </c>
      <c r="B141" s="1241" t="s">
        <v>542</v>
      </c>
      <c r="C141" s="1215">
        <v>9</v>
      </c>
      <c r="D141" s="1215">
        <v>9</v>
      </c>
      <c r="E141" s="1215">
        <v>9</v>
      </c>
      <c r="F141" s="1215" t="s">
        <v>543</v>
      </c>
      <c r="G141" s="1215" t="s">
        <v>543</v>
      </c>
      <c r="H141" s="1215" t="s">
        <v>487</v>
      </c>
      <c r="I141" s="1215" t="s">
        <v>487</v>
      </c>
      <c r="J141" s="1215">
        <v>4</v>
      </c>
      <c r="K141" s="1215">
        <v>4</v>
      </c>
      <c r="L141" s="1215">
        <v>4</v>
      </c>
      <c r="M141" s="1215"/>
      <c r="N141" s="1215"/>
      <c r="O141" s="1215" t="s">
        <v>544</v>
      </c>
      <c r="P141" s="1215" t="s">
        <v>484</v>
      </c>
      <c r="Q141" s="1215">
        <v>3</v>
      </c>
      <c r="R141" s="1215" t="s">
        <v>537</v>
      </c>
      <c r="S141" s="1215" t="s">
        <v>537</v>
      </c>
      <c r="T141" s="1215"/>
      <c r="U141" s="1215"/>
      <c r="V141" s="1215"/>
      <c r="W141" s="1215" t="s">
        <v>537</v>
      </c>
      <c r="X141" s="1215" t="s">
        <v>537</v>
      </c>
      <c r="Y141" s="1215">
        <v>6</v>
      </c>
      <c r="Z141" s="1215">
        <v>6</v>
      </c>
      <c r="AA141" s="1215"/>
      <c r="AB141" s="1215"/>
      <c r="AC141" s="1215">
        <v>6</v>
      </c>
      <c r="AD141" s="1215">
        <v>6</v>
      </c>
      <c r="AE141" s="1215" t="s">
        <v>537</v>
      </c>
      <c r="AF141" s="1215" t="s">
        <v>537</v>
      </c>
      <c r="AG141" s="1215" t="s">
        <v>537</v>
      </c>
      <c r="AH141" s="1322">
        <v>185</v>
      </c>
      <c r="AI141" s="1323">
        <v>37</v>
      </c>
    </row>
    <row r="142" spans="1:36" ht="21.95" customHeight="1">
      <c r="A142" s="602">
        <v>5</v>
      </c>
      <c r="B142" s="319" t="s">
        <v>545</v>
      </c>
      <c r="C142" s="1215"/>
      <c r="D142" s="1215">
        <v>2</v>
      </c>
      <c r="E142" s="1215">
        <v>2</v>
      </c>
      <c r="F142" s="1215">
        <v>1</v>
      </c>
      <c r="G142" s="1215"/>
      <c r="H142" s="1215" t="s">
        <v>484</v>
      </c>
      <c r="I142" s="1215" t="s">
        <v>484</v>
      </c>
      <c r="J142" s="1215" t="s">
        <v>484</v>
      </c>
      <c r="K142" s="1215" t="s">
        <v>485</v>
      </c>
      <c r="L142" s="1215" t="s">
        <v>485</v>
      </c>
      <c r="M142" s="1215" t="s">
        <v>486</v>
      </c>
      <c r="N142" s="1215" t="s">
        <v>486</v>
      </c>
      <c r="O142" s="1215" t="s">
        <v>487</v>
      </c>
      <c r="P142" s="1215" t="s">
        <v>487</v>
      </c>
      <c r="Q142" s="1215" t="s">
        <v>487</v>
      </c>
      <c r="R142" s="1215" t="s">
        <v>487</v>
      </c>
      <c r="S142" s="1215" t="s">
        <v>487</v>
      </c>
      <c r="T142" s="1215"/>
      <c r="U142" s="1215"/>
      <c r="V142" s="1215" t="s">
        <v>28</v>
      </c>
      <c r="W142" s="1215" t="s">
        <v>485</v>
      </c>
      <c r="X142" s="1215" t="s">
        <v>485</v>
      </c>
      <c r="Y142" s="1215" t="s">
        <v>484</v>
      </c>
      <c r="Z142" s="1215" t="s">
        <v>484</v>
      </c>
      <c r="AA142" s="1215"/>
      <c r="AB142" s="1215"/>
      <c r="AC142" s="1215">
        <v>3</v>
      </c>
      <c r="AD142" s="1215">
        <v>3</v>
      </c>
      <c r="AE142" s="1215" t="s">
        <v>484</v>
      </c>
      <c r="AF142" s="1215" t="s">
        <v>485</v>
      </c>
      <c r="AG142" s="1215" t="s">
        <v>485</v>
      </c>
      <c r="AH142" s="1324">
        <v>185</v>
      </c>
      <c r="AI142" s="1325">
        <v>37</v>
      </c>
    </row>
    <row r="143" spans="1:36" ht="21.95" customHeight="1">
      <c r="A143" s="602">
        <v>6</v>
      </c>
      <c r="B143" s="153" t="s">
        <v>546</v>
      </c>
      <c r="C143" s="1215"/>
      <c r="D143" s="1215" t="s">
        <v>537</v>
      </c>
      <c r="E143" s="1215" t="s">
        <v>537</v>
      </c>
      <c r="F143" s="1215"/>
      <c r="G143" s="1215"/>
      <c r="H143" s="1215" t="s">
        <v>547</v>
      </c>
      <c r="I143" s="1215" t="s">
        <v>547</v>
      </c>
      <c r="J143" s="1215" t="s">
        <v>547</v>
      </c>
      <c r="K143" s="1215"/>
      <c r="L143" s="1215" t="s">
        <v>547</v>
      </c>
      <c r="M143" s="1215"/>
      <c r="N143" s="1215"/>
      <c r="O143" s="1215" t="s">
        <v>547</v>
      </c>
      <c r="P143" s="1215" t="s">
        <v>547</v>
      </c>
      <c r="Q143" s="1215" t="s">
        <v>547</v>
      </c>
      <c r="R143" s="1215" t="s">
        <v>547</v>
      </c>
      <c r="S143" s="1215" t="s">
        <v>547</v>
      </c>
      <c r="T143" s="1215"/>
      <c r="U143" s="1215"/>
      <c r="V143" s="1215" t="s">
        <v>484</v>
      </c>
      <c r="W143" s="1215" t="s">
        <v>484</v>
      </c>
      <c r="X143" s="1215" t="s">
        <v>484</v>
      </c>
      <c r="Y143" s="1215" t="s">
        <v>485</v>
      </c>
      <c r="Z143" s="1215" t="s">
        <v>485</v>
      </c>
      <c r="AA143" s="1215" t="s">
        <v>486</v>
      </c>
      <c r="AB143" s="1215"/>
      <c r="AC143" s="1215" t="s">
        <v>548</v>
      </c>
      <c r="AD143" s="1215" t="s">
        <v>548</v>
      </c>
      <c r="AE143" s="1215" t="s">
        <v>487</v>
      </c>
      <c r="AF143" s="1215" t="s">
        <v>487</v>
      </c>
      <c r="AG143" s="1215" t="s">
        <v>487</v>
      </c>
      <c r="AH143" s="1326">
        <v>185</v>
      </c>
      <c r="AI143" s="1327">
        <v>37</v>
      </c>
    </row>
    <row r="144" spans="1:36" ht="21.95" customHeight="1">
      <c r="A144" s="602">
        <v>7</v>
      </c>
      <c r="B144" s="319" t="s">
        <v>549</v>
      </c>
      <c r="C144" s="1215"/>
      <c r="D144" s="1215" t="s">
        <v>487</v>
      </c>
      <c r="E144" s="1215" t="s">
        <v>487</v>
      </c>
      <c r="F144" s="1215"/>
      <c r="G144" s="1215" t="s">
        <v>533</v>
      </c>
      <c r="H144" s="1215" t="s">
        <v>487</v>
      </c>
      <c r="I144" s="1215" t="s">
        <v>487</v>
      </c>
      <c r="J144" s="1215" t="s">
        <v>487</v>
      </c>
      <c r="K144" s="1215"/>
      <c r="L144" s="1215" t="s">
        <v>487</v>
      </c>
      <c r="M144" s="1215"/>
      <c r="N144" s="1215"/>
      <c r="O144" s="1344" t="s">
        <v>550</v>
      </c>
      <c r="P144" s="1393" t="s">
        <v>550</v>
      </c>
      <c r="Q144" s="1335" t="s">
        <v>535</v>
      </c>
      <c r="R144" s="1335" t="s">
        <v>535</v>
      </c>
      <c r="S144" s="1335" t="s">
        <v>535</v>
      </c>
      <c r="T144" s="1215"/>
      <c r="U144" s="1215"/>
      <c r="V144" s="1215"/>
      <c r="W144" s="1335" t="s">
        <v>535</v>
      </c>
      <c r="X144" s="1335" t="s">
        <v>535</v>
      </c>
      <c r="Y144" s="1335" t="s">
        <v>535</v>
      </c>
      <c r="Z144" s="1335" t="s">
        <v>535</v>
      </c>
      <c r="AA144" s="1215"/>
      <c r="AB144" s="1215"/>
      <c r="AC144" s="1338" t="s">
        <v>535</v>
      </c>
      <c r="AD144" s="1338" t="s">
        <v>535</v>
      </c>
      <c r="AE144" s="1338" t="s">
        <v>535</v>
      </c>
      <c r="AF144" s="1338" t="s">
        <v>535</v>
      </c>
      <c r="AG144" s="1338" t="s">
        <v>535</v>
      </c>
      <c r="AH144" s="1326">
        <v>185</v>
      </c>
      <c r="AI144" s="1327">
        <v>37</v>
      </c>
    </row>
    <row r="145" spans="1:35" ht="21.95" customHeight="1">
      <c r="A145" s="602">
        <v>8</v>
      </c>
      <c r="B145" s="319"/>
      <c r="C145" s="1215"/>
      <c r="D145" s="1215"/>
      <c r="E145" s="1215"/>
      <c r="F145" s="1215"/>
      <c r="G145" s="1215"/>
      <c r="H145" s="1215"/>
      <c r="I145" s="1215"/>
      <c r="J145" s="1215"/>
      <c r="K145" s="1215"/>
      <c r="L145" s="1215"/>
      <c r="M145" s="1215"/>
      <c r="N145" s="1215"/>
      <c r="O145" s="1215"/>
      <c r="P145" s="1215"/>
      <c r="Q145" s="1215"/>
      <c r="R145" s="1215"/>
      <c r="S145" s="1215"/>
      <c r="T145" s="1215"/>
      <c r="U145" s="1215"/>
      <c r="V145" s="1215"/>
      <c r="W145" s="1215"/>
      <c r="X145" s="1215"/>
      <c r="Y145" s="1215"/>
      <c r="Z145" s="1215"/>
      <c r="AA145" s="1215"/>
      <c r="AB145" s="1215"/>
      <c r="AC145" s="1215"/>
      <c r="AD145" s="1215"/>
      <c r="AE145" s="1215"/>
      <c r="AF145" s="1215"/>
      <c r="AG145" s="1215"/>
      <c r="AH145" s="1326"/>
      <c r="AI145" s="1327"/>
    </row>
    <row r="146" spans="1:35" ht="21.95" customHeight="1">
      <c r="A146" s="602">
        <v>9</v>
      </c>
      <c r="B146" s="902"/>
      <c r="C146" s="1215"/>
      <c r="D146" s="1215"/>
      <c r="E146" s="1215"/>
      <c r="F146" s="1215"/>
      <c r="G146" s="1215"/>
      <c r="H146" s="1215"/>
      <c r="I146" s="1215"/>
      <c r="J146" s="1215"/>
      <c r="K146" s="1215"/>
      <c r="L146" s="1215"/>
      <c r="M146" s="1215"/>
      <c r="N146" s="1215"/>
      <c r="O146" s="1215"/>
      <c r="P146" s="1215"/>
      <c r="Q146" s="1215"/>
      <c r="R146" s="1215"/>
      <c r="S146" s="1215"/>
      <c r="T146" s="1215"/>
      <c r="U146" s="1215"/>
      <c r="V146" s="1215"/>
      <c r="W146" s="1215"/>
      <c r="X146" s="1215"/>
      <c r="Y146" s="1215"/>
      <c r="Z146" s="1215"/>
      <c r="AA146" s="1215"/>
      <c r="AB146" s="1215"/>
      <c r="AC146" s="1215"/>
      <c r="AD146" s="1215"/>
      <c r="AE146" s="1215"/>
      <c r="AF146" s="1215"/>
      <c r="AG146" s="1215"/>
      <c r="AH146" s="1326"/>
      <c r="AI146" s="1327"/>
    </row>
    <row r="147" spans="1:35" ht="21.95" customHeight="1">
      <c r="A147" s="602">
        <v>10</v>
      </c>
      <c r="B147" s="153"/>
      <c r="C147" s="1215"/>
      <c r="D147" s="1215"/>
      <c r="E147" s="1215"/>
      <c r="F147" s="1215"/>
      <c r="G147" s="1215"/>
      <c r="H147" s="1215"/>
      <c r="I147" s="1215"/>
      <c r="J147" s="1215"/>
      <c r="K147" s="1215"/>
      <c r="L147" s="1215"/>
      <c r="M147" s="1215"/>
      <c r="N147" s="1215"/>
      <c r="O147" s="1215"/>
      <c r="P147" s="1215"/>
      <c r="Q147" s="1215"/>
      <c r="R147" s="1215"/>
      <c r="S147" s="1215"/>
      <c r="T147" s="1215"/>
      <c r="U147" s="1215"/>
      <c r="V147" s="1215"/>
      <c r="W147" s="1215"/>
      <c r="X147" s="1215"/>
      <c r="Y147" s="1215"/>
      <c r="Z147" s="1215"/>
      <c r="AA147" s="1215"/>
      <c r="AB147" s="1215"/>
      <c r="AC147" s="1215"/>
      <c r="AD147" s="1215"/>
      <c r="AE147" s="1215"/>
      <c r="AF147" s="1215"/>
      <c r="AG147" s="1215"/>
      <c r="AH147" s="1326"/>
      <c r="AI147" s="1327"/>
    </row>
    <row r="148" spans="1:35" ht="21.95" customHeight="1">
      <c r="A148" s="602">
        <v>11</v>
      </c>
      <c r="B148" s="153"/>
      <c r="C148" s="1213"/>
      <c r="D148" s="1213"/>
      <c r="E148" s="1213"/>
      <c r="F148" s="1213"/>
      <c r="G148" s="1213"/>
      <c r="H148" s="1213"/>
      <c r="I148" s="1213"/>
      <c r="J148" s="1213"/>
      <c r="K148" s="1213"/>
      <c r="L148" s="1213"/>
      <c r="M148" s="1213"/>
      <c r="N148" s="1213"/>
      <c r="O148" s="1213"/>
      <c r="P148" s="1213"/>
      <c r="Q148" s="1213"/>
      <c r="R148" s="1213"/>
      <c r="S148" s="1213"/>
      <c r="T148" s="1213"/>
      <c r="U148" s="1213"/>
      <c r="V148" s="1213"/>
      <c r="W148" s="1215"/>
      <c r="X148" s="1213"/>
      <c r="Y148" s="1213"/>
      <c r="Z148" s="1213"/>
      <c r="AA148" s="1213"/>
      <c r="AB148" s="1213"/>
      <c r="AC148" s="1213"/>
      <c r="AD148" s="1213"/>
      <c r="AE148" s="1213"/>
      <c r="AF148" s="1213"/>
      <c r="AG148" s="1230"/>
      <c r="AH148" s="1326"/>
      <c r="AI148" s="1327"/>
    </row>
    <row r="149" spans="1:35" ht="21.95" customHeight="1" thickBot="1">
      <c r="A149" s="602">
        <v>12</v>
      </c>
      <c r="B149" s="153"/>
      <c r="C149" s="1213"/>
      <c r="D149" s="1213"/>
      <c r="E149" s="1213"/>
      <c r="F149" s="1213"/>
      <c r="G149" s="1213"/>
      <c r="H149" s="1213"/>
      <c r="I149" s="1213"/>
      <c r="J149" s="1213"/>
      <c r="K149" s="1213"/>
      <c r="L149" s="1213"/>
      <c r="M149" s="1213"/>
      <c r="N149" s="1213"/>
      <c r="O149" s="1213"/>
      <c r="P149" s="1213"/>
      <c r="Q149" s="1213"/>
      <c r="R149" s="1213"/>
      <c r="S149" s="1213"/>
      <c r="T149" s="1213"/>
      <c r="U149" s="1213"/>
      <c r="V149" s="1213"/>
      <c r="W149" s="1215"/>
      <c r="X149" s="1213"/>
      <c r="Y149" s="1213"/>
      <c r="Z149" s="1213"/>
      <c r="AA149" s="1213"/>
      <c r="AB149" s="1213"/>
      <c r="AC149" s="1213"/>
      <c r="AD149" s="1213"/>
      <c r="AE149" s="1213"/>
      <c r="AF149" s="1213"/>
      <c r="AG149" s="1230"/>
      <c r="AH149" s="1328"/>
      <c r="AI149" s="1329"/>
    </row>
    <row r="150" spans="1:35" ht="21" customHeight="1">
      <c r="A150" s="312" t="s">
        <v>551</v>
      </c>
    </row>
    <row r="151" spans="1:35" ht="21" customHeight="1">
      <c r="A151" s="556"/>
      <c r="B151" s="297" t="s">
        <v>480</v>
      </c>
      <c r="C151" s="1235">
        <v>1</v>
      </c>
      <c r="D151" s="1234">
        <v>2</v>
      </c>
      <c r="E151" s="1234">
        <v>3</v>
      </c>
      <c r="F151" s="1235">
        <v>4</v>
      </c>
      <c r="G151" s="1235">
        <v>5</v>
      </c>
      <c r="H151" s="1234">
        <v>6</v>
      </c>
      <c r="I151" s="1213">
        <v>7</v>
      </c>
      <c r="J151" s="1213">
        <v>8</v>
      </c>
      <c r="K151" s="1235">
        <v>9</v>
      </c>
      <c r="L151" s="1234">
        <v>10</v>
      </c>
      <c r="M151" s="1235">
        <v>11</v>
      </c>
      <c r="N151" s="1235">
        <v>12</v>
      </c>
      <c r="O151" s="1234">
        <v>13</v>
      </c>
      <c r="P151" s="1213">
        <v>14</v>
      </c>
      <c r="Q151" s="1213">
        <v>15</v>
      </c>
      <c r="R151" s="1234">
        <v>16</v>
      </c>
      <c r="S151" s="1234">
        <v>17</v>
      </c>
      <c r="T151" s="1235">
        <v>18</v>
      </c>
      <c r="U151" s="1235">
        <v>19</v>
      </c>
      <c r="V151" s="1330">
        <v>20</v>
      </c>
      <c r="W151" s="1213">
        <v>21</v>
      </c>
      <c r="X151" s="1213">
        <v>22</v>
      </c>
      <c r="Y151" s="1234">
        <v>23</v>
      </c>
      <c r="Z151" s="1234">
        <v>24</v>
      </c>
      <c r="AA151" s="1235">
        <v>25</v>
      </c>
      <c r="AB151" s="1235">
        <v>26</v>
      </c>
      <c r="AC151" s="1234">
        <v>27</v>
      </c>
      <c r="AD151" s="1213">
        <v>28</v>
      </c>
      <c r="AE151" s="1213">
        <v>29</v>
      </c>
      <c r="AF151" s="1234">
        <v>30</v>
      </c>
      <c r="AG151" s="1234">
        <v>31</v>
      </c>
      <c r="AH151" s="606"/>
    </row>
    <row r="152" spans="1:35" ht="21" customHeight="1">
      <c r="A152" s="556">
        <v>1</v>
      </c>
      <c r="B152" s="319" t="s">
        <v>552</v>
      </c>
      <c r="C152" s="1215"/>
      <c r="D152" s="1215" t="s">
        <v>514</v>
      </c>
      <c r="E152" s="1215" t="s">
        <v>514</v>
      </c>
      <c r="F152" s="1215"/>
      <c r="G152" s="1215"/>
      <c r="H152" s="1215" t="s">
        <v>535</v>
      </c>
      <c r="I152" s="1215" t="s">
        <v>535</v>
      </c>
      <c r="J152" s="1215" t="s">
        <v>514</v>
      </c>
      <c r="K152" s="1215"/>
      <c r="L152" s="1215" t="s">
        <v>514</v>
      </c>
      <c r="M152" s="1215"/>
      <c r="N152" s="1215"/>
      <c r="O152" s="1215" t="s">
        <v>535</v>
      </c>
      <c r="P152" s="1215" t="s">
        <v>535</v>
      </c>
      <c r="Q152" s="1215" t="s">
        <v>535</v>
      </c>
      <c r="R152" s="1215" t="s">
        <v>535</v>
      </c>
      <c r="S152" s="1215" t="s">
        <v>514</v>
      </c>
      <c r="T152" s="1215"/>
      <c r="U152" s="1215"/>
      <c r="V152" s="1215"/>
      <c r="W152" s="1215" t="s">
        <v>535</v>
      </c>
      <c r="X152" s="1215" t="s">
        <v>535</v>
      </c>
      <c r="Y152" s="1215" t="s">
        <v>535</v>
      </c>
      <c r="Z152" s="1215" t="s">
        <v>514</v>
      </c>
      <c r="AA152" s="1215"/>
      <c r="AB152" s="1215"/>
      <c r="AC152" s="1390" t="s">
        <v>537</v>
      </c>
      <c r="AD152" s="1390" t="s">
        <v>537</v>
      </c>
      <c r="AE152" s="1390" t="s">
        <v>537</v>
      </c>
      <c r="AF152" s="1390" t="s">
        <v>537</v>
      </c>
      <c r="AG152" s="1390" t="s">
        <v>537</v>
      </c>
      <c r="AH152" s="606"/>
    </row>
    <row r="153" spans="1:35" ht="21" customHeight="1">
      <c r="A153" s="556">
        <v>2</v>
      </c>
      <c r="B153" s="545" t="s">
        <v>553</v>
      </c>
      <c r="C153" s="1215"/>
      <c r="D153" s="1215" t="s">
        <v>514</v>
      </c>
      <c r="E153" s="1215" t="s">
        <v>514</v>
      </c>
      <c r="F153" s="1215"/>
      <c r="G153" s="1215"/>
      <c r="H153" s="1344"/>
      <c r="I153" s="1344"/>
      <c r="J153" s="1344"/>
      <c r="K153" s="1344"/>
      <c r="L153" s="1344"/>
      <c r="M153" s="1344"/>
      <c r="N153" s="1344"/>
      <c r="O153" s="1215"/>
      <c r="P153" s="1215"/>
      <c r="Q153" s="1393" t="s">
        <v>484</v>
      </c>
      <c r="R153" s="1393" t="s">
        <v>484</v>
      </c>
      <c r="S153" s="1393" t="s">
        <v>484</v>
      </c>
      <c r="T153" s="1215"/>
      <c r="U153" s="1215"/>
      <c r="V153" s="1215"/>
      <c r="W153" s="1393" t="s">
        <v>484</v>
      </c>
      <c r="X153" s="1393" t="s">
        <v>485</v>
      </c>
      <c r="Y153" s="1393" t="s">
        <v>485</v>
      </c>
      <c r="Z153" s="1393" t="s">
        <v>485</v>
      </c>
      <c r="AA153" s="1215"/>
      <c r="AB153" s="1215" t="s">
        <v>486</v>
      </c>
      <c r="AC153" s="1215" t="s">
        <v>484</v>
      </c>
      <c r="AD153" s="1215" t="s">
        <v>484</v>
      </c>
      <c r="AE153" s="1215" t="s">
        <v>487</v>
      </c>
      <c r="AF153" s="1215" t="s">
        <v>487</v>
      </c>
      <c r="AG153" s="1344" t="s">
        <v>487</v>
      </c>
      <c r="AH153" s="606"/>
    </row>
    <row r="154" spans="1:35" ht="21" customHeight="1">
      <c r="A154" s="556">
        <v>3</v>
      </c>
      <c r="B154" s="545" t="s">
        <v>554</v>
      </c>
      <c r="C154" s="1215">
        <v>10</v>
      </c>
      <c r="D154" s="1215">
        <v>10</v>
      </c>
      <c r="E154" s="1215">
        <v>10</v>
      </c>
      <c r="F154" s="1215" t="s">
        <v>555</v>
      </c>
      <c r="G154" s="1215" t="s">
        <v>555</v>
      </c>
      <c r="H154" s="1344" t="s">
        <v>487</v>
      </c>
      <c r="I154" s="1344" t="s">
        <v>487</v>
      </c>
      <c r="J154" s="1344" t="s">
        <v>487</v>
      </c>
      <c r="K154" s="1344"/>
      <c r="L154" s="1344" t="s">
        <v>487</v>
      </c>
      <c r="M154" s="1215"/>
      <c r="N154" s="1215"/>
      <c r="O154" s="1215">
        <v>6</v>
      </c>
      <c r="P154" s="1215">
        <v>6</v>
      </c>
      <c r="Q154" s="1215">
        <v>6</v>
      </c>
      <c r="R154" s="1393" t="s">
        <v>556</v>
      </c>
      <c r="S154" s="1393" t="s">
        <v>556</v>
      </c>
      <c r="T154" s="1215"/>
      <c r="U154" s="1215"/>
      <c r="V154" s="1215">
        <v>6</v>
      </c>
      <c r="W154" s="1215">
        <v>6</v>
      </c>
      <c r="X154" s="1215">
        <v>6</v>
      </c>
      <c r="Y154" s="1215" t="s">
        <v>487</v>
      </c>
      <c r="Z154" s="1215" t="s">
        <v>487</v>
      </c>
      <c r="AA154" s="1215" t="s">
        <v>532</v>
      </c>
      <c r="AB154" s="1215" t="s">
        <v>533</v>
      </c>
      <c r="AC154" s="1215">
        <v>7</v>
      </c>
      <c r="AD154" s="1215">
        <v>7</v>
      </c>
      <c r="AE154" s="1215" t="s">
        <v>487</v>
      </c>
      <c r="AF154" s="1215" t="s">
        <v>487</v>
      </c>
      <c r="AG154" s="1344" t="s">
        <v>487</v>
      </c>
      <c r="AH154" s="606"/>
    </row>
    <row r="155" spans="1:35" ht="21" customHeight="1">
      <c r="A155" s="556">
        <v>4</v>
      </c>
      <c r="B155" s="545" t="s">
        <v>557</v>
      </c>
      <c r="C155" s="1390">
        <v>9</v>
      </c>
      <c r="D155" s="1390">
        <v>9</v>
      </c>
      <c r="E155" s="1390">
        <v>9</v>
      </c>
      <c r="F155" s="1215"/>
      <c r="G155" s="1215"/>
      <c r="H155" s="1390" t="s">
        <v>514</v>
      </c>
      <c r="I155" s="1390">
        <v>9</v>
      </c>
      <c r="J155" s="1390">
        <v>9</v>
      </c>
      <c r="K155" s="1215"/>
      <c r="L155" s="1390">
        <v>9</v>
      </c>
      <c r="M155" s="1215"/>
      <c r="N155" s="1215"/>
      <c r="O155" s="1393">
        <v>9</v>
      </c>
      <c r="P155" s="1215" t="s">
        <v>535</v>
      </c>
      <c r="Q155" s="1215" t="s">
        <v>535</v>
      </c>
      <c r="R155" s="1215" t="s">
        <v>535</v>
      </c>
      <c r="S155" s="1215" t="s">
        <v>514</v>
      </c>
      <c r="T155" s="1215"/>
      <c r="U155" s="1215"/>
      <c r="V155" s="1215"/>
      <c r="W155" s="1215" t="s">
        <v>535</v>
      </c>
      <c r="X155" s="1215" t="s">
        <v>535</v>
      </c>
      <c r="Y155" s="1215" t="s">
        <v>535</v>
      </c>
      <c r="Z155" s="1215" t="s">
        <v>514</v>
      </c>
      <c r="AA155" s="1215"/>
      <c r="AB155" s="1215"/>
      <c r="AC155" s="1215" t="s">
        <v>535</v>
      </c>
      <c r="AD155" s="1215" t="s">
        <v>535</v>
      </c>
      <c r="AE155" s="1215" t="s">
        <v>535</v>
      </c>
      <c r="AF155" s="1215" t="s">
        <v>535</v>
      </c>
      <c r="AG155" s="1344" t="s">
        <v>514</v>
      </c>
      <c r="AH155" s="606"/>
    </row>
    <row r="156" spans="1:35" ht="21" customHeight="1">
      <c r="A156" s="556">
        <v>5</v>
      </c>
      <c r="B156" s="545" t="s">
        <v>558</v>
      </c>
      <c r="C156" s="178"/>
      <c r="D156" s="178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447" t="s">
        <v>514</v>
      </c>
      <c r="P156" s="1447" t="s">
        <v>550</v>
      </c>
      <c r="Q156" s="1447">
        <v>8</v>
      </c>
      <c r="R156" s="1447" t="s">
        <v>514</v>
      </c>
      <c r="S156" s="1447" t="s">
        <v>514</v>
      </c>
      <c r="T156" s="178"/>
      <c r="U156" s="178"/>
      <c r="V156" s="178"/>
      <c r="W156" s="178"/>
      <c r="X156" s="178"/>
      <c r="Y156" s="178"/>
      <c r="Z156" s="178"/>
      <c r="AA156" s="178"/>
      <c r="AB156" s="178"/>
      <c r="AC156" s="178"/>
      <c r="AD156" s="178"/>
      <c r="AE156" s="178"/>
      <c r="AF156" s="178"/>
      <c r="AG156" s="178"/>
      <c r="AH156" s="606"/>
    </row>
    <row r="157" spans="1:35" ht="21" customHeight="1">
      <c r="A157" s="1232">
        <v>6</v>
      </c>
      <c r="B157" s="570" t="s">
        <v>559</v>
      </c>
      <c r="C157" s="1448"/>
      <c r="D157" s="1448"/>
      <c r="E157" s="1448"/>
      <c r="F157" s="1448"/>
      <c r="G157" s="1448"/>
      <c r="H157" s="1448"/>
      <c r="I157" s="1448"/>
      <c r="J157" s="1448"/>
      <c r="K157" s="1448"/>
      <c r="L157" s="1448"/>
      <c r="M157" s="1448"/>
      <c r="N157" s="1449"/>
      <c r="O157" s="1448"/>
      <c r="P157" s="1448"/>
      <c r="Q157" s="1448"/>
      <c r="R157" s="1448"/>
      <c r="S157" s="1448"/>
      <c r="T157" s="1448"/>
      <c r="U157" s="1448"/>
      <c r="V157" s="1448"/>
      <c r="W157" s="1450" t="s">
        <v>514</v>
      </c>
      <c r="X157" s="1450" t="s">
        <v>514</v>
      </c>
      <c r="Y157" s="1450" t="s">
        <v>514</v>
      </c>
      <c r="Z157" s="1450" t="s">
        <v>514</v>
      </c>
      <c r="AA157" s="1448"/>
      <c r="AB157" s="1448"/>
      <c r="AC157" s="1450" t="s">
        <v>556</v>
      </c>
      <c r="AD157" s="1450" t="s">
        <v>556</v>
      </c>
      <c r="AE157" s="1450">
        <v>8</v>
      </c>
      <c r="AF157" s="1450" t="s">
        <v>485</v>
      </c>
      <c r="AG157" s="1450" t="s">
        <v>537</v>
      </c>
      <c r="AH157" s="606"/>
    </row>
    <row r="158" spans="1:35" ht="21.95" customHeight="1" thickBot="1">
      <c r="A158" s="1" t="s">
        <v>560</v>
      </c>
      <c r="B158" s="274"/>
      <c r="C158" s="139"/>
      <c r="D158" s="139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</row>
    <row r="159" spans="1:35" ht="21.95" customHeight="1">
      <c r="A159" s="1"/>
      <c r="B159" s="1290" t="s">
        <v>516</v>
      </c>
      <c r="C159" s="51" t="s">
        <v>2</v>
      </c>
      <c r="D159" s="51"/>
      <c r="E159" s="51"/>
      <c r="F159" s="51"/>
      <c r="G159" s="1292" t="s">
        <v>3</v>
      </c>
      <c r="H159" s="51"/>
      <c r="I159" s="51"/>
      <c r="J159" s="51"/>
      <c r="K159" s="1292" t="s">
        <v>4</v>
      </c>
      <c r="L159" s="51"/>
      <c r="M159" s="51"/>
      <c r="N159" s="51"/>
      <c r="O159" s="1292" t="s">
        <v>5</v>
      </c>
      <c r="P159" s="51"/>
      <c r="Q159" s="51"/>
      <c r="R159" s="51"/>
      <c r="S159" s="1292" t="s">
        <v>6</v>
      </c>
      <c r="T159" s="51"/>
      <c r="U159" s="51"/>
      <c r="V159" s="51"/>
      <c r="W159" s="51"/>
      <c r="X159" s="1296" t="s">
        <v>7</v>
      </c>
      <c r="Y159" s="51"/>
      <c r="Z159" s="551"/>
      <c r="AA159" s="7"/>
      <c r="AB159" s="525" t="s">
        <v>8</v>
      </c>
      <c r="AC159" s="51"/>
      <c r="AD159" s="51"/>
      <c r="AE159" s="425" t="s">
        <v>10</v>
      </c>
      <c r="AF159" s="51"/>
      <c r="AG159" s="51"/>
      <c r="AH159" s="51"/>
      <c r="AI159" s="526"/>
    </row>
    <row r="160" spans="1:35" ht="21.95" customHeight="1">
      <c r="A160" s="1"/>
      <c r="B160" s="1290">
        <v>3701</v>
      </c>
      <c r="C160" s="55" t="s">
        <v>561</v>
      </c>
      <c r="D160" s="55"/>
      <c r="E160" s="55"/>
      <c r="F160" s="55"/>
      <c r="G160" s="1293" t="s">
        <v>124</v>
      </c>
      <c r="H160" s="55"/>
      <c r="I160" s="55"/>
      <c r="J160" s="55"/>
      <c r="K160" s="1293" t="s">
        <v>124</v>
      </c>
      <c r="L160" s="55"/>
      <c r="M160" s="55"/>
      <c r="N160" s="55"/>
      <c r="O160" s="1293" t="s">
        <v>124</v>
      </c>
      <c r="P160" s="55"/>
      <c r="Q160" s="55"/>
      <c r="R160" s="55"/>
      <c r="S160" s="1293" t="s">
        <v>125</v>
      </c>
      <c r="T160" s="55"/>
      <c r="U160" s="55"/>
      <c r="V160" s="55"/>
      <c r="W160" s="55"/>
      <c r="X160" s="1297"/>
      <c r="Y160" s="55"/>
      <c r="Z160" s="608"/>
      <c r="AA160" s="14"/>
      <c r="AB160" s="609"/>
      <c r="AC160" s="55"/>
      <c r="AD160" s="55"/>
      <c r="AE160" s="610"/>
      <c r="AF160" s="55"/>
      <c r="AG160" s="55"/>
      <c r="AH160" s="55"/>
      <c r="AI160" s="611"/>
    </row>
    <row r="161" spans="1:35" ht="21.95" customHeight="1">
      <c r="B161" s="1290">
        <v>3700</v>
      </c>
      <c r="C161" s="157" t="s">
        <v>512</v>
      </c>
      <c r="D161" s="157"/>
      <c r="E161" s="157"/>
      <c r="F161" s="157"/>
      <c r="G161" s="897" t="s">
        <v>512</v>
      </c>
      <c r="H161" s="157"/>
      <c r="I161" s="157"/>
      <c r="J161" s="157"/>
      <c r="K161" s="897" t="s">
        <v>512</v>
      </c>
      <c r="L161" s="157"/>
      <c r="M161" s="157"/>
      <c r="N161" s="157"/>
      <c r="O161" s="897" t="s">
        <v>512</v>
      </c>
      <c r="P161" s="157"/>
      <c r="Q161" s="157"/>
      <c r="R161" s="157"/>
      <c r="S161" s="897" t="s">
        <v>116</v>
      </c>
      <c r="T161" s="157"/>
      <c r="U161" s="157"/>
      <c r="V161" s="157"/>
      <c r="W161" s="157"/>
      <c r="X161" s="897"/>
      <c r="Y161" s="157"/>
      <c r="Z161" s="568"/>
      <c r="AA161" s="567"/>
      <c r="AB161" s="157"/>
      <c r="AC161" s="157"/>
      <c r="AD161" s="569"/>
      <c r="AE161" s="613"/>
      <c r="AF161" s="157"/>
      <c r="AG161" s="157" t="s">
        <v>28</v>
      </c>
      <c r="AH161" s="569"/>
      <c r="AI161" s="490"/>
    </row>
    <row r="162" spans="1:35" ht="21.95" customHeight="1">
      <c r="A162" s="1"/>
      <c r="B162" s="1290">
        <v>8514</v>
      </c>
      <c r="C162" s="157" t="s">
        <v>124</v>
      </c>
      <c r="D162" s="157"/>
      <c r="E162" s="157"/>
      <c r="F162" s="157"/>
      <c r="G162" s="897" t="s">
        <v>124</v>
      </c>
      <c r="H162" s="157"/>
      <c r="I162" s="157"/>
      <c r="J162" s="157"/>
      <c r="K162" s="897" t="s">
        <v>124</v>
      </c>
      <c r="L162" s="157"/>
      <c r="M162" s="157"/>
      <c r="N162" s="157"/>
      <c r="O162" s="897" t="s">
        <v>124</v>
      </c>
      <c r="P162" s="157"/>
      <c r="Q162" s="157"/>
      <c r="R162" s="157"/>
      <c r="S162" s="897" t="s">
        <v>562</v>
      </c>
      <c r="T162" s="157"/>
      <c r="U162" s="157"/>
      <c r="V162" s="157"/>
      <c r="W162" s="157"/>
      <c r="X162" s="897"/>
      <c r="Y162" s="157"/>
      <c r="Z162" s="568"/>
      <c r="AA162" s="121"/>
      <c r="AB162" s="157"/>
      <c r="AC162" s="157"/>
      <c r="AD162" s="569"/>
      <c r="AE162" s="121"/>
      <c r="AF162" s="157"/>
      <c r="AG162" s="157"/>
      <c r="AH162" s="569"/>
      <c r="AI162" s="490"/>
    </row>
    <row r="163" spans="1:35" ht="21.95" customHeight="1">
      <c r="A163" s="1"/>
      <c r="B163" s="1290">
        <v>8500</v>
      </c>
      <c r="C163" s="55" t="s">
        <v>11</v>
      </c>
      <c r="D163" s="55"/>
      <c r="E163" s="55"/>
      <c r="F163" s="55"/>
      <c r="G163" s="1293" t="s">
        <v>11</v>
      </c>
      <c r="H163" s="55"/>
      <c r="I163" s="55"/>
      <c r="J163" s="55"/>
      <c r="K163" s="1293" t="s">
        <v>11</v>
      </c>
      <c r="L163" s="55"/>
      <c r="M163" s="55"/>
      <c r="N163" s="55"/>
      <c r="O163" s="1293" t="s">
        <v>11</v>
      </c>
      <c r="P163" s="55"/>
      <c r="Q163" s="55"/>
      <c r="R163" s="55"/>
      <c r="S163" s="1293" t="s">
        <v>12</v>
      </c>
      <c r="T163" s="55"/>
      <c r="U163" s="55"/>
      <c r="V163" s="55"/>
      <c r="W163" s="55"/>
      <c r="X163" s="1293"/>
      <c r="Y163" s="55"/>
      <c r="Z163" s="615"/>
      <c r="AA163" s="614"/>
      <c r="AB163" s="55"/>
      <c r="AC163" s="55"/>
      <c r="AD163" s="615"/>
      <c r="AE163" s="614"/>
      <c r="AF163" s="55"/>
      <c r="AG163" s="55"/>
      <c r="AH163" s="598"/>
      <c r="AI163" s="611"/>
    </row>
    <row r="164" spans="1:35" ht="21.95" customHeight="1">
      <c r="A164" s="1"/>
      <c r="B164" s="1290">
        <v>8514</v>
      </c>
      <c r="C164" s="616" t="s">
        <v>124</v>
      </c>
      <c r="D164" s="616"/>
      <c r="E164" s="616"/>
      <c r="F164" s="616"/>
      <c r="G164" s="1294" t="s">
        <v>124</v>
      </c>
      <c r="H164" s="616"/>
      <c r="I164" s="616"/>
      <c r="J164" s="616"/>
      <c r="K164" s="1294" t="s">
        <v>124</v>
      </c>
      <c r="L164" s="616"/>
      <c r="M164" s="616"/>
      <c r="N164" s="616"/>
      <c r="O164" s="1294" t="s">
        <v>124</v>
      </c>
      <c r="P164" s="616"/>
      <c r="Q164" s="616"/>
      <c r="R164" s="616"/>
      <c r="S164" s="1294" t="s">
        <v>562</v>
      </c>
      <c r="T164" s="616"/>
      <c r="U164" s="616"/>
      <c r="V164" s="616"/>
      <c r="W164" s="616"/>
      <c r="X164" s="1297"/>
      <c r="Y164" s="55"/>
      <c r="Z164" s="608"/>
      <c r="AA164" s="14"/>
      <c r="AB164" s="609"/>
      <c r="AC164" s="55"/>
      <c r="AD164" s="55"/>
      <c r="AE164" s="610"/>
      <c r="AF164" s="55"/>
      <c r="AG164" s="55"/>
      <c r="AH164" s="55"/>
      <c r="AI164" s="611"/>
    </row>
    <row r="165" spans="1:35" ht="21.95" customHeight="1" thickBot="1">
      <c r="A165" s="1"/>
      <c r="B165" s="1291" t="s">
        <v>563</v>
      </c>
      <c r="C165" s="53" t="s">
        <v>564</v>
      </c>
      <c r="D165" s="53"/>
      <c r="E165" s="53"/>
      <c r="F165" s="53"/>
      <c r="G165" s="1295" t="s">
        <v>564</v>
      </c>
      <c r="H165" s="53"/>
      <c r="I165" s="53"/>
      <c r="J165" s="53"/>
      <c r="K165" s="53" t="s">
        <v>564</v>
      </c>
      <c r="L165" s="53"/>
      <c r="M165" s="53"/>
      <c r="N165" s="53"/>
      <c r="O165" s="1295" t="s">
        <v>564</v>
      </c>
      <c r="P165" s="53"/>
      <c r="Q165" s="53"/>
      <c r="R165" s="53"/>
      <c r="S165" s="1295" t="s">
        <v>565</v>
      </c>
      <c r="T165" s="53"/>
      <c r="U165" s="53"/>
      <c r="V165" s="53"/>
      <c r="W165" s="53"/>
      <c r="X165" s="1295"/>
      <c r="Y165" s="53"/>
      <c r="Z165" s="575"/>
      <c r="AA165" s="574"/>
      <c r="AB165" s="53"/>
      <c r="AC165" s="53"/>
      <c r="AD165" s="577"/>
      <c r="AE165" s="618"/>
      <c r="AF165" s="53"/>
      <c r="AG165" s="53" t="s">
        <v>28</v>
      </c>
      <c r="AH165" s="577"/>
      <c r="AI165" s="539"/>
    </row>
    <row r="166" spans="1:35" ht="21.95" customHeight="1">
      <c r="A166" s="1"/>
      <c r="B166" s="72"/>
      <c r="C166" s="312"/>
      <c r="F166" s="354"/>
      <c r="G166" s="312"/>
      <c r="J166" s="354"/>
      <c r="K166" s="312"/>
      <c r="N166" s="354"/>
      <c r="O166" s="312"/>
      <c r="R166" s="354"/>
      <c r="S166" s="312"/>
      <c r="V166" s="354"/>
      <c r="W166" s="354"/>
      <c r="Z166" s="354"/>
      <c r="AA166" s="354"/>
      <c r="AD166" s="354"/>
      <c r="AE166" s="354"/>
      <c r="AH166" s="354"/>
    </row>
    <row r="167" spans="1:35" ht="21.95" customHeight="1" thickBot="1">
      <c r="A167" s="1" t="s">
        <v>509</v>
      </c>
      <c r="B167" s="72"/>
      <c r="C167" s="312"/>
      <c r="F167" s="354"/>
      <c r="G167" s="312"/>
      <c r="J167" s="354"/>
      <c r="K167" s="312"/>
      <c r="N167" s="354"/>
      <c r="O167" s="312"/>
      <c r="R167" s="354"/>
      <c r="S167" s="312"/>
      <c r="V167" s="354"/>
      <c r="W167" s="354"/>
      <c r="Z167" s="354"/>
      <c r="AA167" s="354"/>
      <c r="AD167" s="354"/>
      <c r="AE167" s="354"/>
      <c r="AH167" s="354"/>
    </row>
    <row r="168" spans="1:35" ht="21.95" customHeight="1">
      <c r="A168" s="556"/>
      <c r="B168" s="297" t="s">
        <v>480</v>
      </c>
      <c r="C168" s="1235">
        <v>1</v>
      </c>
      <c r="D168" s="1234">
        <v>2</v>
      </c>
      <c r="E168" s="1234">
        <v>3</v>
      </c>
      <c r="F168" s="1235">
        <v>4</v>
      </c>
      <c r="G168" s="1235">
        <v>5</v>
      </c>
      <c r="H168" s="1234">
        <v>6</v>
      </c>
      <c r="I168" s="1213">
        <v>7</v>
      </c>
      <c r="J168" s="1213">
        <v>8</v>
      </c>
      <c r="K168" s="1235">
        <v>9</v>
      </c>
      <c r="L168" s="1234">
        <v>10</v>
      </c>
      <c r="M168" s="1235">
        <v>11</v>
      </c>
      <c r="N168" s="1235">
        <v>12</v>
      </c>
      <c r="O168" s="1234">
        <v>13</v>
      </c>
      <c r="P168" s="1213">
        <v>14</v>
      </c>
      <c r="Q168" s="1213">
        <v>15</v>
      </c>
      <c r="R168" s="1234">
        <v>16</v>
      </c>
      <c r="S168" s="1234">
        <v>17</v>
      </c>
      <c r="T168" s="1235">
        <v>18</v>
      </c>
      <c r="U168" s="1235">
        <v>19</v>
      </c>
      <c r="V168" s="1330">
        <v>20</v>
      </c>
      <c r="W168" s="1213">
        <v>21</v>
      </c>
      <c r="X168" s="1213">
        <v>22</v>
      </c>
      <c r="Y168" s="1234">
        <v>23</v>
      </c>
      <c r="Z168" s="1234">
        <v>24</v>
      </c>
      <c r="AA168" s="1235">
        <v>25</v>
      </c>
      <c r="AB168" s="1235">
        <v>26</v>
      </c>
      <c r="AC168" s="1234">
        <v>27</v>
      </c>
      <c r="AD168" s="1213">
        <v>28</v>
      </c>
      <c r="AE168" s="1213">
        <v>29</v>
      </c>
      <c r="AF168" s="1234">
        <v>30</v>
      </c>
      <c r="AG168" s="1234">
        <v>31</v>
      </c>
      <c r="AH168" s="498" t="s">
        <v>481</v>
      </c>
      <c r="AI168" s="499" t="s">
        <v>482</v>
      </c>
    </row>
    <row r="169" spans="1:35" ht="21.95" customHeight="1">
      <c r="A169" s="556"/>
      <c r="B169" s="1236" t="s">
        <v>566</v>
      </c>
      <c r="C169" s="1215"/>
      <c r="D169" s="1338" t="s">
        <v>535</v>
      </c>
      <c r="E169" s="1338" t="s">
        <v>535</v>
      </c>
      <c r="F169" s="1215"/>
      <c r="G169" s="1215"/>
      <c r="H169" s="1215" t="s">
        <v>535</v>
      </c>
      <c r="I169" s="1215" t="s">
        <v>535</v>
      </c>
      <c r="J169" s="1215" t="s">
        <v>535</v>
      </c>
      <c r="K169" s="1215"/>
      <c r="L169" s="1215" t="s">
        <v>535</v>
      </c>
      <c r="M169" s="1215"/>
      <c r="N169" s="1215"/>
      <c r="O169" s="1215" t="s">
        <v>535</v>
      </c>
      <c r="P169" s="1215" t="s">
        <v>535</v>
      </c>
      <c r="Q169" s="1215" t="s">
        <v>535</v>
      </c>
      <c r="R169" s="1215" t="s">
        <v>535</v>
      </c>
      <c r="S169" s="1215" t="s">
        <v>535</v>
      </c>
      <c r="T169" s="1215"/>
      <c r="U169" s="1215"/>
      <c r="V169" s="1215"/>
      <c r="W169" s="1215" t="s">
        <v>535</v>
      </c>
      <c r="X169" s="1215" t="s">
        <v>535</v>
      </c>
      <c r="Y169" s="1215" t="s">
        <v>535</v>
      </c>
      <c r="Z169" s="1215" t="s">
        <v>535</v>
      </c>
      <c r="AA169" s="1215"/>
      <c r="AB169" s="1215"/>
      <c r="AC169" s="1215" t="s">
        <v>535</v>
      </c>
      <c r="AD169" s="1215" t="s">
        <v>535</v>
      </c>
      <c r="AE169" s="1215" t="s">
        <v>535</v>
      </c>
      <c r="AF169" s="1215" t="s">
        <v>535</v>
      </c>
      <c r="AG169" s="1215" t="s">
        <v>535</v>
      </c>
      <c r="AH169" s="603">
        <v>185</v>
      </c>
      <c r="AI169" s="604">
        <v>37</v>
      </c>
    </row>
    <row r="170" spans="1:35" ht="21.95" customHeight="1">
      <c r="A170" s="620">
        <v>8500</v>
      </c>
      <c r="B170" s="1237" t="s">
        <v>151</v>
      </c>
      <c r="C170" s="1342"/>
      <c r="D170" s="1342" t="s">
        <v>535</v>
      </c>
      <c r="E170" s="1342" t="s">
        <v>535</v>
      </c>
      <c r="F170" s="1342"/>
      <c r="G170" s="1342"/>
      <c r="H170" s="1215" t="s">
        <v>535</v>
      </c>
      <c r="I170" s="1215" t="s">
        <v>535</v>
      </c>
      <c r="J170" s="1215" t="s">
        <v>535</v>
      </c>
      <c r="K170" s="1215"/>
      <c r="L170" s="1335" t="s">
        <v>535</v>
      </c>
      <c r="M170" s="1215"/>
      <c r="N170" s="1215"/>
      <c r="O170" s="1215" t="s">
        <v>535</v>
      </c>
      <c r="P170" s="1215" t="s">
        <v>535</v>
      </c>
      <c r="Q170" s="1215" t="s">
        <v>535</v>
      </c>
      <c r="R170" s="1215" t="s">
        <v>535</v>
      </c>
      <c r="S170" s="1215" t="s">
        <v>535</v>
      </c>
      <c r="T170" s="1215"/>
      <c r="U170" s="1215"/>
      <c r="V170" s="1215"/>
      <c r="W170" s="1215" t="s">
        <v>535</v>
      </c>
      <c r="X170" s="1215" t="s">
        <v>535</v>
      </c>
      <c r="Y170" s="1215" t="s">
        <v>535</v>
      </c>
      <c r="Z170" s="1215" t="s">
        <v>535</v>
      </c>
      <c r="AA170" s="1215"/>
      <c r="AB170" s="1215"/>
      <c r="AC170" s="1342" t="s">
        <v>535</v>
      </c>
      <c r="AD170" s="1342" t="s">
        <v>535</v>
      </c>
      <c r="AE170" s="1215" t="s">
        <v>535</v>
      </c>
      <c r="AF170" s="1215" t="s">
        <v>535</v>
      </c>
      <c r="AG170" s="1215" t="s">
        <v>535</v>
      </c>
      <c r="AH170" s="603">
        <v>185</v>
      </c>
      <c r="AI170" s="604">
        <v>37</v>
      </c>
    </row>
    <row r="171" spans="1:35" ht="21" customHeight="1">
      <c r="A171" s="442"/>
      <c r="B171" s="1236" t="s">
        <v>567</v>
      </c>
      <c r="C171" s="1215"/>
      <c r="D171" s="1215" t="s">
        <v>535</v>
      </c>
      <c r="E171" s="1215" t="s">
        <v>535</v>
      </c>
      <c r="F171" s="1215"/>
      <c r="G171" s="1215"/>
      <c r="H171" s="1342" t="s">
        <v>535</v>
      </c>
      <c r="I171" s="1215" t="s">
        <v>535</v>
      </c>
      <c r="J171" s="1215" t="s">
        <v>535</v>
      </c>
      <c r="K171" s="1215"/>
      <c r="L171" s="1215" t="s">
        <v>535</v>
      </c>
      <c r="M171" s="1215"/>
      <c r="N171" s="1215"/>
      <c r="O171" s="1342" t="s">
        <v>535</v>
      </c>
      <c r="P171" s="1215" t="s">
        <v>535</v>
      </c>
      <c r="Q171" s="1215" t="s">
        <v>535</v>
      </c>
      <c r="R171" s="1215" t="s">
        <v>535</v>
      </c>
      <c r="S171" s="1215" t="s">
        <v>535</v>
      </c>
      <c r="T171" s="1215"/>
      <c r="U171" s="1215"/>
      <c r="V171" s="1215"/>
      <c r="W171" s="1215" t="s">
        <v>535</v>
      </c>
      <c r="X171" s="1215" t="s">
        <v>535</v>
      </c>
      <c r="Y171" s="1215" t="s">
        <v>535</v>
      </c>
      <c r="Z171" s="1215" t="s">
        <v>535</v>
      </c>
      <c r="AA171" s="1215"/>
      <c r="AB171" s="1215"/>
      <c r="AC171" s="1342" t="s">
        <v>535</v>
      </c>
      <c r="AD171" s="1342" t="s">
        <v>535</v>
      </c>
      <c r="AE171" s="1215" t="s">
        <v>535</v>
      </c>
      <c r="AF171" s="1215" t="s">
        <v>535</v>
      </c>
      <c r="AG171" s="1215" t="s">
        <v>535</v>
      </c>
      <c r="AH171" s="603">
        <v>222</v>
      </c>
      <c r="AI171" s="604">
        <v>37</v>
      </c>
    </row>
    <row r="172" spans="1:35" ht="21" customHeight="1">
      <c r="A172" s="442">
        <v>8521</v>
      </c>
      <c r="B172" s="1236" t="s">
        <v>568</v>
      </c>
      <c r="C172" s="1215"/>
      <c r="D172" s="1215" t="s">
        <v>535</v>
      </c>
      <c r="E172" s="1215" t="s">
        <v>535</v>
      </c>
      <c r="F172" s="1215"/>
      <c r="G172" s="1215"/>
      <c r="H172" s="1215" t="s">
        <v>535</v>
      </c>
      <c r="I172" s="1215" t="s">
        <v>535</v>
      </c>
      <c r="J172" s="1215" t="s">
        <v>535</v>
      </c>
      <c r="K172" s="1215"/>
      <c r="L172" s="1215" t="s">
        <v>535</v>
      </c>
      <c r="M172" s="1215"/>
      <c r="N172" s="1215"/>
      <c r="O172" s="1215" t="s">
        <v>535</v>
      </c>
      <c r="P172" s="1215" t="s">
        <v>535</v>
      </c>
      <c r="Q172" s="1215" t="s">
        <v>535</v>
      </c>
      <c r="R172" s="1215" t="s">
        <v>535</v>
      </c>
      <c r="S172" s="1335" t="s">
        <v>535</v>
      </c>
      <c r="T172" s="1215"/>
      <c r="U172" s="1215"/>
      <c r="V172" s="1215"/>
      <c r="W172" s="1335" t="s">
        <v>535</v>
      </c>
      <c r="X172" s="1215" t="s">
        <v>535</v>
      </c>
      <c r="Y172" s="1215" t="s">
        <v>535</v>
      </c>
      <c r="Z172" s="1215" t="s">
        <v>535</v>
      </c>
      <c r="AA172" s="1215"/>
      <c r="AB172" s="1215"/>
      <c r="AC172" s="1342" t="s">
        <v>535</v>
      </c>
      <c r="AD172" s="1342" t="s">
        <v>535</v>
      </c>
      <c r="AE172" s="1215" t="s">
        <v>535</v>
      </c>
      <c r="AF172" s="1215" t="s">
        <v>535</v>
      </c>
      <c r="AG172" s="1215" t="s">
        <v>535</v>
      </c>
      <c r="AH172" s="603">
        <v>222</v>
      </c>
      <c r="AI172" s="604">
        <v>37</v>
      </c>
    </row>
    <row r="173" spans="1:35" ht="21" customHeight="1">
      <c r="A173" s="442"/>
      <c r="B173" s="1236"/>
      <c r="C173" s="1215"/>
      <c r="D173" s="1215" t="s">
        <v>535</v>
      </c>
      <c r="E173" s="1215" t="s">
        <v>535</v>
      </c>
      <c r="F173" s="1215"/>
      <c r="G173" s="1215"/>
      <c r="H173" s="1215" t="s">
        <v>535</v>
      </c>
      <c r="I173" s="1215" t="s">
        <v>535</v>
      </c>
      <c r="J173" s="1215" t="s">
        <v>535</v>
      </c>
      <c r="K173" s="1215"/>
      <c r="L173" s="1215" t="s">
        <v>535</v>
      </c>
      <c r="M173" s="1215"/>
      <c r="N173" s="1215"/>
      <c r="O173" s="1215" t="s">
        <v>535</v>
      </c>
      <c r="P173" s="1215" t="s">
        <v>535</v>
      </c>
      <c r="Q173" s="1215" t="s">
        <v>535</v>
      </c>
      <c r="R173" s="1215" t="s">
        <v>535</v>
      </c>
      <c r="S173" s="1215" t="s">
        <v>535</v>
      </c>
      <c r="T173" s="1215"/>
      <c r="U173" s="1215"/>
      <c r="V173" s="1215"/>
      <c r="W173" s="1215" t="s">
        <v>535</v>
      </c>
      <c r="X173" s="1215" t="s">
        <v>535</v>
      </c>
      <c r="Y173" s="1215" t="s">
        <v>535</v>
      </c>
      <c r="Z173" s="1215" t="s">
        <v>535</v>
      </c>
      <c r="AA173" s="1215"/>
      <c r="AB173" s="1215"/>
      <c r="AC173" s="1215" t="s">
        <v>535</v>
      </c>
      <c r="AD173" s="1215" t="s">
        <v>535</v>
      </c>
      <c r="AE173" s="1215" t="s">
        <v>535</v>
      </c>
      <c r="AF173" s="1215" t="s">
        <v>535</v>
      </c>
      <c r="AG173" s="1215" t="s">
        <v>535</v>
      </c>
      <c r="AH173" s="603">
        <v>185</v>
      </c>
      <c r="AI173" s="604">
        <v>37</v>
      </c>
    </row>
    <row r="174" spans="1:35" ht="21" customHeight="1">
      <c r="A174" s="442">
        <v>8514</v>
      </c>
      <c r="B174" s="1238" t="s">
        <v>569</v>
      </c>
      <c r="C174" s="1215"/>
      <c r="D174" s="1215" t="s">
        <v>535</v>
      </c>
      <c r="E174" s="1215" t="s">
        <v>535</v>
      </c>
      <c r="F174" s="1215"/>
      <c r="G174" s="1215"/>
      <c r="H174" s="1215" t="s">
        <v>535</v>
      </c>
      <c r="I174" s="1215" t="s">
        <v>535</v>
      </c>
      <c r="J174" s="1215" t="s">
        <v>535</v>
      </c>
      <c r="K174" s="1215"/>
      <c r="L174" s="1215" t="s">
        <v>535</v>
      </c>
      <c r="M174" s="1215"/>
      <c r="N174" s="1215"/>
      <c r="O174" s="1215" t="s">
        <v>535</v>
      </c>
      <c r="P174" s="1215" t="s">
        <v>535</v>
      </c>
      <c r="Q174" s="1215" t="s">
        <v>535</v>
      </c>
      <c r="R174" s="1215" t="s">
        <v>535</v>
      </c>
      <c r="S174" s="1215" t="s">
        <v>535</v>
      </c>
      <c r="T174" s="1215"/>
      <c r="U174" s="1215"/>
      <c r="V174" s="1215"/>
      <c r="W174" s="1215" t="s">
        <v>535</v>
      </c>
      <c r="X174" s="1215" t="s">
        <v>535</v>
      </c>
      <c r="Y174" s="1215" t="s">
        <v>535</v>
      </c>
      <c r="Z174" s="1215" t="s">
        <v>535</v>
      </c>
      <c r="AA174" s="1215"/>
      <c r="AB174" s="1215"/>
      <c r="AC174" s="1342" t="s">
        <v>535</v>
      </c>
      <c r="AD174" s="1342" t="s">
        <v>535</v>
      </c>
      <c r="AE174" s="1215" t="s">
        <v>535</v>
      </c>
      <c r="AF174" s="1215" t="s">
        <v>535</v>
      </c>
      <c r="AG174" s="1215" t="s">
        <v>535</v>
      </c>
      <c r="AH174" s="603">
        <v>185</v>
      </c>
      <c r="AI174" s="604">
        <v>37</v>
      </c>
    </row>
    <row r="175" spans="1:35" ht="21.95" customHeight="1">
      <c r="A175" s="442">
        <v>3701</v>
      </c>
      <c r="B175" s="1236" t="s">
        <v>347</v>
      </c>
      <c r="C175" s="1392"/>
      <c r="D175" s="1392" t="s">
        <v>535</v>
      </c>
      <c r="E175" s="1392" t="s">
        <v>535</v>
      </c>
      <c r="F175" s="1392"/>
      <c r="G175" s="1392"/>
      <c r="H175" s="1392" t="s">
        <v>535</v>
      </c>
      <c r="I175" s="1392" t="s">
        <v>535</v>
      </c>
      <c r="J175" s="1392" t="s">
        <v>535</v>
      </c>
      <c r="K175" s="1392"/>
      <c r="L175" s="1392" t="s">
        <v>535</v>
      </c>
      <c r="M175" s="1392"/>
      <c r="N175" s="1392"/>
      <c r="O175" s="1392" t="s">
        <v>535</v>
      </c>
      <c r="P175" s="1392" t="s">
        <v>535</v>
      </c>
      <c r="Q175" s="1392" t="s">
        <v>535</v>
      </c>
      <c r="R175" s="1392" t="s">
        <v>535</v>
      </c>
      <c r="S175" s="1392" t="s">
        <v>535</v>
      </c>
      <c r="T175" s="1392"/>
      <c r="U175" s="1392"/>
      <c r="V175" s="1392"/>
      <c r="W175" s="1392" t="s">
        <v>535</v>
      </c>
      <c r="X175" s="1392" t="s">
        <v>535</v>
      </c>
      <c r="Y175" s="1392" t="s">
        <v>535</v>
      </c>
      <c r="Z175" s="1392" t="s">
        <v>535</v>
      </c>
      <c r="AA175" s="1392"/>
      <c r="AB175" s="1392"/>
      <c r="AC175" s="1392" t="s">
        <v>535</v>
      </c>
      <c r="AD175" s="1392" t="s">
        <v>535</v>
      </c>
      <c r="AE175" s="1392" t="s">
        <v>535</v>
      </c>
      <c r="AF175" s="1392" t="s">
        <v>535</v>
      </c>
      <c r="AG175" s="1392" t="s">
        <v>535</v>
      </c>
      <c r="AH175" s="603">
        <v>185</v>
      </c>
      <c r="AI175" s="604">
        <v>37</v>
      </c>
    </row>
    <row r="176" spans="1:35" ht="21.95" customHeight="1">
      <c r="A176" s="442">
        <v>3701</v>
      </c>
      <c r="B176" s="1236" t="s">
        <v>345</v>
      </c>
      <c r="C176" s="1215"/>
      <c r="D176" s="1215" t="s">
        <v>535</v>
      </c>
      <c r="E176" s="1215" t="s">
        <v>535</v>
      </c>
      <c r="F176" s="1215"/>
      <c r="G176" s="1215"/>
      <c r="H176" s="1215" t="s">
        <v>535</v>
      </c>
      <c r="I176" s="1215" t="s">
        <v>535</v>
      </c>
      <c r="J176" s="1215" t="s">
        <v>535</v>
      </c>
      <c r="K176" s="1215"/>
      <c r="L176" s="1215" t="s">
        <v>535</v>
      </c>
      <c r="M176" s="1215"/>
      <c r="N176" s="1215"/>
      <c r="O176" s="1215" t="s">
        <v>535</v>
      </c>
      <c r="P176" s="1215" t="s">
        <v>514</v>
      </c>
      <c r="Q176" s="1215" t="s">
        <v>535</v>
      </c>
      <c r="R176" s="1215" t="s">
        <v>535</v>
      </c>
      <c r="S176" s="1215" t="s">
        <v>535</v>
      </c>
      <c r="T176" s="1215"/>
      <c r="U176" s="1215"/>
      <c r="V176" s="1215"/>
      <c r="W176" s="1215" t="s">
        <v>535</v>
      </c>
      <c r="X176" s="1215" t="s">
        <v>535</v>
      </c>
      <c r="Y176" s="1215" t="s">
        <v>535</v>
      </c>
      <c r="Z176" s="1215" t="s">
        <v>535</v>
      </c>
      <c r="AA176" s="1215"/>
      <c r="AB176" s="1215"/>
      <c r="AC176" s="1342" t="s">
        <v>535</v>
      </c>
      <c r="AD176" s="1342" t="s">
        <v>535</v>
      </c>
      <c r="AE176" s="1215" t="s">
        <v>535</v>
      </c>
      <c r="AF176" s="1215" t="s">
        <v>535</v>
      </c>
      <c r="AG176" s="1215" t="s">
        <v>535</v>
      </c>
      <c r="AH176" s="603">
        <v>185</v>
      </c>
      <c r="AI176" s="604">
        <v>37</v>
      </c>
    </row>
    <row r="177" spans="1:35" ht="21.95" customHeight="1">
      <c r="A177" s="442">
        <v>3701</v>
      </c>
      <c r="B177" s="1236" t="s">
        <v>348</v>
      </c>
      <c r="C177" s="1215"/>
      <c r="D177" s="1345" t="s">
        <v>535</v>
      </c>
      <c r="E177" s="1345" t="s">
        <v>535</v>
      </c>
      <c r="F177" s="1215"/>
      <c r="G177" s="1215"/>
      <c r="H177" s="1345" t="s">
        <v>535</v>
      </c>
      <c r="I177" s="1345" t="s">
        <v>535</v>
      </c>
      <c r="J177" s="1345" t="s">
        <v>535</v>
      </c>
      <c r="K177" s="1215"/>
      <c r="L177" s="1346" t="s">
        <v>535</v>
      </c>
      <c r="M177" s="1215"/>
      <c r="N177" s="1215"/>
      <c r="O177" s="1392">
        <v>19</v>
      </c>
      <c r="P177" s="1392">
        <v>19</v>
      </c>
      <c r="Q177" s="1392" t="s">
        <v>514</v>
      </c>
      <c r="R177" s="1392">
        <v>19</v>
      </c>
      <c r="S177" s="1392">
        <v>19</v>
      </c>
      <c r="T177" s="1392"/>
      <c r="U177" s="1392"/>
      <c r="V177" s="1392"/>
      <c r="W177" s="1392" t="s">
        <v>570</v>
      </c>
      <c r="X177" s="1344" t="s">
        <v>535</v>
      </c>
      <c r="Y177" s="1215" t="s">
        <v>535</v>
      </c>
      <c r="Z177" s="1215" t="s">
        <v>535</v>
      </c>
      <c r="AA177" s="1215"/>
      <c r="AB177" s="1215"/>
      <c r="AC177" s="1215" t="s">
        <v>535</v>
      </c>
      <c r="AD177" s="1215" t="s">
        <v>535</v>
      </c>
      <c r="AE177" s="1215" t="s">
        <v>535</v>
      </c>
      <c r="AF177" s="1215" t="s">
        <v>535</v>
      </c>
      <c r="AG177" s="1215" t="s">
        <v>535</v>
      </c>
      <c r="AH177" s="603">
        <v>185</v>
      </c>
      <c r="AI177" s="604">
        <v>0</v>
      </c>
    </row>
    <row r="178" spans="1:35" ht="21.95" customHeight="1">
      <c r="A178" s="442">
        <v>3701</v>
      </c>
      <c r="B178" s="1236" t="s">
        <v>350</v>
      </c>
      <c r="C178" s="1215"/>
      <c r="D178" s="1215" t="s">
        <v>535</v>
      </c>
      <c r="E178" s="1215" t="s">
        <v>535</v>
      </c>
      <c r="F178" s="1215"/>
      <c r="G178" s="1215"/>
      <c r="H178" s="1215" t="s">
        <v>535</v>
      </c>
      <c r="I178" s="1215" t="s">
        <v>535</v>
      </c>
      <c r="J178" s="1215" t="s">
        <v>535</v>
      </c>
      <c r="K178" s="1215"/>
      <c r="L178" s="1335" t="s">
        <v>535</v>
      </c>
      <c r="M178" s="1215"/>
      <c r="N178" s="1215"/>
      <c r="O178" s="1215" t="s">
        <v>535</v>
      </c>
      <c r="P178" s="1215" t="s">
        <v>535</v>
      </c>
      <c r="Q178" s="1215" t="s">
        <v>535</v>
      </c>
      <c r="R178" s="1215" t="s">
        <v>535</v>
      </c>
      <c r="S178" s="1215" t="s">
        <v>535</v>
      </c>
      <c r="T178" s="1215"/>
      <c r="U178" s="1215"/>
      <c r="V178" s="1215"/>
      <c r="W178" s="1215" t="s">
        <v>535</v>
      </c>
      <c r="X178" s="1215" t="s">
        <v>535</v>
      </c>
      <c r="Y178" s="1215" t="s">
        <v>535</v>
      </c>
      <c r="Z178" s="1215" t="s">
        <v>535</v>
      </c>
      <c r="AA178" s="1215"/>
      <c r="AB178" s="1215"/>
      <c r="AC178" s="1215" t="s">
        <v>535</v>
      </c>
      <c r="AD178" s="1215" t="s">
        <v>535</v>
      </c>
      <c r="AE178" s="1215" t="s">
        <v>535</v>
      </c>
      <c r="AF178" s="1215" t="s">
        <v>535</v>
      </c>
      <c r="AG178" s="1215" t="s">
        <v>535</v>
      </c>
      <c r="AH178" s="603">
        <v>191</v>
      </c>
      <c r="AI178" s="604">
        <v>37</v>
      </c>
    </row>
    <row r="179" spans="1:35" ht="21.95" customHeight="1">
      <c r="A179" s="442">
        <v>3701</v>
      </c>
      <c r="B179" s="1236" t="s">
        <v>351</v>
      </c>
      <c r="C179" s="1215"/>
      <c r="D179" s="1215" t="s">
        <v>535</v>
      </c>
      <c r="E179" s="1215" t="s">
        <v>535</v>
      </c>
      <c r="F179" s="1215"/>
      <c r="G179" s="1215"/>
      <c r="H179" s="1215">
        <v>19</v>
      </c>
      <c r="I179" s="1215">
        <v>19</v>
      </c>
      <c r="J179" s="1215">
        <v>19</v>
      </c>
      <c r="K179" s="1215"/>
      <c r="L179" s="1215">
        <v>19</v>
      </c>
      <c r="M179" s="1215"/>
      <c r="N179" s="1215"/>
      <c r="O179" s="1215" t="s">
        <v>535</v>
      </c>
      <c r="P179" s="1215" t="s">
        <v>535</v>
      </c>
      <c r="Q179" s="1215" t="s">
        <v>535</v>
      </c>
      <c r="R179" s="1215" t="s">
        <v>535</v>
      </c>
      <c r="S179" s="1215" t="s">
        <v>535</v>
      </c>
      <c r="T179" s="1215"/>
      <c r="U179" s="1215"/>
      <c r="V179" s="1215"/>
      <c r="W179" s="1215" t="s">
        <v>535</v>
      </c>
      <c r="X179" s="1215" t="s">
        <v>535</v>
      </c>
      <c r="Y179" s="1215" t="s">
        <v>535</v>
      </c>
      <c r="Z179" s="1215" t="s">
        <v>535</v>
      </c>
      <c r="AA179" s="1215"/>
      <c r="AB179" s="1215"/>
      <c r="AC179" s="1215" t="s">
        <v>535</v>
      </c>
      <c r="AD179" s="1215" t="s">
        <v>535</v>
      </c>
      <c r="AE179" s="1215" t="s">
        <v>535</v>
      </c>
      <c r="AF179" s="1215" t="s">
        <v>535</v>
      </c>
      <c r="AG179" s="1215" t="s">
        <v>535</v>
      </c>
      <c r="AH179" s="603">
        <v>185</v>
      </c>
      <c r="AI179" s="604">
        <v>37</v>
      </c>
    </row>
    <row r="180" spans="1:35" ht="21.95" customHeight="1">
      <c r="A180" s="442">
        <v>3701</v>
      </c>
      <c r="B180" s="1236" t="s">
        <v>571</v>
      </c>
      <c r="C180" s="1215"/>
      <c r="D180" s="1215" t="s">
        <v>535</v>
      </c>
      <c r="E180" s="1215" t="s">
        <v>535</v>
      </c>
      <c r="F180" s="1215"/>
      <c r="G180" s="1215"/>
      <c r="H180" s="1215" t="s">
        <v>535</v>
      </c>
      <c r="I180" s="1215" t="s">
        <v>535</v>
      </c>
      <c r="J180" s="1215" t="s">
        <v>535</v>
      </c>
      <c r="K180" s="1215"/>
      <c r="L180" s="1335" t="s">
        <v>535</v>
      </c>
      <c r="M180" s="1215"/>
      <c r="N180" s="1215"/>
      <c r="O180" s="1215" t="s">
        <v>535</v>
      </c>
      <c r="P180" s="1215" t="s">
        <v>535</v>
      </c>
      <c r="Q180" s="1215" t="s">
        <v>535</v>
      </c>
      <c r="R180" s="1215" t="s">
        <v>535</v>
      </c>
      <c r="S180" s="1215" t="s">
        <v>535</v>
      </c>
      <c r="T180" s="1215"/>
      <c r="U180" s="1215"/>
      <c r="V180" s="1215"/>
      <c r="W180" s="1215">
        <v>19</v>
      </c>
      <c r="X180" s="1215">
        <v>19</v>
      </c>
      <c r="Y180" s="1215">
        <v>19</v>
      </c>
      <c r="Z180" s="1215">
        <v>19</v>
      </c>
      <c r="AA180" s="1215"/>
      <c r="AB180" s="1215"/>
      <c r="AC180" s="1215" t="s">
        <v>535</v>
      </c>
      <c r="AD180" s="1215" t="s">
        <v>535</v>
      </c>
      <c r="AE180" s="1215" t="s">
        <v>535</v>
      </c>
      <c r="AF180" s="1215" t="s">
        <v>535</v>
      </c>
      <c r="AG180" s="1215" t="s">
        <v>535</v>
      </c>
      <c r="AH180" s="603">
        <v>185</v>
      </c>
      <c r="AI180" s="604">
        <v>37</v>
      </c>
    </row>
    <row r="181" spans="1:35" ht="21.95" customHeight="1">
      <c r="A181" s="442">
        <v>3701</v>
      </c>
      <c r="B181" s="545" t="s">
        <v>572</v>
      </c>
      <c r="C181" s="1215"/>
      <c r="D181" s="1215">
        <v>19</v>
      </c>
      <c r="E181" s="1215">
        <v>17</v>
      </c>
      <c r="F181" s="1215"/>
      <c r="G181" s="1215"/>
      <c r="H181" s="1215" t="s">
        <v>535</v>
      </c>
      <c r="I181" s="1215" t="s">
        <v>535</v>
      </c>
      <c r="J181" s="1215" t="s">
        <v>535</v>
      </c>
      <c r="K181" s="1215"/>
      <c r="L181" s="1335" t="s">
        <v>535</v>
      </c>
      <c r="M181" s="1215"/>
      <c r="N181" s="1215"/>
      <c r="O181" s="1215" t="s">
        <v>535</v>
      </c>
      <c r="P181" s="1215" t="s">
        <v>535</v>
      </c>
      <c r="Q181" s="1215" t="s">
        <v>535</v>
      </c>
      <c r="R181" s="1215" t="s">
        <v>535</v>
      </c>
      <c r="S181" s="1215" t="s">
        <v>535</v>
      </c>
      <c r="T181" s="1215"/>
      <c r="U181" s="1215"/>
      <c r="V181" s="1215"/>
      <c r="W181" s="1215" t="s">
        <v>535</v>
      </c>
      <c r="X181" s="1215" t="s">
        <v>535</v>
      </c>
      <c r="Y181" s="1215" t="s">
        <v>535</v>
      </c>
      <c r="Z181" s="1215" t="s">
        <v>535</v>
      </c>
      <c r="AA181" s="1215"/>
      <c r="AB181" s="1215"/>
      <c r="AC181" s="1215" t="s">
        <v>535</v>
      </c>
      <c r="AD181" s="1215" t="s">
        <v>535</v>
      </c>
      <c r="AE181" s="1215" t="s">
        <v>535</v>
      </c>
      <c r="AF181" s="1215" t="s">
        <v>535</v>
      </c>
      <c r="AG181" s="1215" t="s">
        <v>535</v>
      </c>
      <c r="AH181" s="603">
        <v>185</v>
      </c>
      <c r="AI181" s="604">
        <v>37</v>
      </c>
    </row>
    <row r="182" spans="1:35" ht="21.95" customHeight="1">
      <c r="A182" s="1318">
        <v>3701</v>
      </c>
      <c r="B182" s="1319" t="s">
        <v>573</v>
      </c>
      <c r="C182" s="1215"/>
      <c r="D182" s="1215" t="s">
        <v>535</v>
      </c>
      <c r="E182" s="1215" t="s">
        <v>535</v>
      </c>
      <c r="F182" s="1215"/>
      <c r="G182" s="1215"/>
      <c r="H182" s="1215" t="s">
        <v>535</v>
      </c>
      <c r="I182" s="1215" t="s">
        <v>535</v>
      </c>
      <c r="J182" s="1215" t="s">
        <v>535</v>
      </c>
      <c r="K182" s="1215"/>
      <c r="L182" s="1335" t="s">
        <v>535</v>
      </c>
      <c r="M182" s="1215"/>
      <c r="N182" s="1215"/>
      <c r="O182" s="1215" t="s">
        <v>514</v>
      </c>
      <c r="P182" s="1215" t="s">
        <v>535</v>
      </c>
      <c r="Q182" s="1215" t="s">
        <v>535</v>
      </c>
      <c r="R182" s="1215" t="s">
        <v>535</v>
      </c>
      <c r="S182" s="1215" t="s">
        <v>535</v>
      </c>
      <c r="T182" s="1215"/>
      <c r="U182" s="1215"/>
      <c r="V182" s="1215"/>
      <c r="W182" s="1215" t="s">
        <v>535</v>
      </c>
      <c r="X182" s="1215" t="s">
        <v>535</v>
      </c>
      <c r="Y182" s="1215" t="s">
        <v>535</v>
      </c>
      <c r="Z182" s="1215" t="s">
        <v>535</v>
      </c>
      <c r="AA182" s="1215"/>
      <c r="AB182" s="1215"/>
      <c r="AC182" s="1215">
        <v>19</v>
      </c>
      <c r="AD182" s="1215">
        <v>19</v>
      </c>
      <c r="AE182" s="1215">
        <v>19</v>
      </c>
      <c r="AF182" s="1215">
        <v>19</v>
      </c>
      <c r="AG182" s="1215">
        <v>19</v>
      </c>
      <c r="AH182" s="603">
        <v>196</v>
      </c>
      <c r="AI182" s="604">
        <v>37</v>
      </c>
    </row>
    <row r="183" spans="1:35" ht="21.95" customHeight="1">
      <c r="A183" s="442">
        <v>3701</v>
      </c>
      <c r="B183" s="545" t="s">
        <v>513</v>
      </c>
      <c r="C183" s="1342"/>
      <c r="D183" s="1342" t="s">
        <v>535</v>
      </c>
      <c r="E183" s="1342" t="s">
        <v>535</v>
      </c>
      <c r="F183" s="1342"/>
      <c r="G183" s="1342"/>
      <c r="H183" s="1215" t="s">
        <v>535</v>
      </c>
      <c r="I183" s="1215" t="s">
        <v>535</v>
      </c>
      <c r="J183" s="1215" t="s">
        <v>535</v>
      </c>
      <c r="K183" s="1215"/>
      <c r="L183" s="1215" t="s">
        <v>535</v>
      </c>
      <c r="M183" s="1215"/>
      <c r="N183" s="1215"/>
      <c r="O183" s="1215" t="s">
        <v>535</v>
      </c>
      <c r="P183" s="1215" t="s">
        <v>535</v>
      </c>
      <c r="Q183" s="1215" t="s">
        <v>535</v>
      </c>
      <c r="R183" s="1215" t="s">
        <v>535</v>
      </c>
      <c r="S183" s="1215" t="s">
        <v>535</v>
      </c>
      <c r="T183" s="1215"/>
      <c r="U183" s="1215"/>
      <c r="V183" s="1215"/>
      <c r="W183" s="1215" t="s">
        <v>535</v>
      </c>
      <c r="X183" s="1215" t="s">
        <v>535</v>
      </c>
      <c r="Y183" s="1215" t="s">
        <v>535</v>
      </c>
      <c r="Z183" s="1215" t="s">
        <v>535</v>
      </c>
      <c r="AA183" s="1215"/>
      <c r="AB183" s="1215"/>
      <c r="AC183" s="1342" t="s">
        <v>535</v>
      </c>
      <c r="AD183" s="1342" t="s">
        <v>535</v>
      </c>
      <c r="AE183" s="1215" t="s">
        <v>535</v>
      </c>
      <c r="AF183" s="1215" t="s">
        <v>535</v>
      </c>
      <c r="AG183" s="1215" t="s">
        <v>535</v>
      </c>
      <c r="AH183" s="603">
        <v>185</v>
      </c>
      <c r="AI183" s="604">
        <v>37</v>
      </c>
    </row>
    <row r="184" spans="1:35" ht="21.95" customHeight="1">
      <c r="A184" s="442">
        <v>3701</v>
      </c>
      <c r="B184" s="1236" t="s">
        <v>574</v>
      </c>
      <c r="C184" s="1215"/>
      <c r="D184" s="1215" t="s">
        <v>535</v>
      </c>
      <c r="E184" s="1215" t="s">
        <v>535</v>
      </c>
      <c r="F184" s="1215"/>
      <c r="G184" s="1215"/>
      <c r="H184" s="1215" t="s">
        <v>535</v>
      </c>
      <c r="I184" s="1215" t="s">
        <v>535</v>
      </c>
      <c r="J184" s="1215" t="s">
        <v>535</v>
      </c>
      <c r="K184" s="1215"/>
      <c r="L184" s="1215" t="s">
        <v>535</v>
      </c>
      <c r="M184" s="1215"/>
      <c r="N184" s="1215"/>
      <c r="O184" s="1215" t="s">
        <v>535</v>
      </c>
      <c r="P184" s="1215" t="s">
        <v>535</v>
      </c>
      <c r="Q184" s="1215" t="s">
        <v>535</v>
      </c>
      <c r="R184" s="1215" t="s">
        <v>535</v>
      </c>
      <c r="S184" s="1215" t="s">
        <v>535</v>
      </c>
      <c r="T184" s="1215"/>
      <c r="U184" s="1215"/>
      <c r="V184" s="1215"/>
      <c r="W184" s="1215" t="s">
        <v>535</v>
      </c>
      <c r="X184" s="1215" t="s">
        <v>535</v>
      </c>
      <c r="Y184" s="1215" t="s">
        <v>535</v>
      </c>
      <c r="Z184" s="1215" t="s">
        <v>535</v>
      </c>
      <c r="AA184" s="1215"/>
      <c r="AB184" s="1215"/>
      <c r="AC184" s="1215" t="s">
        <v>535</v>
      </c>
      <c r="AD184" s="1215" t="s">
        <v>535</v>
      </c>
      <c r="AE184" s="1215" t="s">
        <v>535</v>
      </c>
      <c r="AF184" s="1215" t="s">
        <v>535</v>
      </c>
      <c r="AG184" s="1215" t="s">
        <v>535</v>
      </c>
      <c r="AH184" s="603">
        <v>185</v>
      </c>
      <c r="AI184" s="604">
        <v>37</v>
      </c>
    </row>
    <row r="185" spans="1:35" ht="21.95" customHeight="1">
      <c r="A185" s="442">
        <v>3701</v>
      </c>
      <c r="B185" s="1239" t="s">
        <v>575</v>
      </c>
      <c r="C185" s="1215"/>
      <c r="D185" s="1215" t="s">
        <v>535</v>
      </c>
      <c r="E185" s="1215" t="s">
        <v>535</v>
      </c>
      <c r="F185" s="1215"/>
      <c r="G185" s="1215"/>
      <c r="H185" s="1215" t="s">
        <v>535</v>
      </c>
      <c r="I185" s="1215" t="s">
        <v>535</v>
      </c>
      <c r="J185" s="1215" t="s">
        <v>535</v>
      </c>
      <c r="K185" s="1215"/>
      <c r="L185" s="1215" t="s">
        <v>535</v>
      </c>
      <c r="M185" s="1215"/>
      <c r="N185" s="1215"/>
      <c r="O185" s="1215" t="s">
        <v>535</v>
      </c>
      <c r="P185" s="1215" t="s">
        <v>535</v>
      </c>
      <c r="Q185" s="1215" t="s">
        <v>535</v>
      </c>
      <c r="R185" s="1215" t="s">
        <v>535</v>
      </c>
      <c r="S185" s="1215" t="s">
        <v>535</v>
      </c>
      <c r="T185" s="1215"/>
      <c r="U185" s="1215"/>
      <c r="V185" s="1215"/>
      <c r="W185" s="1215" t="s">
        <v>535</v>
      </c>
      <c r="X185" s="1215" t="s">
        <v>535</v>
      </c>
      <c r="Y185" s="1215" t="s">
        <v>535</v>
      </c>
      <c r="Z185" s="1215" t="s">
        <v>535</v>
      </c>
      <c r="AA185" s="1215"/>
      <c r="AB185" s="1215"/>
      <c r="AC185" s="1215" t="s">
        <v>535</v>
      </c>
      <c r="AD185" s="1215" t="s">
        <v>535</v>
      </c>
      <c r="AE185" s="1215" t="s">
        <v>535</v>
      </c>
      <c r="AF185" s="1215" t="s">
        <v>535</v>
      </c>
      <c r="AG185" s="1215" t="s">
        <v>535</v>
      </c>
      <c r="AH185" s="603">
        <v>198</v>
      </c>
      <c r="AI185" s="604">
        <v>37</v>
      </c>
    </row>
    <row r="186" spans="1:35" ht="21.95" customHeight="1">
      <c r="A186" s="903">
        <v>3701</v>
      </c>
      <c r="B186" s="1240" t="s">
        <v>576</v>
      </c>
      <c r="C186" s="1229"/>
      <c r="D186" s="1215" t="s">
        <v>535</v>
      </c>
      <c r="E186" s="1215" t="s">
        <v>535</v>
      </c>
      <c r="F186" s="1215"/>
      <c r="G186" s="1215"/>
      <c r="H186" s="1215" t="s">
        <v>535</v>
      </c>
      <c r="I186" s="1344" t="s">
        <v>535</v>
      </c>
      <c r="J186" s="1344" t="s">
        <v>535</v>
      </c>
      <c r="K186" s="1344"/>
      <c r="L186" s="1344" t="s">
        <v>535</v>
      </c>
      <c r="M186" s="1344"/>
      <c r="N186" s="1344"/>
      <c r="O186" s="1344" t="s">
        <v>535</v>
      </c>
      <c r="P186" s="1344" t="s">
        <v>535</v>
      </c>
      <c r="Q186" s="1344" t="s">
        <v>535</v>
      </c>
      <c r="R186" s="1344" t="s">
        <v>535</v>
      </c>
      <c r="S186" s="1344" t="s">
        <v>535</v>
      </c>
      <c r="T186" s="1344"/>
      <c r="U186" s="1344"/>
      <c r="V186" s="1344"/>
      <c r="W186" s="1344" t="s">
        <v>535</v>
      </c>
      <c r="X186" s="1344" t="s">
        <v>535</v>
      </c>
      <c r="Y186" s="1344" t="s">
        <v>535</v>
      </c>
      <c r="Z186" s="1344" t="s">
        <v>535</v>
      </c>
      <c r="AA186" s="1344"/>
      <c r="AB186" s="1344"/>
      <c r="AC186" s="1344" t="s">
        <v>535</v>
      </c>
      <c r="AD186" s="1344" t="s">
        <v>535</v>
      </c>
      <c r="AE186" s="1215" t="s">
        <v>535</v>
      </c>
      <c r="AF186" s="1215" t="s">
        <v>535</v>
      </c>
      <c r="AG186" s="1215" t="s">
        <v>535</v>
      </c>
      <c r="AH186" s="904"/>
      <c r="AI186" s="904"/>
    </row>
    <row r="187" spans="1:35" ht="21.95" customHeight="1">
      <c r="A187" s="578"/>
      <c r="B187" s="621"/>
      <c r="C187" s="559"/>
      <c r="D187" s="559"/>
      <c r="E187" s="559"/>
      <c r="F187" s="559"/>
      <c r="G187" s="559"/>
      <c r="H187" s="559"/>
      <c r="I187" s="559"/>
      <c r="J187" s="559"/>
      <c r="K187" s="520"/>
      <c r="L187" s="559"/>
      <c r="M187" s="559"/>
      <c r="N187" s="559"/>
      <c r="O187" s="559"/>
      <c r="P187" s="541"/>
      <c r="Q187" s="541"/>
      <c r="R187" s="541"/>
      <c r="S187" s="559"/>
      <c r="T187" s="559"/>
      <c r="U187" s="559"/>
      <c r="V187" s="559"/>
      <c r="W187" s="559"/>
      <c r="X187" s="559"/>
      <c r="Y187" s="559"/>
      <c r="Z187" s="559"/>
      <c r="AA187" s="559"/>
      <c r="AB187" s="559"/>
      <c r="AC187" s="559"/>
      <c r="AD187" s="559"/>
      <c r="AE187" s="559"/>
      <c r="AF187" s="559"/>
      <c r="AG187" s="559"/>
      <c r="AH187" s="560"/>
      <c r="AI187" s="560"/>
    </row>
    <row r="188" spans="1:35" ht="21" customHeight="1" thickBot="1">
      <c r="A188" s="1" t="s">
        <v>577</v>
      </c>
    </row>
    <row r="189" spans="1:35" ht="21" customHeight="1">
      <c r="B189" s="201" t="s">
        <v>516</v>
      </c>
      <c r="C189" s="7"/>
      <c r="D189" s="525" t="s">
        <v>2</v>
      </c>
      <c r="E189" s="51"/>
      <c r="F189" s="551"/>
      <c r="G189" s="7"/>
      <c r="H189" s="525" t="s">
        <v>3</v>
      </c>
      <c r="I189" s="51"/>
      <c r="J189" s="551"/>
      <c r="K189" s="7"/>
      <c r="L189" s="525" t="s">
        <v>4</v>
      </c>
      <c r="M189" s="51"/>
      <c r="N189" s="551"/>
      <c r="O189" s="7"/>
      <c r="P189" s="525" t="s">
        <v>5</v>
      </c>
      <c r="Q189" s="51"/>
      <c r="R189" s="551"/>
      <c r="S189" s="7"/>
      <c r="T189" s="525" t="s">
        <v>6</v>
      </c>
      <c r="U189" s="51"/>
      <c r="V189" s="551"/>
      <c r="W189" s="7"/>
      <c r="X189" s="525" t="s">
        <v>7</v>
      </c>
      <c r="Y189" s="51"/>
      <c r="Z189" s="551"/>
      <c r="AA189" s="7"/>
      <c r="AB189" s="525" t="s">
        <v>8</v>
      </c>
      <c r="AC189" s="51"/>
      <c r="AD189" s="51"/>
      <c r="AE189" s="425" t="s">
        <v>10</v>
      </c>
      <c r="AF189" s="51"/>
      <c r="AG189" s="51"/>
      <c r="AH189" s="51"/>
      <c r="AI189" s="526"/>
    </row>
    <row r="190" spans="1:35" ht="21" customHeight="1">
      <c r="B190" s="9">
        <v>8502</v>
      </c>
      <c r="C190" s="14" t="s">
        <v>11</v>
      </c>
      <c r="D190" s="609"/>
      <c r="E190" s="55"/>
      <c r="F190" s="608"/>
      <c r="G190" s="14" t="s">
        <v>11</v>
      </c>
      <c r="H190" s="609"/>
      <c r="I190" s="55"/>
      <c r="J190" s="608"/>
      <c r="K190" s="14" t="s">
        <v>11</v>
      </c>
      <c r="L190" s="609"/>
      <c r="M190" s="55"/>
      <c r="N190" s="608"/>
      <c r="O190" s="14" t="s">
        <v>11</v>
      </c>
      <c r="P190" s="609"/>
      <c r="Q190" s="55"/>
      <c r="R190" s="608"/>
      <c r="S190" s="14" t="s">
        <v>12</v>
      </c>
      <c r="T190" s="609"/>
      <c r="U190" s="55"/>
      <c r="V190" s="608"/>
      <c r="W190" s="14"/>
      <c r="X190" s="609"/>
      <c r="Y190" s="55"/>
      <c r="Z190" s="608"/>
      <c r="AA190" s="14"/>
      <c r="AB190" s="609"/>
      <c r="AC190" s="55"/>
      <c r="AD190" s="55"/>
      <c r="AE190" s="610"/>
      <c r="AF190" s="55"/>
      <c r="AG190" s="55"/>
      <c r="AH190" s="55"/>
      <c r="AI190" s="611"/>
    </row>
    <row r="191" spans="1:35" ht="21" customHeight="1">
      <c r="B191" s="612">
        <v>3701</v>
      </c>
      <c r="C191" s="121" t="s">
        <v>11</v>
      </c>
      <c r="D191" s="131"/>
      <c r="E191" s="55"/>
      <c r="F191" s="608"/>
      <c r="G191" s="121" t="s">
        <v>11</v>
      </c>
      <c r="H191" s="609"/>
      <c r="I191" s="55"/>
      <c r="J191" s="608"/>
      <c r="K191" s="121" t="s">
        <v>11</v>
      </c>
      <c r="L191" s="609"/>
      <c r="M191" s="55"/>
      <c r="N191" s="608"/>
      <c r="O191" s="121" t="s">
        <v>11</v>
      </c>
      <c r="P191" s="609"/>
      <c r="Q191" s="55"/>
      <c r="R191" s="608"/>
      <c r="S191" s="14" t="s">
        <v>12</v>
      </c>
      <c r="T191" s="609"/>
      <c r="U191" s="55"/>
      <c r="V191" s="608"/>
      <c r="W191" s="14"/>
      <c r="X191" s="609"/>
      <c r="Y191" s="55"/>
      <c r="Z191" s="608"/>
      <c r="AA191" s="14"/>
      <c r="AB191" s="609"/>
      <c r="AC191" s="55"/>
      <c r="AD191" s="55"/>
      <c r="AE191" s="610"/>
      <c r="AF191" s="55"/>
      <c r="AG191" s="55"/>
      <c r="AH191" s="55"/>
      <c r="AI191" s="611"/>
    </row>
    <row r="192" spans="1:35" ht="21" customHeight="1">
      <c r="B192" s="612">
        <v>3705</v>
      </c>
      <c r="C192" s="121" t="s">
        <v>147</v>
      </c>
      <c r="D192" s="131"/>
      <c r="E192" s="55"/>
      <c r="F192" s="608"/>
      <c r="G192" s="121" t="s">
        <v>147</v>
      </c>
      <c r="H192" s="609"/>
      <c r="I192" s="55"/>
      <c r="J192" s="608"/>
      <c r="K192" s="121" t="s">
        <v>147</v>
      </c>
      <c r="L192" s="609"/>
      <c r="M192" s="55"/>
      <c r="N192" s="608"/>
      <c r="O192" s="121" t="s">
        <v>147</v>
      </c>
      <c r="P192" s="609"/>
      <c r="Q192" s="55"/>
      <c r="R192" s="608"/>
      <c r="S192" s="121" t="s">
        <v>578</v>
      </c>
      <c r="T192" s="609"/>
      <c r="U192" s="55"/>
      <c r="V192" s="608"/>
      <c r="W192" s="14"/>
      <c r="X192" s="609"/>
      <c r="Y192" s="55"/>
      <c r="Z192" s="608"/>
      <c r="AA192" s="14"/>
      <c r="AB192" s="609"/>
      <c r="AC192" s="55"/>
      <c r="AD192" s="55"/>
      <c r="AE192" s="610"/>
      <c r="AF192" s="55"/>
      <c r="AG192" s="55"/>
      <c r="AH192" s="55"/>
      <c r="AI192" s="611"/>
    </row>
    <row r="193" spans="1:35" ht="21" customHeight="1">
      <c r="B193" s="612" t="s">
        <v>579</v>
      </c>
      <c r="C193" s="567" t="s">
        <v>580</v>
      </c>
      <c r="D193" s="131"/>
      <c r="E193" s="55"/>
      <c r="F193" s="608"/>
      <c r="G193" s="567" t="s">
        <v>580</v>
      </c>
      <c r="H193" s="609"/>
      <c r="I193" s="55"/>
      <c r="J193" s="608"/>
      <c r="K193" s="567" t="s">
        <v>580</v>
      </c>
      <c r="L193" s="609"/>
      <c r="M193" s="55"/>
      <c r="N193" s="608"/>
      <c r="O193" s="567" t="s">
        <v>580</v>
      </c>
      <c r="P193" s="609"/>
      <c r="Q193" s="55"/>
      <c r="R193" s="608"/>
      <c r="S193" s="567" t="s">
        <v>580</v>
      </c>
      <c r="T193" s="609"/>
      <c r="U193" s="55"/>
      <c r="V193" s="608"/>
      <c r="W193" s="14"/>
      <c r="X193" s="609"/>
      <c r="Y193" s="55"/>
      <c r="Z193" s="608"/>
      <c r="AA193" s="14"/>
      <c r="AB193" s="609"/>
      <c r="AC193" s="55"/>
      <c r="AD193" s="55"/>
      <c r="AE193" s="610"/>
      <c r="AF193" s="55"/>
      <c r="AG193" s="55"/>
      <c r="AH193" s="55"/>
      <c r="AI193" s="611"/>
    </row>
    <row r="194" spans="1:35" ht="21" customHeight="1">
      <c r="B194" s="612" t="s">
        <v>581</v>
      </c>
      <c r="C194" s="567" t="s">
        <v>582</v>
      </c>
      <c r="D194" s="131"/>
      <c r="E194" s="55"/>
      <c r="F194" s="608"/>
      <c r="G194" s="609" t="s">
        <v>583</v>
      </c>
      <c r="H194" s="609"/>
      <c r="I194" s="55"/>
      <c r="J194" s="608"/>
      <c r="K194" s="609" t="s">
        <v>584</v>
      </c>
      <c r="L194" s="609"/>
      <c r="M194" s="55"/>
      <c r="N194" s="608"/>
      <c r="O194" s="609" t="s">
        <v>584</v>
      </c>
      <c r="P194" s="609"/>
      <c r="Q194" s="55"/>
      <c r="R194" s="608"/>
      <c r="S194" s="609" t="s">
        <v>585</v>
      </c>
      <c r="T194" s="609"/>
      <c r="U194" s="55"/>
      <c r="V194" s="608"/>
      <c r="W194" s="14"/>
      <c r="X194" s="609"/>
      <c r="Y194" s="55"/>
      <c r="Z194" s="608"/>
      <c r="AA194" s="14"/>
      <c r="AB194" s="609"/>
      <c r="AC194" s="55"/>
      <c r="AD194" s="55"/>
      <c r="AE194" s="610"/>
      <c r="AF194" s="55"/>
      <c r="AG194" s="55"/>
      <c r="AH194" s="55"/>
      <c r="AI194" s="611"/>
    </row>
    <row r="195" spans="1:35" ht="21" customHeight="1">
      <c r="B195" s="612" t="s">
        <v>164</v>
      </c>
      <c r="C195" s="567" t="s">
        <v>518</v>
      </c>
      <c r="D195" s="131"/>
      <c r="E195" s="55"/>
      <c r="F195" s="608"/>
      <c r="G195" s="567" t="s">
        <v>518</v>
      </c>
      <c r="H195" s="131"/>
      <c r="I195" s="55"/>
      <c r="J195" s="608"/>
      <c r="K195" s="567" t="s">
        <v>518</v>
      </c>
      <c r="L195" s="131"/>
      <c r="M195" s="55"/>
      <c r="N195" s="608"/>
      <c r="O195" s="567" t="s">
        <v>518</v>
      </c>
      <c r="P195" s="131"/>
      <c r="Q195" s="55"/>
      <c r="R195" s="608"/>
      <c r="S195" s="609" t="s">
        <v>519</v>
      </c>
      <c r="T195" s="609"/>
      <c r="U195" s="55"/>
      <c r="V195" s="608"/>
      <c r="W195" s="14"/>
      <c r="X195" s="609"/>
      <c r="Y195" s="55"/>
      <c r="Z195" s="608"/>
      <c r="AA195" s="14"/>
      <c r="AB195" s="609"/>
      <c r="AC195" s="55"/>
      <c r="AD195" s="55"/>
      <c r="AE195" s="610"/>
      <c r="AF195" s="55"/>
      <c r="AG195" s="55"/>
      <c r="AH195" s="55"/>
      <c r="AI195" s="611"/>
    </row>
    <row r="196" spans="1:35" ht="21" customHeight="1">
      <c r="B196" s="612" t="s">
        <v>167</v>
      </c>
      <c r="C196" s="567" t="s">
        <v>521</v>
      </c>
      <c r="D196" s="131"/>
      <c r="E196" s="55"/>
      <c r="F196" s="608"/>
      <c r="G196" s="567" t="s">
        <v>521</v>
      </c>
      <c r="H196" s="131"/>
      <c r="I196" s="55"/>
      <c r="J196" s="608"/>
      <c r="K196" s="567" t="s">
        <v>521</v>
      </c>
      <c r="L196" s="131"/>
      <c r="M196" s="55"/>
      <c r="N196" s="608"/>
      <c r="O196" s="567" t="s">
        <v>521</v>
      </c>
      <c r="P196" s="131"/>
      <c r="Q196" s="55"/>
      <c r="R196" s="608"/>
      <c r="S196" s="609" t="s">
        <v>522</v>
      </c>
      <c r="T196" s="609"/>
      <c r="U196" s="55"/>
      <c r="V196" s="608"/>
      <c r="W196" s="14"/>
      <c r="X196" s="609"/>
      <c r="Y196" s="55"/>
      <c r="Z196" s="608"/>
      <c r="AA196" s="14"/>
      <c r="AB196" s="609"/>
      <c r="AC196" s="55"/>
      <c r="AD196" s="55"/>
      <c r="AE196" s="610"/>
      <c r="AF196" s="55"/>
      <c r="AG196" s="55"/>
      <c r="AH196" s="55"/>
      <c r="AI196" s="611"/>
    </row>
    <row r="197" spans="1:35" ht="21" customHeight="1" thickBot="1">
      <c r="B197" s="617" t="s">
        <v>170</v>
      </c>
      <c r="C197" s="574" t="s">
        <v>524</v>
      </c>
      <c r="D197" s="48"/>
      <c r="E197" s="622"/>
      <c r="F197" s="240"/>
      <c r="G197" s="574" t="s">
        <v>524</v>
      </c>
      <c r="H197" s="48"/>
      <c r="I197" s="622"/>
      <c r="J197" s="240"/>
      <c r="K197" s="574" t="s">
        <v>524</v>
      </c>
      <c r="L197" s="48"/>
      <c r="M197" s="622"/>
      <c r="N197" s="240"/>
      <c r="O197" s="574" t="s">
        <v>524</v>
      </c>
      <c r="P197" s="48"/>
      <c r="Q197" s="622"/>
      <c r="R197" s="240"/>
      <c r="S197" s="149" t="s">
        <v>525</v>
      </c>
      <c r="T197" s="149"/>
      <c r="U197" s="622"/>
      <c r="V197" s="240"/>
      <c r="W197" s="623"/>
      <c r="X197" s="149"/>
      <c r="Y197" s="622"/>
      <c r="Z197" s="240"/>
      <c r="AA197" s="623"/>
      <c r="AB197" s="149"/>
      <c r="AC197" s="622"/>
      <c r="AD197" s="622"/>
      <c r="AE197" s="624"/>
      <c r="AF197" s="622"/>
      <c r="AG197" s="622"/>
      <c r="AH197" s="622"/>
      <c r="AI197" s="625"/>
    </row>
    <row r="198" spans="1:35" ht="21" customHeight="1">
      <c r="B198" s="274"/>
      <c r="C198" s="312"/>
      <c r="D198" s="72"/>
      <c r="G198" s="312"/>
      <c r="H198" s="72"/>
      <c r="K198" s="312"/>
      <c r="L198" s="72"/>
      <c r="O198" s="312"/>
      <c r="P198" s="72"/>
      <c r="S198" s="312"/>
      <c r="T198" s="312"/>
      <c r="X198" s="312"/>
      <c r="AB198" s="312"/>
      <c r="AE198" s="312"/>
    </row>
    <row r="199" spans="1:35" ht="21" customHeight="1" thickBot="1">
      <c r="A199" s="626" t="s">
        <v>586</v>
      </c>
    </row>
    <row r="200" spans="1:35" ht="21" customHeight="1">
      <c r="A200" s="556"/>
      <c r="B200" s="297" t="s">
        <v>480</v>
      </c>
      <c r="C200" s="1235">
        <v>1</v>
      </c>
      <c r="D200" s="1234">
        <v>2</v>
      </c>
      <c r="E200" s="1234">
        <v>3</v>
      </c>
      <c r="F200" s="1235">
        <v>4</v>
      </c>
      <c r="G200" s="1235">
        <v>5</v>
      </c>
      <c r="H200" s="1234">
        <v>6</v>
      </c>
      <c r="I200" s="1213">
        <v>7</v>
      </c>
      <c r="J200" s="1213">
        <v>8</v>
      </c>
      <c r="K200" s="1235">
        <v>9</v>
      </c>
      <c r="L200" s="1234">
        <v>10</v>
      </c>
      <c r="M200" s="1235">
        <v>11</v>
      </c>
      <c r="N200" s="1235">
        <v>12</v>
      </c>
      <c r="O200" s="1234">
        <v>13</v>
      </c>
      <c r="P200" s="1213">
        <v>14</v>
      </c>
      <c r="Q200" s="1213">
        <v>15</v>
      </c>
      <c r="R200" s="1234">
        <v>16</v>
      </c>
      <c r="S200" s="1234">
        <v>17</v>
      </c>
      <c r="T200" s="1235">
        <v>18</v>
      </c>
      <c r="U200" s="1235">
        <v>19</v>
      </c>
      <c r="V200" s="1330">
        <v>20</v>
      </c>
      <c r="W200" s="1213">
        <v>21</v>
      </c>
      <c r="X200" s="1213">
        <v>22</v>
      </c>
      <c r="Y200" s="1234">
        <v>23</v>
      </c>
      <c r="Z200" s="1234">
        <v>24</v>
      </c>
      <c r="AA200" s="1235">
        <v>25</v>
      </c>
      <c r="AB200" s="1235">
        <v>26</v>
      </c>
      <c r="AC200" s="1234">
        <v>27</v>
      </c>
      <c r="AD200" s="1213">
        <v>28</v>
      </c>
      <c r="AE200" s="1213">
        <v>29</v>
      </c>
      <c r="AF200" s="1234">
        <v>30</v>
      </c>
      <c r="AG200" s="1234">
        <v>31</v>
      </c>
      <c r="AH200" s="498" t="s">
        <v>481</v>
      </c>
      <c r="AI200" s="499" t="s">
        <v>482</v>
      </c>
    </row>
    <row r="201" spans="1:35" ht="21" customHeight="1">
      <c r="A201" s="442">
        <v>3702</v>
      </c>
      <c r="B201" s="153" t="s">
        <v>587</v>
      </c>
      <c r="C201" s="1343"/>
      <c r="D201" s="1343">
        <v>1</v>
      </c>
      <c r="E201" s="1343">
        <v>1</v>
      </c>
      <c r="F201" s="1342"/>
      <c r="G201" s="1343"/>
      <c r="H201" s="557">
        <v>2</v>
      </c>
      <c r="I201" s="557">
        <v>2</v>
      </c>
      <c r="J201" s="557">
        <v>2</v>
      </c>
      <c r="K201" s="557"/>
      <c r="L201" s="557">
        <v>2</v>
      </c>
      <c r="M201" s="1215"/>
      <c r="N201" s="1215"/>
      <c r="O201" s="1368">
        <v>1</v>
      </c>
      <c r="P201" s="1335" t="s">
        <v>514</v>
      </c>
      <c r="Q201" s="1368">
        <v>1</v>
      </c>
      <c r="R201" s="1368">
        <v>1</v>
      </c>
      <c r="S201" s="1368">
        <v>1</v>
      </c>
      <c r="T201" s="1215"/>
      <c r="U201" s="557"/>
      <c r="V201" s="557"/>
      <c r="W201" s="1368">
        <v>2</v>
      </c>
      <c r="X201" s="557">
        <v>2</v>
      </c>
      <c r="Y201" s="557">
        <v>2</v>
      </c>
      <c r="Z201" s="557">
        <v>2</v>
      </c>
      <c r="AA201" s="1215"/>
      <c r="AB201" s="1215"/>
      <c r="AC201" s="1343">
        <v>1</v>
      </c>
      <c r="AD201" s="1343">
        <v>1</v>
      </c>
      <c r="AE201" s="557">
        <v>1</v>
      </c>
      <c r="AF201" s="557">
        <v>1</v>
      </c>
      <c r="AG201" s="557">
        <v>1</v>
      </c>
      <c r="AH201" s="504">
        <v>185</v>
      </c>
      <c r="AI201" s="505">
        <v>37</v>
      </c>
    </row>
    <row r="202" spans="1:35" ht="21" customHeight="1">
      <c r="A202" s="442">
        <v>3701</v>
      </c>
      <c r="B202" s="153" t="s">
        <v>588</v>
      </c>
      <c r="C202" s="1343"/>
      <c r="D202" s="1343" t="s">
        <v>535</v>
      </c>
      <c r="E202" s="1343" t="s">
        <v>535</v>
      </c>
      <c r="F202" s="1342"/>
      <c r="G202" s="1343"/>
      <c r="H202" s="557" t="s">
        <v>535</v>
      </c>
      <c r="I202" s="557" t="s">
        <v>535</v>
      </c>
      <c r="J202" s="557" t="s">
        <v>535</v>
      </c>
      <c r="K202" s="557"/>
      <c r="L202" s="557" t="s">
        <v>535</v>
      </c>
      <c r="M202" s="1215"/>
      <c r="N202" s="1215"/>
      <c r="O202" s="557" t="s">
        <v>535</v>
      </c>
      <c r="P202" s="557" t="s">
        <v>535</v>
      </c>
      <c r="Q202" s="1215" t="s">
        <v>514</v>
      </c>
      <c r="R202" s="557" t="s">
        <v>535</v>
      </c>
      <c r="S202" s="557" t="s">
        <v>535</v>
      </c>
      <c r="T202" s="1215"/>
      <c r="U202" s="557"/>
      <c r="V202" s="557"/>
      <c r="W202" s="557" t="s">
        <v>535</v>
      </c>
      <c r="X202" s="557" t="s">
        <v>535</v>
      </c>
      <c r="Y202" s="557" t="s">
        <v>535</v>
      </c>
      <c r="Z202" s="557" t="s">
        <v>535</v>
      </c>
      <c r="AA202" s="1215"/>
      <c r="AB202" s="1215"/>
      <c r="AC202" s="557" t="s">
        <v>535</v>
      </c>
      <c r="AD202" s="557" t="s">
        <v>535</v>
      </c>
      <c r="AE202" s="557" t="s">
        <v>535</v>
      </c>
      <c r="AF202" s="557" t="s">
        <v>535</v>
      </c>
      <c r="AG202" s="557" t="s">
        <v>535</v>
      </c>
      <c r="AH202" s="504">
        <v>185</v>
      </c>
      <c r="AI202" s="505">
        <v>37</v>
      </c>
    </row>
    <row r="203" spans="1:35" ht="21" customHeight="1">
      <c r="A203" s="442">
        <v>3702</v>
      </c>
      <c r="B203" s="153" t="s">
        <v>589</v>
      </c>
      <c r="C203" s="557"/>
      <c r="D203" s="557">
        <v>2</v>
      </c>
      <c r="E203" s="557">
        <v>2</v>
      </c>
      <c r="F203" s="1215"/>
      <c r="G203" s="557"/>
      <c r="H203" s="557">
        <v>1</v>
      </c>
      <c r="I203" s="557">
        <v>1</v>
      </c>
      <c r="J203" s="557">
        <v>1</v>
      </c>
      <c r="K203" s="557"/>
      <c r="L203" s="1440">
        <v>1</v>
      </c>
      <c r="M203" s="1215"/>
      <c r="N203" s="1215"/>
      <c r="O203" s="1215" t="s">
        <v>514</v>
      </c>
      <c r="P203" s="557">
        <v>2</v>
      </c>
      <c r="Q203" s="557">
        <v>2</v>
      </c>
      <c r="R203" s="557">
        <v>2</v>
      </c>
      <c r="S203" s="557">
        <v>2</v>
      </c>
      <c r="T203" s="1215"/>
      <c r="U203" s="557"/>
      <c r="V203" s="557"/>
      <c r="W203" s="557">
        <v>1</v>
      </c>
      <c r="X203" s="557">
        <v>1</v>
      </c>
      <c r="Y203" s="557">
        <v>1</v>
      </c>
      <c r="Z203" s="557">
        <v>1</v>
      </c>
      <c r="AA203" s="1215"/>
      <c r="AB203" s="1215"/>
      <c r="AC203" s="557">
        <v>2</v>
      </c>
      <c r="AD203" s="557">
        <v>2</v>
      </c>
      <c r="AE203" s="557">
        <v>2</v>
      </c>
      <c r="AF203" s="557">
        <v>2</v>
      </c>
      <c r="AG203" s="557">
        <v>2</v>
      </c>
      <c r="AH203" s="504">
        <v>202</v>
      </c>
      <c r="AI203" s="505">
        <v>37</v>
      </c>
    </row>
    <row r="204" spans="1:35" ht="21" customHeight="1">
      <c r="A204" s="627">
        <v>3706</v>
      </c>
      <c r="B204" s="545"/>
      <c r="C204" s="1215"/>
      <c r="D204" s="1215"/>
      <c r="E204" s="1215"/>
      <c r="F204" s="1215"/>
      <c r="G204" s="1215"/>
      <c r="H204" s="1215"/>
      <c r="I204" s="1215"/>
      <c r="J204" s="1215"/>
      <c r="K204" s="1215"/>
      <c r="L204" s="1215"/>
      <c r="M204" s="1215"/>
      <c r="N204" s="1215"/>
      <c r="O204" s="1215"/>
      <c r="P204" s="1215"/>
      <c r="Q204" s="1215"/>
      <c r="R204" s="1215"/>
      <c r="S204" s="1215"/>
      <c r="T204" s="1215"/>
      <c r="U204" s="1215"/>
      <c r="V204" s="1215"/>
      <c r="W204" s="1215"/>
      <c r="X204" s="1215"/>
      <c r="Y204" s="1215"/>
      <c r="Z204" s="1215"/>
      <c r="AA204" s="1215"/>
      <c r="AB204" s="1215"/>
      <c r="AC204" s="1215"/>
      <c r="AD204" s="1215"/>
      <c r="AE204" s="1215"/>
      <c r="AF204" s="1215"/>
      <c r="AG204" s="1215"/>
      <c r="AH204" s="504">
        <v>202</v>
      </c>
      <c r="AI204" s="505">
        <v>37</v>
      </c>
    </row>
    <row r="205" spans="1:35" ht="21" customHeight="1">
      <c r="A205" s="628"/>
      <c r="B205" s="629" t="s">
        <v>590</v>
      </c>
      <c r="C205" s="630"/>
      <c r="D205" s="630"/>
      <c r="E205" s="630"/>
      <c r="F205" s="630"/>
      <c r="G205" s="630"/>
      <c r="H205" s="630"/>
      <c r="I205" s="630"/>
      <c r="J205" s="630"/>
      <c r="K205" s="630"/>
      <c r="L205" s="630"/>
      <c r="M205" s="630"/>
      <c r="N205" s="630"/>
      <c r="O205" s="630"/>
      <c r="P205" s="630"/>
      <c r="Q205" s="630"/>
      <c r="R205" s="630"/>
      <c r="S205" s="630"/>
      <c r="T205" s="630"/>
      <c r="U205" s="630"/>
      <c r="V205" s="630"/>
      <c r="W205" s="630"/>
      <c r="X205" s="630"/>
      <c r="Y205" s="630"/>
      <c r="Z205" s="630"/>
      <c r="AA205" s="630"/>
      <c r="AB205" s="630"/>
      <c r="AC205" s="630"/>
      <c r="AD205" s="630"/>
      <c r="AE205" s="630"/>
      <c r="AF205" s="630"/>
      <c r="AG205" s="631"/>
      <c r="AH205" s="632"/>
      <c r="AI205" s="633"/>
    </row>
    <row r="206" spans="1:35" ht="21" customHeight="1">
      <c r="A206" s="442">
        <v>3702</v>
      </c>
      <c r="B206" s="902" t="s">
        <v>520</v>
      </c>
      <c r="C206" s="1343"/>
      <c r="D206" s="1343" t="s">
        <v>591</v>
      </c>
      <c r="E206" s="1343" t="s">
        <v>591</v>
      </c>
      <c r="F206" s="1356"/>
      <c r="G206" s="1356"/>
      <c r="H206" s="557" t="s">
        <v>591</v>
      </c>
      <c r="I206" s="557" t="s">
        <v>591</v>
      </c>
      <c r="J206" s="557" t="s">
        <v>591</v>
      </c>
      <c r="K206" s="557"/>
      <c r="L206" s="557" t="s">
        <v>591</v>
      </c>
      <c r="M206" s="1231"/>
      <c r="N206" s="1215"/>
      <c r="O206" s="1215" t="s">
        <v>514</v>
      </c>
      <c r="P206" s="557" t="s">
        <v>591</v>
      </c>
      <c r="Q206" s="557" t="s">
        <v>591</v>
      </c>
      <c r="R206" s="557" t="s">
        <v>591</v>
      </c>
      <c r="S206" s="557" t="s">
        <v>591</v>
      </c>
      <c r="T206" s="1215"/>
      <c r="U206" s="1215"/>
      <c r="V206" s="557" t="s">
        <v>591</v>
      </c>
      <c r="W206" s="557" t="s">
        <v>591</v>
      </c>
      <c r="X206" s="557" t="s">
        <v>591</v>
      </c>
      <c r="Y206" s="557" t="s">
        <v>591</v>
      </c>
      <c r="Z206" s="557" t="s">
        <v>591</v>
      </c>
      <c r="AA206" s="502"/>
      <c r="AB206" s="502"/>
      <c r="AC206" s="557" t="s">
        <v>591</v>
      </c>
      <c r="AD206" s="557" t="s">
        <v>591</v>
      </c>
      <c r="AE206" s="557" t="s">
        <v>591</v>
      </c>
      <c r="AF206" s="557" t="s">
        <v>591</v>
      </c>
      <c r="AG206" s="557" t="s">
        <v>591</v>
      </c>
      <c r="AH206" s="504">
        <v>209</v>
      </c>
      <c r="AI206" s="505">
        <v>37</v>
      </c>
    </row>
    <row r="207" spans="1:35" ht="21" customHeight="1">
      <c r="A207" s="442"/>
      <c r="B207" s="153" t="s">
        <v>517</v>
      </c>
      <c r="C207" s="557"/>
      <c r="D207" s="557" t="s">
        <v>592</v>
      </c>
      <c r="E207" s="557" t="s">
        <v>592</v>
      </c>
      <c r="F207" s="502"/>
      <c r="G207" s="502"/>
      <c r="H207" s="557" t="s">
        <v>592</v>
      </c>
      <c r="I207" s="557" t="s">
        <v>592</v>
      </c>
      <c r="J207" s="557" t="s">
        <v>592</v>
      </c>
      <c r="K207" s="557"/>
      <c r="L207" s="557" t="s">
        <v>592</v>
      </c>
      <c r="M207" s="1231"/>
      <c r="N207" s="1215"/>
      <c r="O207" s="557" t="s">
        <v>592</v>
      </c>
      <c r="P207" s="1215" t="s">
        <v>514</v>
      </c>
      <c r="Q207" s="557" t="s">
        <v>592</v>
      </c>
      <c r="R207" s="557" t="s">
        <v>592</v>
      </c>
      <c r="S207" s="557" t="s">
        <v>592</v>
      </c>
      <c r="T207" s="1215"/>
      <c r="U207" s="1215"/>
      <c r="V207" s="557" t="s">
        <v>592</v>
      </c>
      <c r="W207" s="557" t="s">
        <v>592</v>
      </c>
      <c r="X207" s="557" t="s">
        <v>592</v>
      </c>
      <c r="Y207" s="557" t="s">
        <v>592</v>
      </c>
      <c r="Z207" s="557" t="s">
        <v>592</v>
      </c>
      <c r="AA207" s="502"/>
      <c r="AB207" s="502"/>
      <c r="AC207" s="557" t="s">
        <v>592</v>
      </c>
      <c r="AD207" s="557" t="s">
        <v>592</v>
      </c>
      <c r="AE207" s="557" t="s">
        <v>592</v>
      </c>
      <c r="AF207" s="557" t="s">
        <v>592</v>
      </c>
      <c r="AG207" s="557" t="s">
        <v>592</v>
      </c>
      <c r="AH207" s="504">
        <v>221</v>
      </c>
      <c r="AI207" s="505">
        <v>37</v>
      </c>
    </row>
    <row r="208" spans="1:35" ht="21" customHeight="1">
      <c r="A208" s="442"/>
      <c r="B208" s="153" t="s">
        <v>523</v>
      </c>
      <c r="C208" s="557"/>
      <c r="D208" s="557" t="s">
        <v>556</v>
      </c>
      <c r="E208" s="557" t="s">
        <v>556</v>
      </c>
      <c r="F208" s="502"/>
      <c r="G208" s="502"/>
      <c r="H208" s="557" t="s">
        <v>556</v>
      </c>
      <c r="I208" s="557" t="s">
        <v>556</v>
      </c>
      <c r="J208" s="557" t="s">
        <v>556</v>
      </c>
      <c r="K208" s="557"/>
      <c r="L208" s="557" t="s">
        <v>556</v>
      </c>
      <c r="M208" s="1231"/>
      <c r="N208" s="1215"/>
      <c r="O208" s="557" t="s">
        <v>591</v>
      </c>
      <c r="P208" s="557" t="s">
        <v>591</v>
      </c>
      <c r="Q208" s="1215" t="s">
        <v>514</v>
      </c>
      <c r="R208" s="557" t="s">
        <v>591</v>
      </c>
      <c r="S208" s="557" t="s">
        <v>591</v>
      </c>
      <c r="T208" s="1215"/>
      <c r="U208" s="1215"/>
      <c r="V208" s="557" t="s">
        <v>556</v>
      </c>
      <c r="W208" s="557" t="s">
        <v>556</v>
      </c>
      <c r="X208" s="557" t="s">
        <v>556</v>
      </c>
      <c r="Y208" s="557" t="s">
        <v>556</v>
      </c>
      <c r="Z208" s="557" t="s">
        <v>556</v>
      </c>
      <c r="AA208" s="502"/>
      <c r="AB208" s="502"/>
      <c r="AC208" s="557" t="s">
        <v>556</v>
      </c>
      <c r="AD208" s="557" t="s">
        <v>556</v>
      </c>
      <c r="AE208" s="557" t="s">
        <v>556</v>
      </c>
      <c r="AF208" s="557" t="s">
        <v>556</v>
      </c>
      <c r="AG208" s="557" t="s">
        <v>556</v>
      </c>
      <c r="AH208" s="504">
        <v>200</v>
      </c>
      <c r="AI208" s="505">
        <v>37</v>
      </c>
    </row>
    <row r="209" spans="1:35" ht="21" customHeight="1"/>
    <row r="210" spans="1:35" ht="21" customHeight="1"/>
    <row r="211" spans="1:35" ht="21" customHeight="1" thickBot="1">
      <c r="A211" s="1" t="s">
        <v>593</v>
      </c>
    </row>
    <row r="212" spans="1:35" ht="21" customHeight="1">
      <c r="B212" s="201" t="s">
        <v>516</v>
      </c>
      <c r="C212" s="7"/>
      <c r="D212" s="525" t="s">
        <v>2</v>
      </c>
      <c r="E212" s="51"/>
      <c r="F212" s="551"/>
      <c r="G212" s="7"/>
      <c r="H212" s="525" t="s">
        <v>3</v>
      </c>
      <c r="I212" s="51"/>
      <c r="J212" s="551"/>
      <c r="K212" s="7"/>
      <c r="L212" s="525" t="s">
        <v>4</v>
      </c>
      <c r="M212" s="51"/>
      <c r="N212" s="551"/>
      <c r="O212" s="7"/>
      <c r="P212" s="525" t="s">
        <v>5</v>
      </c>
      <c r="Q212" s="51"/>
      <c r="R212" s="551"/>
      <c r="S212" s="7"/>
      <c r="T212" s="525" t="s">
        <v>6</v>
      </c>
      <c r="U212" s="51"/>
      <c r="V212" s="551"/>
      <c r="W212" s="7"/>
      <c r="X212" s="525" t="s">
        <v>7</v>
      </c>
      <c r="Y212" s="51"/>
      <c r="Z212" s="551"/>
      <c r="AA212" s="7"/>
      <c r="AB212" s="525" t="s">
        <v>8</v>
      </c>
      <c r="AC212" s="51"/>
      <c r="AD212" s="51"/>
      <c r="AE212" s="425" t="s">
        <v>10</v>
      </c>
      <c r="AF212" s="51"/>
      <c r="AG212" s="51"/>
      <c r="AH212" s="51"/>
      <c r="AI212" s="526"/>
    </row>
    <row r="213" spans="1:35" ht="21" customHeight="1">
      <c r="B213" s="9">
        <v>8500</v>
      </c>
      <c r="C213" s="121" t="s">
        <v>33</v>
      </c>
      <c r="D213" s="609"/>
      <c r="E213" s="55"/>
      <c r="F213" s="608"/>
      <c r="G213" s="121" t="s">
        <v>33</v>
      </c>
      <c r="H213" s="609"/>
      <c r="I213" s="55"/>
      <c r="J213" s="608"/>
      <c r="K213" s="121" t="s">
        <v>33</v>
      </c>
      <c r="L213" s="609"/>
      <c r="M213" s="55"/>
      <c r="N213" s="608"/>
      <c r="O213" s="121" t="s">
        <v>33</v>
      </c>
      <c r="P213" s="609"/>
      <c r="Q213" s="55"/>
      <c r="R213" s="608"/>
      <c r="S213" s="121" t="s">
        <v>34</v>
      </c>
      <c r="T213" s="609"/>
      <c r="U213" s="55"/>
      <c r="V213" s="608"/>
      <c r="W213" s="14"/>
      <c r="X213" s="609"/>
      <c r="Y213" s="55"/>
      <c r="Z213" s="608"/>
      <c r="AA213" s="14"/>
      <c r="AB213" s="609"/>
      <c r="AC213" s="55"/>
      <c r="AD213" s="55"/>
      <c r="AE213" s="610"/>
      <c r="AF213" s="55"/>
      <c r="AG213" s="55"/>
      <c r="AH213" s="55"/>
      <c r="AI213" s="611"/>
    </row>
    <row r="214" spans="1:35" ht="21" customHeight="1" thickBot="1">
      <c r="B214" s="163" t="s">
        <v>594</v>
      </c>
      <c r="C214" s="634" t="s">
        <v>595</v>
      </c>
      <c r="D214" s="635"/>
      <c r="E214" s="622"/>
      <c r="F214" s="240"/>
      <c r="G214" s="634" t="s">
        <v>595</v>
      </c>
      <c r="H214" s="149"/>
      <c r="I214" s="622"/>
      <c r="J214" s="240"/>
      <c r="K214" s="634" t="s">
        <v>595</v>
      </c>
      <c r="L214" s="149"/>
      <c r="M214" s="622"/>
      <c r="N214" s="240"/>
      <c r="O214" s="634" t="s">
        <v>596</v>
      </c>
      <c r="P214" s="149"/>
      <c r="Q214" s="622"/>
      <c r="R214" s="240"/>
      <c r="S214" s="634" t="s">
        <v>16</v>
      </c>
      <c r="T214" s="149"/>
      <c r="U214" s="622"/>
      <c r="V214" s="240"/>
      <c r="W214" s="623"/>
      <c r="X214" s="149"/>
      <c r="Y214" s="622"/>
      <c r="Z214" s="240"/>
      <c r="AA214" s="623"/>
      <c r="AB214" s="149"/>
      <c r="AC214" s="622"/>
      <c r="AD214" s="622"/>
      <c r="AE214" s="624"/>
      <c r="AF214" s="622"/>
      <c r="AG214" s="622"/>
      <c r="AH214" s="622"/>
      <c r="AI214" s="625"/>
    </row>
    <row r="215" spans="1:35" ht="21" customHeight="1" thickBot="1">
      <c r="A215" s="60" t="s">
        <v>597</v>
      </c>
    </row>
    <row r="216" spans="1:35" ht="21" customHeight="1">
      <c r="A216" s="636"/>
      <c r="B216" s="297" t="s">
        <v>480</v>
      </c>
      <c r="C216" s="1235">
        <v>1</v>
      </c>
      <c r="D216" s="1234">
        <v>2</v>
      </c>
      <c r="E216" s="1234">
        <v>3</v>
      </c>
      <c r="F216" s="1235">
        <v>4</v>
      </c>
      <c r="G216" s="1235">
        <v>5</v>
      </c>
      <c r="H216" s="1234">
        <v>6</v>
      </c>
      <c r="I216" s="1213">
        <v>7</v>
      </c>
      <c r="J216" s="1213">
        <v>8</v>
      </c>
      <c r="K216" s="1235">
        <v>9</v>
      </c>
      <c r="L216" s="1234">
        <v>10</v>
      </c>
      <c r="M216" s="1235">
        <v>11</v>
      </c>
      <c r="N216" s="1235">
        <v>12</v>
      </c>
      <c r="O216" s="1234">
        <v>13</v>
      </c>
      <c r="P216" s="1213">
        <v>14</v>
      </c>
      <c r="Q216" s="1213">
        <v>15</v>
      </c>
      <c r="R216" s="1234">
        <v>16</v>
      </c>
      <c r="S216" s="1234">
        <v>17</v>
      </c>
      <c r="T216" s="1235">
        <v>18</v>
      </c>
      <c r="U216" s="1235">
        <v>19</v>
      </c>
      <c r="V216" s="1330">
        <v>20</v>
      </c>
      <c r="W216" s="1213">
        <v>21</v>
      </c>
      <c r="X216" s="1213">
        <v>22</v>
      </c>
      <c r="Y216" s="1234">
        <v>23</v>
      </c>
      <c r="Z216" s="1234">
        <v>24</v>
      </c>
      <c r="AA216" s="1235">
        <v>25</v>
      </c>
      <c r="AB216" s="1235">
        <v>26</v>
      </c>
      <c r="AC216" s="1234">
        <v>27</v>
      </c>
      <c r="AD216" s="1213">
        <v>28</v>
      </c>
      <c r="AE216" s="1213">
        <v>29</v>
      </c>
      <c r="AF216" s="1234">
        <v>30</v>
      </c>
      <c r="AG216" s="1234">
        <v>31</v>
      </c>
      <c r="AH216" s="498" t="s">
        <v>481</v>
      </c>
      <c r="AI216" s="499" t="s">
        <v>482</v>
      </c>
    </row>
    <row r="217" spans="1:35" ht="21" customHeight="1">
      <c r="A217" s="155">
        <v>8500</v>
      </c>
      <c r="B217" s="637" t="s">
        <v>598</v>
      </c>
      <c r="C217" s="1215"/>
      <c r="D217" s="1215" t="s">
        <v>535</v>
      </c>
      <c r="E217" s="1215" t="s">
        <v>535</v>
      </c>
      <c r="F217" s="1215"/>
      <c r="G217" s="1215"/>
      <c r="H217" s="1215" t="s">
        <v>535</v>
      </c>
      <c r="I217" s="1215" t="s">
        <v>535</v>
      </c>
      <c r="J217" s="1215" t="s">
        <v>535</v>
      </c>
      <c r="K217" s="1215"/>
      <c r="L217" s="1215" t="s">
        <v>535</v>
      </c>
      <c r="M217" s="1215"/>
      <c r="N217" s="1215"/>
      <c r="O217" s="1215" t="s">
        <v>514</v>
      </c>
      <c r="P217" s="1215" t="s">
        <v>535</v>
      </c>
      <c r="Q217" s="1215" t="s">
        <v>535</v>
      </c>
      <c r="R217" s="1215" t="s">
        <v>535</v>
      </c>
      <c r="S217" s="1215" t="s">
        <v>535</v>
      </c>
      <c r="T217" s="1215"/>
      <c r="U217" s="1215"/>
      <c r="V217" s="1215"/>
      <c r="W217" s="1215" t="s">
        <v>535</v>
      </c>
      <c r="X217" s="1215" t="s">
        <v>535</v>
      </c>
      <c r="Y217" s="1215" t="s">
        <v>535</v>
      </c>
      <c r="Z217" s="1215" t="s">
        <v>535</v>
      </c>
      <c r="AA217" s="1215"/>
      <c r="AB217" s="1215"/>
      <c r="AC217" s="1342" t="s">
        <v>535</v>
      </c>
      <c r="AD217" s="1342" t="s">
        <v>535</v>
      </c>
      <c r="AE217" s="1215" t="s">
        <v>535</v>
      </c>
      <c r="AF217" s="1215" t="s">
        <v>535</v>
      </c>
      <c r="AG217" s="1215" t="s">
        <v>535</v>
      </c>
      <c r="AH217" s="638">
        <v>222</v>
      </c>
      <c r="AI217" s="639">
        <v>37</v>
      </c>
    </row>
    <row r="218" spans="1:35" ht="21" customHeight="1">
      <c r="A218" s="500" t="s">
        <v>599</v>
      </c>
      <c r="B218" s="153" t="s">
        <v>600</v>
      </c>
      <c r="C218" s="1215"/>
      <c r="D218" s="1338" t="s">
        <v>535</v>
      </c>
      <c r="E218" s="1215" t="s">
        <v>535</v>
      </c>
      <c r="F218" s="1215"/>
      <c r="G218" s="1215"/>
      <c r="H218" s="1215" t="s">
        <v>535</v>
      </c>
      <c r="I218" s="1215" t="s">
        <v>535</v>
      </c>
      <c r="J218" s="1215" t="s">
        <v>535</v>
      </c>
      <c r="K218" s="1215"/>
      <c r="L218" s="1215" t="s">
        <v>535</v>
      </c>
      <c r="M218" s="1215"/>
      <c r="N218" s="1215"/>
      <c r="O218" s="1215" t="s">
        <v>535</v>
      </c>
      <c r="P218" s="1215" t="s">
        <v>514</v>
      </c>
      <c r="Q218" s="1215" t="s">
        <v>535</v>
      </c>
      <c r="R218" s="1215" t="s">
        <v>535</v>
      </c>
      <c r="S218" s="1215" t="s">
        <v>535</v>
      </c>
      <c r="T218" s="1215"/>
      <c r="U218" s="1215"/>
      <c r="V218" s="1215"/>
      <c r="W218" s="1215" t="s">
        <v>535</v>
      </c>
      <c r="X218" s="1215" t="s">
        <v>535</v>
      </c>
      <c r="Y218" s="1215" t="s">
        <v>535</v>
      </c>
      <c r="Z218" s="1215" t="s">
        <v>535</v>
      </c>
      <c r="AA218" s="1215"/>
      <c r="AB218" s="1215"/>
      <c r="AC218" s="1215" t="s">
        <v>535</v>
      </c>
      <c r="AD218" s="1215" t="s">
        <v>535</v>
      </c>
      <c r="AE218" s="1215" t="s">
        <v>535</v>
      </c>
      <c r="AF218" s="1215" t="s">
        <v>535</v>
      </c>
      <c r="AG218" s="1215" t="s">
        <v>535</v>
      </c>
      <c r="AH218" s="638">
        <v>185</v>
      </c>
      <c r="AI218" s="639">
        <v>37</v>
      </c>
    </row>
    <row r="219" spans="1:35" ht="21" customHeight="1">
      <c r="A219" s="153">
        <v>8500</v>
      </c>
      <c r="B219" s="153"/>
      <c r="C219" s="1215"/>
      <c r="D219" s="1215" t="s">
        <v>535</v>
      </c>
      <c r="E219" s="1215" t="s">
        <v>535</v>
      </c>
      <c r="F219" s="1215"/>
      <c r="G219" s="1215"/>
      <c r="H219" s="1215" t="s">
        <v>535</v>
      </c>
      <c r="I219" s="1215" t="s">
        <v>535</v>
      </c>
      <c r="J219" s="1215" t="s">
        <v>535</v>
      </c>
      <c r="K219" s="1215"/>
      <c r="L219" s="1215" t="s">
        <v>535</v>
      </c>
      <c r="M219" s="1215"/>
      <c r="N219" s="1215"/>
      <c r="O219" s="1215" t="s">
        <v>535</v>
      </c>
      <c r="P219" s="1215" t="s">
        <v>535</v>
      </c>
      <c r="Q219" s="1215" t="s">
        <v>535</v>
      </c>
      <c r="R219" s="1215" t="s">
        <v>535</v>
      </c>
      <c r="S219" s="1215" t="s">
        <v>535</v>
      </c>
      <c r="T219" s="1215"/>
      <c r="U219" s="1215"/>
      <c r="V219" s="1215"/>
      <c r="W219" s="1215" t="s">
        <v>535</v>
      </c>
      <c r="X219" s="1215" t="s">
        <v>535</v>
      </c>
      <c r="Y219" s="1215" t="s">
        <v>535</v>
      </c>
      <c r="Z219" s="1215" t="s">
        <v>535</v>
      </c>
      <c r="AA219" s="1215"/>
      <c r="AB219" s="1215"/>
      <c r="AC219" s="1215" t="s">
        <v>535</v>
      </c>
      <c r="AD219" s="1215" t="s">
        <v>535</v>
      </c>
      <c r="AE219" s="1215" t="s">
        <v>535</v>
      </c>
      <c r="AF219" s="1215" t="s">
        <v>535</v>
      </c>
      <c r="AG219" s="1215" t="s">
        <v>535</v>
      </c>
      <c r="AH219" s="638">
        <v>185</v>
      </c>
      <c r="AI219" s="639">
        <v>37</v>
      </c>
    </row>
    <row r="220" spans="1:35" ht="21.95" customHeight="1">
      <c r="A220" s="442"/>
      <c r="B220" s="153" t="s">
        <v>601</v>
      </c>
      <c r="C220" s="1215"/>
      <c r="D220" s="1215" t="s">
        <v>535</v>
      </c>
      <c r="E220" s="1215" t="s">
        <v>535</v>
      </c>
      <c r="F220" s="1215"/>
      <c r="G220" s="1215"/>
      <c r="H220" s="1215" t="s">
        <v>535</v>
      </c>
      <c r="I220" s="1215" t="s">
        <v>535</v>
      </c>
      <c r="J220" s="1215" t="s">
        <v>535</v>
      </c>
      <c r="K220" s="1215"/>
      <c r="L220" s="1215" t="s">
        <v>535</v>
      </c>
      <c r="M220" s="1215"/>
      <c r="N220" s="1215"/>
      <c r="O220" s="1215" t="s">
        <v>535</v>
      </c>
      <c r="P220" s="1215" t="s">
        <v>535</v>
      </c>
      <c r="Q220" s="1215" t="s">
        <v>514</v>
      </c>
      <c r="R220" s="1215" t="s">
        <v>535</v>
      </c>
      <c r="S220" s="1215" t="s">
        <v>535</v>
      </c>
      <c r="T220" s="1215"/>
      <c r="U220" s="1215"/>
      <c r="V220" s="1215"/>
      <c r="W220" s="1215" t="s">
        <v>535</v>
      </c>
      <c r="X220" s="1215" t="s">
        <v>535</v>
      </c>
      <c r="Y220" s="1215" t="s">
        <v>535</v>
      </c>
      <c r="Z220" s="1215" t="s">
        <v>535</v>
      </c>
      <c r="AA220" s="1215"/>
      <c r="AB220" s="1215"/>
      <c r="AC220" s="1344" t="s">
        <v>535</v>
      </c>
      <c r="AD220" s="1344" t="s">
        <v>535</v>
      </c>
      <c r="AE220" s="1215" t="s">
        <v>535</v>
      </c>
      <c r="AF220" s="1215" t="s">
        <v>535</v>
      </c>
      <c r="AG220" s="1215" t="s">
        <v>535</v>
      </c>
      <c r="AH220" s="638">
        <v>185</v>
      </c>
      <c r="AI220" s="639">
        <v>37</v>
      </c>
    </row>
    <row r="221" spans="1:35" ht="21.95" customHeight="1">
      <c r="A221" s="511">
        <v>3350</v>
      </c>
      <c r="B221" s="54" t="s">
        <v>602</v>
      </c>
      <c r="C221" s="1215"/>
      <c r="D221" s="1215" t="s">
        <v>535</v>
      </c>
      <c r="E221" s="1215" t="s">
        <v>535</v>
      </c>
      <c r="F221" s="1215"/>
      <c r="G221" s="1215"/>
      <c r="H221" s="1358" t="s">
        <v>535</v>
      </c>
      <c r="I221" s="1358" t="s">
        <v>535</v>
      </c>
      <c r="J221" s="1358" t="s">
        <v>535</v>
      </c>
      <c r="K221" s="1358"/>
      <c r="L221" s="1358" t="s">
        <v>535</v>
      </c>
      <c r="M221" s="1358"/>
      <c r="N221" s="1358"/>
      <c r="O221" s="1358" t="s">
        <v>535</v>
      </c>
      <c r="P221" s="1215" t="s">
        <v>514</v>
      </c>
      <c r="Q221" s="1215" t="s">
        <v>535</v>
      </c>
      <c r="R221" s="1215" t="s">
        <v>535</v>
      </c>
      <c r="S221" s="1215" t="s">
        <v>535</v>
      </c>
      <c r="T221" s="1215"/>
      <c r="U221" s="1215"/>
      <c r="V221" s="1215"/>
      <c r="W221" s="1215" t="s">
        <v>535</v>
      </c>
      <c r="X221" s="1215" t="s">
        <v>535</v>
      </c>
      <c r="Y221" s="1215" t="s">
        <v>535</v>
      </c>
      <c r="Z221" s="1215" t="s">
        <v>535</v>
      </c>
      <c r="AA221" s="1215"/>
      <c r="AB221" s="1215"/>
      <c r="AC221" s="1215" t="s">
        <v>535</v>
      </c>
      <c r="AD221" s="1215" t="s">
        <v>535</v>
      </c>
      <c r="AE221" s="1215" t="s">
        <v>535</v>
      </c>
      <c r="AF221" s="1215" t="s">
        <v>535</v>
      </c>
      <c r="AG221" s="1215" t="s">
        <v>535</v>
      </c>
      <c r="AH221" s="638">
        <v>185</v>
      </c>
      <c r="AI221" s="639">
        <v>37</v>
      </c>
    </row>
    <row r="222" spans="1:35" ht="21.95" customHeight="1">
      <c r="A222" s="519">
        <v>3701</v>
      </c>
      <c r="B222" s="153" t="s">
        <v>603</v>
      </c>
      <c r="C222" s="1215"/>
      <c r="D222" s="1215" t="s">
        <v>535</v>
      </c>
      <c r="E222" s="1215" t="s">
        <v>535</v>
      </c>
      <c r="F222" s="1215"/>
      <c r="G222" s="1215"/>
      <c r="H222" s="1215" t="s">
        <v>535</v>
      </c>
      <c r="I222" s="1215" t="s">
        <v>535</v>
      </c>
      <c r="J222" s="1215" t="s">
        <v>535</v>
      </c>
      <c r="K222" s="1215"/>
      <c r="L222" s="1215" t="s">
        <v>535</v>
      </c>
      <c r="M222" s="1215"/>
      <c r="N222" s="1215"/>
      <c r="O222" s="1392" t="s">
        <v>535</v>
      </c>
      <c r="P222" s="1392" t="s">
        <v>535</v>
      </c>
      <c r="Q222" s="1392" t="s">
        <v>535</v>
      </c>
      <c r="R222" s="1392" t="s">
        <v>570</v>
      </c>
      <c r="S222" s="1215" t="s">
        <v>535</v>
      </c>
      <c r="T222" s="1215"/>
      <c r="U222" s="1215"/>
      <c r="V222" s="1215"/>
      <c r="W222" s="1215" t="s">
        <v>535</v>
      </c>
      <c r="X222" s="1215" t="s">
        <v>535</v>
      </c>
      <c r="Y222" s="1215" t="s">
        <v>535</v>
      </c>
      <c r="Z222" s="1215" t="s">
        <v>535</v>
      </c>
      <c r="AA222" s="1215"/>
      <c r="AB222" s="1215"/>
      <c r="AC222" s="1215" t="s">
        <v>535</v>
      </c>
      <c r="AD222" s="1215" t="s">
        <v>535</v>
      </c>
      <c r="AE222" s="1215" t="s">
        <v>535</v>
      </c>
      <c r="AF222" s="1215" t="s">
        <v>535</v>
      </c>
      <c r="AG222" s="1215" t="s">
        <v>535</v>
      </c>
      <c r="AH222" s="638">
        <v>215</v>
      </c>
      <c r="AI222" s="639">
        <v>37</v>
      </c>
    </row>
    <row r="223" spans="1:35" ht="25.5" customHeight="1" thickBot="1">
      <c r="A223" s="1" t="s">
        <v>604</v>
      </c>
    </row>
    <row r="224" spans="1:35" ht="21" customHeight="1">
      <c r="A224" s="1"/>
      <c r="B224" s="201" t="s">
        <v>516</v>
      </c>
      <c r="C224" s="7"/>
      <c r="D224" s="525" t="s">
        <v>2</v>
      </c>
      <c r="E224" s="51"/>
      <c r="F224" s="551"/>
      <c r="G224" s="7"/>
      <c r="H224" s="525" t="s">
        <v>3</v>
      </c>
      <c r="I224" s="51"/>
      <c r="J224" s="551"/>
      <c r="K224" s="7"/>
      <c r="L224" s="525" t="s">
        <v>4</v>
      </c>
      <c r="M224" s="51"/>
      <c r="N224" s="551"/>
      <c r="O224" s="7"/>
      <c r="P224" s="525" t="s">
        <v>5</v>
      </c>
      <c r="Q224" s="51"/>
      <c r="R224" s="551"/>
      <c r="S224" s="7"/>
      <c r="T224" s="525" t="s">
        <v>6</v>
      </c>
      <c r="U224" s="51"/>
      <c r="V224" s="551"/>
      <c r="W224" s="7"/>
      <c r="X224" s="525" t="s">
        <v>7</v>
      </c>
      <c r="Y224" s="51"/>
      <c r="Z224" s="551"/>
      <c r="AA224" s="7"/>
      <c r="AB224" s="525" t="s">
        <v>8</v>
      </c>
      <c r="AC224" s="51"/>
      <c r="AD224" s="51"/>
      <c r="AE224" s="425" t="s">
        <v>10</v>
      </c>
      <c r="AF224" s="51"/>
      <c r="AG224" s="51"/>
      <c r="AH224" s="51"/>
      <c r="AI224" s="526"/>
    </row>
    <row r="225" spans="1:35" ht="21" customHeight="1">
      <c r="A225" s="1"/>
      <c r="B225" s="9"/>
      <c r="C225" s="14"/>
      <c r="D225" s="609"/>
      <c r="E225" s="55"/>
      <c r="F225" s="608"/>
      <c r="G225" s="14"/>
      <c r="H225" s="609"/>
      <c r="I225" s="55"/>
      <c r="J225" s="608"/>
      <c r="K225" s="14"/>
      <c r="L225" s="609"/>
      <c r="M225" s="55"/>
      <c r="N225" s="608"/>
      <c r="O225" s="14"/>
      <c r="P225" s="609"/>
      <c r="Q225" s="55"/>
      <c r="R225" s="608"/>
      <c r="S225" s="14"/>
      <c r="T225" s="609"/>
      <c r="U225" s="55"/>
      <c r="V225" s="608"/>
      <c r="W225" s="14"/>
      <c r="X225" s="609"/>
      <c r="Y225" s="55"/>
      <c r="Z225" s="608"/>
      <c r="AA225" s="14"/>
      <c r="AB225" s="609"/>
      <c r="AC225" s="55"/>
      <c r="AD225" s="55"/>
      <c r="AE225" s="610"/>
      <c r="AF225" s="55"/>
      <c r="AG225" s="55"/>
      <c r="AH225" s="55"/>
      <c r="AI225" s="611"/>
    </row>
    <row r="226" spans="1:35" ht="21" customHeight="1">
      <c r="B226" s="612"/>
      <c r="C226" s="121"/>
      <c r="D226" s="157"/>
      <c r="E226" s="157"/>
      <c r="F226" s="568"/>
      <c r="G226" s="121"/>
      <c r="H226" s="157"/>
      <c r="I226" s="157"/>
      <c r="J226" s="568"/>
      <c r="K226" s="121"/>
      <c r="L226" s="157"/>
      <c r="M226" s="157"/>
      <c r="N226" s="568"/>
      <c r="O226" s="121"/>
      <c r="P226" s="157"/>
      <c r="Q226" s="157"/>
      <c r="R226" s="568"/>
      <c r="S226" s="121"/>
      <c r="T226" s="157"/>
      <c r="U226" s="157"/>
      <c r="V226" s="568"/>
      <c r="W226" s="121"/>
      <c r="X226" s="157"/>
      <c r="Y226" s="157"/>
      <c r="Z226" s="568"/>
      <c r="AA226" s="567"/>
      <c r="AB226" s="157"/>
      <c r="AC226" s="157"/>
      <c r="AD226" s="569"/>
      <c r="AE226" s="613"/>
      <c r="AF226" s="157"/>
      <c r="AG226" s="157" t="s">
        <v>28</v>
      </c>
      <c r="AH226" s="569"/>
      <c r="AI226" s="490"/>
    </row>
    <row r="227" spans="1:35" ht="21" customHeight="1" thickBot="1">
      <c r="A227" s="1"/>
      <c r="B227" s="47"/>
      <c r="C227" s="574"/>
      <c r="D227" s="53"/>
      <c r="E227" s="53"/>
      <c r="F227" s="575"/>
      <c r="G227" s="574"/>
      <c r="H227" s="53"/>
      <c r="I227" s="53"/>
      <c r="J227" s="575"/>
      <c r="K227" s="574"/>
      <c r="L227" s="53"/>
      <c r="M227" s="53"/>
      <c r="N227" s="575"/>
      <c r="O227" s="574"/>
      <c r="P227" s="53"/>
      <c r="Q227" s="53"/>
      <c r="R227" s="575"/>
      <c r="S227" s="574"/>
      <c r="T227" s="53"/>
      <c r="U227" s="53"/>
      <c r="V227" s="575"/>
      <c r="W227" s="57"/>
      <c r="X227" s="53"/>
      <c r="Y227" s="53"/>
      <c r="Z227" s="575"/>
      <c r="AA227" s="57"/>
      <c r="AB227" s="53"/>
      <c r="AC227" s="53"/>
      <c r="AD227" s="577"/>
      <c r="AE227" s="57"/>
      <c r="AF227" s="53"/>
      <c r="AG227" s="53"/>
      <c r="AH227" s="577"/>
      <c r="AI227" s="539"/>
    </row>
    <row r="228" spans="1:35" ht="33" customHeight="1" thickBot="1">
      <c r="A228" s="1" t="s">
        <v>605</v>
      </c>
      <c r="B228" s="72"/>
      <c r="C228" s="312"/>
      <c r="F228" s="354"/>
      <c r="G228" s="312"/>
      <c r="J228" s="354"/>
      <c r="K228" s="312"/>
      <c r="N228" s="354"/>
      <c r="O228" s="312"/>
      <c r="R228" s="354"/>
      <c r="S228" s="312"/>
      <c r="V228" s="354"/>
      <c r="W228" s="354"/>
      <c r="Z228" s="354"/>
      <c r="AA228" s="354"/>
      <c r="AD228" s="354"/>
      <c r="AE228" s="354"/>
      <c r="AH228" s="354"/>
    </row>
    <row r="229" spans="1:35" ht="21" customHeight="1">
      <c r="A229" s="556" t="s">
        <v>528</v>
      </c>
      <c r="B229" s="297" t="s">
        <v>480</v>
      </c>
      <c r="C229" s="1235">
        <v>1</v>
      </c>
      <c r="D229" s="1234">
        <v>2</v>
      </c>
      <c r="E229" s="1234">
        <v>3</v>
      </c>
      <c r="F229" s="1235">
        <v>4</v>
      </c>
      <c r="G229" s="1235">
        <v>5</v>
      </c>
      <c r="H229" s="1234">
        <v>6</v>
      </c>
      <c r="I229" s="1213">
        <v>7</v>
      </c>
      <c r="J229" s="1213">
        <v>8</v>
      </c>
      <c r="K229" s="1235">
        <v>9</v>
      </c>
      <c r="L229" s="1234">
        <v>10</v>
      </c>
      <c r="M229" s="1235">
        <v>11</v>
      </c>
      <c r="N229" s="1235">
        <v>12</v>
      </c>
      <c r="O229" s="1234">
        <v>13</v>
      </c>
      <c r="P229" s="1213">
        <v>14</v>
      </c>
      <c r="Q229" s="1213">
        <v>15</v>
      </c>
      <c r="R229" s="1234">
        <v>16</v>
      </c>
      <c r="S229" s="1234">
        <v>17</v>
      </c>
      <c r="T229" s="1235">
        <v>18</v>
      </c>
      <c r="U229" s="1235">
        <v>19</v>
      </c>
      <c r="V229" s="1330">
        <v>20</v>
      </c>
      <c r="W229" s="1213">
        <v>21</v>
      </c>
      <c r="X229" s="1213">
        <v>22</v>
      </c>
      <c r="Y229" s="1234">
        <v>23</v>
      </c>
      <c r="Z229" s="1234">
        <v>24</v>
      </c>
      <c r="AA229" s="1235">
        <v>25</v>
      </c>
      <c r="AB229" s="1235">
        <v>26</v>
      </c>
      <c r="AC229" s="1234">
        <v>27</v>
      </c>
      <c r="AD229" s="1213">
        <v>28</v>
      </c>
      <c r="AE229" s="1213">
        <v>29</v>
      </c>
      <c r="AF229" s="1234">
        <v>30</v>
      </c>
      <c r="AG229" s="1234">
        <v>31</v>
      </c>
      <c r="AH229" s="498" t="s">
        <v>481</v>
      </c>
      <c r="AI229" s="499" t="s">
        <v>482</v>
      </c>
    </row>
    <row r="230" spans="1:35" ht="21" customHeight="1">
      <c r="A230" s="442"/>
      <c r="B230" s="619" t="s">
        <v>606</v>
      </c>
      <c r="C230" s="1215"/>
      <c r="D230" s="1215" t="s">
        <v>535</v>
      </c>
      <c r="E230" s="1215" t="s">
        <v>535</v>
      </c>
      <c r="F230" s="1215"/>
      <c r="G230" s="1215"/>
      <c r="H230" s="1215" t="s">
        <v>535</v>
      </c>
      <c r="I230" s="1215" t="s">
        <v>535</v>
      </c>
      <c r="J230" s="1215" t="s">
        <v>535</v>
      </c>
      <c r="K230" s="1215"/>
      <c r="L230" s="1215" t="s">
        <v>535</v>
      </c>
      <c r="M230" s="1215"/>
      <c r="N230" s="1215"/>
      <c r="O230" s="1215" t="s">
        <v>535</v>
      </c>
      <c r="P230" s="1215" t="s">
        <v>535</v>
      </c>
      <c r="Q230" s="1215" t="s">
        <v>535</v>
      </c>
      <c r="R230" s="1215" t="s">
        <v>535</v>
      </c>
      <c r="S230" s="1215" t="s">
        <v>535</v>
      </c>
      <c r="T230" s="1215"/>
      <c r="U230" s="1215"/>
      <c r="V230" s="1215"/>
      <c r="W230" s="1215" t="s">
        <v>535</v>
      </c>
      <c r="X230" s="1215" t="s">
        <v>535</v>
      </c>
      <c r="Y230" s="1215" t="s">
        <v>535</v>
      </c>
      <c r="Z230" s="1215" t="s">
        <v>535</v>
      </c>
      <c r="AA230" s="1215"/>
      <c r="AB230" s="1215"/>
      <c r="AC230" s="1342" t="s">
        <v>535</v>
      </c>
      <c r="AD230" s="1342" t="s">
        <v>535</v>
      </c>
      <c r="AE230" s="1215" t="s">
        <v>535</v>
      </c>
      <c r="AF230" s="1215" t="s">
        <v>535</v>
      </c>
      <c r="AG230" s="1215" t="s">
        <v>535</v>
      </c>
      <c r="AH230" s="638">
        <v>185</v>
      </c>
      <c r="AI230" s="639">
        <v>37</v>
      </c>
    </row>
    <row r="231" spans="1:35" ht="21" customHeight="1">
      <c r="A231" s="442"/>
      <c r="B231" s="619" t="s">
        <v>607</v>
      </c>
      <c r="C231" s="1215"/>
      <c r="D231" s="1215" t="s">
        <v>535</v>
      </c>
      <c r="E231" s="1215" t="s">
        <v>535</v>
      </c>
      <c r="F231" s="1215"/>
      <c r="G231" s="1215"/>
      <c r="H231" s="1215" t="s">
        <v>535</v>
      </c>
      <c r="I231" s="1215" t="s">
        <v>535</v>
      </c>
      <c r="J231" s="1215" t="s">
        <v>535</v>
      </c>
      <c r="K231" s="1215"/>
      <c r="L231" s="1338" t="s">
        <v>535</v>
      </c>
      <c r="M231" s="1215"/>
      <c r="N231" s="1215"/>
      <c r="O231" s="1215" t="s">
        <v>535</v>
      </c>
      <c r="P231" s="1215" t="s">
        <v>535</v>
      </c>
      <c r="Q231" s="1215" t="s">
        <v>535</v>
      </c>
      <c r="R231" s="1215" t="s">
        <v>535</v>
      </c>
      <c r="S231" s="1215" t="s">
        <v>535</v>
      </c>
      <c r="T231" s="1215"/>
      <c r="U231" s="1215"/>
      <c r="V231" s="1215"/>
      <c r="W231" s="1215" t="s">
        <v>535</v>
      </c>
      <c r="X231" s="1215" t="s">
        <v>535</v>
      </c>
      <c r="Y231" s="1215" t="s">
        <v>535</v>
      </c>
      <c r="Z231" s="1338" t="s">
        <v>535</v>
      </c>
      <c r="AA231" s="1215"/>
      <c r="AB231" s="1215"/>
      <c r="AC231" s="1342" t="s">
        <v>535</v>
      </c>
      <c r="AD231" s="1342" t="s">
        <v>535</v>
      </c>
      <c r="AE231" s="1215" t="s">
        <v>535</v>
      </c>
      <c r="AF231" s="1215" t="s">
        <v>535</v>
      </c>
      <c r="AG231" s="1215" t="s">
        <v>535</v>
      </c>
      <c r="AH231" s="638">
        <v>185</v>
      </c>
      <c r="AI231" s="639">
        <v>37</v>
      </c>
    </row>
    <row r="232" spans="1:35" ht="21" customHeight="1">
      <c r="A232" s="442"/>
      <c r="B232" s="619" t="s">
        <v>608</v>
      </c>
      <c r="C232" s="1215"/>
      <c r="D232" s="1215" t="s">
        <v>535</v>
      </c>
      <c r="E232" s="1215" t="s">
        <v>535</v>
      </c>
      <c r="F232" s="1215"/>
      <c r="G232" s="1215"/>
      <c r="H232" s="1215" t="s">
        <v>535</v>
      </c>
      <c r="I232" s="1215" t="s">
        <v>535</v>
      </c>
      <c r="J232" s="1215" t="s">
        <v>535</v>
      </c>
      <c r="K232" s="1215"/>
      <c r="L232" s="1338" t="s">
        <v>535</v>
      </c>
      <c r="M232" s="1215"/>
      <c r="N232" s="1215"/>
      <c r="O232" s="1215" t="s">
        <v>535</v>
      </c>
      <c r="P232" s="1215" t="s">
        <v>535</v>
      </c>
      <c r="Q232" s="1215" t="s">
        <v>535</v>
      </c>
      <c r="R232" s="1215" t="s">
        <v>535</v>
      </c>
      <c r="S232" s="1215" t="s">
        <v>535</v>
      </c>
      <c r="T232" s="1215"/>
      <c r="U232" s="1215"/>
      <c r="V232" s="1215"/>
      <c r="W232" s="1215" t="s">
        <v>535</v>
      </c>
      <c r="X232" s="1215" t="s">
        <v>535</v>
      </c>
      <c r="Y232" s="1215" t="s">
        <v>535</v>
      </c>
      <c r="Z232" s="1215" t="s">
        <v>535</v>
      </c>
      <c r="AA232" s="1215"/>
      <c r="AB232" s="1215"/>
      <c r="AC232" s="1342" t="s">
        <v>535</v>
      </c>
      <c r="AD232" s="1342" t="s">
        <v>535</v>
      </c>
      <c r="AE232" s="1215" t="s">
        <v>535</v>
      </c>
      <c r="AF232" s="1215" t="s">
        <v>535</v>
      </c>
      <c r="AG232" s="1215" t="s">
        <v>535</v>
      </c>
      <c r="AH232" s="638">
        <v>185</v>
      </c>
      <c r="AI232" s="639">
        <v>37</v>
      </c>
    </row>
    <row r="233" spans="1:35" ht="21" customHeight="1">
      <c r="A233" s="442"/>
      <c r="B233" s="619" t="s">
        <v>609</v>
      </c>
      <c r="C233" s="1215"/>
      <c r="D233" s="1215" t="s">
        <v>535</v>
      </c>
      <c r="E233" s="1215" t="s">
        <v>535</v>
      </c>
      <c r="F233" s="1215"/>
      <c r="G233" s="1215"/>
      <c r="H233" s="1215" t="s">
        <v>535</v>
      </c>
      <c r="I233" s="1215" t="s">
        <v>535</v>
      </c>
      <c r="J233" s="1215" t="s">
        <v>535</v>
      </c>
      <c r="K233" s="1215"/>
      <c r="L233" s="1338" t="s">
        <v>535</v>
      </c>
      <c r="M233" s="1215"/>
      <c r="N233" s="1215"/>
      <c r="O233" s="1215" t="s">
        <v>535</v>
      </c>
      <c r="P233" s="1215" t="s">
        <v>535</v>
      </c>
      <c r="Q233" s="1215" t="s">
        <v>535</v>
      </c>
      <c r="R233" s="1215" t="s">
        <v>535</v>
      </c>
      <c r="S233" s="1215" t="s">
        <v>535</v>
      </c>
      <c r="T233" s="1215"/>
      <c r="U233" s="1215"/>
      <c r="V233" s="1215"/>
      <c r="W233" s="1215" t="s">
        <v>535</v>
      </c>
      <c r="X233" s="1215" t="s">
        <v>535</v>
      </c>
      <c r="Y233" s="1215" t="s">
        <v>535</v>
      </c>
      <c r="Z233" s="1215" t="s">
        <v>535</v>
      </c>
      <c r="AA233" s="1215"/>
      <c r="AB233" s="1215"/>
      <c r="AC233" s="1215" t="s">
        <v>535</v>
      </c>
      <c r="AD233" s="1215" t="s">
        <v>535</v>
      </c>
      <c r="AE233" s="1215" t="s">
        <v>535</v>
      </c>
      <c r="AF233" s="1215" t="s">
        <v>535</v>
      </c>
      <c r="AG233" s="1358" t="s">
        <v>535</v>
      </c>
      <c r="AH233" s="638">
        <v>185</v>
      </c>
      <c r="AI233" s="639">
        <v>37</v>
      </c>
    </row>
    <row r="234" spans="1:35" ht="21" customHeight="1">
      <c r="A234" s="442"/>
      <c r="B234" s="619" t="s">
        <v>610</v>
      </c>
      <c r="C234" s="1215"/>
      <c r="D234" s="1215" t="s">
        <v>535</v>
      </c>
      <c r="E234" s="1215" t="s">
        <v>535</v>
      </c>
      <c r="F234" s="1215"/>
      <c r="G234" s="1215"/>
      <c r="H234" s="1215" t="s">
        <v>535</v>
      </c>
      <c r="I234" s="1215" t="s">
        <v>535</v>
      </c>
      <c r="J234" s="1215" t="s">
        <v>535</v>
      </c>
      <c r="K234" s="1215"/>
      <c r="L234" s="1215" t="s">
        <v>535</v>
      </c>
      <c r="M234" s="1215"/>
      <c r="N234" s="1215"/>
      <c r="O234" s="1215" t="s">
        <v>535</v>
      </c>
      <c r="P234" s="1215" t="s">
        <v>535</v>
      </c>
      <c r="Q234" s="1215" t="s">
        <v>535</v>
      </c>
      <c r="R234" s="1215" t="s">
        <v>535</v>
      </c>
      <c r="S234" s="1215" t="s">
        <v>535</v>
      </c>
      <c r="T234" s="1215"/>
      <c r="U234" s="1215"/>
      <c r="V234" s="1215"/>
      <c r="W234" s="1215" t="s">
        <v>535</v>
      </c>
      <c r="X234" s="1215" t="s">
        <v>535</v>
      </c>
      <c r="Y234" s="1215" t="s">
        <v>535</v>
      </c>
      <c r="Z234" s="1215" t="s">
        <v>535</v>
      </c>
      <c r="AA234" s="1215"/>
      <c r="AB234" s="1215"/>
      <c r="AC234" s="1215" t="s">
        <v>535</v>
      </c>
      <c r="AD234" s="1215" t="s">
        <v>535</v>
      </c>
      <c r="AE234" s="1215" t="s">
        <v>535</v>
      </c>
      <c r="AF234" s="1215" t="s">
        <v>535</v>
      </c>
      <c r="AG234" s="1215" t="s">
        <v>535</v>
      </c>
      <c r="AH234" s="638">
        <v>185</v>
      </c>
      <c r="AI234" s="639">
        <v>37</v>
      </c>
    </row>
    <row r="235" spans="1:35" ht="21" customHeight="1">
      <c r="A235" s="442"/>
      <c r="B235" s="619" t="s">
        <v>611</v>
      </c>
      <c r="C235" s="1215"/>
      <c r="D235" s="1215" t="s">
        <v>535</v>
      </c>
      <c r="E235" s="1215" t="s">
        <v>535</v>
      </c>
      <c r="F235" s="1215"/>
      <c r="G235" s="1215"/>
      <c r="H235" s="1215" t="s">
        <v>535</v>
      </c>
      <c r="I235" s="1215" t="s">
        <v>535</v>
      </c>
      <c r="J235" s="1215" t="s">
        <v>535</v>
      </c>
      <c r="K235" s="1215"/>
      <c r="L235" s="1338" t="s">
        <v>535</v>
      </c>
      <c r="M235" s="1215"/>
      <c r="N235" s="1215"/>
      <c r="O235" s="1215" t="s">
        <v>535</v>
      </c>
      <c r="P235" s="1215" t="s">
        <v>535</v>
      </c>
      <c r="Q235" s="1346" t="s">
        <v>535</v>
      </c>
      <c r="R235" s="1215" t="s">
        <v>535</v>
      </c>
      <c r="S235" s="1338" t="s">
        <v>535</v>
      </c>
      <c r="T235" s="1215"/>
      <c r="U235" s="1215"/>
      <c r="V235" s="1215"/>
      <c r="W235" s="1215" t="s">
        <v>535</v>
      </c>
      <c r="X235" s="1215" t="s">
        <v>535</v>
      </c>
      <c r="Y235" s="1215" t="s">
        <v>535</v>
      </c>
      <c r="Z235" s="1215" t="s">
        <v>535</v>
      </c>
      <c r="AA235" s="1215"/>
      <c r="AB235" s="1215"/>
      <c r="AC235" s="1215" t="s">
        <v>535</v>
      </c>
      <c r="AD235" s="1215" t="s">
        <v>535</v>
      </c>
      <c r="AE235" s="1215" t="s">
        <v>535</v>
      </c>
      <c r="AF235" s="1215" t="s">
        <v>535</v>
      </c>
      <c r="AG235" s="1215" t="s">
        <v>535</v>
      </c>
      <c r="AH235" s="638">
        <v>185</v>
      </c>
      <c r="AI235" s="639">
        <v>37</v>
      </c>
    </row>
    <row r="236" spans="1:35" ht="21" customHeight="1">
      <c r="A236" s="442"/>
      <c r="B236" s="619" t="s">
        <v>612</v>
      </c>
      <c r="C236" s="1215"/>
      <c r="D236" s="1345" t="s">
        <v>535</v>
      </c>
      <c r="E236" s="1345" t="s">
        <v>535</v>
      </c>
      <c r="F236" s="1215"/>
      <c r="G236" s="1215"/>
      <c r="H236" s="1215" t="s">
        <v>535</v>
      </c>
      <c r="I236" s="1215" t="s">
        <v>535</v>
      </c>
      <c r="J236" s="1215" t="s">
        <v>535</v>
      </c>
      <c r="K236" s="1215"/>
      <c r="L236" s="1338" t="s">
        <v>535</v>
      </c>
      <c r="M236" s="1215"/>
      <c r="N236" s="1215"/>
      <c r="O236" s="1215" t="s">
        <v>535</v>
      </c>
      <c r="P236" s="1215" t="s">
        <v>535</v>
      </c>
      <c r="Q236" s="1215" t="s">
        <v>514</v>
      </c>
      <c r="R236" s="1215" t="s">
        <v>535</v>
      </c>
      <c r="S236" s="1215" t="s">
        <v>535</v>
      </c>
      <c r="T236" s="1215"/>
      <c r="U236" s="1215"/>
      <c r="V236" s="1215"/>
      <c r="W236" s="1215" t="s">
        <v>535</v>
      </c>
      <c r="X236" s="1215" t="s">
        <v>535</v>
      </c>
      <c r="Y236" s="1215" t="s">
        <v>535</v>
      </c>
      <c r="Z236" s="1215" t="s">
        <v>535</v>
      </c>
      <c r="AA236" s="1215"/>
      <c r="AB236" s="1215"/>
      <c r="AC236" s="1215" t="s">
        <v>535</v>
      </c>
      <c r="AD236" s="1215" t="s">
        <v>535</v>
      </c>
      <c r="AE236" s="1215" t="s">
        <v>535</v>
      </c>
      <c r="AF236" s="1215" t="s">
        <v>535</v>
      </c>
      <c r="AG236" s="1358" t="s">
        <v>535</v>
      </c>
      <c r="AH236" s="638">
        <v>185</v>
      </c>
      <c r="AI236" s="639">
        <v>37</v>
      </c>
    </row>
    <row r="237" spans="1:35" ht="21" customHeight="1">
      <c r="A237" s="442"/>
      <c r="B237" s="619" t="s">
        <v>613</v>
      </c>
      <c r="C237" s="1215"/>
      <c r="D237" s="1215" t="s">
        <v>535</v>
      </c>
      <c r="E237" s="1215" t="s">
        <v>535</v>
      </c>
      <c r="F237" s="1215"/>
      <c r="G237" s="1215"/>
      <c r="H237" s="1215" t="s">
        <v>535</v>
      </c>
      <c r="I237" s="1215" t="s">
        <v>535</v>
      </c>
      <c r="J237" s="1215" t="s">
        <v>535</v>
      </c>
      <c r="K237" s="1215"/>
      <c r="L237" s="1346" t="s">
        <v>535</v>
      </c>
      <c r="M237" s="1215"/>
      <c r="N237" s="1215"/>
      <c r="O237" s="1215" t="s">
        <v>535</v>
      </c>
      <c r="P237" s="1215" t="s">
        <v>514</v>
      </c>
      <c r="Q237" s="1215" t="s">
        <v>535</v>
      </c>
      <c r="R237" s="1215" t="s">
        <v>535</v>
      </c>
      <c r="S237" s="1215" t="s">
        <v>535</v>
      </c>
      <c r="T237" s="1215"/>
      <c r="U237" s="1215"/>
      <c r="V237" s="1215"/>
      <c r="W237" s="1215" t="s">
        <v>535</v>
      </c>
      <c r="X237" s="1215" t="s">
        <v>535</v>
      </c>
      <c r="Y237" s="1215" t="s">
        <v>535</v>
      </c>
      <c r="Z237" s="1346" t="s">
        <v>535</v>
      </c>
      <c r="AA237" s="1215"/>
      <c r="AB237" s="1215"/>
      <c r="AC237" s="1342" t="s">
        <v>535</v>
      </c>
      <c r="AD237" s="1342" t="s">
        <v>535</v>
      </c>
      <c r="AE237" s="1215" t="s">
        <v>535</v>
      </c>
      <c r="AF237" s="1215" t="s">
        <v>535</v>
      </c>
      <c r="AG237" s="1215" t="s">
        <v>535</v>
      </c>
      <c r="AH237" s="638">
        <v>185</v>
      </c>
      <c r="AI237" s="639">
        <v>37</v>
      </c>
    </row>
    <row r="238" spans="1:35" ht="21" customHeight="1">
      <c r="A238" s="442"/>
      <c r="B238" s="619" t="s">
        <v>614</v>
      </c>
      <c r="C238" s="1215"/>
      <c r="D238" s="1215" t="s">
        <v>535</v>
      </c>
      <c r="E238" s="1215" t="s">
        <v>535</v>
      </c>
      <c r="F238" s="1215"/>
      <c r="G238" s="1215"/>
      <c r="H238" s="1215" t="s">
        <v>535</v>
      </c>
      <c r="I238" s="1215" t="s">
        <v>535</v>
      </c>
      <c r="J238" s="1215" t="s">
        <v>535</v>
      </c>
      <c r="K238" s="1215"/>
      <c r="L238" s="1346" t="s">
        <v>535</v>
      </c>
      <c r="M238" s="1215"/>
      <c r="N238" s="1215"/>
      <c r="O238" s="1215" t="s">
        <v>535</v>
      </c>
      <c r="P238" s="1215" t="s">
        <v>514</v>
      </c>
      <c r="Q238" s="1215" t="s">
        <v>535</v>
      </c>
      <c r="R238" s="1215" t="s">
        <v>535</v>
      </c>
      <c r="S238" s="1215" t="s">
        <v>535</v>
      </c>
      <c r="T238" s="1215"/>
      <c r="U238" s="1215"/>
      <c r="V238" s="1215"/>
      <c r="W238" s="1215" t="s">
        <v>535</v>
      </c>
      <c r="X238" s="1215" t="s">
        <v>535</v>
      </c>
      <c r="Y238" s="1215" t="s">
        <v>535</v>
      </c>
      <c r="Z238" s="1215" t="s">
        <v>535</v>
      </c>
      <c r="AA238" s="1215"/>
      <c r="AB238" s="1215"/>
      <c r="AC238" s="1215" t="s">
        <v>535</v>
      </c>
      <c r="AD238" s="1215" t="s">
        <v>535</v>
      </c>
      <c r="AE238" s="1215" t="s">
        <v>535</v>
      </c>
      <c r="AF238" s="1215" t="s">
        <v>535</v>
      </c>
      <c r="AG238" s="1215" t="s">
        <v>535</v>
      </c>
      <c r="AH238" s="638">
        <v>185</v>
      </c>
      <c r="AI238" s="639">
        <v>37</v>
      </c>
    </row>
    <row r="239" spans="1:35" ht="21" customHeight="1">
      <c r="A239" s="442"/>
      <c r="B239" s="619" t="s">
        <v>615</v>
      </c>
      <c r="C239" s="1215"/>
      <c r="D239" s="1215" t="s">
        <v>535</v>
      </c>
      <c r="E239" s="1215" t="s">
        <v>535</v>
      </c>
      <c r="F239" s="1215"/>
      <c r="G239" s="1215"/>
      <c r="H239" s="1215" t="s">
        <v>535</v>
      </c>
      <c r="I239" s="1215" t="s">
        <v>535</v>
      </c>
      <c r="J239" s="1215" t="s">
        <v>535</v>
      </c>
      <c r="K239" s="1215"/>
      <c r="L239" s="1338" t="s">
        <v>535</v>
      </c>
      <c r="M239" s="1215"/>
      <c r="N239" s="1215"/>
      <c r="O239" s="1215" t="s">
        <v>535</v>
      </c>
      <c r="P239" s="1215" t="s">
        <v>535</v>
      </c>
      <c r="Q239" s="1215" t="s">
        <v>535</v>
      </c>
      <c r="R239" s="1215" t="s">
        <v>535</v>
      </c>
      <c r="S239" s="1215" t="s">
        <v>535</v>
      </c>
      <c r="T239" s="1215"/>
      <c r="U239" s="1215"/>
      <c r="V239" s="1215"/>
      <c r="W239" s="1215" t="s">
        <v>535</v>
      </c>
      <c r="X239" s="1338" t="s">
        <v>535</v>
      </c>
      <c r="Y239" s="1215" t="s">
        <v>535</v>
      </c>
      <c r="Z239" s="1215" t="s">
        <v>535</v>
      </c>
      <c r="AA239" s="1215"/>
      <c r="AB239" s="1215"/>
      <c r="AC239" s="1215" t="s">
        <v>535</v>
      </c>
      <c r="AD239" s="1215" t="s">
        <v>535</v>
      </c>
      <c r="AE239" s="1215" t="s">
        <v>535</v>
      </c>
      <c r="AF239" s="1215" t="s">
        <v>535</v>
      </c>
      <c r="AG239" s="1215" t="s">
        <v>535</v>
      </c>
      <c r="AH239" s="638">
        <v>185</v>
      </c>
      <c r="AI239" s="639">
        <v>37</v>
      </c>
    </row>
    <row r="240" spans="1:35" ht="21" customHeight="1">
      <c r="A240" s="442"/>
      <c r="B240" s="153" t="s">
        <v>616</v>
      </c>
      <c r="C240" s="1215"/>
      <c r="D240" s="1215" t="s">
        <v>535</v>
      </c>
      <c r="E240" s="1215" t="s">
        <v>535</v>
      </c>
      <c r="F240" s="1215"/>
      <c r="G240" s="1215"/>
      <c r="H240" s="1215" t="s">
        <v>535</v>
      </c>
      <c r="I240" s="1215" t="s">
        <v>535</v>
      </c>
      <c r="J240" s="1215" t="s">
        <v>535</v>
      </c>
      <c r="K240" s="1215"/>
      <c r="L240" s="1345" t="s">
        <v>535</v>
      </c>
      <c r="M240" s="1215"/>
      <c r="N240" s="1215"/>
      <c r="O240" s="1215" t="s">
        <v>535</v>
      </c>
      <c r="P240" s="1215" t="s">
        <v>535</v>
      </c>
      <c r="Q240" s="1215" t="s">
        <v>535</v>
      </c>
      <c r="R240" s="1215" t="s">
        <v>535</v>
      </c>
      <c r="S240" s="1345" t="s">
        <v>535</v>
      </c>
      <c r="T240" s="1215"/>
      <c r="U240" s="1215"/>
      <c r="V240" s="1215"/>
      <c r="W240" s="1215" t="s">
        <v>535</v>
      </c>
      <c r="X240" s="1215" t="s">
        <v>535</v>
      </c>
      <c r="Y240" s="1215" t="s">
        <v>535</v>
      </c>
      <c r="Z240" s="1215" t="s">
        <v>535</v>
      </c>
      <c r="AA240" s="1215"/>
      <c r="AB240" s="1215"/>
      <c r="AC240" s="1215" t="s">
        <v>535</v>
      </c>
      <c r="AD240" s="1215" t="s">
        <v>535</v>
      </c>
      <c r="AE240" s="1215" t="s">
        <v>535</v>
      </c>
      <c r="AF240" s="1215" t="s">
        <v>535</v>
      </c>
      <c r="AG240" s="1215" t="s">
        <v>535</v>
      </c>
      <c r="AH240" s="638">
        <v>185</v>
      </c>
      <c r="AI240" s="639">
        <v>37</v>
      </c>
    </row>
    <row r="241" spans="1:38" ht="21" customHeight="1">
      <c r="A241" s="442"/>
      <c r="B241" s="153" t="s">
        <v>617</v>
      </c>
      <c r="C241" s="1215"/>
      <c r="D241" s="1215" t="s">
        <v>535</v>
      </c>
      <c r="E241" s="1215" t="s">
        <v>535</v>
      </c>
      <c r="F241" s="1215"/>
      <c r="G241" s="1215"/>
      <c r="H241" s="1215" t="s">
        <v>535</v>
      </c>
      <c r="I241" s="1215" t="s">
        <v>535</v>
      </c>
      <c r="J241" s="1215" t="s">
        <v>535</v>
      </c>
      <c r="K241" s="1215"/>
      <c r="L241" s="1338" t="s">
        <v>535</v>
      </c>
      <c r="M241" s="1215"/>
      <c r="N241" s="1215"/>
      <c r="O241" s="1382" t="s">
        <v>535</v>
      </c>
      <c r="P241" s="1382" t="s">
        <v>535</v>
      </c>
      <c r="Q241" s="1382" t="s">
        <v>535</v>
      </c>
      <c r="R241" s="1382" t="s">
        <v>535</v>
      </c>
      <c r="S241" s="1382" t="s">
        <v>535</v>
      </c>
      <c r="T241" s="1215"/>
      <c r="U241" s="1215"/>
      <c r="V241" s="1215"/>
      <c r="W241" s="1215" t="s">
        <v>535</v>
      </c>
      <c r="X241" s="1215" t="s">
        <v>535</v>
      </c>
      <c r="Y241" s="1215" t="s">
        <v>535</v>
      </c>
      <c r="Z241" s="1215" t="s">
        <v>535</v>
      </c>
      <c r="AA241" s="1215"/>
      <c r="AB241" s="1215"/>
      <c r="AC241" s="1215" t="s">
        <v>535</v>
      </c>
      <c r="AD241" s="1215" t="s">
        <v>535</v>
      </c>
      <c r="AE241" s="1215" t="s">
        <v>535</v>
      </c>
      <c r="AF241" s="1215" t="s">
        <v>535</v>
      </c>
      <c r="AG241" s="1215" t="s">
        <v>535</v>
      </c>
      <c r="AH241" s="638">
        <v>185</v>
      </c>
      <c r="AI241" s="639">
        <v>37</v>
      </c>
      <c r="AL241">
        <v>19</v>
      </c>
    </row>
    <row r="242" spans="1:38" ht="21" customHeight="1">
      <c r="A242" s="442"/>
      <c r="B242" s="153" t="s">
        <v>618</v>
      </c>
      <c r="C242" s="1215"/>
      <c r="D242" s="1215" t="s">
        <v>535</v>
      </c>
      <c r="E242" s="1215" t="s">
        <v>535</v>
      </c>
      <c r="F242" s="1215"/>
      <c r="G242" s="1215"/>
      <c r="H242" s="1392" t="s">
        <v>535</v>
      </c>
      <c r="I242" s="1392" t="s">
        <v>535</v>
      </c>
      <c r="J242" s="1392" t="s">
        <v>570</v>
      </c>
      <c r="K242" s="1215"/>
      <c r="L242" s="1215" t="s">
        <v>535</v>
      </c>
      <c r="M242" s="1215"/>
      <c r="N242" s="1215"/>
      <c r="O242" s="1215" t="s">
        <v>535</v>
      </c>
      <c r="P242" s="1215" t="s">
        <v>535</v>
      </c>
      <c r="Q242" s="1215" t="s">
        <v>535</v>
      </c>
      <c r="R242" s="1215" t="s">
        <v>535</v>
      </c>
      <c r="S242" s="1215" t="s">
        <v>535</v>
      </c>
      <c r="T242" s="1215"/>
      <c r="U242" s="1215"/>
      <c r="V242" s="1215"/>
      <c r="W242" s="1215" t="s">
        <v>535</v>
      </c>
      <c r="X242" s="1215" t="s">
        <v>535</v>
      </c>
      <c r="Y242" s="1215" t="s">
        <v>535</v>
      </c>
      <c r="Z242" s="1215" t="s">
        <v>535</v>
      </c>
      <c r="AA242" s="1215"/>
      <c r="AB242" s="1215"/>
      <c r="AC242" s="1215" t="s">
        <v>535</v>
      </c>
      <c r="AD242" s="1215" t="s">
        <v>535</v>
      </c>
      <c r="AE242" s="1215" t="s">
        <v>535</v>
      </c>
      <c r="AF242" s="1215" t="s">
        <v>535</v>
      </c>
      <c r="AG242" s="1215" t="s">
        <v>535</v>
      </c>
      <c r="AH242" s="638"/>
      <c r="AI242" s="639"/>
    </row>
    <row r="243" spans="1:38" ht="21" customHeight="1">
      <c r="A243" s="153"/>
      <c r="B243" s="153" t="s">
        <v>619</v>
      </c>
      <c r="C243" s="1215"/>
      <c r="D243" s="1215" t="s">
        <v>535</v>
      </c>
      <c r="E243" s="1215" t="s">
        <v>535</v>
      </c>
      <c r="F243" s="1215"/>
      <c r="G243" s="1215"/>
      <c r="H243" s="1215" t="s">
        <v>535</v>
      </c>
      <c r="I243" s="1215" t="s">
        <v>535</v>
      </c>
      <c r="J243" s="1215" t="s">
        <v>535</v>
      </c>
      <c r="K243" s="1215"/>
      <c r="L243" s="1338" t="s">
        <v>535</v>
      </c>
      <c r="M243" s="1215"/>
      <c r="N243" s="1215"/>
      <c r="O243" s="1382" t="s">
        <v>535</v>
      </c>
      <c r="P243" s="1382" t="s">
        <v>535</v>
      </c>
      <c r="Q243" s="1382" t="s">
        <v>535</v>
      </c>
      <c r="R243" s="1382" t="s">
        <v>535</v>
      </c>
      <c r="S243" s="1382" t="s">
        <v>535</v>
      </c>
      <c r="T243" s="1215"/>
      <c r="U243" s="1215"/>
      <c r="V243" s="1215"/>
      <c r="W243" s="1215" t="s">
        <v>535</v>
      </c>
      <c r="X243" s="1215" t="s">
        <v>535</v>
      </c>
      <c r="Y243" s="1215" t="s">
        <v>535</v>
      </c>
      <c r="Z243" s="1215" t="s">
        <v>535</v>
      </c>
      <c r="AA243" s="1215"/>
      <c r="AB243" s="1215"/>
      <c r="AC243" s="1215" t="s">
        <v>535</v>
      </c>
      <c r="AD243" s="1215" t="s">
        <v>535</v>
      </c>
      <c r="AE243" s="1215" t="s">
        <v>535</v>
      </c>
      <c r="AF243" s="1215" t="s">
        <v>535</v>
      </c>
      <c r="AG243" s="1215" t="s">
        <v>535</v>
      </c>
      <c r="AH243" s="638">
        <v>185</v>
      </c>
      <c r="AI243" s="639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31" max="16383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13"/>
  <dimension ref="A1:AL243"/>
  <sheetViews>
    <sheetView topLeftCell="A25" zoomScale="70" zoomScaleNormal="70" workbookViewId="0">
      <selection activeCell="G123" sqref="G123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620</v>
      </c>
      <c r="B6" s="157"/>
      <c r="C6" s="489"/>
      <c r="D6" s="488" t="s">
        <v>621</v>
      </c>
      <c r="E6" s="157"/>
      <c r="F6" s="157"/>
      <c r="G6" s="157"/>
      <c r="H6" s="490"/>
      <c r="I6" s="157"/>
      <c r="J6" s="157"/>
      <c r="K6" s="157"/>
      <c r="L6" s="488" t="s">
        <v>725</v>
      </c>
      <c r="M6" s="157"/>
      <c r="N6" s="157"/>
      <c r="O6" s="157"/>
      <c r="P6" s="157"/>
      <c r="Q6" s="157"/>
      <c r="R6" s="157"/>
      <c r="S6" s="489"/>
      <c r="T6" s="491" t="s">
        <v>623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624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625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626</v>
      </c>
      <c r="L8" s="496"/>
      <c r="AB8" s="1"/>
    </row>
    <row r="9" spans="1:35" ht="21.95" customHeight="1" thickBot="1">
      <c r="B9" s="497" t="s">
        <v>627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528</v>
      </c>
      <c r="B10" s="297" t="s">
        <v>480</v>
      </c>
      <c r="C10" s="1235">
        <v>1</v>
      </c>
      <c r="D10" s="1235">
        <v>2</v>
      </c>
      <c r="E10" s="1234">
        <v>3</v>
      </c>
      <c r="F10" s="1234">
        <v>4</v>
      </c>
      <c r="G10" s="1348">
        <v>5</v>
      </c>
      <c r="H10" s="1234">
        <v>6</v>
      </c>
      <c r="I10" s="1213">
        <v>7</v>
      </c>
      <c r="J10" s="1330">
        <v>8</v>
      </c>
      <c r="K10" s="1235">
        <v>9</v>
      </c>
      <c r="L10" s="1234">
        <v>10</v>
      </c>
      <c r="M10" s="1234">
        <v>11</v>
      </c>
      <c r="N10" s="1234">
        <v>12</v>
      </c>
      <c r="O10" s="1234">
        <v>13</v>
      </c>
      <c r="P10" s="1213">
        <v>14</v>
      </c>
      <c r="Q10" s="1330">
        <v>15</v>
      </c>
      <c r="R10" s="1235">
        <v>16</v>
      </c>
      <c r="S10" s="1234">
        <v>17</v>
      </c>
      <c r="T10" s="1234">
        <v>18</v>
      </c>
      <c r="U10" s="1234">
        <v>19</v>
      </c>
      <c r="V10" s="1213">
        <v>20</v>
      </c>
      <c r="W10" s="1213">
        <v>21</v>
      </c>
      <c r="X10" s="1330">
        <v>22</v>
      </c>
      <c r="Y10" s="1235">
        <v>23</v>
      </c>
      <c r="Z10" s="1234">
        <v>24</v>
      </c>
      <c r="AA10" s="1234">
        <v>25</v>
      </c>
      <c r="AB10" s="1234">
        <v>26</v>
      </c>
      <c r="AC10" s="1234">
        <v>27</v>
      </c>
      <c r="AD10" s="1213">
        <v>28</v>
      </c>
      <c r="AE10" s="1330">
        <v>29</v>
      </c>
      <c r="AF10" s="1235">
        <v>30</v>
      </c>
      <c r="AG10" s="1234"/>
      <c r="AH10" s="498" t="s">
        <v>481</v>
      </c>
      <c r="AI10" s="499" t="s">
        <v>482</v>
      </c>
    </row>
    <row r="11" spans="1:35" ht="21.95" customHeight="1">
      <c r="A11" s="500"/>
      <c r="B11" s="501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1215"/>
      <c r="N11" s="1215"/>
      <c r="O11" s="1215"/>
      <c r="P11" s="1215"/>
      <c r="Q11" s="1215"/>
      <c r="R11" s="1215"/>
      <c r="S11" s="1215"/>
      <c r="T11" s="1215"/>
      <c r="U11" s="1215"/>
      <c r="V11" s="1215"/>
      <c r="W11" s="1215"/>
      <c r="X11" s="1215"/>
      <c r="Y11" s="1215"/>
      <c r="Z11" s="1215"/>
      <c r="AA11" s="1215"/>
      <c r="AB11" s="1215"/>
      <c r="AC11" s="1215"/>
      <c r="AD11" s="1215"/>
      <c r="AE11" s="1215"/>
      <c r="AF11" s="1215"/>
      <c r="AG11" s="503"/>
      <c r="AH11" s="504"/>
      <c r="AI11" s="505"/>
    </row>
    <row r="12" spans="1:35" ht="21.95" customHeight="1">
      <c r="A12" s="506" t="s">
        <v>628</v>
      </c>
      <c r="B12" s="45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509"/>
      <c r="AI12" s="510"/>
    </row>
    <row r="13" spans="1:35" ht="21.95" customHeight="1">
      <c r="A13" s="511">
        <v>8546</v>
      </c>
      <c r="B13" s="512" t="s">
        <v>629</v>
      </c>
      <c r="C13" s="1211"/>
      <c r="D13" s="1211"/>
      <c r="E13" s="1211">
        <v>3</v>
      </c>
      <c r="F13" s="1211">
        <v>3</v>
      </c>
      <c r="G13" s="1211">
        <v>3</v>
      </c>
      <c r="H13" s="1215">
        <v>3</v>
      </c>
      <c r="I13" s="1211">
        <v>3</v>
      </c>
      <c r="J13" s="1211"/>
      <c r="K13" s="1211"/>
      <c r="L13" s="1211">
        <v>4</v>
      </c>
      <c r="M13" s="1211">
        <v>4</v>
      </c>
      <c r="N13" s="1452">
        <v>4</v>
      </c>
      <c r="O13" s="1211">
        <v>4</v>
      </c>
      <c r="P13" s="1211">
        <v>4</v>
      </c>
      <c r="Q13" s="1211" t="s">
        <v>630</v>
      </c>
      <c r="R13" s="1211" t="s">
        <v>630</v>
      </c>
      <c r="S13" s="1211" t="s">
        <v>487</v>
      </c>
      <c r="T13" s="1211" t="s">
        <v>487</v>
      </c>
      <c r="U13" s="1211" t="s">
        <v>487</v>
      </c>
      <c r="V13" s="1211" t="s">
        <v>487</v>
      </c>
      <c r="W13" s="1211" t="s">
        <v>487</v>
      </c>
      <c r="X13" s="1211"/>
      <c r="Y13" s="1211"/>
      <c r="Z13" s="1211">
        <v>1</v>
      </c>
      <c r="AA13" s="1211">
        <v>1</v>
      </c>
      <c r="AB13" s="1211">
        <v>1</v>
      </c>
      <c r="AC13" s="1394">
        <v>1</v>
      </c>
      <c r="AD13" s="1394">
        <v>1</v>
      </c>
      <c r="AE13" s="1211"/>
      <c r="AF13" s="1211"/>
      <c r="AG13" s="1218"/>
      <c r="AH13" s="513">
        <v>172</v>
      </c>
      <c r="AI13" s="514">
        <v>37</v>
      </c>
    </row>
    <row r="14" spans="1:35" ht="21.95" customHeight="1">
      <c r="A14" s="500">
        <v>8546</v>
      </c>
      <c r="B14" s="347" t="s">
        <v>632</v>
      </c>
      <c r="C14" s="1215"/>
      <c r="D14" s="1215"/>
      <c r="E14" s="1215">
        <v>2</v>
      </c>
      <c r="F14" s="1215">
        <v>2</v>
      </c>
      <c r="G14" s="1215">
        <v>2</v>
      </c>
      <c r="H14" s="1215">
        <v>2</v>
      </c>
      <c r="I14" s="1441">
        <v>2</v>
      </c>
      <c r="J14" s="1441" t="s">
        <v>631</v>
      </c>
      <c r="K14" s="1441" t="s">
        <v>631</v>
      </c>
      <c r="L14" s="1215" t="s">
        <v>487</v>
      </c>
      <c r="M14" s="1215" t="s">
        <v>487</v>
      </c>
      <c r="N14" s="1344" t="s">
        <v>487</v>
      </c>
      <c r="O14" s="1215" t="s">
        <v>487</v>
      </c>
      <c r="P14" s="1215" t="s">
        <v>487</v>
      </c>
      <c r="Q14" s="1215"/>
      <c r="R14" s="1215"/>
      <c r="S14" s="1215">
        <v>3</v>
      </c>
      <c r="T14" s="1215">
        <v>3</v>
      </c>
      <c r="U14" s="1215">
        <v>3</v>
      </c>
      <c r="V14" s="1215">
        <v>3</v>
      </c>
      <c r="W14" s="1215">
        <v>3</v>
      </c>
      <c r="X14" s="1215"/>
      <c r="Y14" s="1215"/>
      <c r="Z14" s="1215">
        <v>4</v>
      </c>
      <c r="AA14" s="1215">
        <v>4</v>
      </c>
      <c r="AB14" s="1215">
        <v>4</v>
      </c>
      <c r="AC14" s="1215">
        <v>4</v>
      </c>
      <c r="AD14" s="1215">
        <v>4</v>
      </c>
      <c r="AE14" s="1215" t="s">
        <v>630</v>
      </c>
      <c r="AF14" s="1215" t="s">
        <v>630</v>
      </c>
      <c r="AG14" s="1216"/>
      <c r="AH14" s="513">
        <v>185</v>
      </c>
      <c r="AI14" s="514">
        <v>37</v>
      </c>
    </row>
    <row r="15" spans="1:35" ht="21.95" customHeight="1">
      <c r="A15" s="500">
        <v>8546</v>
      </c>
      <c r="B15" s="347" t="s">
        <v>171</v>
      </c>
      <c r="C15" s="1215" t="s">
        <v>631</v>
      </c>
      <c r="D15" s="1215" t="s">
        <v>631</v>
      </c>
      <c r="E15" s="1215" t="s">
        <v>487</v>
      </c>
      <c r="F15" s="1215" t="s">
        <v>487</v>
      </c>
      <c r="G15" s="1215" t="s">
        <v>487</v>
      </c>
      <c r="H15" s="1215" t="s">
        <v>487</v>
      </c>
      <c r="I15" s="1215" t="s">
        <v>487</v>
      </c>
      <c r="J15" s="1215"/>
      <c r="K15" s="1215"/>
      <c r="L15" s="1215">
        <v>3</v>
      </c>
      <c r="M15" s="1215">
        <v>3</v>
      </c>
      <c r="N15" s="1344">
        <v>3</v>
      </c>
      <c r="O15" s="1338">
        <v>3</v>
      </c>
      <c r="P15" s="1338">
        <v>3</v>
      </c>
      <c r="Q15" s="1215"/>
      <c r="R15" s="1215"/>
      <c r="S15" s="1344">
        <v>4</v>
      </c>
      <c r="T15" s="1215">
        <v>4</v>
      </c>
      <c r="U15" s="1215">
        <v>4</v>
      </c>
      <c r="V15" s="1215">
        <v>4</v>
      </c>
      <c r="W15" s="1215">
        <v>4</v>
      </c>
      <c r="X15" s="1215" t="s">
        <v>630</v>
      </c>
      <c r="Y15" s="1215" t="s">
        <v>630</v>
      </c>
      <c r="Z15" s="1215" t="s">
        <v>487</v>
      </c>
      <c r="AA15" s="1215" t="s">
        <v>487</v>
      </c>
      <c r="AB15" s="1215" t="s">
        <v>487</v>
      </c>
      <c r="AC15" s="1215" t="s">
        <v>487</v>
      </c>
      <c r="AD15" s="1215" t="s">
        <v>487</v>
      </c>
      <c r="AE15" s="1215"/>
      <c r="AF15" s="1215"/>
      <c r="AG15" s="1216"/>
      <c r="AH15" s="513">
        <v>170</v>
      </c>
      <c r="AI15" s="514">
        <v>37</v>
      </c>
    </row>
    <row r="16" spans="1:35" ht="21.95" customHeight="1">
      <c r="A16" s="500">
        <v>8546</v>
      </c>
      <c r="B16" s="347" t="s">
        <v>633</v>
      </c>
      <c r="C16" s="1215" t="s">
        <v>630</v>
      </c>
      <c r="D16" s="1215" t="s">
        <v>630</v>
      </c>
      <c r="E16" s="1215" t="s">
        <v>487</v>
      </c>
      <c r="F16" s="1215" t="s">
        <v>487</v>
      </c>
      <c r="G16" s="1215" t="s">
        <v>487</v>
      </c>
      <c r="H16" s="1215" t="s">
        <v>487</v>
      </c>
      <c r="I16" s="1215" t="s">
        <v>487</v>
      </c>
      <c r="J16" s="1215"/>
      <c r="K16" s="1215"/>
      <c r="L16" s="1215">
        <v>1</v>
      </c>
      <c r="M16" s="1215">
        <v>1</v>
      </c>
      <c r="N16" s="1344">
        <v>1</v>
      </c>
      <c r="O16" s="1215">
        <v>1</v>
      </c>
      <c r="P16" s="1215">
        <v>1</v>
      </c>
      <c r="Q16" s="1215"/>
      <c r="R16" s="1215"/>
      <c r="S16" s="1344">
        <v>2</v>
      </c>
      <c r="T16" s="1215">
        <v>2</v>
      </c>
      <c r="U16" s="1215">
        <v>2</v>
      </c>
      <c r="V16" s="1215">
        <v>2</v>
      </c>
      <c r="W16" s="1215">
        <v>2</v>
      </c>
      <c r="X16" s="1215" t="s">
        <v>631</v>
      </c>
      <c r="Y16" s="1215" t="s">
        <v>631</v>
      </c>
      <c r="Z16" s="1215" t="s">
        <v>487</v>
      </c>
      <c r="AA16" s="1215" t="s">
        <v>487</v>
      </c>
      <c r="AB16" s="1215" t="s">
        <v>487</v>
      </c>
      <c r="AC16" s="1215" t="s">
        <v>487</v>
      </c>
      <c r="AD16" s="1215" t="s">
        <v>487</v>
      </c>
      <c r="AE16" s="1215"/>
      <c r="AF16" s="1215"/>
      <c r="AG16" s="1216"/>
      <c r="AH16" s="513">
        <v>185</v>
      </c>
      <c r="AI16" s="514">
        <v>37</v>
      </c>
    </row>
    <row r="17" spans="1:37" ht="21.95" customHeight="1">
      <c r="A17" s="500">
        <v>8546</v>
      </c>
      <c r="B17" s="347" t="s">
        <v>634</v>
      </c>
      <c r="C17" s="1215"/>
      <c r="D17" s="1215"/>
      <c r="E17" s="1215">
        <v>4</v>
      </c>
      <c r="F17" s="1215">
        <v>4</v>
      </c>
      <c r="G17" s="1215">
        <v>4</v>
      </c>
      <c r="H17" s="1215">
        <v>4</v>
      </c>
      <c r="I17" s="1215">
        <v>4</v>
      </c>
      <c r="J17" s="1215" t="s">
        <v>630</v>
      </c>
      <c r="K17" s="1215" t="s">
        <v>630</v>
      </c>
      <c r="L17" s="1215" t="s">
        <v>487</v>
      </c>
      <c r="M17" s="1215" t="s">
        <v>487</v>
      </c>
      <c r="N17" s="1344" t="s">
        <v>487</v>
      </c>
      <c r="O17" s="1215" t="s">
        <v>487</v>
      </c>
      <c r="P17" s="1215" t="s">
        <v>487</v>
      </c>
      <c r="Q17" s="1215"/>
      <c r="R17" s="1215"/>
      <c r="S17" s="1358">
        <v>1</v>
      </c>
      <c r="T17" s="1358">
        <v>1</v>
      </c>
      <c r="U17" s="1358">
        <v>1</v>
      </c>
      <c r="V17" s="1358">
        <v>1</v>
      </c>
      <c r="W17" s="1358">
        <v>1</v>
      </c>
      <c r="X17" s="1358"/>
      <c r="Y17" s="1358"/>
      <c r="Z17" s="1358">
        <v>2</v>
      </c>
      <c r="AA17" s="1358">
        <v>2</v>
      </c>
      <c r="AB17" s="1358">
        <v>2</v>
      </c>
      <c r="AC17" s="1358">
        <v>2</v>
      </c>
      <c r="AD17" s="1358">
        <v>2</v>
      </c>
      <c r="AE17" s="1358" t="s">
        <v>631</v>
      </c>
      <c r="AF17" s="1358" t="s">
        <v>631</v>
      </c>
      <c r="AG17" s="1216"/>
      <c r="AH17" s="513">
        <v>79</v>
      </c>
      <c r="AI17" s="514">
        <v>37</v>
      </c>
    </row>
    <row r="18" spans="1:37" ht="21.95" customHeight="1">
      <c r="A18" s="500">
        <v>8546</v>
      </c>
      <c r="B18" s="347" t="s">
        <v>635</v>
      </c>
      <c r="C18" s="1215"/>
      <c r="D18" s="1215"/>
      <c r="E18" s="1215">
        <v>1</v>
      </c>
      <c r="F18" s="1215">
        <v>1</v>
      </c>
      <c r="G18" s="1215">
        <v>1</v>
      </c>
      <c r="H18" s="1335">
        <v>1</v>
      </c>
      <c r="I18" s="1335">
        <v>1</v>
      </c>
      <c r="J18" s="1215"/>
      <c r="K18" s="1215"/>
      <c r="L18" s="1215">
        <v>2</v>
      </c>
      <c r="M18" s="1215">
        <v>2</v>
      </c>
      <c r="N18" s="1344">
        <v>2</v>
      </c>
      <c r="O18" s="1215">
        <v>2</v>
      </c>
      <c r="P18" s="1215">
        <v>2</v>
      </c>
      <c r="Q18" s="1215" t="s">
        <v>631</v>
      </c>
      <c r="R18" s="1215" t="s">
        <v>631</v>
      </c>
      <c r="S18" s="1344" t="s">
        <v>487</v>
      </c>
      <c r="T18" s="1215" t="s">
        <v>487</v>
      </c>
      <c r="U18" s="1215" t="s">
        <v>487</v>
      </c>
      <c r="V18" s="1215" t="s">
        <v>487</v>
      </c>
      <c r="W18" s="1215" t="s">
        <v>487</v>
      </c>
      <c r="X18" s="1215"/>
      <c r="Y18" s="1215"/>
      <c r="Z18" s="1215">
        <v>3</v>
      </c>
      <c r="AA18" s="1215">
        <v>3</v>
      </c>
      <c r="AB18" s="1215">
        <v>3</v>
      </c>
      <c r="AC18" s="1215">
        <v>3</v>
      </c>
      <c r="AD18" s="1215">
        <v>3</v>
      </c>
      <c r="AE18" s="1215"/>
      <c r="AF18" s="1215"/>
      <c r="AG18" s="1216"/>
      <c r="AH18" s="513">
        <v>185</v>
      </c>
      <c r="AI18" s="514">
        <v>37</v>
      </c>
    </row>
    <row r="19" spans="1:37" ht="21.95" customHeight="1">
      <c r="A19" s="515" t="s">
        <v>636</v>
      </c>
      <c r="B19" s="516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1453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507"/>
      <c r="AE19" s="507"/>
      <c r="AF19" s="507"/>
      <c r="AG19" s="508"/>
      <c r="AH19" s="509"/>
      <c r="AI19" s="510"/>
    </row>
    <row r="20" spans="1:37" ht="21.95" customHeight="1">
      <c r="A20" s="500">
        <v>8500</v>
      </c>
      <c r="B20" s="186" t="s">
        <v>192</v>
      </c>
      <c r="C20" s="1215" t="s">
        <v>637</v>
      </c>
      <c r="D20" s="1215" t="s">
        <v>637</v>
      </c>
      <c r="E20" s="1215" t="s">
        <v>535</v>
      </c>
      <c r="F20" s="1335" t="s">
        <v>535</v>
      </c>
      <c r="G20" s="1215" t="s">
        <v>535</v>
      </c>
      <c r="H20" s="1335" t="s">
        <v>535</v>
      </c>
      <c r="I20" s="1215">
        <v>2</v>
      </c>
      <c r="J20" s="1215" t="s">
        <v>631</v>
      </c>
      <c r="K20" s="1215" t="s">
        <v>631</v>
      </c>
      <c r="L20" s="1215" t="s">
        <v>487</v>
      </c>
      <c r="M20" s="1215" t="s">
        <v>487</v>
      </c>
      <c r="N20" s="1344" t="s">
        <v>487</v>
      </c>
      <c r="O20" s="1215" t="s">
        <v>487</v>
      </c>
      <c r="P20" s="1215" t="s">
        <v>514</v>
      </c>
      <c r="Q20" s="1215"/>
      <c r="R20" s="1215"/>
      <c r="S20" s="1500">
        <v>1</v>
      </c>
      <c r="T20" s="1500">
        <v>1</v>
      </c>
      <c r="U20" s="1344">
        <v>1</v>
      </c>
      <c r="V20" s="1344">
        <v>1</v>
      </c>
      <c r="W20" s="1344">
        <v>1</v>
      </c>
      <c r="X20" s="1215" t="s">
        <v>637</v>
      </c>
      <c r="Y20" s="1215" t="s">
        <v>637</v>
      </c>
      <c r="Z20" s="1215">
        <v>2</v>
      </c>
      <c r="AA20" s="1215">
        <v>2</v>
      </c>
      <c r="AB20" s="1215">
        <v>2</v>
      </c>
      <c r="AC20" s="1215">
        <v>2</v>
      </c>
      <c r="AD20" s="1215">
        <v>2</v>
      </c>
      <c r="AE20" s="1215" t="s">
        <v>631</v>
      </c>
      <c r="AF20" s="1215" t="s">
        <v>631</v>
      </c>
      <c r="AG20" s="1215"/>
      <c r="AH20" s="504">
        <v>185</v>
      </c>
      <c r="AI20" s="505">
        <v>37</v>
      </c>
    </row>
    <row r="21" spans="1:37" ht="21.95" customHeight="1">
      <c r="A21" s="500">
        <v>8500</v>
      </c>
      <c r="B21" s="153" t="s">
        <v>638</v>
      </c>
      <c r="C21" s="1215"/>
      <c r="D21" s="1215"/>
      <c r="E21" s="1215" t="s">
        <v>535</v>
      </c>
      <c r="F21" s="1215" t="s">
        <v>535</v>
      </c>
      <c r="G21" s="1215" t="s">
        <v>535</v>
      </c>
      <c r="H21" s="1215">
        <v>1</v>
      </c>
      <c r="I21" s="1215">
        <v>1</v>
      </c>
      <c r="J21" s="1215"/>
      <c r="K21" s="1215"/>
      <c r="L21" s="1215" t="s">
        <v>535</v>
      </c>
      <c r="M21" s="1215" t="s">
        <v>535</v>
      </c>
      <c r="N21" s="1344" t="s">
        <v>535</v>
      </c>
      <c r="O21" s="1215">
        <v>3</v>
      </c>
      <c r="P21" s="1215">
        <v>3</v>
      </c>
      <c r="Q21" s="1215"/>
      <c r="R21" s="1215"/>
      <c r="S21" s="1500" t="s">
        <v>535</v>
      </c>
      <c r="T21" s="1500" t="s">
        <v>535</v>
      </c>
      <c r="U21" s="1338" t="s">
        <v>535</v>
      </c>
      <c r="V21" s="1338" t="s">
        <v>535</v>
      </c>
      <c r="W21" s="1338" t="s">
        <v>535</v>
      </c>
      <c r="X21" s="1338"/>
      <c r="Y21" s="1338"/>
      <c r="Z21" s="1338" t="s">
        <v>535</v>
      </c>
      <c r="AA21" s="1338" t="s">
        <v>535</v>
      </c>
      <c r="AB21" s="1338" t="s">
        <v>535</v>
      </c>
      <c r="AC21" s="1338" t="s">
        <v>535</v>
      </c>
      <c r="AD21" s="1338" t="s">
        <v>535</v>
      </c>
      <c r="AE21" s="1338"/>
      <c r="AF21" s="1338"/>
      <c r="AG21" s="1215"/>
      <c r="AH21" s="504">
        <v>126</v>
      </c>
      <c r="AI21" s="505">
        <v>37</v>
      </c>
    </row>
    <row r="22" spans="1:37" ht="21.95" customHeight="1" thickBot="1">
      <c r="A22" s="500"/>
      <c r="B22" s="153"/>
      <c r="C22" s="1215"/>
      <c r="D22" s="1215"/>
      <c r="E22" s="1215"/>
      <c r="F22" s="1215"/>
      <c r="G22" s="1215"/>
      <c r="H22" s="1215"/>
      <c r="I22" s="1215"/>
      <c r="J22" s="1215"/>
      <c r="K22" s="1215"/>
      <c r="L22" s="1215"/>
      <c r="M22" s="1215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15"/>
      <c r="AA22" s="1215"/>
      <c r="AB22" s="1215"/>
      <c r="AC22" s="1215"/>
      <c r="AD22" s="1215"/>
      <c r="AE22" s="1215"/>
      <c r="AF22" s="1215"/>
      <c r="AG22" s="1215"/>
      <c r="AH22" s="517">
        <v>185</v>
      </c>
      <c r="AI22" s="518">
        <v>37</v>
      </c>
    </row>
    <row r="23" spans="1:37" ht="21.95" customHeight="1">
      <c r="A23" s="519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</row>
    <row r="24" spans="1:37" ht="21.95" customHeight="1">
      <c r="A24" s="519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</row>
    <row r="25" spans="1:37" ht="21.95" customHeight="1">
      <c r="A25" s="519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</row>
    <row r="26" spans="1:37" ht="21.95" customHeight="1">
      <c r="A26" s="519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</row>
    <row r="27" spans="1:37" ht="21.95" customHeight="1">
      <c r="A27" s="519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</row>
    <row r="28" spans="1:37" ht="21.95" customHeight="1">
      <c r="A28" s="519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</row>
    <row r="29" spans="1:37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7" ht="21.95" customHeight="1" thickBot="1">
      <c r="A30" s="1" t="s">
        <v>639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640</v>
      </c>
      <c r="B31" s="521"/>
      <c r="C31" s="521"/>
      <c r="D31" s="425" t="s">
        <v>641</v>
      </c>
      <c r="E31" s="522"/>
      <c r="F31" s="522"/>
      <c r="G31" s="522"/>
      <c r="H31" s="522"/>
      <c r="I31" s="522"/>
      <c r="J31" s="522"/>
      <c r="K31" s="522"/>
      <c r="L31" s="522"/>
      <c r="M31" s="523" t="s">
        <v>642</v>
      </c>
      <c r="N31" s="522"/>
      <c r="O31" s="522"/>
      <c r="P31" s="522"/>
      <c r="Q31" s="522"/>
      <c r="R31" s="522"/>
      <c r="S31" s="524"/>
      <c r="T31" s="524" t="s">
        <v>643</v>
      </c>
      <c r="U31" s="522"/>
      <c r="V31" s="522"/>
      <c r="W31" s="522"/>
      <c r="X31" s="522"/>
      <c r="Y31" s="522"/>
      <c r="Z31" s="238"/>
      <c r="AA31" s="525" t="s">
        <v>644</v>
      </c>
      <c r="AB31" s="51"/>
      <c r="AC31" s="51"/>
      <c r="AD31" s="51"/>
      <c r="AE31" s="51"/>
      <c r="AF31" s="51"/>
      <c r="AG31" s="526"/>
      <c r="AK31" s="1"/>
    </row>
    <row r="32" spans="1:37" ht="21.95" customHeight="1">
      <c r="A32" s="527" t="s">
        <v>645</v>
      </c>
      <c r="B32" s="135"/>
      <c r="C32" s="135"/>
      <c r="D32" s="495" t="s">
        <v>646</v>
      </c>
      <c r="E32" s="491"/>
      <c r="F32" s="157"/>
      <c r="G32" s="157"/>
      <c r="H32" s="157"/>
      <c r="I32" s="157"/>
      <c r="J32" s="157"/>
      <c r="K32" s="157"/>
      <c r="L32" s="489"/>
      <c r="M32" s="528" t="s">
        <v>647</v>
      </c>
      <c r="N32" s="135"/>
      <c r="O32" s="529"/>
      <c r="P32" s="135"/>
      <c r="Q32" s="135"/>
      <c r="R32" s="135"/>
      <c r="S32" s="530"/>
      <c r="T32" s="495" t="s">
        <v>648</v>
      </c>
      <c r="U32" s="157"/>
      <c r="V32" s="491"/>
      <c r="W32" s="157"/>
      <c r="X32" s="157"/>
      <c r="Y32" s="157"/>
      <c r="Z32" s="489"/>
      <c r="AA32" s="1" t="s">
        <v>649</v>
      </c>
      <c r="AD32" s="496"/>
      <c r="AG32" s="531"/>
      <c r="AK32" s="1"/>
    </row>
    <row r="33" spans="1:38" ht="21.95" customHeight="1">
      <c r="A33" s="532" t="s">
        <v>650</v>
      </c>
      <c r="B33" s="157"/>
      <c r="C33" s="157"/>
      <c r="D33" s="157"/>
      <c r="E33" s="157"/>
      <c r="F33" s="157"/>
      <c r="G33" s="489"/>
      <c r="H33" s="495" t="s">
        <v>651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3" t="s">
        <v>652</v>
      </c>
      <c r="AA33" s="529"/>
      <c r="AB33" s="135"/>
      <c r="AC33" s="135"/>
      <c r="AD33" s="135"/>
      <c r="AE33" s="135"/>
      <c r="AF33" s="135"/>
      <c r="AG33" s="534"/>
      <c r="AK33" s="312"/>
    </row>
    <row r="34" spans="1:38" ht="21.95" customHeight="1" thickBot="1">
      <c r="A34" s="535" t="s">
        <v>653</v>
      </c>
      <c r="B34" s="53"/>
      <c r="C34" s="53"/>
      <c r="D34" s="53"/>
      <c r="E34" s="53"/>
      <c r="F34" s="53"/>
      <c r="G34" s="536"/>
      <c r="H34" s="537" t="s">
        <v>654</v>
      </c>
      <c r="I34" s="536"/>
      <c r="J34" s="53"/>
      <c r="K34" s="53"/>
      <c r="L34" s="53"/>
      <c r="M34" s="53"/>
      <c r="N34" s="53"/>
      <c r="O34" s="53"/>
      <c r="P34" s="53"/>
      <c r="Q34" s="538"/>
      <c r="R34" s="538"/>
      <c r="S34" s="538"/>
      <c r="T34" s="53"/>
      <c r="U34" s="537" t="s">
        <v>655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9"/>
      <c r="AK34" s="1"/>
    </row>
    <row r="35" spans="1:38" ht="21.95" customHeight="1" thickBot="1">
      <c r="B35" s="540" t="s">
        <v>627</v>
      </c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41"/>
      <c r="Y35" s="541"/>
      <c r="Z35" s="541"/>
      <c r="AA35" s="541"/>
      <c r="AB35" s="541"/>
      <c r="AC35" s="541"/>
      <c r="AD35" s="541"/>
      <c r="AE35" s="541"/>
      <c r="AF35" s="541"/>
      <c r="AG35" s="541"/>
      <c r="AH35" s="1"/>
    </row>
    <row r="36" spans="1:38" ht="21.95" customHeight="1" thickBot="1">
      <c r="A36" s="542" t="s">
        <v>528</v>
      </c>
      <c r="B36" s="182" t="s">
        <v>480</v>
      </c>
      <c r="C36" s="1235">
        <v>1</v>
      </c>
      <c r="D36" s="1235">
        <v>2</v>
      </c>
      <c r="E36" s="1234">
        <v>3</v>
      </c>
      <c r="F36" s="1234">
        <v>4</v>
      </c>
      <c r="G36" s="1348">
        <v>5</v>
      </c>
      <c r="H36" s="1234">
        <v>6</v>
      </c>
      <c r="I36" s="1213">
        <v>7</v>
      </c>
      <c r="J36" s="1330">
        <v>8</v>
      </c>
      <c r="K36" s="1235">
        <v>9</v>
      </c>
      <c r="L36" s="1234">
        <v>10</v>
      </c>
      <c r="M36" s="1234">
        <v>11</v>
      </c>
      <c r="N36" s="1234">
        <v>12</v>
      </c>
      <c r="O36" s="1234">
        <v>13</v>
      </c>
      <c r="P36" s="1213">
        <v>14</v>
      </c>
      <c r="Q36" s="1330">
        <v>15</v>
      </c>
      <c r="R36" s="1235">
        <v>16</v>
      </c>
      <c r="S36" s="1234">
        <v>17</v>
      </c>
      <c r="T36" s="1234">
        <v>18</v>
      </c>
      <c r="U36" s="1234">
        <v>19</v>
      </c>
      <c r="V36" s="1213">
        <v>20</v>
      </c>
      <c r="W36" s="1213">
        <v>21</v>
      </c>
      <c r="X36" s="1330">
        <v>22</v>
      </c>
      <c r="Y36" s="1235">
        <v>23</v>
      </c>
      <c r="Z36" s="1234">
        <v>24</v>
      </c>
      <c r="AA36" s="1234">
        <v>25</v>
      </c>
      <c r="AB36" s="1234">
        <v>26</v>
      </c>
      <c r="AC36" s="1234">
        <v>27</v>
      </c>
      <c r="AD36" s="1213">
        <v>28</v>
      </c>
      <c r="AE36" s="1330">
        <v>29</v>
      </c>
      <c r="AF36" s="1235">
        <v>30</v>
      </c>
      <c r="AG36" s="1234"/>
      <c r="AH36" s="498" t="s">
        <v>481</v>
      </c>
      <c r="AI36" s="499" t="s">
        <v>482</v>
      </c>
      <c r="AL36" t="s">
        <v>28</v>
      </c>
    </row>
    <row r="37" spans="1:38" ht="21.95" customHeight="1">
      <c r="A37" s="543">
        <v>1</v>
      </c>
      <c r="B37" s="45" t="s">
        <v>656</v>
      </c>
      <c r="C37" s="1209"/>
      <c r="D37" s="1209"/>
      <c r="E37" s="1209">
        <v>9</v>
      </c>
      <c r="F37" s="1209">
        <v>9</v>
      </c>
      <c r="G37" s="1209">
        <v>9</v>
      </c>
      <c r="H37" s="1209">
        <v>9</v>
      </c>
      <c r="I37" s="1209">
        <v>9</v>
      </c>
      <c r="J37" s="1209" t="s">
        <v>543</v>
      </c>
      <c r="K37" s="1209" t="s">
        <v>555</v>
      </c>
      <c r="L37" s="1209" t="s">
        <v>487</v>
      </c>
      <c r="M37" s="1209" t="s">
        <v>487</v>
      </c>
      <c r="N37" s="1209" t="s">
        <v>487</v>
      </c>
      <c r="O37" s="1209" t="s">
        <v>487</v>
      </c>
      <c r="P37" s="1209" t="s">
        <v>487</v>
      </c>
      <c r="Q37" s="1209"/>
      <c r="R37" s="1209"/>
      <c r="S37" s="1487">
        <v>6</v>
      </c>
      <c r="T37" s="1487">
        <v>6</v>
      </c>
      <c r="U37" s="1487">
        <v>6</v>
      </c>
      <c r="V37" s="1487">
        <v>6</v>
      </c>
      <c r="W37" s="1487">
        <v>6</v>
      </c>
      <c r="X37" s="1487" t="s">
        <v>532</v>
      </c>
      <c r="Y37" s="1487" t="s">
        <v>533</v>
      </c>
      <c r="Z37" s="1209" t="s">
        <v>487</v>
      </c>
      <c r="AA37" s="1209" t="s">
        <v>487</v>
      </c>
      <c r="AB37" s="1209" t="s">
        <v>487</v>
      </c>
      <c r="AC37" s="1209" t="s">
        <v>487</v>
      </c>
      <c r="AD37" s="1209" t="s">
        <v>487</v>
      </c>
      <c r="AE37" s="1209"/>
      <c r="AF37" s="1209"/>
      <c r="AG37" s="1220"/>
      <c r="AH37" s="504">
        <v>185</v>
      </c>
      <c r="AI37" s="505">
        <v>37</v>
      </c>
    </row>
    <row r="38" spans="1:38" ht="21.95" customHeight="1">
      <c r="A38" s="544">
        <v>6</v>
      </c>
      <c r="B38" s="545" t="s">
        <v>658</v>
      </c>
      <c r="C38" s="1376"/>
      <c r="D38" s="1376"/>
      <c r="E38" s="1376">
        <v>10</v>
      </c>
      <c r="F38" s="1376">
        <v>10</v>
      </c>
      <c r="G38" s="1376">
        <v>10</v>
      </c>
      <c r="H38" s="1376">
        <v>10</v>
      </c>
      <c r="I38" s="1376">
        <v>10</v>
      </c>
      <c r="J38" s="1376" t="s">
        <v>555</v>
      </c>
      <c r="K38" s="1376" t="s">
        <v>555</v>
      </c>
      <c r="L38" s="1376" t="s">
        <v>487</v>
      </c>
      <c r="M38" s="1376" t="s">
        <v>487</v>
      </c>
      <c r="N38" s="1376" t="s">
        <v>487</v>
      </c>
      <c r="O38" s="1376" t="s">
        <v>487</v>
      </c>
      <c r="P38" s="1376" t="s">
        <v>487</v>
      </c>
      <c r="Q38" s="1376" t="s">
        <v>660</v>
      </c>
      <c r="R38" s="1376" t="s">
        <v>660</v>
      </c>
      <c r="S38" s="1376">
        <v>7</v>
      </c>
      <c r="T38" s="1376">
        <v>7</v>
      </c>
      <c r="U38" s="1376">
        <v>7</v>
      </c>
      <c r="V38" s="1376">
        <v>7</v>
      </c>
      <c r="W38" s="1376">
        <v>7</v>
      </c>
      <c r="X38" s="1376"/>
      <c r="Y38" s="1376"/>
      <c r="Z38" s="1376">
        <v>4</v>
      </c>
      <c r="AA38" s="1376">
        <v>4</v>
      </c>
      <c r="AB38" s="1376">
        <v>4</v>
      </c>
      <c r="AC38" s="1376">
        <v>4</v>
      </c>
      <c r="AD38" s="1376">
        <v>4</v>
      </c>
      <c r="AE38" s="1376"/>
      <c r="AF38" s="1376"/>
      <c r="AG38" s="1221"/>
      <c r="AH38" s="504">
        <v>185</v>
      </c>
      <c r="AI38" s="505">
        <v>37</v>
      </c>
    </row>
    <row r="39" spans="1:38" ht="21.95" customHeight="1" thickBot="1">
      <c r="A39" s="546">
        <v>11</v>
      </c>
      <c r="B39" s="1242" t="s">
        <v>659</v>
      </c>
      <c r="C39" s="1360"/>
      <c r="D39" s="1360"/>
      <c r="E39" s="1360">
        <v>11</v>
      </c>
      <c r="F39" s="1360">
        <v>11</v>
      </c>
      <c r="G39" s="1360">
        <v>11</v>
      </c>
      <c r="H39" s="1360">
        <v>11</v>
      </c>
      <c r="I39" s="1360">
        <v>11</v>
      </c>
      <c r="J39" s="1360" t="s">
        <v>657</v>
      </c>
      <c r="K39" s="1360" t="s">
        <v>657</v>
      </c>
      <c r="L39" s="1360" t="s">
        <v>487</v>
      </c>
      <c r="M39" s="1360" t="s">
        <v>487</v>
      </c>
      <c r="N39" s="1360" t="s">
        <v>487</v>
      </c>
      <c r="O39" s="1360" t="s">
        <v>487</v>
      </c>
      <c r="P39" s="1360" t="s">
        <v>487</v>
      </c>
      <c r="Q39" s="1360"/>
      <c r="R39" s="1360"/>
      <c r="S39" s="1207">
        <v>8</v>
      </c>
      <c r="T39" s="1207">
        <v>8</v>
      </c>
      <c r="U39" s="1207">
        <v>8</v>
      </c>
      <c r="V39" s="1207">
        <v>8</v>
      </c>
      <c r="W39" s="1207">
        <v>8</v>
      </c>
      <c r="X39" s="1207" t="s">
        <v>533</v>
      </c>
      <c r="Y39" s="1207" t="s">
        <v>533</v>
      </c>
      <c r="Z39" s="1207" t="s">
        <v>487</v>
      </c>
      <c r="AA39" s="1207" t="s">
        <v>487</v>
      </c>
      <c r="AB39" s="1207" t="s">
        <v>487</v>
      </c>
      <c r="AC39" s="1207" t="s">
        <v>487</v>
      </c>
      <c r="AD39" s="1207" t="s">
        <v>487</v>
      </c>
      <c r="AE39" s="1207"/>
      <c r="AF39" s="1207"/>
      <c r="AG39" s="1222"/>
      <c r="AH39" s="504">
        <v>81</v>
      </c>
      <c r="AI39" s="505">
        <v>37</v>
      </c>
    </row>
    <row r="40" spans="1:38" ht="21.95" customHeight="1">
      <c r="A40" s="543">
        <v>2</v>
      </c>
      <c r="B40" s="45" t="s">
        <v>662</v>
      </c>
      <c r="C40" s="1209" t="s">
        <v>543</v>
      </c>
      <c r="D40" s="1209" t="s">
        <v>555</v>
      </c>
      <c r="E40" s="1209" t="s">
        <v>487</v>
      </c>
      <c r="F40" s="1223" t="s">
        <v>487</v>
      </c>
      <c r="G40" s="1223" t="s">
        <v>487</v>
      </c>
      <c r="H40" s="1209" t="s">
        <v>487</v>
      </c>
      <c r="I40" s="1209" t="s">
        <v>487</v>
      </c>
      <c r="J40" s="1209"/>
      <c r="K40" s="1209"/>
      <c r="L40" s="1209">
        <v>6</v>
      </c>
      <c r="M40" s="1209">
        <v>6</v>
      </c>
      <c r="N40" s="1209">
        <v>6</v>
      </c>
      <c r="O40" s="1209">
        <v>6</v>
      </c>
      <c r="P40" s="1209">
        <v>6</v>
      </c>
      <c r="Q40" s="1209" t="s">
        <v>532</v>
      </c>
      <c r="R40" s="1209" t="s">
        <v>533</v>
      </c>
      <c r="S40" s="1209" t="s">
        <v>487</v>
      </c>
      <c r="T40" s="1223" t="s">
        <v>487</v>
      </c>
      <c r="U40" s="1223" t="s">
        <v>487</v>
      </c>
      <c r="V40" s="1209" t="s">
        <v>487</v>
      </c>
      <c r="W40" s="1209" t="s">
        <v>487</v>
      </c>
      <c r="X40" s="1209"/>
      <c r="Y40" s="1209"/>
      <c r="Z40" s="1353">
        <v>5</v>
      </c>
      <c r="AA40" s="1209">
        <v>1</v>
      </c>
      <c r="AB40" s="1209">
        <v>8</v>
      </c>
      <c r="AC40" s="1209">
        <v>5</v>
      </c>
      <c r="AD40" s="1209">
        <v>8</v>
      </c>
      <c r="AE40" s="1209"/>
      <c r="AF40" s="1209"/>
      <c r="AG40" s="1209"/>
      <c r="AH40" s="504">
        <v>185</v>
      </c>
      <c r="AI40" s="505">
        <v>37</v>
      </c>
    </row>
    <row r="41" spans="1:38" ht="21.95" customHeight="1">
      <c r="A41" s="544">
        <v>7</v>
      </c>
      <c r="B41" s="153" t="s">
        <v>664</v>
      </c>
      <c r="C41" s="1215" t="s">
        <v>555</v>
      </c>
      <c r="D41" s="1215" t="s">
        <v>555</v>
      </c>
      <c r="E41" s="1215" t="s">
        <v>487</v>
      </c>
      <c r="F41" s="1215" t="s">
        <v>487</v>
      </c>
      <c r="G41" s="1215" t="s">
        <v>487</v>
      </c>
      <c r="H41" s="1215" t="s">
        <v>487</v>
      </c>
      <c r="I41" s="1215" t="s">
        <v>487</v>
      </c>
      <c r="J41" s="1215" t="s">
        <v>660</v>
      </c>
      <c r="K41" s="1215" t="s">
        <v>660</v>
      </c>
      <c r="L41" s="1215">
        <v>7</v>
      </c>
      <c r="M41" s="1335">
        <v>7</v>
      </c>
      <c r="N41" s="1335">
        <v>7</v>
      </c>
      <c r="O41" s="1335">
        <v>7</v>
      </c>
      <c r="P41" s="1335">
        <v>7</v>
      </c>
      <c r="Q41" s="1215"/>
      <c r="R41" s="1215"/>
      <c r="S41" s="1215">
        <v>4</v>
      </c>
      <c r="T41" s="1215">
        <v>4</v>
      </c>
      <c r="U41" s="1215">
        <v>4</v>
      </c>
      <c r="V41" s="1215">
        <v>4</v>
      </c>
      <c r="W41" s="1215">
        <v>4</v>
      </c>
      <c r="X41" s="1215"/>
      <c r="Y41" s="1215"/>
      <c r="Z41" s="1215">
        <v>3</v>
      </c>
      <c r="AA41" s="1215">
        <v>3</v>
      </c>
      <c r="AB41" s="1215">
        <v>3</v>
      </c>
      <c r="AC41" s="1215">
        <v>3</v>
      </c>
      <c r="AD41" s="1215">
        <v>3</v>
      </c>
      <c r="AE41" s="1215"/>
      <c r="AF41" s="1215"/>
      <c r="AG41" s="1221"/>
      <c r="AH41" s="504">
        <v>185</v>
      </c>
      <c r="AI41" s="505">
        <v>37</v>
      </c>
    </row>
    <row r="42" spans="1:38" ht="21.95" customHeight="1" thickBot="1">
      <c r="A42" s="546">
        <v>12</v>
      </c>
      <c r="B42" s="547" t="s">
        <v>665</v>
      </c>
      <c r="C42" s="1207" t="s">
        <v>657</v>
      </c>
      <c r="D42" s="1207" t="s">
        <v>657</v>
      </c>
      <c r="E42" s="1207" t="s">
        <v>487</v>
      </c>
      <c r="F42" s="1207" t="s">
        <v>487</v>
      </c>
      <c r="G42" s="1207" t="s">
        <v>487</v>
      </c>
      <c r="H42" s="1207" t="s">
        <v>487</v>
      </c>
      <c r="I42" s="1207" t="s">
        <v>487</v>
      </c>
      <c r="J42" s="1207"/>
      <c r="K42" s="1207"/>
      <c r="L42" s="1207">
        <v>8</v>
      </c>
      <c r="M42" s="1207">
        <v>8</v>
      </c>
      <c r="N42" s="1207">
        <v>8</v>
      </c>
      <c r="O42" s="1207">
        <v>8</v>
      </c>
      <c r="P42" s="1207">
        <v>8</v>
      </c>
      <c r="Q42" s="1207" t="s">
        <v>533</v>
      </c>
      <c r="R42" s="1207" t="s">
        <v>533</v>
      </c>
      <c r="S42" s="1445" t="s">
        <v>487</v>
      </c>
      <c r="T42" s="1445" t="s">
        <v>487</v>
      </c>
      <c r="U42" s="1445" t="s">
        <v>487</v>
      </c>
      <c r="V42" s="1445" t="s">
        <v>487</v>
      </c>
      <c r="W42" s="1445" t="s">
        <v>487</v>
      </c>
      <c r="X42" s="1445"/>
      <c r="Y42" s="1445"/>
      <c r="Z42" s="1445">
        <v>1</v>
      </c>
      <c r="AA42" s="1445">
        <v>1</v>
      </c>
      <c r="AB42" s="1445">
        <v>1</v>
      </c>
      <c r="AC42" s="1445">
        <v>1</v>
      </c>
      <c r="AD42" s="1445">
        <v>1</v>
      </c>
      <c r="AE42" s="1445"/>
      <c r="AF42" s="1445"/>
      <c r="AG42" s="1222"/>
      <c r="AH42" s="504">
        <v>185</v>
      </c>
      <c r="AI42" s="505">
        <v>37</v>
      </c>
    </row>
    <row r="43" spans="1:38" ht="21.95" customHeight="1">
      <c r="A43" s="548">
        <v>3</v>
      </c>
      <c r="B43" s="1373" t="s">
        <v>666</v>
      </c>
      <c r="C43" s="1211"/>
      <c r="D43" s="1211"/>
      <c r="E43" s="1211">
        <v>6</v>
      </c>
      <c r="F43" s="1211">
        <v>6</v>
      </c>
      <c r="G43" s="1211">
        <v>6</v>
      </c>
      <c r="H43" s="1211">
        <v>6</v>
      </c>
      <c r="I43" s="1211">
        <v>6</v>
      </c>
      <c r="J43" s="1211" t="s">
        <v>532</v>
      </c>
      <c r="K43" s="1211" t="s">
        <v>533</v>
      </c>
      <c r="L43" s="1211" t="s">
        <v>487</v>
      </c>
      <c r="M43" s="1211" t="s">
        <v>487</v>
      </c>
      <c r="N43" s="1211" t="s">
        <v>487</v>
      </c>
      <c r="O43" s="1211" t="s">
        <v>487</v>
      </c>
      <c r="P43" s="1211" t="s">
        <v>487</v>
      </c>
      <c r="Q43" s="1211"/>
      <c r="R43" s="1214"/>
      <c r="S43" s="1211">
        <v>6</v>
      </c>
      <c r="T43" s="1211">
        <v>6</v>
      </c>
      <c r="U43" s="1211">
        <v>6</v>
      </c>
      <c r="V43" s="1211">
        <v>6</v>
      </c>
      <c r="W43" s="1211">
        <v>6</v>
      </c>
      <c r="X43" s="1211"/>
      <c r="Y43" s="1211"/>
      <c r="Z43" s="1211">
        <v>10</v>
      </c>
      <c r="AA43" s="1211">
        <v>10</v>
      </c>
      <c r="AB43" s="1211">
        <v>10</v>
      </c>
      <c r="AC43" s="1211">
        <v>10</v>
      </c>
      <c r="AD43" s="1211">
        <v>10</v>
      </c>
      <c r="AE43" s="1211" t="s">
        <v>555</v>
      </c>
      <c r="AF43" s="1211" t="s">
        <v>555</v>
      </c>
      <c r="AG43" s="1224"/>
      <c r="AH43" s="504">
        <v>185</v>
      </c>
      <c r="AI43" s="505">
        <v>37</v>
      </c>
    </row>
    <row r="44" spans="1:38" ht="21.95" customHeight="1">
      <c r="A44" s="544">
        <v>8</v>
      </c>
      <c r="B44" s="319" t="s">
        <v>667</v>
      </c>
      <c r="C44" s="1215" t="s">
        <v>660</v>
      </c>
      <c r="D44" s="1215" t="s">
        <v>660</v>
      </c>
      <c r="E44" s="1215">
        <v>7</v>
      </c>
      <c r="F44" s="1215">
        <v>7</v>
      </c>
      <c r="G44" s="1225">
        <v>7</v>
      </c>
      <c r="H44" s="1215">
        <v>7</v>
      </c>
      <c r="I44" s="1215">
        <v>7</v>
      </c>
      <c r="J44" s="1215"/>
      <c r="K44" s="1215"/>
      <c r="L44" s="1335">
        <v>4</v>
      </c>
      <c r="M44" s="1335">
        <v>4</v>
      </c>
      <c r="N44" s="1335">
        <v>4</v>
      </c>
      <c r="O44" s="1335">
        <v>4</v>
      </c>
      <c r="P44" s="1335">
        <v>4</v>
      </c>
      <c r="Q44" s="1216"/>
      <c r="R44" s="1215"/>
      <c r="S44" s="1226">
        <v>3</v>
      </c>
      <c r="T44" s="1215">
        <v>3</v>
      </c>
      <c r="U44" s="1215">
        <v>3</v>
      </c>
      <c r="V44" s="1215">
        <v>3</v>
      </c>
      <c r="W44" s="1215">
        <v>3</v>
      </c>
      <c r="X44" s="1215"/>
      <c r="Y44" s="1215"/>
      <c r="Z44" s="1215">
        <v>11</v>
      </c>
      <c r="AA44" s="1215">
        <v>11</v>
      </c>
      <c r="AB44" s="1215">
        <v>11</v>
      </c>
      <c r="AC44" s="1215">
        <v>11</v>
      </c>
      <c r="AD44" s="1215">
        <v>11</v>
      </c>
      <c r="AE44" s="1215" t="s">
        <v>657</v>
      </c>
      <c r="AF44" s="1215" t="s">
        <v>657</v>
      </c>
      <c r="AG44" s="1215"/>
      <c r="AH44" s="504">
        <v>185</v>
      </c>
      <c r="AI44" s="505">
        <v>37</v>
      </c>
    </row>
    <row r="45" spans="1:38" ht="21.95" customHeight="1" thickBot="1">
      <c r="A45" s="546">
        <v>13</v>
      </c>
      <c r="B45" s="52" t="s">
        <v>668</v>
      </c>
      <c r="C45" s="1207"/>
      <c r="D45" s="1207"/>
      <c r="E45" s="1207">
        <v>8</v>
      </c>
      <c r="F45" s="1207">
        <v>8</v>
      </c>
      <c r="G45" s="1207">
        <v>8</v>
      </c>
      <c r="H45" s="1207">
        <v>8</v>
      </c>
      <c r="I45" s="1371">
        <v>8</v>
      </c>
      <c r="J45" s="1371" t="s">
        <v>533</v>
      </c>
      <c r="K45" s="1371" t="s">
        <v>533</v>
      </c>
      <c r="L45" s="1207" t="s">
        <v>487</v>
      </c>
      <c r="M45" s="1207" t="s">
        <v>487</v>
      </c>
      <c r="N45" s="1207" t="s">
        <v>487</v>
      </c>
      <c r="O45" s="1207" t="s">
        <v>487</v>
      </c>
      <c r="P45" s="1207" t="s">
        <v>487</v>
      </c>
      <c r="Q45" s="1207"/>
      <c r="R45" s="1217"/>
      <c r="S45" s="1207">
        <v>1</v>
      </c>
      <c r="T45" s="1207">
        <v>1</v>
      </c>
      <c r="U45" s="1207">
        <v>1</v>
      </c>
      <c r="V45" s="1215">
        <v>1</v>
      </c>
      <c r="W45" s="1207">
        <v>1</v>
      </c>
      <c r="X45" s="1207"/>
      <c r="Y45" s="1207"/>
      <c r="Z45" s="1207">
        <v>9</v>
      </c>
      <c r="AA45" s="1207">
        <v>9</v>
      </c>
      <c r="AB45" s="1207">
        <v>9</v>
      </c>
      <c r="AC45" s="1207">
        <v>9</v>
      </c>
      <c r="AD45" s="1207">
        <v>9</v>
      </c>
      <c r="AE45" s="1371" t="s">
        <v>543</v>
      </c>
      <c r="AF45" s="1207" t="s">
        <v>543</v>
      </c>
      <c r="AG45" s="1207"/>
      <c r="AH45" s="504">
        <v>185</v>
      </c>
      <c r="AI45" s="505">
        <v>37</v>
      </c>
    </row>
    <row r="46" spans="1:38" ht="21.95" customHeight="1">
      <c r="A46" s="548">
        <v>4</v>
      </c>
      <c r="B46" s="319" t="s">
        <v>669</v>
      </c>
      <c r="C46" s="1215" t="s">
        <v>532</v>
      </c>
      <c r="D46" s="1215" t="s">
        <v>533</v>
      </c>
      <c r="E46" s="1215" t="s">
        <v>487</v>
      </c>
      <c r="F46" s="1215" t="s">
        <v>487</v>
      </c>
      <c r="G46" s="1215" t="s">
        <v>487</v>
      </c>
      <c r="H46" s="1215" t="s">
        <v>487</v>
      </c>
      <c r="I46" s="1215" t="s">
        <v>487</v>
      </c>
      <c r="J46" s="1211"/>
      <c r="K46" s="1211"/>
      <c r="L46" s="1359">
        <v>5</v>
      </c>
      <c r="M46" s="1359">
        <v>5</v>
      </c>
      <c r="N46" s="1359">
        <v>5</v>
      </c>
      <c r="O46" s="1359">
        <v>5</v>
      </c>
      <c r="P46" s="1359">
        <v>5</v>
      </c>
      <c r="Q46" s="1359"/>
      <c r="R46" s="1359"/>
      <c r="S46" s="1499">
        <v>10</v>
      </c>
      <c r="T46" s="1499">
        <v>10</v>
      </c>
      <c r="U46" s="1499">
        <v>10</v>
      </c>
      <c r="V46" s="1499">
        <v>10</v>
      </c>
      <c r="W46" s="1349">
        <v>10</v>
      </c>
      <c r="X46" s="1349" t="s">
        <v>555</v>
      </c>
      <c r="Y46" s="1349" t="s">
        <v>555</v>
      </c>
      <c r="Z46" s="1211" t="s">
        <v>487</v>
      </c>
      <c r="AA46" s="1211" t="s">
        <v>487</v>
      </c>
      <c r="AB46" s="1211" t="s">
        <v>487</v>
      </c>
      <c r="AC46" s="1211" t="s">
        <v>487</v>
      </c>
      <c r="AD46" s="1211" t="s">
        <v>487</v>
      </c>
      <c r="AE46" s="1349" t="s">
        <v>660</v>
      </c>
      <c r="AF46" s="1349" t="s">
        <v>660</v>
      </c>
      <c r="AG46" s="1218"/>
      <c r="AH46" s="504">
        <v>91</v>
      </c>
      <c r="AI46" s="505">
        <v>37</v>
      </c>
    </row>
    <row r="47" spans="1:38" ht="21.95" customHeight="1">
      <c r="A47" s="544">
        <v>9</v>
      </c>
      <c r="B47" s="319" t="s">
        <v>670</v>
      </c>
      <c r="C47" s="1215"/>
      <c r="D47" s="1215"/>
      <c r="E47" s="1215">
        <v>4</v>
      </c>
      <c r="F47" s="1215">
        <v>4</v>
      </c>
      <c r="G47" s="1215">
        <v>4</v>
      </c>
      <c r="H47" s="1215">
        <v>4</v>
      </c>
      <c r="I47" s="1215">
        <v>4</v>
      </c>
      <c r="J47" s="1215"/>
      <c r="K47" s="1215"/>
      <c r="L47" s="1215">
        <v>3</v>
      </c>
      <c r="M47" s="1215">
        <v>3</v>
      </c>
      <c r="N47" s="1215">
        <v>3</v>
      </c>
      <c r="O47" s="1215">
        <v>3</v>
      </c>
      <c r="P47" s="1215">
        <v>3</v>
      </c>
      <c r="Q47" s="1215"/>
      <c r="R47" s="1215"/>
      <c r="S47" s="1215">
        <v>11</v>
      </c>
      <c r="T47" s="1215">
        <v>11</v>
      </c>
      <c r="U47" s="1215">
        <v>11</v>
      </c>
      <c r="V47" s="1215">
        <v>11</v>
      </c>
      <c r="W47" s="1215">
        <v>11</v>
      </c>
      <c r="X47" s="1215" t="s">
        <v>657</v>
      </c>
      <c r="Y47" s="1215" t="s">
        <v>657</v>
      </c>
      <c r="Z47" s="1215" t="s">
        <v>487</v>
      </c>
      <c r="AA47" s="1215" t="s">
        <v>487</v>
      </c>
      <c r="AB47" s="1215" t="s">
        <v>487</v>
      </c>
      <c r="AC47" s="1215" t="s">
        <v>487</v>
      </c>
      <c r="AD47" s="1215" t="s">
        <v>487</v>
      </c>
      <c r="AE47" s="1215"/>
      <c r="AF47" s="1215"/>
      <c r="AG47" s="1216"/>
      <c r="AH47" s="504">
        <v>185</v>
      </c>
      <c r="AI47" s="505">
        <v>37</v>
      </c>
    </row>
    <row r="48" spans="1:38" ht="21.95" customHeight="1" thickBot="1">
      <c r="A48" s="546">
        <v>14</v>
      </c>
      <c r="B48" s="547" t="s">
        <v>671</v>
      </c>
      <c r="C48" s="1207" t="s">
        <v>533</v>
      </c>
      <c r="D48" s="1207" t="s">
        <v>533</v>
      </c>
      <c r="E48" s="1211" t="s">
        <v>487</v>
      </c>
      <c r="F48" s="1211" t="s">
        <v>487</v>
      </c>
      <c r="G48" s="1211" t="s">
        <v>487</v>
      </c>
      <c r="H48" s="1211" t="s">
        <v>487</v>
      </c>
      <c r="I48" s="1211" t="s">
        <v>487</v>
      </c>
      <c r="J48" s="1211"/>
      <c r="K48" s="1211"/>
      <c r="L48" s="1340">
        <v>1</v>
      </c>
      <c r="M48" s="1340">
        <v>1</v>
      </c>
      <c r="N48" s="1340">
        <v>1</v>
      </c>
      <c r="O48" s="1340">
        <v>1</v>
      </c>
      <c r="P48" s="1340">
        <v>1</v>
      </c>
      <c r="Q48" s="1207"/>
      <c r="R48" s="1207"/>
      <c r="S48" s="1360">
        <v>9</v>
      </c>
      <c r="T48" s="1360">
        <v>9</v>
      </c>
      <c r="U48" s="1360">
        <v>9</v>
      </c>
      <c r="V48" s="1360">
        <v>9</v>
      </c>
      <c r="W48" s="1360">
        <v>9</v>
      </c>
      <c r="X48" s="1360" t="s">
        <v>543</v>
      </c>
      <c r="Y48" s="1360" t="s">
        <v>555</v>
      </c>
      <c r="Z48" s="1360" t="s">
        <v>487</v>
      </c>
      <c r="AA48" s="1360" t="s">
        <v>487</v>
      </c>
      <c r="AB48" s="1360" t="s">
        <v>487</v>
      </c>
      <c r="AC48" s="1360" t="s">
        <v>487</v>
      </c>
      <c r="AD48" s="1360" t="s">
        <v>487</v>
      </c>
      <c r="AE48" s="1360"/>
      <c r="AF48" s="1360"/>
      <c r="AG48" s="1227"/>
      <c r="AH48" s="504">
        <v>128</v>
      </c>
      <c r="AI48" s="505">
        <v>37</v>
      </c>
    </row>
    <row r="49" spans="1:35" ht="21.95" customHeight="1">
      <c r="A49" s="543">
        <v>5</v>
      </c>
      <c r="B49" s="545" t="s">
        <v>672</v>
      </c>
      <c r="C49" s="1209"/>
      <c r="D49" s="1209"/>
      <c r="E49" s="1209">
        <v>5</v>
      </c>
      <c r="F49" s="1209" t="s">
        <v>514</v>
      </c>
      <c r="G49" s="1209">
        <v>5</v>
      </c>
      <c r="H49" s="1209">
        <v>5</v>
      </c>
      <c r="I49" s="1209">
        <v>3</v>
      </c>
      <c r="J49" s="1209"/>
      <c r="K49" s="1209"/>
      <c r="L49" s="1209">
        <v>10</v>
      </c>
      <c r="M49" s="1209">
        <v>10</v>
      </c>
      <c r="N49" s="1209">
        <v>10</v>
      </c>
      <c r="O49" s="1209">
        <v>10</v>
      </c>
      <c r="P49" s="1209">
        <v>10</v>
      </c>
      <c r="Q49" s="1209" t="s">
        <v>555</v>
      </c>
      <c r="R49" s="1209" t="s">
        <v>555</v>
      </c>
      <c r="S49" s="1215" t="s">
        <v>487</v>
      </c>
      <c r="T49" s="1215" t="s">
        <v>487</v>
      </c>
      <c r="U49" s="1215" t="s">
        <v>487</v>
      </c>
      <c r="V49" s="1215" t="s">
        <v>487</v>
      </c>
      <c r="W49" s="1215" t="s">
        <v>487</v>
      </c>
      <c r="X49" s="1215" t="s">
        <v>660</v>
      </c>
      <c r="Y49" s="1215" t="s">
        <v>660</v>
      </c>
      <c r="Z49" s="1215">
        <v>7</v>
      </c>
      <c r="AA49" s="1215">
        <v>7</v>
      </c>
      <c r="AB49" s="1215">
        <v>7</v>
      </c>
      <c r="AC49" s="1215">
        <v>7</v>
      </c>
      <c r="AD49" s="1215">
        <v>7</v>
      </c>
      <c r="AE49" s="1228"/>
      <c r="AF49" s="1209"/>
      <c r="AG49" s="1228"/>
      <c r="AH49" s="504">
        <v>185</v>
      </c>
      <c r="AI49" s="505">
        <v>37</v>
      </c>
    </row>
    <row r="50" spans="1:35" ht="21.95" customHeight="1">
      <c r="A50" s="544">
        <v>10</v>
      </c>
      <c r="B50" s="319" t="s">
        <v>673</v>
      </c>
      <c r="C50" s="1215"/>
      <c r="D50" s="1215"/>
      <c r="E50" s="1215">
        <v>3</v>
      </c>
      <c r="F50" s="1215">
        <v>3</v>
      </c>
      <c r="G50" s="1215">
        <v>3</v>
      </c>
      <c r="H50" s="1215">
        <v>3</v>
      </c>
      <c r="I50" s="1335">
        <v>3</v>
      </c>
      <c r="J50" s="1215"/>
      <c r="K50" s="1215"/>
      <c r="L50" s="1215">
        <v>11</v>
      </c>
      <c r="M50" s="1215">
        <v>11</v>
      </c>
      <c r="N50" s="1215">
        <v>11</v>
      </c>
      <c r="O50" s="1215">
        <v>11</v>
      </c>
      <c r="P50" s="1215">
        <v>11</v>
      </c>
      <c r="Q50" s="1335" t="s">
        <v>657</v>
      </c>
      <c r="R50" s="1215" t="s">
        <v>657</v>
      </c>
      <c r="S50" s="1344" t="s">
        <v>487</v>
      </c>
      <c r="T50" s="1215" t="s">
        <v>487</v>
      </c>
      <c r="U50" s="1215" t="s">
        <v>487</v>
      </c>
      <c r="V50" s="1215" t="s">
        <v>487</v>
      </c>
      <c r="W50" s="1215" t="s">
        <v>487</v>
      </c>
      <c r="X50" s="1215"/>
      <c r="Y50" s="1215"/>
      <c r="Z50" s="1215">
        <v>8</v>
      </c>
      <c r="AA50" s="1215">
        <v>8</v>
      </c>
      <c r="AB50" s="1215">
        <v>8</v>
      </c>
      <c r="AC50" s="1215">
        <v>8</v>
      </c>
      <c r="AD50" s="1335">
        <v>8</v>
      </c>
      <c r="AE50" s="1216" t="s">
        <v>533</v>
      </c>
      <c r="AF50" s="1215" t="s">
        <v>533</v>
      </c>
      <c r="AG50" s="1216"/>
      <c r="AH50" s="504">
        <v>185</v>
      </c>
      <c r="AI50" s="505">
        <v>37</v>
      </c>
    </row>
    <row r="51" spans="1:35" ht="21.95" customHeight="1" thickBot="1">
      <c r="A51" s="546">
        <v>15</v>
      </c>
      <c r="B51" s="52" t="s">
        <v>674</v>
      </c>
      <c r="C51" s="1207"/>
      <c r="D51" s="1207"/>
      <c r="E51" s="1207">
        <v>1</v>
      </c>
      <c r="F51" s="1207">
        <v>1</v>
      </c>
      <c r="G51" s="1207">
        <v>1</v>
      </c>
      <c r="H51" s="1207">
        <v>1</v>
      </c>
      <c r="I51" s="1207">
        <v>1</v>
      </c>
      <c r="J51" s="1207"/>
      <c r="K51" s="1207"/>
      <c r="L51" s="1207">
        <v>9</v>
      </c>
      <c r="M51" s="1207">
        <v>9</v>
      </c>
      <c r="N51" s="1207">
        <v>9</v>
      </c>
      <c r="O51" s="1207">
        <v>9</v>
      </c>
      <c r="P51" s="1207">
        <v>9</v>
      </c>
      <c r="Q51" s="1207" t="s">
        <v>543</v>
      </c>
      <c r="R51" s="1207" t="s">
        <v>555</v>
      </c>
      <c r="S51" s="1207" t="s">
        <v>487</v>
      </c>
      <c r="T51" s="1207" t="s">
        <v>487</v>
      </c>
      <c r="U51" s="1207" t="s">
        <v>487</v>
      </c>
      <c r="V51" s="1207" t="s">
        <v>487</v>
      </c>
      <c r="W51" s="1207" t="s">
        <v>487</v>
      </c>
      <c r="X51" s="1207"/>
      <c r="Y51" s="1207"/>
      <c r="Z51" s="1207">
        <v>6</v>
      </c>
      <c r="AA51" s="1207">
        <v>6</v>
      </c>
      <c r="AB51" s="1207">
        <v>6</v>
      </c>
      <c r="AC51" s="1207">
        <v>6</v>
      </c>
      <c r="AD51" s="1207">
        <v>6</v>
      </c>
      <c r="AE51" s="1227" t="s">
        <v>532</v>
      </c>
      <c r="AF51" s="1207" t="s">
        <v>533</v>
      </c>
      <c r="AG51" s="1227"/>
      <c r="AH51" s="504">
        <v>185</v>
      </c>
      <c r="AI51" s="505">
        <v>37</v>
      </c>
    </row>
    <row r="52" spans="1:35" ht="21.95" customHeight="1">
      <c r="A52" s="519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  <c r="T52" s="541"/>
      <c r="U52" s="541"/>
      <c r="V52" s="541"/>
      <c r="W52" s="541"/>
      <c r="X52" s="541"/>
      <c r="Y52" s="541"/>
      <c r="Z52" s="541"/>
      <c r="AA52" s="541"/>
      <c r="AB52" s="541"/>
      <c r="AC52" s="541"/>
      <c r="AD52" s="541"/>
      <c r="AE52" s="541"/>
      <c r="AF52" s="541"/>
      <c r="AG52" s="541"/>
      <c r="AH52" s="1"/>
    </row>
    <row r="53" spans="1:35" ht="21.95" customHeight="1">
      <c r="A53" s="519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1"/>
      <c r="W53" s="541"/>
      <c r="X53" s="541"/>
      <c r="Y53" s="541"/>
      <c r="Z53" s="541"/>
      <c r="AA53" s="541"/>
      <c r="AB53" s="541"/>
      <c r="AC53" s="541"/>
      <c r="AD53" s="541"/>
      <c r="AE53" s="541"/>
      <c r="AF53" s="541"/>
      <c r="AG53" s="541"/>
      <c r="AH53" s="1"/>
    </row>
    <row r="54" spans="1:35" ht="21.95" customHeight="1">
      <c r="A54" s="519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1"/>
      <c r="AA54" s="541"/>
      <c r="AB54" s="541"/>
      <c r="AC54" s="541"/>
      <c r="AD54" s="541"/>
      <c r="AE54" s="541"/>
      <c r="AF54" s="541"/>
      <c r="AG54" s="541"/>
      <c r="AH54" s="1"/>
    </row>
    <row r="55" spans="1:35" ht="21.95" customHeight="1" thickBot="1">
      <c r="A55" s="558"/>
      <c r="C55" s="559"/>
      <c r="D55" s="559"/>
      <c r="E55" s="559"/>
      <c r="F55" s="559"/>
      <c r="G55" s="559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59"/>
      <c r="AA55" s="559"/>
      <c r="AB55" s="559"/>
      <c r="AC55" s="559"/>
      <c r="AD55" s="559"/>
      <c r="AE55" s="559"/>
      <c r="AF55" s="559"/>
      <c r="AG55" s="559"/>
      <c r="AH55" s="560"/>
      <c r="AI55" s="560"/>
    </row>
    <row r="56" spans="1:35" ht="21.95" customHeight="1">
      <c r="A56" s="361"/>
      <c r="B56" s="23" t="s">
        <v>675</v>
      </c>
      <c r="C56" s="7"/>
      <c r="D56" s="414" t="s">
        <v>2</v>
      </c>
      <c r="E56" s="550"/>
      <c r="F56" s="7"/>
      <c r="G56" s="6" t="s">
        <v>3</v>
      </c>
      <c r="H56" s="551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52"/>
      <c r="R56" s="118"/>
      <c r="S56" s="6" t="s">
        <v>7</v>
      </c>
      <c r="T56" s="553"/>
      <c r="U56" s="118"/>
      <c r="V56" s="6" t="s">
        <v>8</v>
      </c>
      <c r="W56" s="552"/>
      <c r="X56" s="349" t="s">
        <v>9</v>
      </c>
      <c r="Y56" s="561"/>
      <c r="Z56" s="561"/>
      <c r="AA56" s="562"/>
      <c r="AB56" s="27" t="s">
        <v>10</v>
      </c>
      <c r="AC56" s="554"/>
      <c r="AD56" s="554"/>
      <c r="AE56" s="563"/>
      <c r="AF56" s="563"/>
      <c r="AG56" s="564"/>
    </row>
    <row r="57" spans="1:35" ht="21.95" customHeight="1">
      <c r="A57" s="361"/>
      <c r="B57" s="306" t="s">
        <v>676</v>
      </c>
      <c r="C57" s="565" t="s">
        <v>512</v>
      </c>
      <c r="D57" s="483"/>
      <c r="E57" s="484"/>
      <c r="F57" s="565" t="s">
        <v>512</v>
      </c>
      <c r="G57" s="483"/>
      <c r="H57" s="484"/>
      <c r="I57" s="565" t="s">
        <v>512</v>
      </c>
      <c r="J57" s="483"/>
      <c r="K57" s="484"/>
      <c r="L57" s="565" t="s">
        <v>512</v>
      </c>
      <c r="M57" s="483"/>
      <c r="N57" s="484"/>
      <c r="O57" s="565" t="s">
        <v>116</v>
      </c>
      <c r="P57" s="483"/>
      <c r="Q57" s="484"/>
      <c r="R57" s="565"/>
      <c r="S57" s="483"/>
      <c r="T57" s="484"/>
      <c r="U57" s="565"/>
      <c r="V57" s="483"/>
      <c r="W57" s="484"/>
      <c r="X57" s="565"/>
      <c r="Y57" s="483"/>
      <c r="Z57" s="483"/>
      <c r="AA57" s="483"/>
      <c r="AB57" s="476"/>
      <c r="AC57" s="483"/>
      <c r="AD57" s="483"/>
      <c r="AE57" s="483"/>
      <c r="AF57" s="483"/>
      <c r="AG57" s="566"/>
    </row>
    <row r="58" spans="1:35" ht="21.95" customHeight="1">
      <c r="A58" s="361"/>
      <c r="B58" s="306" t="s">
        <v>677</v>
      </c>
      <c r="C58" s="565" t="s">
        <v>147</v>
      </c>
      <c r="D58" s="483"/>
      <c r="E58" s="484"/>
      <c r="F58" s="565" t="s">
        <v>147</v>
      </c>
      <c r="G58" s="483"/>
      <c r="H58" s="484"/>
      <c r="I58" s="565" t="s">
        <v>147</v>
      </c>
      <c r="J58" s="483"/>
      <c r="K58" s="484"/>
      <c r="L58" s="565" t="s">
        <v>147</v>
      </c>
      <c r="M58" s="483"/>
      <c r="N58" s="484"/>
      <c r="O58" s="565" t="s">
        <v>578</v>
      </c>
      <c r="P58" s="483"/>
      <c r="Q58" s="484"/>
      <c r="R58" s="565"/>
      <c r="S58" s="483"/>
      <c r="T58" s="484"/>
      <c r="U58" s="565"/>
      <c r="V58" s="483"/>
      <c r="W58" s="484"/>
      <c r="X58" s="565"/>
      <c r="Y58" s="483"/>
      <c r="Z58" s="483"/>
      <c r="AA58" s="483"/>
      <c r="AB58" s="476"/>
      <c r="AC58" s="483"/>
      <c r="AD58" s="483"/>
      <c r="AE58" s="483"/>
      <c r="AF58" s="483"/>
      <c r="AG58" s="566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>
      <c r="A60" s="556" t="s">
        <v>528</v>
      </c>
      <c r="B60" s="297" t="s">
        <v>480</v>
      </c>
      <c r="C60" s="1235">
        <v>1</v>
      </c>
      <c r="D60" s="1235">
        <v>2</v>
      </c>
      <c r="E60" s="1234">
        <v>3</v>
      </c>
      <c r="F60" s="1234">
        <v>4</v>
      </c>
      <c r="G60" s="1348">
        <v>5</v>
      </c>
      <c r="H60" s="1234">
        <v>6</v>
      </c>
      <c r="I60" s="1213">
        <v>7</v>
      </c>
      <c r="J60" s="1330">
        <v>8</v>
      </c>
      <c r="K60" s="1235">
        <v>9</v>
      </c>
      <c r="L60" s="1234">
        <v>10</v>
      </c>
      <c r="M60" s="1234">
        <v>11</v>
      </c>
      <c r="N60" s="1234">
        <v>12</v>
      </c>
      <c r="O60" s="1234">
        <v>13</v>
      </c>
      <c r="P60" s="1213">
        <v>14</v>
      </c>
      <c r="Q60" s="1330">
        <v>15</v>
      </c>
      <c r="R60" s="1235">
        <v>16</v>
      </c>
      <c r="S60" s="1234">
        <v>17</v>
      </c>
      <c r="T60" s="1234">
        <v>18</v>
      </c>
      <c r="U60" s="1234">
        <v>19</v>
      </c>
      <c r="V60" s="1213">
        <v>20</v>
      </c>
      <c r="W60" s="1213">
        <v>21</v>
      </c>
      <c r="X60" s="1330">
        <v>22</v>
      </c>
      <c r="Y60" s="1235">
        <v>23</v>
      </c>
      <c r="Z60" s="1234">
        <v>24</v>
      </c>
      <c r="AA60" s="1234">
        <v>25</v>
      </c>
      <c r="AB60" s="1234">
        <v>26</v>
      </c>
      <c r="AC60" s="1234">
        <v>27</v>
      </c>
      <c r="AD60" s="1213">
        <v>28</v>
      </c>
      <c r="AE60" s="1330">
        <v>29</v>
      </c>
      <c r="AF60" s="1235">
        <v>30</v>
      </c>
      <c r="AG60" s="1234"/>
      <c r="AH60" s="498" t="s">
        <v>481</v>
      </c>
      <c r="AI60" s="499" t="s">
        <v>482</v>
      </c>
    </row>
    <row r="61" spans="1:35" ht="21.95" customHeight="1">
      <c r="A61" s="186">
        <v>8520</v>
      </c>
      <c r="B61" s="186" t="s">
        <v>678</v>
      </c>
      <c r="C61" s="1215"/>
      <c r="D61" s="1215"/>
      <c r="E61" s="1215" t="s">
        <v>679</v>
      </c>
      <c r="F61" s="1215" t="s">
        <v>679</v>
      </c>
      <c r="G61" s="1215" t="s">
        <v>679</v>
      </c>
      <c r="H61" s="1215" t="s">
        <v>679</v>
      </c>
      <c r="I61" s="1215" t="s">
        <v>679</v>
      </c>
      <c r="J61" s="1215"/>
      <c r="K61" s="1215"/>
      <c r="L61" s="1215" t="s">
        <v>679</v>
      </c>
      <c r="M61" s="1215" t="s">
        <v>679</v>
      </c>
      <c r="N61" s="1215" t="s">
        <v>679</v>
      </c>
      <c r="O61" s="1215" t="s">
        <v>679</v>
      </c>
      <c r="P61" s="1215" t="s">
        <v>679</v>
      </c>
      <c r="Q61" s="1215"/>
      <c r="R61" s="1215"/>
      <c r="S61" s="1215" t="s">
        <v>679</v>
      </c>
      <c r="T61" s="1215" t="s">
        <v>679</v>
      </c>
      <c r="U61" s="1215" t="s">
        <v>679</v>
      </c>
      <c r="V61" s="1215" t="s">
        <v>679</v>
      </c>
      <c r="W61" s="1215" t="s">
        <v>679</v>
      </c>
      <c r="X61" s="1215"/>
      <c r="Y61" s="1215"/>
      <c r="Z61" s="1338" t="s">
        <v>679</v>
      </c>
      <c r="AA61" s="1338" t="s">
        <v>679</v>
      </c>
      <c r="AB61" s="1338" t="s">
        <v>679</v>
      </c>
      <c r="AC61" s="1338" t="s">
        <v>679</v>
      </c>
      <c r="AD61" s="1338" t="s">
        <v>679</v>
      </c>
      <c r="AE61" s="1338"/>
      <c r="AF61" s="1338"/>
      <c r="AG61" s="1215"/>
      <c r="AH61" s="504">
        <v>148</v>
      </c>
      <c r="AI61" s="505">
        <v>37</v>
      </c>
    </row>
    <row r="62" spans="1:35" ht="21.95" customHeight="1">
      <c r="A62" s="186">
        <v>8521</v>
      </c>
      <c r="B62" s="186" t="s">
        <v>681</v>
      </c>
      <c r="C62" s="1215"/>
      <c r="D62" s="1215"/>
      <c r="E62" s="1342" t="s">
        <v>550</v>
      </c>
      <c r="F62" s="1344" t="s">
        <v>550</v>
      </c>
      <c r="G62" s="1215" t="s">
        <v>550</v>
      </c>
      <c r="H62" s="1215" t="s">
        <v>550</v>
      </c>
      <c r="I62" s="1215" t="s">
        <v>550</v>
      </c>
      <c r="J62" s="1215"/>
      <c r="K62" s="1215"/>
      <c r="L62" s="1215" t="s">
        <v>550</v>
      </c>
      <c r="M62" s="1215" t="s">
        <v>550</v>
      </c>
      <c r="N62" s="1215" t="s">
        <v>550</v>
      </c>
      <c r="O62" s="1215" t="s">
        <v>550</v>
      </c>
      <c r="P62" s="1215" t="s">
        <v>550</v>
      </c>
      <c r="Q62" s="1215"/>
      <c r="R62" s="1215"/>
      <c r="S62" s="1342" t="s">
        <v>550</v>
      </c>
      <c r="T62" s="1215" t="s">
        <v>550</v>
      </c>
      <c r="U62" s="1215" t="s">
        <v>550</v>
      </c>
      <c r="V62" s="1215" t="s">
        <v>550</v>
      </c>
      <c r="W62" s="1215" t="s">
        <v>550</v>
      </c>
      <c r="X62" s="1215"/>
      <c r="Y62" s="1215"/>
      <c r="Z62" s="1215" t="s">
        <v>550</v>
      </c>
      <c r="AA62" s="1215" t="s">
        <v>550</v>
      </c>
      <c r="AB62" s="1215" t="s">
        <v>550</v>
      </c>
      <c r="AC62" s="1215" t="s">
        <v>550</v>
      </c>
      <c r="AD62" s="1215" t="s">
        <v>550</v>
      </c>
      <c r="AE62" s="1215"/>
      <c r="AF62" s="1215"/>
      <c r="AG62" s="1215"/>
      <c r="AH62" s="504">
        <v>185</v>
      </c>
      <c r="AI62" s="505">
        <v>37</v>
      </c>
    </row>
    <row r="63" spans="1:35" ht="21.95" customHeight="1">
      <c r="A63" s="361"/>
      <c r="B63" s="361"/>
      <c r="C63" s="541"/>
      <c r="D63" s="520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520"/>
      <c r="AE63" s="520"/>
      <c r="AF63" s="520"/>
      <c r="AG63" s="520"/>
      <c r="AH63" s="560"/>
      <c r="AI63" s="560"/>
    </row>
    <row r="64" spans="1:35" ht="21.95" customHeight="1">
      <c r="A64" s="361"/>
      <c r="B64" s="361"/>
      <c r="C64" s="541"/>
      <c r="D64" s="520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520"/>
      <c r="AE64" s="520"/>
      <c r="AF64" s="520"/>
      <c r="AG64" s="520"/>
      <c r="AH64" s="560"/>
      <c r="AI64" s="560"/>
    </row>
    <row r="65" spans="1:35" ht="21.95" customHeight="1">
      <c r="A65" s="361"/>
      <c r="B65" s="361"/>
      <c r="C65" s="541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60"/>
      <c r="AI65" s="560"/>
    </row>
    <row r="66" spans="1:35" ht="21.95" customHeight="1" thickBot="1">
      <c r="A66" s="1" t="s">
        <v>468</v>
      </c>
      <c r="D66" s="361"/>
      <c r="E66" s="361"/>
      <c r="F66" s="361"/>
      <c r="G66" s="549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726</v>
      </c>
      <c r="C67" s="7"/>
      <c r="D67" s="525" t="s">
        <v>2</v>
      </c>
      <c r="E67" s="51"/>
      <c r="F67" s="551"/>
      <c r="G67" s="7"/>
      <c r="H67" s="525" t="s">
        <v>3</v>
      </c>
      <c r="I67" s="51"/>
      <c r="J67" s="551"/>
      <c r="K67" s="7"/>
      <c r="L67" s="525" t="s">
        <v>4</v>
      </c>
      <c r="M67" s="51"/>
      <c r="N67" s="551"/>
      <c r="O67" s="7"/>
      <c r="P67" s="525" t="s">
        <v>5</v>
      </c>
      <c r="Q67" s="51"/>
      <c r="R67" s="551"/>
      <c r="S67" s="7"/>
      <c r="T67" s="525" t="s">
        <v>6</v>
      </c>
      <c r="U67" s="51"/>
      <c r="V67" s="551"/>
      <c r="W67" s="27"/>
      <c r="X67" s="898" t="s">
        <v>7</v>
      </c>
      <c r="Y67" s="522"/>
      <c r="Z67" s="238"/>
      <c r="AA67" s="7"/>
      <c r="AB67" s="525" t="s">
        <v>8</v>
      </c>
      <c r="AC67" s="51"/>
      <c r="AD67" s="51"/>
      <c r="AE67" s="349" t="s">
        <v>9</v>
      </c>
      <c r="AF67" s="51"/>
      <c r="AG67" s="51"/>
      <c r="AH67" s="51"/>
      <c r="AI67" s="526"/>
    </row>
    <row r="68" spans="1:35" ht="21.95" customHeight="1">
      <c r="A68" s="1"/>
      <c r="B68" s="129" t="s">
        <v>164</v>
      </c>
      <c r="C68" s="567" t="s">
        <v>471</v>
      </c>
      <c r="E68" s="157"/>
      <c r="F68" s="568"/>
      <c r="G68" s="567" t="s">
        <v>471</v>
      </c>
      <c r="H68" s="157"/>
      <c r="I68" s="157"/>
      <c r="J68" s="568"/>
      <c r="K68" s="567" t="s">
        <v>471</v>
      </c>
      <c r="L68" s="157"/>
      <c r="M68" s="157"/>
      <c r="N68" s="568"/>
      <c r="O68" s="567" t="s">
        <v>472</v>
      </c>
      <c r="P68" s="157"/>
      <c r="Q68" s="157"/>
      <c r="R68" s="568"/>
      <c r="S68" s="567" t="s">
        <v>473</v>
      </c>
      <c r="T68" s="157"/>
      <c r="U68" s="157"/>
      <c r="V68" s="569"/>
      <c r="W68" s="899"/>
      <c r="X68" s="900"/>
      <c r="Y68" s="900"/>
      <c r="Z68" s="901"/>
      <c r="AA68" s="569"/>
      <c r="AB68" s="157"/>
      <c r="AC68" s="157"/>
      <c r="AD68" s="569"/>
      <c r="AE68" s="121">
        <v>37</v>
      </c>
      <c r="AG68" s="157"/>
      <c r="AH68" s="569"/>
      <c r="AI68" s="490"/>
    </row>
    <row r="69" spans="1:35" ht="21.95" customHeight="1">
      <c r="A69" s="1"/>
      <c r="B69" s="129" t="s">
        <v>167</v>
      </c>
      <c r="C69" s="567" t="s">
        <v>474</v>
      </c>
      <c r="D69" s="157"/>
      <c r="E69" s="157"/>
      <c r="F69" s="568"/>
      <c r="G69" s="567" t="s">
        <v>474</v>
      </c>
      <c r="H69" s="157"/>
      <c r="I69" s="157"/>
      <c r="J69" s="568"/>
      <c r="K69" s="567" t="s">
        <v>474</v>
      </c>
      <c r="L69" s="157"/>
      <c r="M69" s="157"/>
      <c r="N69" s="568"/>
      <c r="O69" s="567" t="s">
        <v>475</v>
      </c>
      <c r="P69" s="157" t="s">
        <v>476</v>
      </c>
      <c r="Q69" s="157"/>
      <c r="R69" s="568"/>
      <c r="S69" s="567" t="s">
        <v>477</v>
      </c>
      <c r="T69" s="157" t="s">
        <v>727</v>
      </c>
      <c r="U69" s="157"/>
      <c r="V69" s="568"/>
      <c r="W69" s="610" t="s">
        <v>478</v>
      </c>
      <c r="X69" s="55"/>
      <c r="Y69" s="55"/>
      <c r="Z69" s="55"/>
      <c r="AA69" s="567" t="s">
        <v>479</v>
      </c>
      <c r="AB69" s="567"/>
      <c r="AC69" s="567"/>
      <c r="AD69" s="567"/>
      <c r="AE69" s="155">
        <v>68.25</v>
      </c>
      <c r="AF69" s="157"/>
      <c r="AG69" s="571"/>
      <c r="AH69" s="572"/>
      <c r="AI69" s="573"/>
    </row>
    <row r="70" spans="1:35" ht="21.95" customHeight="1">
      <c r="A70" s="1"/>
      <c r="B70" s="129" t="s">
        <v>170</v>
      </c>
      <c r="C70" s="897" t="s">
        <v>162</v>
      </c>
      <c r="D70" s="157"/>
      <c r="E70" s="157"/>
      <c r="F70" s="568"/>
      <c r="G70" s="157" t="s">
        <v>162</v>
      </c>
      <c r="H70" s="157"/>
      <c r="I70" s="157"/>
      <c r="J70" s="568"/>
      <c r="K70" s="157" t="s">
        <v>162</v>
      </c>
      <c r="L70" s="157"/>
      <c r="M70" s="157"/>
      <c r="N70" s="568"/>
      <c r="O70" s="157" t="s">
        <v>162</v>
      </c>
      <c r="P70" s="157"/>
      <c r="Q70" s="157"/>
      <c r="R70" s="568"/>
      <c r="S70" s="157" t="s">
        <v>162</v>
      </c>
      <c r="T70" s="157"/>
      <c r="U70" s="157"/>
      <c r="V70" s="568"/>
      <c r="W70" s="567"/>
      <c r="X70" s="157"/>
      <c r="Y70" s="157"/>
      <c r="Z70" s="568"/>
      <c r="AA70" s="567"/>
      <c r="AB70" s="157"/>
      <c r="AC70" s="157"/>
      <c r="AD70" s="569"/>
      <c r="AE70" s="570">
        <v>0</v>
      </c>
      <c r="AF70" s="571"/>
      <c r="AG70" s="157"/>
      <c r="AH70" s="569"/>
      <c r="AI70" s="490"/>
    </row>
    <row r="71" spans="1:35" ht="21.95" customHeight="1" thickBot="1">
      <c r="A71" s="1"/>
      <c r="B71" s="47"/>
      <c r="C71" s="574"/>
      <c r="D71" s="53"/>
      <c r="E71" s="53"/>
      <c r="F71" s="575"/>
      <c r="G71" s="574"/>
      <c r="H71" s="53"/>
      <c r="I71" s="53"/>
      <c r="J71" s="575"/>
      <c r="K71" s="574"/>
      <c r="L71" s="53"/>
      <c r="M71" s="53"/>
      <c r="N71" s="575"/>
      <c r="O71" s="574"/>
      <c r="P71" s="53"/>
      <c r="Q71" s="53"/>
      <c r="R71" s="575"/>
      <c r="S71" s="574"/>
      <c r="T71" s="53"/>
      <c r="U71" s="53"/>
      <c r="V71" s="575"/>
      <c r="W71" s="53"/>
      <c r="X71" s="53"/>
      <c r="Y71" s="53"/>
      <c r="Z71" s="53"/>
      <c r="AA71" s="53"/>
      <c r="AB71" s="53"/>
      <c r="AC71" s="53"/>
      <c r="AD71" s="53"/>
      <c r="AE71" s="576"/>
      <c r="AF71" s="53"/>
      <c r="AG71" s="53"/>
      <c r="AH71" s="577"/>
      <c r="AI71" s="539"/>
    </row>
    <row r="72" spans="1:35" ht="21.95" customHeight="1" thickBot="1">
      <c r="A72" s="578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>
      <c r="A73" s="556"/>
      <c r="B73" s="297" t="s">
        <v>480</v>
      </c>
      <c r="C73" s="1235">
        <v>1</v>
      </c>
      <c r="D73" s="1235">
        <v>2</v>
      </c>
      <c r="E73" s="1234">
        <v>3</v>
      </c>
      <c r="F73" s="1234">
        <v>4</v>
      </c>
      <c r="G73" s="1348">
        <v>5</v>
      </c>
      <c r="H73" s="1234">
        <v>6</v>
      </c>
      <c r="I73" s="1213">
        <v>7</v>
      </c>
      <c r="J73" s="1330">
        <v>8</v>
      </c>
      <c r="K73" s="1235">
        <v>9</v>
      </c>
      <c r="L73" s="1234">
        <v>10</v>
      </c>
      <c r="M73" s="1234">
        <v>11</v>
      </c>
      <c r="N73" s="1234">
        <v>12</v>
      </c>
      <c r="O73" s="1234">
        <v>13</v>
      </c>
      <c r="P73" s="1213">
        <v>14</v>
      </c>
      <c r="Q73" s="1330">
        <v>15</v>
      </c>
      <c r="R73" s="1235">
        <v>16</v>
      </c>
      <c r="S73" s="1234">
        <v>17</v>
      </c>
      <c r="T73" s="1234">
        <v>18</v>
      </c>
      <c r="U73" s="1234">
        <v>19</v>
      </c>
      <c r="V73" s="1213">
        <v>20</v>
      </c>
      <c r="W73" s="1213">
        <v>21</v>
      </c>
      <c r="X73" s="1330">
        <v>22</v>
      </c>
      <c r="Y73" s="1235">
        <v>23</v>
      </c>
      <c r="Z73" s="1234">
        <v>24</v>
      </c>
      <c r="AA73" s="1234">
        <v>25</v>
      </c>
      <c r="AB73" s="1234">
        <v>26</v>
      </c>
      <c r="AC73" s="1234">
        <v>27</v>
      </c>
      <c r="AD73" s="1213">
        <v>28</v>
      </c>
      <c r="AE73" s="1330">
        <v>29</v>
      </c>
      <c r="AF73" s="1235">
        <v>30</v>
      </c>
      <c r="AG73" s="1234"/>
      <c r="AH73" s="498" t="s">
        <v>481</v>
      </c>
      <c r="AI73" s="499" t="s">
        <v>482</v>
      </c>
    </row>
    <row r="74" spans="1:35" ht="21.95" customHeight="1" thickBot="1">
      <c r="A74" s="579">
        <v>1</v>
      </c>
      <c r="B74" s="153" t="s">
        <v>483</v>
      </c>
      <c r="C74" s="1208"/>
      <c r="D74" s="1208"/>
      <c r="E74" s="1208" t="s">
        <v>682</v>
      </c>
      <c r="F74" s="1208" t="s">
        <v>682</v>
      </c>
      <c r="G74" s="1208" t="s">
        <v>682</v>
      </c>
      <c r="H74" s="1208" t="s">
        <v>682</v>
      </c>
      <c r="I74" s="1208" t="s">
        <v>682</v>
      </c>
      <c r="J74" s="1208"/>
      <c r="K74" s="1208"/>
      <c r="L74" s="1208" t="s">
        <v>484</v>
      </c>
      <c r="M74" s="1208" t="s">
        <v>484</v>
      </c>
      <c r="N74" s="1208" t="s">
        <v>484</v>
      </c>
      <c r="O74" s="1347" t="s">
        <v>485</v>
      </c>
      <c r="P74" s="1347" t="s">
        <v>485</v>
      </c>
      <c r="Q74" s="1208" t="s">
        <v>486</v>
      </c>
      <c r="R74" s="1208" t="s">
        <v>486</v>
      </c>
      <c r="S74" s="1208" t="s">
        <v>487</v>
      </c>
      <c r="T74" s="1208" t="s">
        <v>487</v>
      </c>
      <c r="U74" s="1208" t="s">
        <v>487</v>
      </c>
      <c r="V74" s="1208" t="s">
        <v>487</v>
      </c>
      <c r="W74" s="1208" t="s">
        <v>487</v>
      </c>
      <c r="X74" s="1208"/>
      <c r="Y74" s="1208"/>
      <c r="Z74" s="1208" t="s">
        <v>682</v>
      </c>
      <c r="AA74" s="1208" t="s">
        <v>682</v>
      </c>
      <c r="AB74" s="1208" t="s">
        <v>682</v>
      </c>
      <c r="AC74" s="1208" t="s">
        <v>682</v>
      </c>
      <c r="AD74" s="1208" t="s">
        <v>682</v>
      </c>
      <c r="AE74" s="1208"/>
      <c r="AF74" s="1208"/>
      <c r="AG74" s="1208"/>
      <c r="AH74" s="504">
        <v>185</v>
      </c>
      <c r="AI74" s="505">
        <v>37</v>
      </c>
    </row>
    <row r="75" spans="1:35" ht="21.95" customHeight="1">
      <c r="A75" s="579">
        <v>2</v>
      </c>
      <c r="B75" s="45" t="s">
        <v>489</v>
      </c>
      <c r="C75" s="1208"/>
      <c r="D75" s="1208"/>
      <c r="E75" s="1208" t="s">
        <v>484</v>
      </c>
      <c r="F75" s="1208" t="s">
        <v>484</v>
      </c>
      <c r="G75" s="1208" t="s">
        <v>484</v>
      </c>
      <c r="H75" s="1208" t="s">
        <v>485</v>
      </c>
      <c r="I75" s="1208" t="s">
        <v>485</v>
      </c>
      <c r="J75" s="1208" t="s">
        <v>486</v>
      </c>
      <c r="K75" s="1208" t="s">
        <v>486</v>
      </c>
      <c r="L75" s="1208" t="s">
        <v>487</v>
      </c>
      <c r="M75" s="1208" t="s">
        <v>487</v>
      </c>
      <c r="N75" s="1208" t="s">
        <v>487</v>
      </c>
      <c r="O75" s="1208" t="s">
        <v>487</v>
      </c>
      <c r="P75" s="1208" t="s">
        <v>487</v>
      </c>
      <c r="Q75" s="1208"/>
      <c r="R75" s="1208"/>
      <c r="S75" s="1208" t="s">
        <v>682</v>
      </c>
      <c r="T75" s="1208" t="s">
        <v>682</v>
      </c>
      <c r="U75" s="1347" t="s">
        <v>682</v>
      </c>
      <c r="V75" s="1347" t="s">
        <v>682</v>
      </c>
      <c r="W75" s="1347" t="s">
        <v>682</v>
      </c>
      <c r="X75" s="1208"/>
      <c r="Y75" s="1208"/>
      <c r="Z75" s="1208" t="s">
        <v>484</v>
      </c>
      <c r="AA75" s="1208" t="s">
        <v>484</v>
      </c>
      <c r="AB75" s="1208" t="s">
        <v>484</v>
      </c>
      <c r="AC75" s="1208" t="s">
        <v>485</v>
      </c>
      <c r="AD75" s="1368" t="s">
        <v>485</v>
      </c>
      <c r="AE75" s="1208" t="s">
        <v>486</v>
      </c>
      <c r="AF75" s="1208" t="s">
        <v>486</v>
      </c>
      <c r="AG75" s="1208"/>
      <c r="AH75" s="504">
        <v>185</v>
      </c>
      <c r="AI75" s="505">
        <v>37</v>
      </c>
    </row>
    <row r="76" spans="1:35" ht="21.95" customHeight="1">
      <c r="A76" s="579">
        <v>3</v>
      </c>
      <c r="B76" s="545" t="s">
        <v>490</v>
      </c>
      <c r="C76" s="1372" t="s">
        <v>486</v>
      </c>
      <c r="D76" s="1372" t="s">
        <v>486</v>
      </c>
      <c r="E76" s="1372" t="s">
        <v>487</v>
      </c>
      <c r="F76" s="1372" t="s">
        <v>487</v>
      </c>
      <c r="G76" s="1372" t="s">
        <v>487</v>
      </c>
      <c r="H76" s="1372" t="s">
        <v>487</v>
      </c>
      <c r="I76" s="1372" t="s">
        <v>487</v>
      </c>
      <c r="J76" s="1372"/>
      <c r="K76" s="1372"/>
      <c r="L76" s="1372" t="s">
        <v>682</v>
      </c>
      <c r="M76" s="1372" t="s">
        <v>682</v>
      </c>
      <c r="N76" s="1372" t="s">
        <v>682</v>
      </c>
      <c r="O76" s="1372" t="s">
        <v>682</v>
      </c>
      <c r="P76" s="1372" t="s">
        <v>682</v>
      </c>
      <c r="Q76" s="1372"/>
      <c r="R76" s="1372"/>
      <c r="S76" s="1372" t="s">
        <v>484</v>
      </c>
      <c r="T76" s="1372" t="s">
        <v>484</v>
      </c>
      <c r="U76" s="1372" t="s">
        <v>484</v>
      </c>
      <c r="V76" s="1372" t="s">
        <v>485</v>
      </c>
      <c r="W76" s="1372" t="s">
        <v>485</v>
      </c>
      <c r="X76" s="1372" t="s">
        <v>486</v>
      </c>
      <c r="Y76" s="1372" t="s">
        <v>486</v>
      </c>
      <c r="Z76" s="1372" t="s">
        <v>487</v>
      </c>
      <c r="AA76" s="1372" t="s">
        <v>487</v>
      </c>
      <c r="AB76" s="1372" t="s">
        <v>487</v>
      </c>
      <c r="AC76" s="1372" t="s">
        <v>487</v>
      </c>
      <c r="AD76" s="1372" t="s">
        <v>487</v>
      </c>
      <c r="AE76" s="1208"/>
      <c r="AF76" s="1208"/>
      <c r="AG76" s="1208"/>
      <c r="AH76" s="504">
        <v>185</v>
      </c>
      <c r="AI76" s="505">
        <v>37</v>
      </c>
    </row>
    <row r="77" spans="1:35" ht="21" customHeight="1"/>
    <row r="78" spans="1:35" ht="21.95" customHeight="1" thickBot="1">
      <c r="A78" s="312" t="s">
        <v>491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  <c r="O78" s="559"/>
      <c r="P78" s="559"/>
      <c r="Q78" s="559"/>
      <c r="R78" s="559"/>
      <c r="S78" s="559"/>
      <c r="T78" s="559"/>
      <c r="U78" s="559"/>
      <c r="V78" s="559"/>
      <c r="W78" s="559"/>
      <c r="X78" s="559"/>
      <c r="Y78" s="559"/>
      <c r="Z78" s="559"/>
      <c r="AA78" s="559"/>
      <c r="AB78" s="559"/>
      <c r="AC78" s="559"/>
      <c r="AD78" s="559"/>
      <c r="AE78" s="559"/>
      <c r="AF78" s="559"/>
      <c r="AH78" s="560"/>
      <c r="AI78" s="560"/>
    </row>
    <row r="79" spans="1:35" ht="21.95" customHeight="1">
      <c r="A79" s="580"/>
      <c r="B79" s="23" t="s">
        <v>726</v>
      </c>
      <c r="C79" s="7"/>
      <c r="D79" s="525" t="s">
        <v>2</v>
      </c>
      <c r="E79" s="51"/>
      <c r="F79" s="551"/>
      <c r="G79" s="7"/>
      <c r="H79" s="525" t="s">
        <v>3</v>
      </c>
      <c r="I79" s="51"/>
      <c r="J79" s="551"/>
      <c r="K79" s="7"/>
      <c r="L79" s="525" t="s">
        <v>4</v>
      </c>
      <c r="M79" s="51"/>
      <c r="N79" s="551"/>
      <c r="O79" s="7"/>
      <c r="P79" s="525" t="s">
        <v>5</v>
      </c>
      <c r="Q79" s="51"/>
      <c r="R79" s="551"/>
      <c r="S79" s="7"/>
      <c r="T79" s="525" t="s">
        <v>6</v>
      </c>
      <c r="U79" s="51"/>
      <c r="V79" s="551"/>
      <c r="W79" s="27"/>
      <c r="X79" s="898" t="s">
        <v>7</v>
      </c>
      <c r="Y79" s="522"/>
      <c r="Z79" s="238"/>
      <c r="AA79" s="7"/>
      <c r="AB79" s="525" t="s">
        <v>8</v>
      </c>
      <c r="AC79" s="51"/>
      <c r="AD79" s="51"/>
      <c r="AE79" s="349" t="s">
        <v>9</v>
      </c>
      <c r="AF79" s="51"/>
      <c r="AG79" s="51"/>
      <c r="AH79" s="51"/>
      <c r="AI79" s="526"/>
    </row>
    <row r="80" spans="1:35" ht="21.95" customHeight="1">
      <c r="B80" s="129" t="s">
        <v>164</v>
      </c>
      <c r="C80" s="593" t="s">
        <v>492</v>
      </c>
      <c r="E80" s="157"/>
      <c r="F80" s="568"/>
      <c r="G80" s="567" t="s">
        <v>488</v>
      </c>
      <c r="H80" s="483" t="s">
        <v>493</v>
      </c>
      <c r="I80" s="157"/>
      <c r="J80" s="568"/>
      <c r="K80" s="593" t="s">
        <v>492</v>
      </c>
      <c r="L80" s="483"/>
      <c r="M80" s="483"/>
      <c r="N80" s="592"/>
      <c r="O80" s="593" t="s">
        <v>494</v>
      </c>
      <c r="P80" s="483"/>
      <c r="Q80" s="483"/>
      <c r="R80" s="592"/>
      <c r="S80" s="593" t="s">
        <v>495</v>
      </c>
      <c r="T80" s="483"/>
      <c r="U80" s="483"/>
      <c r="V80" s="477"/>
      <c r="W80" s="899"/>
      <c r="X80" s="900"/>
      <c r="Y80" s="900"/>
      <c r="Z80" s="901"/>
      <c r="AA80" s="569"/>
      <c r="AB80" s="157"/>
      <c r="AC80" s="157"/>
      <c r="AD80" s="569"/>
      <c r="AE80" s="121">
        <v>37</v>
      </c>
      <c r="AG80" s="157"/>
      <c r="AH80" s="569"/>
      <c r="AI80" s="490"/>
    </row>
    <row r="81" spans="1:35" ht="21.95" customHeight="1">
      <c r="B81" s="129" t="s">
        <v>167</v>
      </c>
      <c r="C81" s="593" t="s">
        <v>496</v>
      </c>
      <c r="E81" s="157"/>
      <c r="F81" s="568"/>
      <c r="G81" s="593" t="s">
        <v>496</v>
      </c>
      <c r="I81" s="157"/>
      <c r="J81" s="568"/>
      <c r="K81" s="593" t="s">
        <v>496</v>
      </c>
      <c r="L81" s="157"/>
      <c r="M81" s="157"/>
      <c r="N81" s="568"/>
      <c r="O81" s="593" t="s">
        <v>497</v>
      </c>
      <c r="P81" s="157"/>
      <c r="Q81" s="157"/>
      <c r="R81" s="568"/>
      <c r="S81" s="567" t="s">
        <v>498</v>
      </c>
      <c r="T81" s="157"/>
      <c r="U81" s="157"/>
      <c r="V81" s="568"/>
      <c r="W81" s="610" t="s">
        <v>414</v>
      </c>
      <c r="X81" s="55"/>
      <c r="Y81" s="55"/>
      <c r="Z81" s="55"/>
      <c r="AA81" s="567" t="s">
        <v>28</v>
      </c>
      <c r="AB81" s="567"/>
      <c r="AC81" s="567"/>
      <c r="AD81" s="567"/>
      <c r="AE81" s="155">
        <v>37</v>
      </c>
      <c r="AF81" s="157"/>
      <c r="AG81" s="571"/>
      <c r="AH81" s="572"/>
      <c r="AI81" s="573"/>
    </row>
    <row r="82" spans="1:35" ht="21.95" customHeight="1">
      <c r="B82" s="129" t="s">
        <v>170</v>
      </c>
      <c r="C82" s="1336" t="s">
        <v>499</v>
      </c>
      <c r="D82" s="157"/>
      <c r="E82" s="157"/>
      <c r="F82" s="568"/>
      <c r="G82" s="157" t="s">
        <v>500</v>
      </c>
      <c r="H82" s="157"/>
      <c r="I82" s="157"/>
      <c r="J82" s="568"/>
      <c r="K82" s="1337" t="s">
        <v>501</v>
      </c>
      <c r="L82" s="157"/>
      <c r="M82" s="157"/>
      <c r="N82" s="568"/>
      <c r="O82" s="581" t="s">
        <v>502</v>
      </c>
      <c r="P82" s="157" t="s">
        <v>503</v>
      </c>
      <c r="Q82" s="157"/>
      <c r="R82" s="568"/>
      <c r="S82" s="581" t="s">
        <v>504</v>
      </c>
      <c r="T82" s="157" t="s">
        <v>503</v>
      </c>
      <c r="U82" s="157"/>
      <c r="V82" s="568"/>
      <c r="W82" s="567"/>
      <c r="X82" s="157"/>
      <c r="Y82" s="157"/>
      <c r="Z82" s="568"/>
      <c r="AA82" s="567"/>
      <c r="AB82" s="157"/>
      <c r="AC82" s="157"/>
      <c r="AD82" s="569"/>
      <c r="AE82" s="570">
        <v>36</v>
      </c>
      <c r="AF82" s="571"/>
      <c r="AG82" s="157"/>
      <c r="AH82" s="569"/>
      <c r="AI82" s="490"/>
    </row>
    <row r="83" spans="1:35" ht="21.95" customHeight="1" thickBot="1">
      <c r="B83" s="47"/>
      <c r="C83" s="574"/>
      <c r="D83" s="53"/>
      <c r="E83" s="53"/>
      <c r="F83" s="575"/>
      <c r="G83" s="574"/>
      <c r="H83" s="53"/>
      <c r="I83" s="53"/>
      <c r="J83" s="575"/>
      <c r="K83" s="574"/>
      <c r="L83" s="53"/>
      <c r="M83" s="53"/>
      <c r="N83" s="575"/>
      <c r="O83" s="574"/>
      <c r="P83" s="53"/>
      <c r="Q83" s="53"/>
      <c r="R83" s="575"/>
      <c r="S83" s="574"/>
      <c r="T83" s="53"/>
      <c r="U83" s="53"/>
      <c r="V83" s="575"/>
      <c r="W83" s="53"/>
      <c r="X83" s="53"/>
      <c r="Y83" s="53"/>
      <c r="Z83" s="53"/>
      <c r="AA83" s="53"/>
      <c r="AB83" s="53"/>
      <c r="AC83" s="53"/>
      <c r="AD83" s="53"/>
      <c r="AE83" s="576"/>
      <c r="AF83" s="53"/>
      <c r="AG83" s="53"/>
      <c r="AH83" s="577"/>
      <c r="AI83" s="539"/>
    </row>
    <row r="84" spans="1:35" ht="21.95" customHeight="1" thickBot="1"/>
    <row r="85" spans="1:35" ht="21.95" customHeight="1">
      <c r="A85" s="556"/>
      <c r="B85" s="297" t="s">
        <v>480</v>
      </c>
      <c r="C85" s="1235">
        <v>1</v>
      </c>
      <c r="D85" s="1235">
        <v>2</v>
      </c>
      <c r="E85" s="1234">
        <v>3</v>
      </c>
      <c r="F85" s="1234">
        <v>4</v>
      </c>
      <c r="G85" s="1348">
        <v>5</v>
      </c>
      <c r="H85" s="1234">
        <v>6</v>
      </c>
      <c r="I85" s="1213">
        <v>7</v>
      </c>
      <c r="J85" s="1330">
        <v>8</v>
      </c>
      <c r="K85" s="1235">
        <v>9</v>
      </c>
      <c r="L85" s="1234">
        <v>10</v>
      </c>
      <c r="M85" s="1234">
        <v>11</v>
      </c>
      <c r="N85" s="1234">
        <v>12</v>
      </c>
      <c r="O85" s="1234">
        <v>13</v>
      </c>
      <c r="P85" s="1213">
        <v>14</v>
      </c>
      <c r="Q85" s="1330">
        <v>15</v>
      </c>
      <c r="R85" s="1235">
        <v>16</v>
      </c>
      <c r="S85" s="1234">
        <v>17</v>
      </c>
      <c r="T85" s="1234">
        <v>18</v>
      </c>
      <c r="U85" s="1234">
        <v>19</v>
      </c>
      <c r="V85" s="1213">
        <v>20</v>
      </c>
      <c r="W85" s="1213">
        <v>21</v>
      </c>
      <c r="X85" s="1330">
        <v>22</v>
      </c>
      <c r="Y85" s="1235">
        <v>23</v>
      </c>
      <c r="Z85" s="1234">
        <v>24</v>
      </c>
      <c r="AA85" s="1234">
        <v>25</v>
      </c>
      <c r="AB85" s="1234">
        <v>26</v>
      </c>
      <c r="AC85" s="1234">
        <v>27</v>
      </c>
      <c r="AD85" s="1213">
        <v>28</v>
      </c>
      <c r="AE85" s="1330">
        <v>29</v>
      </c>
      <c r="AF85" s="1235">
        <v>30</v>
      </c>
      <c r="AG85" s="1234"/>
      <c r="AH85" s="498" t="s">
        <v>481</v>
      </c>
      <c r="AI85" s="499" t="s">
        <v>482</v>
      </c>
    </row>
    <row r="86" spans="1:35" ht="21.95" customHeight="1">
      <c r="A86" s="579">
        <v>1</v>
      </c>
      <c r="B86" s="153" t="s">
        <v>728</v>
      </c>
      <c r="C86" s="1208"/>
      <c r="D86" s="1208"/>
      <c r="E86" s="1208" t="s">
        <v>488</v>
      </c>
      <c r="F86" s="1208" t="s">
        <v>488</v>
      </c>
      <c r="G86" s="1208" t="s">
        <v>488</v>
      </c>
      <c r="H86" s="1208" t="s">
        <v>488</v>
      </c>
      <c r="I86" s="1208" t="s">
        <v>488</v>
      </c>
      <c r="J86" s="1208" t="s">
        <v>28</v>
      </c>
      <c r="K86" s="1208" t="s">
        <v>28</v>
      </c>
      <c r="L86" s="1208" t="s">
        <v>506</v>
      </c>
      <c r="M86" s="1208" t="s">
        <v>506</v>
      </c>
      <c r="N86" s="1208" t="s">
        <v>506</v>
      </c>
      <c r="O86" s="1208" t="s">
        <v>506</v>
      </c>
      <c r="P86" s="1208" t="s">
        <v>506</v>
      </c>
      <c r="Q86" s="1208" t="s">
        <v>28</v>
      </c>
      <c r="R86" s="1208" t="s">
        <v>28</v>
      </c>
      <c r="S86" s="1208" t="s">
        <v>485</v>
      </c>
      <c r="T86" s="1208" t="s">
        <v>485</v>
      </c>
      <c r="U86" s="1208" t="s">
        <v>485</v>
      </c>
      <c r="V86" s="1208" t="s">
        <v>484</v>
      </c>
      <c r="W86" s="1208" t="s">
        <v>484</v>
      </c>
      <c r="X86" s="1208"/>
      <c r="Y86" s="1208"/>
      <c r="Z86" s="1208" t="s">
        <v>488</v>
      </c>
      <c r="AA86" s="1208" t="s">
        <v>488</v>
      </c>
      <c r="AB86" s="1208" t="s">
        <v>488</v>
      </c>
      <c r="AC86" s="1208" t="s">
        <v>488</v>
      </c>
      <c r="AD86" s="1208" t="s">
        <v>485</v>
      </c>
      <c r="AE86" s="1208" t="s">
        <v>28</v>
      </c>
      <c r="AF86" s="1208" t="s">
        <v>28</v>
      </c>
      <c r="AG86" s="1208"/>
      <c r="AH86" s="504" t="s">
        <v>28</v>
      </c>
      <c r="AI86" s="505" t="s">
        <v>28</v>
      </c>
    </row>
    <row r="87" spans="1:35" ht="21.95" customHeight="1">
      <c r="A87" s="579">
        <v>2</v>
      </c>
      <c r="B87" s="319" t="s">
        <v>507</v>
      </c>
      <c r="C87" s="1208" t="s">
        <v>28</v>
      </c>
      <c r="D87" s="1208" t="s">
        <v>28</v>
      </c>
      <c r="E87" s="1208" t="s">
        <v>506</v>
      </c>
      <c r="F87" s="1208" t="s">
        <v>506</v>
      </c>
      <c r="G87" s="1208" t="s">
        <v>506</v>
      </c>
      <c r="H87" s="1208" t="s">
        <v>506</v>
      </c>
      <c r="I87" s="1208" t="s">
        <v>506</v>
      </c>
      <c r="J87" s="1208"/>
      <c r="K87" s="1208"/>
      <c r="L87" s="1208" t="s">
        <v>485</v>
      </c>
      <c r="M87" s="1208" t="s">
        <v>485</v>
      </c>
      <c r="N87" s="1208" t="s">
        <v>485</v>
      </c>
      <c r="O87" s="1208" t="s">
        <v>484</v>
      </c>
      <c r="P87" s="1208" t="s">
        <v>484</v>
      </c>
      <c r="Q87" s="1208"/>
      <c r="R87" s="1208"/>
      <c r="S87" s="1208" t="s">
        <v>488</v>
      </c>
      <c r="T87" s="1208" t="s">
        <v>488</v>
      </c>
      <c r="U87" s="1208" t="s">
        <v>488</v>
      </c>
      <c r="V87" s="1208" t="s">
        <v>488</v>
      </c>
      <c r="W87" s="1208" t="s">
        <v>488</v>
      </c>
      <c r="X87" s="1208" t="s">
        <v>28</v>
      </c>
      <c r="Y87" s="1208" t="s">
        <v>28</v>
      </c>
      <c r="Z87" s="1208" t="s">
        <v>506</v>
      </c>
      <c r="AA87" s="1208" t="s">
        <v>506</v>
      </c>
      <c r="AB87" s="1208" t="s">
        <v>506</v>
      </c>
      <c r="AC87" s="1208" t="s">
        <v>506</v>
      </c>
      <c r="AD87" s="1208" t="s">
        <v>506</v>
      </c>
      <c r="AE87" s="1208"/>
      <c r="AF87" s="1208"/>
      <c r="AG87" s="1208"/>
      <c r="AH87" s="504" t="s">
        <v>28</v>
      </c>
      <c r="AI87" s="505" t="s">
        <v>28</v>
      </c>
    </row>
    <row r="88" spans="1:35" ht="21.95" customHeight="1">
      <c r="A88" s="579">
        <v>3</v>
      </c>
      <c r="B88" s="153" t="s">
        <v>729</v>
      </c>
      <c r="C88" s="1208"/>
      <c r="D88" s="1208"/>
      <c r="E88" s="1439" t="s">
        <v>485</v>
      </c>
      <c r="F88" s="1439" t="s">
        <v>485</v>
      </c>
      <c r="G88" s="1208" t="s">
        <v>485</v>
      </c>
      <c r="H88" s="1208" t="s">
        <v>484</v>
      </c>
      <c r="I88" s="1208" t="s">
        <v>484</v>
      </c>
      <c r="J88" s="1208"/>
      <c r="K88" s="1208"/>
      <c r="L88" s="1208" t="s">
        <v>488</v>
      </c>
      <c r="M88" s="1208" t="s">
        <v>488</v>
      </c>
      <c r="N88" s="1208" t="s">
        <v>488</v>
      </c>
      <c r="O88" s="1208" t="s">
        <v>488</v>
      </c>
      <c r="P88" s="1208" t="s">
        <v>488</v>
      </c>
      <c r="Q88" s="1208"/>
      <c r="R88" s="1208"/>
      <c r="S88" s="1208" t="s">
        <v>506</v>
      </c>
      <c r="T88" s="1208" t="s">
        <v>506</v>
      </c>
      <c r="U88" s="1208" t="s">
        <v>506</v>
      </c>
      <c r="V88" s="1208" t="s">
        <v>506</v>
      </c>
      <c r="W88" s="1208" t="s">
        <v>506</v>
      </c>
      <c r="X88" s="1208"/>
      <c r="Y88" s="1208"/>
      <c r="Z88" s="1208" t="s">
        <v>485</v>
      </c>
      <c r="AA88" s="1208" t="s">
        <v>485</v>
      </c>
      <c r="AB88" s="1208" t="s">
        <v>485</v>
      </c>
      <c r="AC88" s="1208" t="s">
        <v>484</v>
      </c>
      <c r="AD88" s="1208" t="s">
        <v>484</v>
      </c>
      <c r="AE88" s="1208"/>
      <c r="AF88" s="1208"/>
      <c r="AG88" s="1208"/>
      <c r="AH88" s="504" t="s">
        <v>28</v>
      </c>
      <c r="AI88" s="505" t="s">
        <v>28</v>
      </c>
    </row>
    <row r="89" spans="1:35" ht="21.95" customHeight="1">
      <c r="A89" s="580"/>
      <c r="B89" s="354"/>
      <c r="C89" s="559"/>
      <c r="D89" s="559"/>
      <c r="E89" s="559"/>
      <c r="F89" s="559"/>
      <c r="G89" s="559"/>
      <c r="H89" s="559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H89" s="560"/>
      <c r="AI89" s="560"/>
    </row>
    <row r="90" spans="1:35" ht="21.95" customHeight="1">
      <c r="A90" s="580"/>
      <c r="B90" s="587"/>
      <c r="C90" s="559"/>
      <c r="D90" s="559"/>
      <c r="E90" s="559"/>
      <c r="F90" s="559"/>
      <c r="G90" s="559"/>
      <c r="H90" s="559"/>
      <c r="I90" s="559"/>
      <c r="J90" s="559"/>
      <c r="K90" s="559"/>
      <c r="L90" s="559"/>
      <c r="M90" s="559"/>
      <c r="N90" s="559"/>
      <c r="O90" s="559"/>
      <c r="P90" s="559"/>
      <c r="Q90" s="559"/>
      <c r="R90" s="559"/>
      <c r="S90" s="559"/>
      <c r="T90" s="559"/>
      <c r="U90" s="559"/>
      <c r="V90" s="559"/>
      <c r="W90" s="559"/>
      <c r="X90" s="559"/>
      <c r="Y90" s="559"/>
      <c r="Z90" s="559"/>
      <c r="AA90" s="559"/>
      <c r="AB90" s="559"/>
      <c r="AC90" s="559"/>
      <c r="AD90" s="559"/>
      <c r="AE90" s="559"/>
      <c r="AF90" s="559"/>
      <c r="AG90" s="559"/>
      <c r="AH90" s="560"/>
      <c r="AI90" s="560"/>
    </row>
    <row r="91" spans="1:35" ht="21.95" customHeight="1" thickBot="1">
      <c r="A91" s="1" t="s">
        <v>686</v>
      </c>
      <c r="D91" s="361"/>
      <c r="E91" s="361"/>
      <c r="F91" s="361"/>
      <c r="G91" s="549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687</v>
      </c>
      <c r="C92" s="7"/>
      <c r="D92" s="525" t="s">
        <v>2</v>
      </c>
      <c r="E92" s="51"/>
      <c r="F92" s="551"/>
      <c r="G92" s="7"/>
      <c r="H92" s="525" t="s">
        <v>3</v>
      </c>
      <c r="I92" s="51"/>
      <c r="J92" s="551"/>
      <c r="K92" s="7"/>
      <c r="L92" s="525" t="s">
        <v>4</v>
      </c>
      <c r="M92" s="51"/>
      <c r="N92" s="551"/>
      <c r="O92" s="7"/>
      <c r="P92" s="525" t="s">
        <v>5</v>
      </c>
      <c r="Q92" s="51"/>
      <c r="R92" s="551"/>
      <c r="S92" s="7"/>
      <c r="T92" s="525" t="s">
        <v>6</v>
      </c>
      <c r="U92" s="51"/>
      <c r="V92" s="551"/>
      <c r="W92" s="7"/>
      <c r="X92" s="525" t="s">
        <v>7</v>
      </c>
      <c r="Y92" s="51"/>
      <c r="Z92" s="551"/>
      <c r="AA92" s="7"/>
      <c r="AB92" s="525" t="s">
        <v>8</v>
      </c>
      <c r="AC92" s="51"/>
      <c r="AD92" s="51"/>
      <c r="AE92" s="425" t="s">
        <v>10</v>
      </c>
      <c r="AF92" s="51"/>
      <c r="AG92" s="51"/>
      <c r="AH92" s="51"/>
      <c r="AI92" s="526"/>
    </row>
    <row r="93" spans="1:35" ht="21.95" customHeight="1">
      <c r="A93" s="1"/>
      <c r="B93" s="129" t="s">
        <v>164</v>
      </c>
      <c r="C93" s="121" t="s">
        <v>162</v>
      </c>
      <c r="D93" s="157"/>
      <c r="E93" s="157"/>
      <c r="F93" s="568"/>
      <c r="G93" s="121" t="s">
        <v>688</v>
      </c>
      <c r="H93" s="157"/>
      <c r="I93" s="157"/>
      <c r="J93" s="568"/>
      <c r="K93" s="121" t="s">
        <v>688</v>
      </c>
      <c r="L93" s="157"/>
      <c r="M93" s="157"/>
      <c r="N93" s="568"/>
      <c r="O93" s="121" t="s">
        <v>688</v>
      </c>
      <c r="P93" s="157"/>
      <c r="Q93" s="157"/>
      <c r="R93" s="568"/>
      <c r="S93" s="121" t="s">
        <v>688</v>
      </c>
      <c r="T93" s="157"/>
      <c r="U93" s="157"/>
      <c r="V93" s="568"/>
      <c r="W93" s="1243" t="s">
        <v>689</v>
      </c>
      <c r="X93" s="581"/>
      <c r="Y93" s="581"/>
      <c r="Z93" s="582"/>
      <c r="AA93" s="567"/>
      <c r="AB93" s="157"/>
      <c r="AC93" s="157"/>
      <c r="AD93" s="569"/>
      <c r="AE93" s="128">
        <v>37</v>
      </c>
      <c r="AF93" s="157"/>
      <c r="AG93" s="157" t="s">
        <v>28</v>
      </c>
      <c r="AH93" s="569"/>
      <c r="AI93" s="490"/>
    </row>
    <row r="94" spans="1:35" ht="21.95" customHeight="1">
      <c r="A94" s="1"/>
      <c r="B94" s="129" t="s">
        <v>167</v>
      </c>
      <c r="C94" s="121" t="s">
        <v>688</v>
      </c>
      <c r="D94" s="157"/>
      <c r="E94" s="157"/>
      <c r="F94" s="568"/>
      <c r="G94" s="121" t="s">
        <v>688</v>
      </c>
      <c r="H94" s="157"/>
      <c r="I94" s="157"/>
      <c r="J94" s="568"/>
      <c r="K94" s="121" t="s">
        <v>688</v>
      </c>
      <c r="L94" s="157"/>
      <c r="M94" s="157"/>
      <c r="N94" s="568"/>
      <c r="O94" s="121" t="s">
        <v>688</v>
      </c>
      <c r="P94" s="157"/>
      <c r="Q94" s="157"/>
      <c r="R94" s="568"/>
      <c r="S94" s="121" t="s">
        <v>162</v>
      </c>
      <c r="T94" s="157"/>
      <c r="U94" s="157"/>
      <c r="V94" s="568"/>
      <c r="W94" s="121"/>
      <c r="X94" s="157"/>
      <c r="Y94" s="157"/>
      <c r="Z94" s="568"/>
      <c r="AA94" s="157"/>
      <c r="AB94" s="157"/>
      <c r="AC94" s="157"/>
      <c r="AD94" s="569"/>
      <c r="AE94" s="128">
        <v>32</v>
      </c>
      <c r="AF94" s="157"/>
      <c r="AG94" s="157"/>
      <c r="AH94" s="569"/>
      <c r="AI94" s="490"/>
    </row>
    <row r="95" spans="1:35" ht="21.95" customHeight="1">
      <c r="A95" s="1"/>
      <c r="B95" s="129" t="s">
        <v>170</v>
      </c>
      <c r="C95" s="121" t="s">
        <v>690</v>
      </c>
      <c r="D95" s="157"/>
      <c r="E95" s="157"/>
      <c r="F95" s="568"/>
      <c r="G95" s="121" t="s">
        <v>690</v>
      </c>
      <c r="H95" s="157"/>
      <c r="I95" s="157"/>
      <c r="J95" s="568"/>
      <c r="K95" s="121" t="s">
        <v>690</v>
      </c>
      <c r="L95" s="157"/>
      <c r="M95" s="157"/>
      <c r="N95" s="568"/>
      <c r="O95" s="121" t="s">
        <v>690</v>
      </c>
      <c r="P95" s="157"/>
      <c r="Q95" s="157"/>
      <c r="R95" s="568"/>
      <c r="S95" s="121" t="s">
        <v>690</v>
      </c>
      <c r="T95" s="157"/>
      <c r="U95" s="157"/>
      <c r="V95" s="568"/>
      <c r="W95" s="588" t="s">
        <v>689</v>
      </c>
      <c r="X95" s="135"/>
      <c r="Y95" s="135"/>
      <c r="Z95" s="584"/>
      <c r="AA95" s="583"/>
      <c r="AB95" s="135"/>
      <c r="AC95" s="135"/>
      <c r="AD95" s="585"/>
      <c r="AE95" s="128">
        <v>40</v>
      </c>
      <c r="AF95" s="157"/>
      <c r="AG95" s="157"/>
      <c r="AH95" s="569"/>
      <c r="AI95" s="490"/>
    </row>
    <row r="96" spans="1:35" ht="21.95" customHeight="1" thickBot="1">
      <c r="A96" s="1"/>
      <c r="B96" s="16" t="s">
        <v>173</v>
      </c>
      <c r="C96" s="57" t="s">
        <v>688</v>
      </c>
      <c r="D96" s="53"/>
      <c r="E96" s="53"/>
      <c r="F96" s="575"/>
      <c r="G96" s="57" t="s">
        <v>688</v>
      </c>
      <c r="H96" s="53"/>
      <c r="I96" s="53"/>
      <c r="J96" s="575"/>
      <c r="K96" s="57" t="s">
        <v>688</v>
      </c>
      <c r="L96" s="53"/>
      <c r="M96" s="53"/>
      <c r="N96" s="575"/>
      <c r="O96" s="57" t="s">
        <v>688</v>
      </c>
      <c r="P96" s="53"/>
      <c r="Q96" s="53"/>
      <c r="R96" s="575"/>
      <c r="S96" s="57" t="s">
        <v>691</v>
      </c>
      <c r="T96" s="53"/>
      <c r="U96" s="53"/>
      <c r="V96" s="577"/>
      <c r="W96" s="57"/>
      <c r="X96" s="577"/>
      <c r="Y96" s="53"/>
      <c r="Z96" s="575"/>
      <c r="AA96" s="57"/>
      <c r="AB96" s="577"/>
      <c r="AC96" s="53"/>
      <c r="AD96" s="575"/>
      <c r="AE96" s="586">
        <v>39</v>
      </c>
      <c r="AF96" s="53"/>
      <c r="AG96" s="53"/>
      <c r="AH96" s="577"/>
      <c r="AI96" s="539"/>
    </row>
    <row r="97" spans="1:35" ht="21.95" customHeight="1" thickBot="1">
      <c r="A97" s="578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>
      <c r="A98" s="556"/>
      <c r="B98" s="297" t="s">
        <v>480</v>
      </c>
      <c r="C98" s="1235">
        <v>1</v>
      </c>
      <c r="D98" s="1235">
        <v>2</v>
      </c>
      <c r="E98" s="1234">
        <v>3</v>
      </c>
      <c r="F98" s="1234">
        <v>4</v>
      </c>
      <c r="G98" s="1348">
        <v>5</v>
      </c>
      <c r="H98" s="1234">
        <v>6</v>
      </c>
      <c r="I98" s="1213">
        <v>7</v>
      </c>
      <c r="J98" s="1330">
        <v>8</v>
      </c>
      <c r="K98" s="1235">
        <v>9</v>
      </c>
      <c r="L98" s="1234">
        <v>10</v>
      </c>
      <c r="M98" s="1234">
        <v>11</v>
      </c>
      <c r="N98" s="1234">
        <v>12</v>
      </c>
      <c r="O98" s="1234">
        <v>13</v>
      </c>
      <c r="P98" s="1213">
        <v>14</v>
      </c>
      <c r="Q98" s="1330">
        <v>15</v>
      </c>
      <c r="R98" s="1235">
        <v>16</v>
      </c>
      <c r="S98" s="1234">
        <v>17</v>
      </c>
      <c r="T98" s="1234">
        <v>18</v>
      </c>
      <c r="U98" s="1234">
        <v>19</v>
      </c>
      <c r="V98" s="1213">
        <v>20</v>
      </c>
      <c r="W98" s="1213">
        <v>21</v>
      </c>
      <c r="X98" s="1330">
        <v>22</v>
      </c>
      <c r="Y98" s="1235">
        <v>23</v>
      </c>
      <c r="Z98" s="1234">
        <v>24</v>
      </c>
      <c r="AA98" s="1234">
        <v>25</v>
      </c>
      <c r="AB98" s="1234">
        <v>26</v>
      </c>
      <c r="AC98" s="1234">
        <v>27</v>
      </c>
      <c r="AD98" s="1213">
        <v>28</v>
      </c>
      <c r="AE98" s="1330">
        <v>29</v>
      </c>
      <c r="AF98" s="1235">
        <v>30</v>
      </c>
      <c r="AG98" s="1234"/>
      <c r="AH98" s="498" t="s">
        <v>481</v>
      </c>
      <c r="AI98" s="499" t="s">
        <v>482</v>
      </c>
    </row>
    <row r="99" spans="1:35" ht="21.95" customHeight="1">
      <c r="A99" s="579">
        <v>1</v>
      </c>
      <c r="B99" s="545" t="s">
        <v>692</v>
      </c>
      <c r="C99" s="1215">
        <v>3</v>
      </c>
      <c r="D99" s="1215"/>
      <c r="E99" s="1346">
        <v>4</v>
      </c>
      <c r="F99" s="1347">
        <v>4</v>
      </c>
      <c r="G99" s="1208">
        <v>4</v>
      </c>
      <c r="H99" s="1346">
        <v>4</v>
      </c>
      <c r="I99" s="1346">
        <v>4</v>
      </c>
      <c r="J99" s="1215"/>
      <c r="K99" s="1215"/>
      <c r="L99" s="1215" t="s">
        <v>487</v>
      </c>
      <c r="M99" s="1346">
        <v>1</v>
      </c>
      <c r="N99" s="1208">
        <v>1</v>
      </c>
      <c r="O99" s="1381" t="s">
        <v>694</v>
      </c>
      <c r="P99" s="1215">
        <v>1</v>
      </c>
      <c r="Q99" s="1215">
        <v>1</v>
      </c>
      <c r="R99" s="1215"/>
      <c r="S99" s="1215">
        <v>2</v>
      </c>
      <c r="T99" s="1354" t="s">
        <v>694</v>
      </c>
      <c r="U99" s="1354" t="s">
        <v>694</v>
      </c>
      <c r="V99" s="1354" t="s">
        <v>694</v>
      </c>
      <c r="W99" s="1215" t="s">
        <v>487</v>
      </c>
      <c r="X99" s="1215"/>
      <c r="Y99" s="1215"/>
      <c r="Z99" s="1346">
        <v>3</v>
      </c>
      <c r="AA99" s="1346">
        <v>3</v>
      </c>
      <c r="AB99" s="1208">
        <v>3</v>
      </c>
      <c r="AC99" s="1354" t="s">
        <v>694</v>
      </c>
      <c r="AD99" s="1215">
        <v>3</v>
      </c>
      <c r="AE99" s="1215">
        <v>3</v>
      </c>
      <c r="AF99" s="1215"/>
      <c r="AG99" s="1215"/>
      <c r="AH99" s="504">
        <v>185</v>
      </c>
      <c r="AI99" s="505">
        <v>37</v>
      </c>
    </row>
    <row r="100" spans="1:35" ht="21.95" customHeight="1">
      <c r="A100" s="579">
        <v>2</v>
      </c>
      <c r="B100" s="545"/>
      <c r="C100" s="1215"/>
      <c r="D100" s="1215"/>
      <c r="E100" s="1215" t="s">
        <v>487</v>
      </c>
      <c r="F100" s="1215">
        <v>1</v>
      </c>
      <c r="G100" s="1208">
        <v>1</v>
      </c>
      <c r="H100" s="1215">
        <v>1</v>
      </c>
      <c r="I100" s="1215">
        <v>1</v>
      </c>
      <c r="J100" s="1215">
        <v>1</v>
      </c>
      <c r="K100" s="1215"/>
      <c r="L100" s="1215">
        <v>2</v>
      </c>
      <c r="M100" s="1208">
        <v>2</v>
      </c>
      <c r="N100" s="1208">
        <v>2</v>
      </c>
      <c r="O100" s="1215">
        <v>2</v>
      </c>
      <c r="P100" s="1215" t="s">
        <v>487</v>
      </c>
      <c r="Q100" s="1215"/>
      <c r="R100" s="1215"/>
      <c r="S100" s="1215">
        <v>3</v>
      </c>
      <c r="T100" s="1215">
        <v>3</v>
      </c>
      <c r="U100" s="1208">
        <v>3</v>
      </c>
      <c r="V100" s="1215">
        <v>3</v>
      </c>
      <c r="W100" s="1215">
        <v>3</v>
      </c>
      <c r="X100" s="1215">
        <v>3</v>
      </c>
      <c r="Y100" s="1215"/>
      <c r="Z100" s="1215">
        <v>4</v>
      </c>
      <c r="AA100" s="1208">
        <v>4</v>
      </c>
      <c r="AB100" s="1208">
        <v>4</v>
      </c>
      <c r="AC100" s="1215">
        <v>4</v>
      </c>
      <c r="AD100" s="1215">
        <v>4</v>
      </c>
      <c r="AE100" s="1215"/>
      <c r="AF100" s="1215"/>
      <c r="AG100" s="1215"/>
      <c r="AH100" s="504">
        <v>185</v>
      </c>
      <c r="AI100" s="505">
        <v>37</v>
      </c>
    </row>
    <row r="101" spans="1:35" ht="21.95" customHeight="1">
      <c r="A101" s="579">
        <v>3</v>
      </c>
      <c r="B101" s="545"/>
      <c r="C101" s="1215">
        <v>1</v>
      </c>
      <c r="D101" s="1215"/>
      <c r="E101" s="1215">
        <v>2</v>
      </c>
      <c r="F101" s="1215">
        <v>2</v>
      </c>
      <c r="G101" s="1208">
        <v>2</v>
      </c>
      <c r="H101" s="1215">
        <v>2</v>
      </c>
      <c r="I101" s="1215" t="s">
        <v>487</v>
      </c>
      <c r="J101" s="1215"/>
      <c r="K101" s="1215"/>
      <c r="L101" s="1215">
        <v>3</v>
      </c>
      <c r="M101" s="1208">
        <v>3</v>
      </c>
      <c r="N101" s="1208">
        <v>3</v>
      </c>
      <c r="O101" s="1215">
        <v>3</v>
      </c>
      <c r="P101" s="1215">
        <v>3</v>
      </c>
      <c r="Q101" s="1215">
        <v>3</v>
      </c>
      <c r="R101" s="1215"/>
      <c r="S101" s="1215">
        <v>4</v>
      </c>
      <c r="T101" s="1215">
        <v>4</v>
      </c>
      <c r="U101" s="1208">
        <v>4</v>
      </c>
      <c r="V101" s="1215">
        <v>4</v>
      </c>
      <c r="W101" s="1215">
        <v>4</v>
      </c>
      <c r="X101" s="1215"/>
      <c r="Y101" s="1215"/>
      <c r="Z101" s="1215" t="s">
        <v>487</v>
      </c>
      <c r="AA101" s="1208">
        <v>1</v>
      </c>
      <c r="AB101" s="1208">
        <v>1</v>
      </c>
      <c r="AC101" s="1215">
        <v>1</v>
      </c>
      <c r="AD101" s="1215">
        <v>1</v>
      </c>
      <c r="AE101" s="1215">
        <v>1</v>
      </c>
      <c r="AF101" s="1215"/>
      <c r="AG101" s="1215"/>
      <c r="AH101" s="504">
        <v>185</v>
      </c>
      <c r="AI101" s="505">
        <v>37</v>
      </c>
    </row>
    <row r="102" spans="1:35" ht="21.95" customHeight="1">
      <c r="A102" s="579">
        <v>4</v>
      </c>
      <c r="B102" s="545" t="s">
        <v>412</v>
      </c>
      <c r="C102" s="1215"/>
      <c r="D102" s="1215"/>
      <c r="E102" s="1215">
        <v>3</v>
      </c>
      <c r="F102" s="1208">
        <v>3</v>
      </c>
      <c r="G102" s="1208">
        <v>3</v>
      </c>
      <c r="H102" s="1215">
        <v>3</v>
      </c>
      <c r="I102" s="1215">
        <v>3</v>
      </c>
      <c r="J102" s="1215">
        <v>3</v>
      </c>
      <c r="K102" s="1215"/>
      <c r="L102" s="1215">
        <v>4</v>
      </c>
      <c r="M102" s="1215">
        <v>4</v>
      </c>
      <c r="N102" s="1208">
        <v>4</v>
      </c>
      <c r="O102" s="1208">
        <v>4</v>
      </c>
      <c r="P102" s="1208">
        <v>4</v>
      </c>
      <c r="Q102" s="1208"/>
      <c r="R102" s="1208"/>
      <c r="S102" s="1208" t="s">
        <v>487</v>
      </c>
      <c r="T102" s="1208">
        <v>1</v>
      </c>
      <c r="U102" s="1208">
        <v>1</v>
      </c>
      <c r="V102" s="1215">
        <v>1</v>
      </c>
      <c r="W102" s="1215">
        <v>1</v>
      </c>
      <c r="X102" s="1215">
        <v>1</v>
      </c>
      <c r="Y102" s="1215"/>
      <c r="Z102" s="1215">
        <v>2</v>
      </c>
      <c r="AA102" s="1215">
        <v>2</v>
      </c>
      <c r="AB102" s="1208">
        <v>2</v>
      </c>
      <c r="AC102" s="1215">
        <v>2</v>
      </c>
      <c r="AD102" s="1215" t="s">
        <v>487</v>
      </c>
      <c r="AE102" s="1215"/>
      <c r="AF102" s="1215"/>
      <c r="AG102" s="1215"/>
      <c r="AH102" s="504">
        <v>185</v>
      </c>
      <c r="AI102" s="505">
        <v>37</v>
      </c>
    </row>
    <row r="103" spans="1:35" ht="21.95" customHeight="1">
      <c r="A103" s="580"/>
      <c r="B103" s="587"/>
      <c r="C103" s="559"/>
      <c r="D103" s="541"/>
      <c r="E103" s="541"/>
      <c r="F103" s="541"/>
      <c r="G103" s="541"/>
      <c r="H103" s="541"/>
      <c r="I103" s="559"/>
      <c r="J103" s="559"/>
      <c r="K103" s="541"/>
      <c r="L103" s="541"/>
      <c r="M103" s="541"/>
      <c r="N103" s="541"/>
      <c r="O103" s="541"/>
      <c r="P103" s="541"/>
      <c r="Q103" s="559"/>
      <c r="R103" s="541"/>
      <c r="S103" s="1315"/>
      <c r="T103" s="1315"/>
      <c r="U103" s="1315"/>
      <c r="V103" s="1315"/>
      <c r="W103" s="559"/>
      <c r="X103" s="559"/>
      <c r="Y103" s="541"/>
      <c r="Z103" s="541"/>
      <c r="AA103" s="541"/>
      <c r="AB103" s="541"/>
      <c r="AC103" s="541"/>
      <c r="AD103" s="541"/>
      <c r="AE103" s="559"/>
      <c r="AF103" s="541"/>
      <c r="AG103" s="541"/>
      <c r="AH103" s="560"/>
      <c r="AI103" s="560"/>
    </row>
    <row r="104" spans="1:35" ht="21.95" customHeight="1" thickBot="1">
      <c r="A104" s="1303" t="s">
        <v>695</v>
      </c>
      <c r="B104" s="541"/>
      <c r="C104" s="559"/>
      <c r="D104" s="541"/>
      <c r="E104" s="541"/>
      <c r="F104" s="541"/>
      <c r="G104" s="541"/>
      <c r="H104" s="541"/>
      <c r="I104" s="559"/>
      <c r="J104" s="559"/>
      <c r="K104" s="541"/>
      <c r="L104" s="541"/>
      <c r="M104" s="541"/>
      <c r="N104" s="541"/>
      <c r="O104" s="541"/>
      <c r="P104" s="541"/>
      <c r="Q104" s="559"/>
      <c r="R104" s="541"/>
      <c r="S104" s="541"/>
      <c r="T104" s="541"/>
      <c r="U104" s="541"/>
      <c r="V104" s="541"/>
      <c r="W104" s="559"/>
      <c r="X104" s="559"/>
      <c r="Y104" s="541"/>
      <c r="Z104" s="541"/>
      <c r="AA104" s="541"/>
      <c r="AB104" s="541"/>
      <c r="AC104" s="541"/>
      <c r="AD104" s="541"/>
      <c r="AE104" s="559"/>
      <c r="AF104" s="541"/>
      <c r="AG104" s="541"/>
      <c r="AH104" s="560"/>
      <c r="AI104" s="560"/>
    </row>
    <row r="105" spans="1:35" ht="21.95" customHeight="1">
      <c r="A105" s="580"/>
      <c r="B105" s="1304" t="s">
        <v>696</v>
      </c>
      <c r="C105" s="1312"/>
      <c r="D105" s="1305" t="s">
        <v>2</v>
      </c>
      <c r="E105" s="1306"/>
      <c r="F105" s="1307"/>
      <c r="G105" s="1308"/>
      <c r="H105" s="1305" t="s">
        <v>3</v>
      </c>
      <c r="I105" s="1306"/>
      <c r="J105" s="1307"/>
      <c r="K105" s="1308"/>
      <c r="L105" s="1305" t="s">
        <v>4</v>
      </c>
      <c r="M105" s="1306"/>
      <c r="N105" s="1307"/>
      <c r="O105" s="1308"/>
      <c r="P105" s="1305" t="s">
        <v>5</v>
      </c>
      <c r="Q105" s="1306"/>
      <c r="R105" s="1307"/>
      <c r="S105" s="1308"/>
      <c r="T105" s="1305" t="s">
        <v>6</v>
      </c>
      <c r="U105" s="1306"/>
      <c r="V105" s="1307"/>
      <c r="W105" s="1308"/>
      <c r="X105" s="1305" t="s">
        <v>7</v>
      </c>
      <c r="Y105" s="1306"/>
      <c r="Z105" s="1307"/>
      <c r="AA105" s="1308"/>
      <c r="AB105" s="1305" t="s">
        <v>8</v>
      </c>
      <c r="AC105" s="1306"/>
      <c r="AD105" s="1306"/>
      <c r="AE105" s="1309" t="s">
        <v>10</v>
      </c>
      <c r="AF105" s="1306"/>
      <c r="AG105" s="1306"/>
      <c r="AH105" s="1306"/>
      <c r="AI105" s="1310"/>
    </row>
    <row r="106" spans="1:35" ht="21.95" customHeight="1">
      <c r="A106" s="580"/>
      <c r="B106" s="1332" t="s">
        <v>697</v>
      </c>
      <c r="C106" s="1313" t="s">
        <v>698</v>
      </c>
      <c r="D106" s="1331" t="s">
        <v>699</v>
      </c>
      <c r="E106" s="1314"/>
      <c r="F106" s="1311"/>
      <c r="G106" s="1313"/>
      <c r="H106" s="1331" t="s">
        <v>699</v>
      </c>
      <c r="I106" s="1314"/>
      <c r="J106" s="1311"/>
      <c r="K106" s="1313"/>
      <c r="L106" s="1331" t="s">
        <v>699</v>
      </c>
      <c r="M106" s="1314"/>
      <c r="N106" s="1311"/>
      <c r="O106" s="1313"/>
      <c r="P106" s="1331" t="s">
        <v>700</v>
      </c>
      <c r="Q106" s="1314"/>
      <c r="R106" s="1311"/>
      <c r="S106" s="1313"/>
      <c r="T106" s="1331" t="s">
        <v>701</v>
      </c>
      <c r="U106" s="1314"/>
      <c r="V106" s="1311"/>
      <c r="W106" s="1313"/>
      <c r="X106" s="1314"/>
      <c r="Y106" s="1314"/>
      <c r="Z106" s="1311"/>
      <c r="AA106" s="1313"/>
      <c r="AB106" s="1314"/>
      <c r="AC106" s="1314"/>
      <c r="AD106" s="1314"/>
      <c r="AE106" s="1313"/>
      <c r="AF106" s="1314"/>
      <c r="AG106" s="1314"/>
      <c r="AH106" s="1316"/>
      <c r="AI106" s="1317"/>
    </row>
    <row r="107" spans="1:35" ht="21.95" customHeight="1">
      <c r="A107" s="580"/>
      <c r="B107" s="1333" t="s">
        <v>702</v>
      </c>
      <c r="C107" s="1313" t="s">
        <v>683</v>
      </c>
      <c r="D107" s="1331" t="s">
        <v>699</v>
      </c>
      <c r="E107" s="1314"/>
      <c r="F107" s="1311"/>
      <c r="G107" s="1313"/>
      <c r="H107" s="1331" t="s">
        <v>699</v>
      </c>
      <c r="I107" s="1314"/>
      <c r="J107" s="1311"/>
      <c r="K107" s="1313"/>
      <c r="L107" s="1331" t="s">
        <v>699</v>
      </c>
      <c r="M107" s="1314"/>
      <c r="N107" s="1311"/>
      <c r="O107" s="1313"/>
      <c r="P107" s="1331" t="s">
        <v>700</v>
      </c>
      <c r="Q107" s="1314"/>
      <c r="R107" s="1311"/>
      <c r="S107" s="1313"/>
      <c r="T107" s="1331" t="s">
        <v>701</v>
      </c>
      <c r="U107" s="1314"/>
      <c r="V107" s="1311"/>
      <c r="W107" s="1313"/>
      <c r="X107" s="1314"/>
      <c r="Y107" s="1314"/>
      <c r="Z107" s="1311"/>
      <c r="AA107" s="1313"/>
      <c r="AB107" s="1314"/>
      <c r="AC107" s="1314"/>
      <c r="AD107" s="1314"/>
      <c r="AE107" s="1313"/>
      <c r="AF107" s="1314"/>
      <c r="AG107" s="1314"/>
      <c r="AH107" s="1316"/>
      <c r="AI107" s="1317"/>
    </row>
    <row r="108" spans="1:35" ht="21.95" customHeight="1">
      <c r="A108" s="580"/>
      <c r="B108" s="1333" t="s">
        <v>703</v>
      </c>
      <c r="C108" s="1313" t="s">
        <v>547</v>
      </c>
      <c r="D108" s="1331" t="s">
        <v>699</v>
      </c>
      <c r="E108" s="1314"/>
      <c r="F108" s="1311"/>
      <c r="G108" s="1313"/>
      <c r="H108" s="1331" t="s">
        <v>699</v>
      </c>
      <c r="I108" s="1314"/>
      <c r="J108" s="1311"/>
      <c r="K108" s="1313"/>
      <c r="L108" s="1331" t="s">
        <v>699</v>
      </c>
      <c r="M108" s="1314"/>
      <c r="N108" s="1311"/>
      <c r="O108" s="1313"/>
      <c r="P108" s="1331" t="s">
        <v>700</v>
      </c>
      <c r="Q108" s="1314"/>
      <c r="R108" s="1311"/>
      <c r="S108" s="1313"/>
      <c r="T108" s="1331" t="s">
        <v>701</v>
      </c>
      <c r="U108" s="1314"/>
      <c r="V108" s="1311"/>
      <c r="W108" s="1313"/>
      <c r="X108" s="1314"/>
      <c r="Y108" s="1314"/>
      <c r="Z108" s="1311"/>
      <c r="AA108" s="1313"/>
      <c r="AB108" s="1314"/>
      <c r="AC108" s="1314"/>
      <c r="AD108" s="1314"/>
      <c r="AE108" s="1313"/>
      <c r="AF108" s="1314"/>
      <c r="AG108" s="1314"/>
      <c r="AH108" s="1316"/>
      <c r="AI108" s="1317"/>
    </row>
    <row r="109" spans="1:35" ht="21.95" customHeight="1">
      <c r="A109" s="580"/>
      <c r="B109" s="1333" t="s">
        <v>704</v>
      </c>
      <c r="C109" s="1313" t="s">
        <v>685</v>
      </c>
      <c r="D109" s="1331" t="s">
        <v>699</v>
      </c>
      <c r="E109" s="1314"/>
      <c r="F109" s="1311"/>
      <c r="G109" s="1313"/>
      <c r="H109" s="1331" t="s">
        <v>699</v>
      </c>
      <c r="I109" s="1314"/>
      <c r="J109" s="1311"/>
      <c r="K109" s="1313"/>
      <c r="L109" s="1331" t="s">
        <v>699</v>
      </c>
      <c r="M109" s="1314"/>
      <c r="N109" s="1311"/>
      <c r="O109" s="1313"/>
      <c r="P109" s="1331" t="s">
        <v>700</v>
      </c>
      <c r="Q109" s="1314"/>
      <c r="R109" s="1311"/>
      <c r="S109" s="1313"/>
      <c r="T109" s="1331" t="s">
        <v>701</v>
      </c>
      <c r="U109" s="1314"/>
      <c r="V109" s="1311"/>
      <c r="W109" s="1313"/>
      <c r="X109" s="1314"/>
      <c r="Y109" s="1314"/>
      <c r="Z109" s="1311"/>
      <c r="AA109" s="1313"/>
      <c r="AB109" s="1314"/>
      <c r="AC109" s="1314"/>
      <c r="AD109" s="1314"/>
      <c r="AE109" s="1313"/>
      <c r="AF109" s="1314"/>
      <c r="AG109" s="1314"/>
      <c r="AH109" s="1316"/>
      <c r="AI109" s="1317"/>
    </row>
    <row r="110" spans="1:35" ht="21.95" customHeight="1">
      <c r="A110" s="580"/>
      <c r="B110" s="1333" t="s">
        <v>705</v>
      </c>
      <c r="C110" s="1313" t="s">
        <v>684</v>
      </c>
      <c r="D110" s="1331" t="s">
        <v>699</v>
      </c>
      <c r="E110" s="1314"/>
      <c r="F110" s="1311"/>
      <c r="G110" s="1313"/>
      <c r="H110" s="1331" t="s">
        <v>699</v>
      </c>
      <c r="I110" s="1314"/>
      <c r="J110" s="1311"/>
      <c r="K110" s="1313"/>
      <c r="L110" s="1331" t="s">
        <v>699</v>
      </c>
      <c r="M110" s="1314"/>
      <c r="N110" s="1311"/>
      <c r="O110" s="1313"/>
      <c r="P110" s="1331" t="s">
        <v>700</v>
      </c>
      <c r="Q110" s="1314"/>
      <c r="R110" s="1311"/>
      <c r="S110" s="1313"/>
      <c r="T110" s="1331" t="s">
        <v>701</v>
      </c>
      <c r="U110" s="1314"/>
      <c r="V110" s="1311"/>
      <c r="W110" s="1313"/>
      <c r="X110" s="1314"/>
      <c r="Y110" s="1314"/>
      <c r="Z110" s="1311"/>
      <c r="AA110" s="1313"/>
      <c r="AB110" s="1314"/>
      <c r="AC110" s="1314"/>
      <c r="AD110" s="1314"/>
      <c r="AE110" s="1313"/>
      <c r="AF110" s="1314"/>
      <c r="AG110" s="1314"/>
      <c r="AH110" s="1316"/>
      <c r="AI110" s="1317"/>
    </row>
    <row r="111" spans="1:35" ht="21.95" customHeight="1">
      <c r="A111" s="580"/>
      <c r="B111" s="1333" t="s">
        <v>706</v>
      </c>
      <c r="C111" s="1313" t="s">
        <v>539</v>
      </c>
      <c r="D111" s="1331" t="s">
        <v>699</v>
      </c>
      <c r="E111" s="1314"/>
      <c r="F111" s="1311"/>
      <c r="G111" s="1313"/>
      <c r="H111" s="1331" t="s">
        <v>699</v>
      </c>
      <c r="I111" s="1314"/>
      <c r="J111" s="1311"/>
      <c r="K111" s="1313"/>
      <c r="L111" s="1331" t="s">
        <v>699</v>
      </c>
      <c r="M111" s="1314"/>
      <c r="N111" s="1311"/>
      <c r="O111" s="1313"/>
      <c r="P111" s="1331" t="s">
        <v>700</v>
      </c>
      <c r="Q111" s="1314"/>
      <c r="R111" s="1311"/>
      <c r="S111" s="1313"/>
      <c r="T111" s="1331" t="s">
        <v>701</v>
      </c>
      <c r="U111" s="1314"/>
      <c r="V111" s="1311"/>
      <c r="W111" s="1313"/>
      <c r="X111" s="1314"/>
      <c r="Y111" s="1314"/>
      <c r="Z111" s="1311"/>
      <c r="AA111" s="1313"/>
      <c r="AB111" s="1314"/>
      <c r="AC111" s="1314"/>
      <c r="AD111" s="1314"/>
      <c r="AE111" s="1313"/>
      <c r="AF111" s="1314"/>
      <c r="AG111" s="1314"/>
      <c r="AH111" s="1316"/>
      <c r="AI111" s="1317"/>
    </row>
    <row r="112" spans="1:35" ht="21.95" customHeight="1">
      <c r="A112" s="580"/>
      <c r="B112" s="1333" t="s">
        <v>707</v>
      </c>
      <c r="C112" s="1313" t="s">
        <v>540</v>
      </c>
      <c r="D112" s="1331" t="s">
        <v>699</v>
      </c>
      <c r="E112" s="1314"/>
      <c r="F112" s="1311"/>
      <c r="G112" s="1313"/>
      <c r="H112" s="1331" t="s">
        <v>699</v>
      </c>
      <c r="I112" s="1314"/>
      <c r="J112" s="1311"/>
      <c r="K112" s="1313"/>
      <c r="L112" s="1331" t="s">
        <v>699</v>
      </c>
      <c r="M112" s="1314"/>
      <c r="N112" s="1311"/>
      <c r="O112" s="1313"/>
      <c r="P112" s="1331" t="s">
        <v>700</v>
      </c>
      <c r="Q112" s="1314"/>
      <c r="R112" s="1311"/>
      <c r="S112" s="1313"/>
      <c r="T112" s="1331" t="s">
        <v>701</v>
      </c>
      <c r="U112" s="1314"/>
      <c r="V112" s="1311"/>
      <c r="W112" s="1313"/>
      <c r="X112" s="1314"/>
      <c r="Y112" s="1314"/>
      <c r="Z112" s="1311"/>
      <c r="AA112" s="1313"/>
      <c r="AB112" s="1314"/>
      <c r="AC112" s="1314"/>
      <c r="AD112" s="1314"/>
      <c r="AE112" s="1313"/>
      <c r="AF112" s="1314"/>
      <c r="AG112" s="1314"/>
      <c r="AH112" s="1316"/>
      <c r="AI112" s="1317"/>
    </row>
    <row r="113" spans="1:35" ht="21.95" customHeight="1">
      <c r="A113" s="580"/>
      <c r="B113" s="1333" t="s">
        <v>707</v>
      </c>
      <c r="C113" s="1313" t="s">
        <v>708</v>
      </c>
      <c r="D113" s="1331" t="s">
        <v>699</v>
      </c>
      <c r="E113" s="1314"/>
      <c r="F113" s="1311"/>
      <c r="G113" s="1313"/>
      <c r="H113" s="1331" t="s">
        <v>699</v>
      </c>
      <c r="I113" s="1314"/>
      <c r="J113" s="1311"/>
      <c r="K113" s="1313"/>
      <c r="L113" s="1331" t="s">
        <v>699</v>
      </c>
      <c r="M113" s="1314"/>
      <c r="N113" s="1311"/>
      <c r="O113" s="1313"/>
      <c r="P113" s="1331" t="s">
        <v>700</v>
      </c>
      <c r="Q113" s="1314"/>
      <c r="R113" s="1311"/>
      <c r="S113" s="1313"/>
      <c r="T113" s="1331" t="s">
        <v>701</v>
      </c>
      <c r="U113" s="1314"/>
      <c r="V113" s="1311"/>
      <c r="W113" s="1313"/>
      <c r="X113" s="1314"/>
      <c r="Y113" s="1314"/>
      <c r="Z113" s="1311"/>
      <c r="AA113" s="1313"/>
      <c r="AB113" s="1314"/>
      <c r="AC113" s="1314"/>
      <c r="AD113" s="1314"/>
      <c r="AE113" s="1313"/>
      <c r="AF113" s="1314"/>
      <c r="AG113" s="1314"/>
      <c r="AH113" s="1316"/>
      <c r="AI113" s="1317"/>
    </row>
    <row r="114" spans="1:35" ht="21.95" customHeight="1">
      <c r="A114" s="580"/>
      <c r="B114" s="1333" t="s">
        <v>709</v>
      </c>
      <c r="C114" s="1313" t="s">
        <v>538</v>
      </c>
      <c r="D114" s="1331" t="s">
        <v>699</v>
      </c>
      <c r="E114" s="1314"/>
      <c r="F114" s="1311"/>
      <c r="G114" s="1313"/>
      <c r="H114" s="1331" t="s">
        <v>699</v>
      </c>
      <c r="I114" s="1314"/>
      <c r="J114" s="1311"/>
      <c r="K114" s="1313"/>
      <c r="L114" s="1331" t="s">
        <v>699</v>
      </c>
      <c r="M114" s="1314"/>
      <c r="N114" s="1311"/>
      <c r="O114" s="1313"/>
      <c r="P114" s="1331" t="s">
        <v>700</v>
      </c>
      <c r="Q114" s="1314"/>
      <c r="R114" s="1311"/>
      <c r="S114" s="1313"/>
      <c r="T114" s="1331" t="s">
        <v>701</v>
      </c>
      <c r="U114" s="1314"/>
      <c r="V114" s="1311"/>
      <c r="W114" s="1313"/>
      <c r="X114" s="1314"/>
      <c r="Y114" s="1314"/>
      <c r="Z114" s="1311"/>
      <c r="AA114" s="1313"/>
      <c r="AB114" s="1314"/>
      <c r="AC114" s="1314"/>
      <c r="AD114" s="1314"/>
      <c r="AE114" s="1313"/>
      <c r="AF114" s="1314"/>
      <c r="AG114" s="1314"/>
      <c r="AH114" s="1316"/>
      <c r="AI114" s="1317"/>
    </row>
    <row r="115" spans="1:35" ht="21.95" customHeight="1">
      <c r="A115" s="580"/>
      <c r="B115" s="1333" t="s">
        <v>710</v>
      </c>
      <c r="C115" s="1313" t="s">
        <v>711</v>
      </c>
      <c r="D115" s="1331" t="s">
        <v>699</v>
      </c>
      <c r="E115" s="1314"/>
      <c r="F115" s="1311"/>
      <c r="G115" s="1313"/>
      <c r="H115" s="1331" t="s">
        <v>699</v>
      </c>
      <c r="I115" s="1314"/>
      <c r="J115" s="1311"/>
      <c r="K115" s="1313"/>
      <c r="L115" s="1331" t="s">
        <v>699</v>
      </c>
      <c r="M115" s="1314"/>
      <c r="N115" s="1311"/>
      <c r="O115" s="1313"/>
      <c r="P115" s="1331" t="s">
        <v>700</v>
      </c>
      <c r="Q115" s="1314"/>
      <c r="R115" s="1311"/>
      <c r="S115" s="1313"/>
      <c r="T115" s="1331" t="s">
        <v>701</v>
      </c>
      <c r="U115" s="1314"/>
      <c r="V115" s="1311"/>
      <c r="W115" s="1313"/>
      <c r="X115" s="1314"/>
      <c r="Y115" s="1314"/>
      <c r="Z115" s="1311"/>
      <c r="AA115" s="1313"/>
      <c r="AB115" s="1314"/>
      <c r="AC115" s="1314"/>
      <c r="AD115" s="1314"/>
      <c r="AE115" s="1313"/>
      <c r="AF115" s="1314"/>
      <c r="AG115" s="1314"/>
      <c r="AH115" s="1316"/>
      <c r="AI115" s="1317"/>
    </row>
    <row r="116" spans="1:35" ht="21.95" customHeight="1">
      <c r="A116" s="580"/>
      <c r="B116" s="1333" t="s">
        <v>712</v>
      </c>
      <c r="C116" s="1313" t="s">
        <v>544</v>
      </c>
      <c r="D116" s="1331" t="s">
        <v>699</v>
      </c>
      <c r="E116" s="1314"/>
      <c r="F116" s="1311"/>
      <c r="G116" s="1313"/>
      <c r="H116" s="1331" t="s">
        <v>699</v>
      </c>
      <c r="I116" s="1314"/>
      <c r="J116" s="1311"/>
      <c r="K116" s="1313"/>
      <c r="L116" s="1331" t="s">
        <v>699</v>
      </c>
      <c r="M116" s="1314"/>
      <c r="N116" s="1311"/>
      <c r="O116" s="1313"/>
      <c r="P116" s="1331" t="s">
        <v>700</v>
      </c>
      <c r="Q116" s="1314"/>
      <c r="R116" s="1311"/>
      <c r="S116" s="1313"/>
      <c r="T116" s="1331" t="s">
        <v>701</v>
      </c>
      <c r="U116" s="1314"/>
      <c r="V116" s="1311"/>
      <c r="W116" s="1313"/>
      <c r="X116" s="1314"/>
      <c r="Y116" s="1314"/>
      <c r="Z116" s="1311"/>
      <c r="AA116" s="1313"/>
      <c r="AB116" s="1314"/>
      <c r="AC116" s="1314"/>
      <c r="AD116" s="1314"/>
      <c r="AE116" s="1313"/>
      <c r="AF116" s="1314"/>
      <c r="AG116" s="1314"/>
      <c r="AH116" s="1316"/>
      <c r="AI116" s="1317"/>
    </row>
    <row r="117" spans="1:35" ht="21.95" customHeight="1" thickBot="1">
      <c r="A117" s="580"/>
      <c r="B117" s="587"/>
      <c r="C117" s="559"/>
      <c r="D117" s="541"/>
      <c r="E117" s="541"/>
      <c r="F117" s="541"/>
      <c r="G117" s="541"/>
      <c r="H117" s="541"/>
      <c r="I117" s="559"/>
      <c r="J117" s="559"/>
      <c r="K117" s="541"/>
      <c r="L117" s="541"/>
      <c r="M117" s="541"/>
      <c r="N117" s="541"/>
      <c r="O117" s="541"/>
      <c r="P117" s="541"/>
      <c r="Q117" s="559"/>
      <c r="R117" s="541"/>
      <c r="S117" s="541"/>
      <c r="T117" s="541"/>
      <c r="U117" s="541"/>
      <c r="V117" s="541"/>
      <c r="W117" s="559"/>
      <c r="X117" s="559"/>
      <c r="Y117" s="541"/>
      <c r="Z117" s="541"/>
      <c r="AA117" s="541"/>
      <c r="AB117" s="541"/>
      <c r="AC117" s="541"/>
      <c r="AD117" s="541"/>
      <c r="AE117" s="559"/>
      <c r="AF117" s="541"/>
      <c r="AG117" s="541"/>
      <c r="AH117" s="560"/>
      <c r="AI117" s="560"/>
    </row>
    <row r="118" spans="1:35" ht="21.95" customHeight="1">
      <c r="A118" s="1232"/>
      <c r="B118" s="1298" t="s">
        <v>480</v>
      </c>
      <c r="C118" s="1235">
        <v>1</v>
      </c>
      <c r="D118" s="1235">
        <v>2</v>
      </c>
      <c r="E118" s="1234">
        <v>3</v>
      </c>
      <c r="F118" s="1234">
        <v>4</v>
      </c>
      <c r="G118" s="1348">
        <v>5</v>
      </c>
      <c r="H118" s="1234">
        <v>6</v>
      </c>
      <c r="I118" s="1213">
        <v>7</v>
      </c>
      <c r="J118" s="1330">
        <v>8</v>
      </c>
      <c r="K118" s="1235">
        <v>9</v>
      </c>
      <c r="L118" s="1234">
        <v>10</v>
      </c>
      <c r="M118" s="1234">
        <v>11</v>
      </c>
      <c r="N118" s="1234">
        <v>12</v>
      </c>
      <c r="O118" s="1234">
        <v>13</v>
      </c>
      <c r="P118" s="1213">
        <v>14</v>
      </c>
      <c r="Q118" s="1330">
        <v>15</v>
      </c>
      <c r="R118" s="1235">
        <v>16</v>
      </c>
      <c r="S118" s="1234">
        <v>17</v>
      </c>
      <c r="T118" s="1234">
        <v>18</v>
      </c>
      <c r="U118" s="1234">
        <v>19</v>
      </c>
      <c r="V118" s="1213">
        <v>20</v>
      </c>
      <c r="W118" s="1213">
        <v>21</v>
      </c>
      <c r="X118" s="1330">
        <v>22</v>
      </c>
      <c r="Y118" s="1235">
        <v>23</v>
      </c>
      <c r="Z118" s="1234">
        <v>24</v>
      </c>
      <c r="AA118" s="1234">
        <v>25</v>
      </c>
      <c r="AB118" s="1234">
        <v>26</v>
      </c>
      <c r="AC118" s="1234">
        <v>27</v>
      </c>
      <c r="AD118" s="1213">
        <v>28</v>
      </c>
      <c r="AE118" s="1330">
        <v>29</v>
      </c>
      <c r="AF118" s="1235">
        <v>30</v>
      </c>
      <c r="AG118" s="1234"/>
      <c r="AH118" s="1301" t="s">
        <v>481</v>
      </c>
      <c r="AI118" s="1302" t="s">
        <v>482</v>
      </c>
    </row>
    <row r="119" spans="1:35" ht="21.95" customHeight="1">
      <c r="A119" s="580"/>
      <c r="B119" s="1299" t="s">
        <v>713</v>
      </c>
      <c r="C119" s="1313"/>
      <c r="D119" s="1313"/>
      <c r="E119" s="1313" t="s">
        <v>698</v>
      </c>
      <c r="F119" s="1313" t="s">
        <v>698</v>
      </c>
      <c r="G119" s="1313" t="s">
        <v>698</v>
      </c>
      <c r="H119" s="1313" t="s">
        <v>698</v>
      </c>
      <c r="I119" s="1313" t="s">
        <v>698</v>
      </c>
      <c r="J119" s="1313"/>
      <c r="K119" s="1313"/>
      <c r="L119" s="1313" t="s">
        <v>698</v>
      </c>
      <c r="M119" s="1313" t="s">
        <v>698</v>
      </c>
      <c r="N119" s="1313" t="s">
        <v>698</v>
      </c>
      <c r="O119" s="1313" t="s">
        <v>698</v>
      </c>
      <c r="P119" s="1313" t="s">
        <v>698</v>
      </c>
      <c r="Q119" s="1313"/>
      <c r="R119" s="1313"/>
      <c r="S119" s="1313" t="s">
        <v>698</v>
      </c>
      <c r="T119" s="1313" t="s">
        <v>698</v>
      </c>
      <c r="U119" s="1313" t="s">
        <v>698</v>
      </c>
      <c r="V119" s="1313" t="s">
        <v>698</v>
      </c>
      <c r="W119" s="1313" t="s">
        <v>698</v>
      </c>
      <c r="X119" s="1313"/>
      <c r="Y119" s="1313"/>
      <c r="Z119" s="1313" t="s">
        <v>698</v>
      </c>
      <c r="AA119" s="1313" t="s">
        <v>698</v>
      </c>
      <c r="AB119" s="1313" t="s">
        <v>698</v>
      </c>
      <c r="AC119" s="1313" t="s">
        <v>698</v>
      </c>
      <c r="AD119" s="1313" t="s">
        <v>698</v>
      </c>
      <c r="AE119" s="1313"/>
      <c r="AF119" s="1313"/>
      <c r="AG119" s="1313"/>
      <c r="AH119" s="504">
        <v>185</v>
      </c>
      <c r="AI119" s="505">
        <v>37</v>
      </c>
    </row>
    <row r="120" spans="1:35" ht="21.95" customHeight="1">
      <c r="A120" s="580"/>
      <c r="B120" s="1299" t="s">
        <v>714</v>
      </c>
      <c r="C120" s="1313"/>
      <c r="D120" s="1313"/>
      <c r="E120" s="1313" t="s">
        <v>698</v>
      </c>
      <c r="F120" s="1313" t="s">
        <v>698</v>
      </c>
      <c r="G120" s="1313" t="s">
        <v>698</v>
      </c>
      <c r="H120" s="1313" t="s">
        <v>698</v>
      </c>
      <c r="I120" s="1313" t="s">
        <v>698</v>
      </c>
      <c r="J120" s="1313"/>
      <c r="K120" s="1313"/>
      <c r="L120" s="1385" t="s">
        <v>698</v>
      </c>
      <c r="M120" s="1385" t="s">
        <v>698</v>
      </c>
      <c r="N120" s="1385" t="s">
        <v>698</v>
      </c>
      <c r="O120" s="1385" t="s">
        <v>698</v>
      </c>
      <c r="P120" s="1313" t="s">
        <v>698</v>
      </c>
      <c r="Q120" s="1313"/>
      <c r="R120" s="1313"/>
      <c r="S120" s="1313" t="s">
        <v>698</v>
      </c>
      <c r="T120" s="1313" t="s">
        <v>698</v>
      </c>
      <c r="U120" s="1313" t="s">
        <v>698</v>
      </c>
      <c r="V120" s="1313" t="s">
        <v>698</v>
      </c>
      <c r="W120" s="1313" t="s">
        <v>698</v>
      </c>
      <c r="X120" s="1313"/>
      <c r="Y120" s="1313"/>
      <c r="Z120" s="1313" t="s">
        <v>698</v>
      </c>
      <c r="AA120" s="1313" t="s">
        <v>698</v>
      </c>
      <c r="AB120" s="1313" t="s">
        <v>698</v>
      </c>
      <c r="AC120" s="1313" t="s">
        <v>698</v>
      </c>
      <c r="AD120" s="1313" t="s">
        <v>698</v>
      </c>
      <c r="AE120" s="1313"/>
      <c r="AF120" s="1313"/>
      <c r="AG120" s="1313"/>
      <c r="AH120" s="504">
        <v>185</v>
      </c>
      <c r="AI120" s="505">
        <v>37</v>
      </c>
    </row>
    <row r="121" spans="1:35" ht="21.95" customHeight="1">
      <c r="A121" s="580"/>
      <c r="B121" s="1299" t="s">
        <v>715</v>
      </c>
      <c r="C121" s="1313"/>
      <c r="D121" s="1313"/>
      <c r="E121" s="1313" t="s">
        <v>683</v>
      </c>
      <c r="F121" s="1313" t="s">
        <v>683</v>
      </c>
      <c r="G121" s="1313" t="s">
        <v>683</v>
      </c>
      <c r="H121" s="1313" t="s">
        <v>683</v>
      </c>
      <c r="I121" s="1313" t="s">
        <v>683</v>
      </c>
      <c r="J121" s="1313"/>
      <c r="K121" s="1313"/>
      <c r="L121" s="1313" t="s">
        <v>683</v>
      </c>
      <c r="M121" s="1313" t="s">
        <v>683</v>
      </c>
      <c r="N121" s="1313" t="s">
        <v>683</v>
      </c>
      <c r="O121" s="1313" t="s">
        <v>683</v>
      </c>
      <c r="P121" s="1313" t="s">
        <v>683</v>
      </c>
      <c r="Q121" s="1313"/>
      <c r="R121" s="1313"/>
      <c r="S121" s="1313" t="s">
        <v>683</v>
      </c>
      <c r="T121" s="1446" t="s">
        <v>683</v>
      </c>
      <c r="U121" s="1446" t="s">
        <v>683</v>
      </c>
      <c r="V121" s="1446" t="s">
        <v>683</v>
      </c>
      <c r="W121" s="1446" t="s">
        <v>683</v>
      </c>
      <c r="X121" s="1446"/>
      <c r="Y121" s="1446"/>
      <c r="Z121" s="1446" t="s">
        <v>683</v>
      </c>
      <c r="AA121" s="1446" t="s">
        <v>683</v>
      </c>
      <c r="AB121" s="1446" t="s">
        <v>683</v>
      </c>
      <c r="AC121" s="1446" t="s">
        <v>683</v>
      </c>
      <c r="AD121" s="1446" t="s">
        <v>683</v>
      </c>
      <c r="AE121" s="1313"/>
      <c r="AF121" s="1313"/>
      <c r="AG121" s="1313"/>
      <c r="AH121" s="504">
        <v>185</v>
      </c>
      <c r="AI121" s="505">
        <v>37</v>
      </c>
    </row>
    <row r="122" spans="1:35" ht="21.95" customHeight="1">
      <c r="A122" s="580"/>
      <c r="B122" s="1299" t="s">
        <v>730</v>
      </c>
      <c r="C122" s="1313"/>
      <c r="D122" s="1313"/>
      <c r="E122" s="1313" t="s">
        <v>547</v>
      </c>
      <c r="F122" s="1313" t="s">
        <v>547</v>
      </c>
      <c r="G122" s="1313" t="s">
        <v>547</v>
      </c>
      <c r="H122" s="1313" t="s">
        <v>547</v>
      </c>
      <c r="I122" s="1313" t="s">
        <v>547</v>
      </c>
      <c r="J122" s="1313"/>
      <c r="K122" s="1313"/>
      <c r="L122" s="1313" t="s">
        <v>547</v>
      </c>
      <c r="M122" s="1313" t="s">
        <v>547</v>
      </c>
      <c r="N122" s="1313" t="s">
        <v>547</v>
      </c>
      <c r="O122" s="1313" t="s">
        <v>547</v>
      </c>
      <c r="P122" s="1313" t="s">
        <v>547</v>
      </c>
      <c r="Q122" s="1313"/>
      <c r="R122" s="1313"/>
      <c r="S122" s="1313" t="s">
        <v>547</v>
      </c>
      <c r="T122" s="1313" t="s">
        <v>547</v>
      </c>
      <c r="U122" s="1313" t="s">
        <v>547</v>
      </c>
      <c r="V122" s="1313" t="s">
        <v>547</v>
      </c>
      <c r="W122" s="1313" t="s">
        <v>547</v>
      </c>
      <c r="X122" s="1313"/>
      <c r="Y122" s="1313"/>
      <c r="Z122" s="1313" t="s">
        <v>547</v>
      </c>
      <c r="AA122" s="1313" t="s">
        <v>547</v>
      </c>
      <c r="AB122" s="1313" t="s">
        <v>547</v>
      </c>
      <c r="AC122" s="1313" t="s">
        <v>547</v>
      </c>
      <c r="AD122" s="1313" t="s">
        <v>547</v>
      </c>
      <c r="AE122" s="1313"/>
      <c r="AF122" s="1313"/>
      <c r="AG122" s="1313"/>
      <c r="AH122" s="504">
        <v>185</v>
      </c>
      <c r="AI122" s="505">
        <v>37</v>
      </c>
    </row>
    <row r="123" spans="1:35" ht="21.95" customHeight="1">
      <c r="A123" s="580"/>
      <c r="B123" s="1300" t="s">
        <v>717</v>
      </c>
      <c r="C123" s="1313"/>
      <c r="D123" s="1313"/>
      <c r="E123" s="1363" t="s">
        <v>685</v>
      </c>
      <c r="F123" s="1363" t="s">
        <v>685</v>
      </c>
      <c r="G123" s="1363" t="s">
        <v>685</v>
      </c>
      <c r="H123" s="1363" t="s">
        <v>685</v>
      </c>
      <c r="I123" s="1363" t="s">
        <v>685</v>
      </c>
      <c r="J123" s="1363"/>
      <c r="K123" s="1363"/>
      <c r="L123" s="1363" t="s">
        <v>685</v>
      </c>
      <c r="M123" s="1363" t="s">
        <v>685</v>
      </c>
      <c r="N123" s="1363" t="s">
        <v>685</v>
      </c>
      <c r="O123" s="1363" t="s">
        <v>685</v>
      </c>
      <c r="P123" s="1363" t="s">
        <v>685</v>
      </c>
      <c r="Q123" s="1363"/>
      <c r="R123" s="1363"/>
      <c r="S123" s="1379" t="s">
        <v>685</v>
      </c>
      <c r="T123" s="1379" t="s">
        <v>685</v>
      </c>
      <c r="U123" s="1379" t="s">
        <v>685</v>
      </c>
      <c r="V123" s="1379" t="s">
        <v>685</v>
      </c>
      <c r="W123" s="1379" t="s">
        <v>685</v>
      </c>
      <c r="X123" s="1379"/>
      <c r="Y123" s="1379"/>
      <c r="Z123" s="1313" t="s">
        <v>685</v>
      </c>
      <c r="AA123" s="1313" t="s">
        <v>685</v>
      </c>
      <c r="AB123" s="1313" t="s">
        <v>685</v>
      </c>
      <c r="AC123" s="1313" t="s">
        <v>685</v>
      </c>
      <c r="AD123" s="1313" t="s">
        <v>685</v>
      </c>
      <c r="AE123" s="1313"/>
      <c r="AF123" s="1313"/>
      <c r="AG123" s="1313"/>
      <c r="AH123" s="504">
        <v>74</v>
      </c>
      <c r="AI123" s="505">
        <v>37</v>
      </c>
    </row>
    <row r="124" spans="1:35" ht="21.95" customHeight="1">
      <c r="A124" s="580"/>
      <c r="B124" s="1299" t="s">
        <v>718</v>
      </c>
      <c r="C124" s="1446"/>
      <c r="D124" s="1446"/>
      <c r="E124" s="1446" t="s">
        <v>684</v>
      </c>
      <c r="F124" s="1446" t="s">
        <v>684</v>
      </c>
      <c r="G124" s="1446" t="s">
        <v>684</v>
      </c>
      <c r="H124" s="1446" t="s">
        <v>684</v>
      </c>
      <c r="I124" s="1446" t="s">
        <v>684</v>
      </c>
      <c r="J124" s="1446"/>
      <c r="K124" s="1446"/>
      <c r="L124" s="1446" t="s">
        <v>684</v>
      </c>
      <c r="M124" s="1446" t="s">
        <v>684</v>
      </c>
      <c r="N124" s="1446" t="s">
        <v>684</v>
      </c>
      <c r="O124" s="1446" t="s">
        <v>684</v>
      </c>
      <c r="P124" s="1446" t="s">
        <v>684</v>
      </c>
      <c r="Q124" s="1446"/>
      <c r="R124" s="1446"/>
      <c r="S124" s="1446" t="s">
        <v>684</v>
      </c>
      <c r="T124" s="1446" t="s">
        <v>684</v>
      </c>
      <c r="U124" s="1446" t="s">
        <v>684</v>
      </c>
      <c r="V124" s="1446" t="s">
        <v>684</v>
      </c>
      <c r="W124" s="1446" t="s">
        <v>684</v>
      </c>
      <c r="X124" s="1446"/>
      <c r="Y124" s="1446"/>
      <c r="Z124" s="1446" t="s">
        <v>684</v>
      </c>
      <c r="AA124" s="1446" t="s">
        <v>684</v>
      </c>
      <c r="AB124" s="1446" t="s">
        <v>684</v>
      </c>
      <c r="AC124" s="1446" t="s">
        <v>684</v>
      </c>
      <c r="AD124" s="1446" t="s">
        <v>684</v>
      </c>
      <c r="AE124" s="1313"/>
      <c r="AF124" s="1313"/>
      <c r="AG124" s="1313"/>
      <c r="AH124" s="504">
        <v>185</v>
      </c>
      <c r="AI124" s="505">
        <v>37</v>
      </c>
    </row>
    <row r="125" spans="1:35" ht="21.95" customHeight="1">
      <c r="A125" s="580"/>
      <c r="B125" s="1300" t="s">
        <v>719</v>
      </c>
      <c r="C125" s="1363"/>
      <c r="D125" s="1363"/>
      <c r="E125" s="1313" t="s">
        <v>539</v>
      </c>
      <c r="F125" s="1313" t="s">
        <v>539</v>
      </c>
      <c r="G125" s="1313" t="s">
        <v>539</v>
      </c>
      <c r="H125" s="1313" t="s">
        <v>539</v>
      </c>
      <c r="I125" s="1313" t="s">
        <v>539</v>
      </c>
      <c r="J125" s="1313"/>
      <c r="K125" s="1313"/>
      <c r="L125" s="1313" t="s">
        <v>539</v>
      </c>
      <c r="M125" s="1313" t="s">
        <v>539</v>
      </c>
      <c r="N125" s="1378" t="s">
        <v>539</v>
      </c>
      <c r="O125" s="1313" t="s">
        <v>539</v>
      </c>
      <c r="P125" s="1313" t="s">
        <v>539</v>
      </c>
      <c r="Q125" s="1313"/>
      <c r="R125" s="1313"/>
      <c r="S125" s="1313" t="s">
        <v>539</v>
      </c>
      <c r="T125" s="1313" t="s">
        <v>539</v>
      </c>
      <c r="U125" s="1313" t="s">
        <v>539</v>
      </c>
      <c r="V125" s="1378" t="s">
        <v>539</v>
      </c>
      <c r="W125" s="1313" t="s">
        <v>539</v>
      </c>
      <c r="X125" s="1313"/>
      <c r="Y125" s="1313"/>
      <c r="Z125" s="1313" t="s">
        <v>539</v>
      </c>
      <c r="AA125" s="1378" t="s">
        <v>539</v>
      </c>
      <c r="AB125" s="1313" t="s">
        <v>539</v>
      </c>
      <c r="AC125" s="1313" t="s">
        <v>539</v>
      </c>
      <c r="AD125" s="1313" t="s">
        <v>539</v>
      </c>
      <c r="AE125" s="1313"/>
      <c r="AF125" s="1313"/>
      <c r="AG125" s="1313"/>
      <c r="AH125" s="504">
        <v>185</v>
      </c>
      <c r="AI125" s="505">
        <v>37</v>
      </c>
    </row>
    <row r="126" spans="1:35" ht="21.95" customHeight="1">
      <c r="A126" s="580"/>
      <c r="B126" s="1299" t="s">
        <v>720</v>
      </c>
      <c r="C126" s="1313"/>
      <c r="D126" s="1313"/>
      <c r="E126" s="1446" t="s">
        <v>731</v>
      </c>
      <c r="F126" s="1313" t="s">
        <v>540</v>
      </c>
      <c r="G126" s="1313" t="s">
        <v>540</v>
      </c>
      <c r="H126" s="1313" t="s">
        <v>540</v>
      </c>
      <c r="I126" s="1313" t="s">
        <v>540</v>
      </c>
      <c r="J126" s="1313"/>
      <c r="K126" s="1313"/>
      <c r="L126" s="1313" t="s">
        <v>540</v>
      </c>
      <c r="M126" s="1313" t="s">
        <v>540</v>
      </c>
      <c r="N126" s="1313" t="s">
        <v>540</v>
      </c>
      <c r="O126" s="1313" t="s">
        <v>540</v>
      </c>
      <c r="P126" s="1313" t="s">
        <v>540</v>
      </c>
      <c r="Q126" s="1313"/>
      <c r="R126" s="1313"/>
      <c r="S126" s="1313" t="s">
        <v>540</v>
      </c>
      <c r="T126" s="1313" t="s">
        <v>540</v>
      </c>
      <c r="U126" s="1313" t="s">
        <v>540</v>
      </c>
      <c r="V126" s="1313" t="s">
        <v>540</v>
      </c>
      <c r="W126" s="1313" t="s">
        <v>540</v>
      </c>
      <c r="X126" s="1313"/>
      <c r="Y126" s="1313"/>
      <c r="Z126" s="1313" t="s">
        <v>540</v>
      </c>
      <c r="AA126" s="1313" t="s">
        <v>540</v>
      </c>
      <c r="AB126" s="1313" t="s">
        <v>540</v>
      </c>
      <c r="AC126" s="1313" t="s">
        <v>540</v>
      </c>
      <c r="AD126" s="1313" t="s">
        <v>540</v>
      </c>
      <c r="AE126" s="1313"/>
      <c r="AF126" s="1313"/>
      <c r="AG126" s="1313"/>
      <c r="AH126" s="504">
        <v>185</v>
      </c>
      <c r="AI126" s="505">
        <v>37</v>
      </c>
    </row>
    <row r="127" spans="1:35" ht="21.95" customHeight="1">
      <c r="A127" s="580"/>
      <c r="B127" s="1299" t="s">
        <v>721</v>
      </c>
      <c r="C127" s="1313"/>
      <c r="D127" s="1313"/>
      <c r="E127" s="1313" t="s">
        <v>708</v>
      </c>
      <c r="F127" s="1313" t="s">
        <v>708</v>
      </c>
      <c r="G127" s="1313" t="s">
        <v>708</v>
      </c>
      <c r="H127" s="1313" t="s">
        <v>708</v>
      </c>
      <c r="I127" s="1313" t="s">
        <v>708</v>
      </c>
      <c r="J127" s="1313"/>
      <c r="K127" s="1313"/>
      <c r="L127" s="1313" t="s">
        <v>708</v>
      </c>
      <c r="M127" s="1313" t="s">
        <v>708</v>
      </c>
      <c r="N127" s="1313" t="s">
        <v>708</v>
      </c>
      <c r="O127" s="1313" t="s">
        <v>708</v>
      </c>
      <c r="P127" s="1313" t="s">
        <v>708</v>
      </c>
      <c r="Q127" s="1313"/>
      <c r="R127" s="1313"/>
      <c r="S127" s="1313" t="s">
        <v>708</v>
      </c>
      <c r="T127" s="1313" t="s">
        <v>708</v>
      </c>
      <c r="U127" s="1313" t="s">
        <v>708</v>
      </c>
      <c r="V127" s="1313" t="s">
        <v>708</v>
      </c>
      <c r="W127" s="1313" t="s">
        <v>708</v>
      </c>
      <c r="X127" s="1313"/>
      <c r="Y127" s="1313"/>
      <c r="Z127" s="1313" t="s">
        <v>708</v>
      </c>
      <c r="AA127" s="1313" t="s">
        <v>708</v>
      </c>
      <c r="AB127" s="1313" t="s">
        <v>708</v>
      </c>
      <c r="AC127" s="1313" t="s">
        <v>708</v>
      </c>
      <c r="AD127" s="1313" t="s">
        <v>708</v>
      </c>
      <c r="AE127" s="1313"/>
      <c r="AF127" s="1313"/>
      <c r="AG127" s="1313"/>
      <c r="AH127" s="504">
        <v>185</v>
      </c>
      <c r="AI127" s="505">
        <v>37</v>
      </c>
    </row>
    <row r="128" spans="1:35" ht="21.95" customHeight="1">
      <c r="A128" s="580"/>
      <c r="B128" s="1299" t="s">
        <v>722</v>
      </c>
      <c r="C128" s="1446"/>
      <c r="D128" s="1446"/>
      <c r="E128" s="1446" t="s">
        <v>538</v>
      </c>
      <c r="F128" s="1446" t="s">
        <v>538</v>
      </c>
      <c r="G128" s="1446" t="s">
        <v>538</v>
      </c>
      <c r="H128" s="1446" t="s">
        <v>538</v>
      </c>
      <c r="I128" s="1446" t="s">
        <v>538</v>
      </c>
      <c r="J128" s="1446"/>
      <c r="K128" s="1446"/>
      <c r="L128" s="1446" t="s">
        <v>538</v>
      </c>
      <c r="M128" s="1446" t="s">
        <v>538</v>
      </c>
      <c r="N128" s="1446" t="s">
        <v>538</v>
      </c>
      <c r="O128" s="1446" t="s">
        <v>538</v>
      </c>
      <c r="P128" s="1446" t="s">
        <v>538</v>
      </c>
      <c r="Q128" s="1446"/>
      <c r="R128" s="1446"/>
      <c r="S128" s="1446" t="s">
        <v>538</v>
      </c>
      <c r="T128" s="1446" t="s">
        <v>538</v>
      </c>
      <c r="U128" s="1446" t="s">
        <v>538</v>
      </c>
      <c r="V128" s="1446" t="s">
        <v>538</v>
      </c>
      <c r="W128" s="1446" t="s">
        <v>538</v>
      </c>
      <c r="X128" s="1446"/>
      <c r="Y128" s="1446"/>
      <c r="Z128" s="1446" t="s">
        <v>538</v>
      </c>
      <c r="AA128" s="1446" t="s">
        <v>538</v>
      </c>
      <c r="AB128" s="1446" t="s">
        <v>538</v>
      </c>
      <c r="AC128" s="1446" t="s">
        <v>538</v>
      </c>
      <c r="AD128" s="1446" t="s">
        <v>538</v>
      </c>
      <c r="AE128" s="1446"/>
      <c r="AF128" s="1446"/>
      <c r="AG128" s="1446"/>
      <c r="AH128" s="504">
        <v>185</v>
      </c>
      <c r="AI128" s="505">
        <v>37</v>
      </c>
    </row>
    <row r="129" spans="1:36" ht="21.95" customHeight="1">
      <c r="A129" s="580"/>
      <c r="B129" s="1299" t="s">
        <v>723</v>
      </c>
      <c r="C129" s="1313"/>
      <c r="D129" s="1313"/>
      <c r="E129" s="1379" t="s">
        <v>711</v>
      </c>
      <c r="F129" s="1379" t="s">
        <v>711</v>
      </c>
      <c r="G129" s="1313" t="s">
        <v>711</v>
      </c>
      <c r="H129" s="1379" t="s">
        <v>711</v>
      </c>
      <c r="I129" s="1379" t="s">
        <v>711</v>
      </c>
      <c r="J129" s="1313"/>
      <c r="K129" s="1313"/>
      <c r="L129" s="1384" t="s">
        <v>711</v>
      </c>
      <c r="M129" s="1313" t="s">
        <v>711</v>
      </c>
      <c r="N129" s="1313" t="s">
        <v>711</v>
      </c>
      <c r="O129" s="1313" t="s">
        <v>711</v>
      </c>
      <c r="P129" s="1313" t="s">
        <v>711</v>
      </c>
      <c r="Q129" s="1313"/>
      <c r="R129" s="1313"/>
      <c r="S129" s="1446" t="s">
        <v>711</v>
      </c>
      <c r="T129" s="1446" t="s">
        <v>732</v>
      </c>
      <c r="U129" s="1313" t="s">
        <v>711</v>
      </c>
      <c r="V129" s="1313" t="s">
        <v>711</v>
      </c>
      <c r="W129" s="1313" t="s">
        <v>711</v>
      </c>
      <c r="X129" s="1313"/>
      <c r="Y129" s="1313"/>
      <c r="Z129" s="1313" t="s">
        <v>711</v>
      </c>
      <c r="AA129" s="1313" t="s">
        <v>711</v>
      </c>
      <c r="AB129" s="1446" t="s">
        <v>711</v>
      </c>
      <c r="AC129" s="1446" t="s">
        <v>711</v>
      </c>
      <c r="AD129" s="1446" t="s">
        <v>711</v>
      </c>
      <c r="AE129" s="1313"/>
      <c r="AF129" s="1313"/>
      <c r="AG129" s="1313"/>
      <c r="AH129" s="504">
        <v>156</v>
      </c>
      <c r="AI129" s="505">
        <v>37</v>
      </c>
    </row>
    <row r="130" spans="1:36" ht="21.95" customHeight="1">
      <c r="A130" s="580"/>
      <c r="B130" s="1299" t="s">
        <v>724</v>
      </c>
      <c r="C130" s="1313"/>
      <c r="D130" s="1313"/>
      <c r="E130" s="1313" t="s">
        <v>544</v>
      </c>
      <c r="F130" s="1313" t="s">
        <v>544</v>
      </c>
      <c r="G130" s="1313" t="s">
        <v>544</v>
      </c>
      <c r="H130" s="1313" t="s">
        <v>544</v>
      </c>
      <c r="I130" s="1313" t="s">
        <v>544</v>
      </c>
      <c r="J130" s="1313"/>
      <c r="K130" s="1313"/>
      <c r="L130" s="1313" t="s">
        <v>544</v>
      </c>
      <c r="M130" s="1313" t="s">
        <v>544</v>
      </c>
      <c r="N130" s="1313" t="s">
        <v>544</v>
      </c>
      <c r="O130" s="1313" t="s">
        <v>544</v>
      </c>
      <c r="P130" s="1313" t="s">
        <v>544</v>
      </c>
      <c r="Q130" s="1313"/>
      <c r="R130" s="1313"/>
      <c r="S130" s="1313" t="s">
        <v>544</v>
      </c>
      <c r="T130" s="1363" t="s">
        <v>544</v>
      </c>
      <c r="U130" s="1313" t="s">
        <v>544</v>
      </c>
      <c r="V130" s="1313" t="s">
        <v>544</v>
      </c>
      <c r="W130" s="1313" t="s">
        <v>544</v>
      </c>
      <c r="X130" s="1313"/>
      <c r="Y130" s="1313"/>
      <c r="Z130" s="1313" t="s">
        <v>544</v>
      </c>
      <c r="AA130" s="1313" t="s">
        <v>544</v>
      </c>
      <c r="AB130" s="1313" t="s">
        <v>544</v>
      </c>
      <c r="AC130" s="1313" t="s">
        <v>544</v>
      </c>
      <c r="AD130" s="1313" t="s">
        <v>544</v>
      </c>
      <c r="AE130" s="1313"/>
      <c r="AF130" s="1313"/>
      <c r="AG130" s="1313"/>
      <c r="AH130" s="504">
        <v>185</v>
      </c>
      <c r="AI130" s="505">
        <v>37</v>
      </c>
    </row>
    <row r="131" spans="1:36" ht="21.95" customHeight="1">
      <c r="A131" s="580"/>
      <c r="B131" s="587"/>
      <c r="C131" s="559"/>
      <c r="D131" s="541"/>
      <c r="E131" s="541"/>
      <c r="F131" s="541"/>
      <c r="G131" s="541"/>
      <c r="H131" s="541"/>
      <c r="I131" s="559"/>
      <c r="J131" s="559"/>
      <c r="K131" s="541"/>
      <c r="L131" s="541"/>
      <c r="M131" s="541"/>
      <c r="N131" s="541"/>
      <c r="O131" s="541"/>
      <c r="P131" s="541"/>
      <c r="Q131" s="559"/>
      <c r="R131" s="541"/>
      <c r="S131" s="541"/>
      <c r="T131" s="541"/>
      <c r="U131" s="541"/>
      <c r="V131" s="541"/>
      <c r="W131" s="559"/>
      <c r="X131" s="559"/>
      <c r="Y131" s="541"/>
      <c r="Z131" s="541"/>
      <c r="AA131" s="541"/>
      <c r="AB131" s="541"/>
      <c r="AC131" s="541"/>
      <c r="AD131" s="541"/>
      <c r="AE131" s="559"/>
      <c r="AF131" s="541"/>
      <c r="AG131" s="541"/>
      <c r="AH131" s="560"/>
      <c r="AI131" s="560"/>
    </row>
    <row r="132" spans="1:36" ht="21.95" customHeight="1">
      <c r="A132" s="312" t="s">
        <v>527</v>
      </c>
      <c r="C132" s="559"/>
      <c r="D132" s="559"/>
      <c r="E132" s="559"/>
      <c r="F132" s="559"/>
      <c r="G132" s="559"/>
      <c r="H132" s="559"/>
      <c r="I132" s="559"/>
      <c r="J132" s="559"/>
      <c r="K132" s="559"/>
      <c r="L132" s="559"/>
      <c r="M132" s="559"/>
      <c r="N132" s="559"/>
      <c r="O132" s="559"/>
      <c r="P132" s="559"/>
      <c r="Q132" s="559"/>
      <c r="R132" s="559"/>
      <c r="S132" s="559"/>
      <c r="T132" s="559"/>
      <c r="U132" s="559"/>
      <c r="V132" s="559"/>
      <c r="W132" s="559"/>
      <c r="X132" s="559"/>
      <c r="Y132" s="559"/>
      <c r="Z132" s="559"/>
      <c r="AA132" s="559"/>
      <c r="AB132" s="559"/>
      <c r="AC132" s="559"/>
      <c r="AD132" s="559"/>
      <c r="AE132" s="559"/>
      <c r="AF132" s="559"/>
      <c r="AG132" s="559"/>
      <c r="AH132" s="560"/>
      <c r="AI132" s="560"/>
      <c r="AJ132" s="361"/>
    </row>
    <row r="133" spans="1:36" ht="21.95" customHeight="1">
      <c r="A133" s="299" t="s">
        <v>528</v>
      </c>
      <c r="B133" s="299"/>
      <c r="C133" s="153"/>
      <c r="D133" s="299" t="s">
        <v>2</v>
      </c>
      <c r="E133" s="186"/>
      <c r="F133" s="153"/>
      <c r="G133" s="299" t="s">
        <v>3</v>
      </c>
      <c r="H133" s="186"/>
      <c r="I133" s="153"/>
      <c r="J133" s="299" t="s">
        <v>4</v>
      </c>
      <c r="K133" s="186"/>
      <c r="L133" s="153"/>
      <c r="M133" s="299" t="s">
        <v>5</v>
      </c>
      <c r="N133" s="186"/>
      <c r="O133" s="153"/>
      <c r="P133" s="299" t="s">
        <v>6</v>
      </c>
      <c r="Q133" s="186"/>
      <c r="R133" s="134"/>
      <c r="S133" s="199" t="s">
        <v>7</v>
      </c>
      <c r="T133" s="186"/>
      <c r="U133" s="153"/>
      <c r="V133" s="299" t="s">
        <v>8</v>
      </c>
      <c r="W133" s="186"/>
      <c r="X133" s="589" t="s">
        <v>10</v>
      </c>
      <c r="Y133" s="186"/>
      <c r="Z133" s="186"/>
      <c r="AA133" s="565"/>
      <c r="AB133" s="483"/>
      <c r="AC133" s="483"/>
      <c r="AD133" s="483"/>
      <c r="AE133" s="483"/>
      <c r="AF133" s="483"/>
      <c r="AG133" s="484"/>
      <c r="AH133" s="361"/>
      <c r="AI133" s="361"/>
      <c r="AJ133" s="361"/>
    </row>
    <row r="134" spans="1:36" ht="21.95" customHeight="1">
      <c r="A134" s="130">
        <v>8517</v>
      </c>
      <c r="B134" s="500" t="s">
        <v>529</v>
      </c>
      <c r="C134" s="588" t="s">
        <v>124</v>
      </c>
      <c r="D134" s="585"/>
      <c r="E134" s="590"/>
      <c r="F134" s="588" t="s">
        <v>124</v>
      </c>
      <c r="G134" s="591"/>
      <c r="H134" s="590"/>
      <c r="I134" s="121" t="s">
        <v>124</v>
      </c>
      <c r="J134" s="569"/>
      <c r="K134" s="592"/>
      <c r="L134" s="121" t="s">
        <v>124</v>
      </c>
      <c r="M134" s="569"/>
      <c r="N134" s="592"/>
      <c r="O134" s="121" t="s">
        <v>125</v>
      </c>
      <c r="P134" s="569"/>
      <c r="Q134" s="477"/>
      <c r="R134" s="593" t="s">
        <v>28</v>
      </c>
      <c r="S134" s="569"/>
      <c r="T134" s="592"/>
      <c r="U134" s="569" t="s">
        <v>28</v>
      </c>
      <c r="V134" s="569"/>
      <c r="W134" s="477"/>
      <c r="X134" s="145" t="s">
        <v>28</v>
      </c>
      <c r="Y134" s="361"/>
      <c r="Z134" s="361"/>
      <c r="AA134" s="361"/>
      <c r="AB134" s="361"/>
      <c r="AC134" s="361"/>
      <c r="AD134" s="361"/>
      <c r="AE134" s="361"/>
      <c r="AF134" s="361"/>
      <c r="AG134" s="594"/>
      <c r="AH134" s="361"/>
      <c r="AI134" s="361"/>
      <c r="AJ134" s="361"/>
    </row>
    <row r="135" spans="1:36" ht="21.95" customHeight="1">
      <c r="A135" s="595">
        <v>8502</v>
      </c>
      <c r="B135" s="596" t="s">
        <v>530</v>
      </c>
      <c r="C135" s="121" t="s">
        <v>11</v>
      </c>
      <c r="D135" s="569"/>
      <c r="E135" s="477"/>
      <c r="F135" s="121" t="s">
        <v>11</v>
      </c>
      <c r="G135" s="569"/>
      <c r="H135" s="592"/>
      <c r="I135" s="121" t="s">
        <v>11</v>
      </c>
      <c r="J135" s="569"/>
      <c r="K135" s="592"/>
      <c r="L135" s="121" t="s">
        <v>11</v>
      </c>
      <c r="M135" s="569"/>
      <c r="N135" s="592"/>
      <c r="O135" s="121" t="s">
        <v>12</v>
      </c>
      <c r="P135" s="569"/>
      <c r="Q135" s="477"/>
      <c r="R135" s="597"/>
      <c r="S135" s="598"/>
      <c r="T135" s="592"/>
      <c r="U135" s="569"/>
      <c r="V135" s="569"/>
      <c r="W135" s="477"/>
      <c r="X135" s="476"/>
      <c r="Y135" s="483"/>
      <c r="Z135" s="483"/>
      <c r="AA135" s="483"/>
      <c r="AB135" s="483"/>
      <c r="AC135" s="483"/>
      <c r="AD135" s="483"/>
      <c r="AE135" s="483"/>
      <c r="AF135" s="483"/>
      <c r="AG135" s="484"/>
      <c r="AH135" s="361"/>
      <c r="AI135" s="361"/>
      <c r="AJ135" s="361"/>
    </row>
    <row r="136" spans="1:36" ht="21.95" customHeight="1" thickBot="1">
      <c r="A136" s="274"/>
      <c r="B136" s="519"/>
      <c r="C136" s="354"/>
      <c r="D136" s="354"/>
      <c r="E136" s="73"/>
      <c r="F136" s="354"/>
      <c r="G136" s="354"/>
      <c r="H136" s="73"/>
      <c r="I136" s="354"/>
      <c r="J136" s="354"/>
      <c r="K136" s="73"/>
      <c r="L136" s="354"/>
      <c r="M136" s="354"/>
      <c r="N136" s="73"/>
      <c r="O136" s="354"/>
      <c r="P136" s="354"/>
      <c r="Q136" s="73"/>
      <c r="R136" s="168"/>
      <c r="S136" s="354"/>
      <c r="T136" s="73"/>
      <c r="U136" s="354"/>
      <c r="V136" s="354"/>
      <c r="W136" s="73"/>
      <c r="X136" s="73"/>
      <c r="Y136" s="361"/>
      <c r="Z136" s="361"/>
      <c r="AA136" s="361"/>
      <c r="AB136" s="361"/>
      <c r="AC136" s="361"/>
      <c r="AD136" s="361"/>
      <c r="AE136" s="361"/>
      <c r="AF136" s="361"/>
      <c r="AG136" s="361"/>
      <c r="AH136" s="361"/>
      <c r="AI136" s="361"/>
    </row>
    <row r="137" spans="1:36" ht="21.95" customHeight="1" thickBot="1">
      <c r="A137" s="599"/>
      <c r="B137" s="182" t="s">
        <v>480</v>
      </c>
      <c r="C137" s="1235">
        <v>1</v>
      </c>
      <c r="D137" s="1235">
        <v>2</v>
      </c>
      <c r="E137" s="1234">
        <v>3</v>
      </c>
      <c r="F137" s="1234">
        <v>4</v>
      </c>
      <c r="G137" s="1348">
        <v>5</v>
      </c>
      <c r="H137" s="1234">
        <v>6</v>
      </c>
      <c r="I137" s="1213">
        <v>7</v>
      </c>
      <c r="J137" s="1330">
        <v>8</v>
      </c>
      <c r="K137" s="1235">
        <v>9</v>
      </c>
      <c r="L137" s="1234">
        <v>10</v>
      </c>
      <c r="M137" s="1234">
        <v>11</v>
      </c>
      <c r="N137" s="1234">
        <v>12</v>
      </c>
      <c r="O137" s="1234">
        <v>13</v>
      </c>
      <c r="P137" s="1213">
        <v>14</v>
      </c>
      <c r="Q137" s="1330">
        <v>15</v>
      </c>
      <c r="R137" s="1235">
        <v>16</v>
      </c>
      <c r="S137" s="1234">
        <v>17</v>
      </c>
      <c r="T137" s="1234">
        <v>18</v>
      </c>
      <c r="U137" s="1234">
        <v>19</v>
      </c>
      <c r="V137" s="1213">
        <v>20</v>
      </c>
      <c r="W137" s="1213">
        <v>21</v>
      </c>
      <c r="X137" s="1330">
        <v>22</v>
      </c>
      <c r="Y137" s="1235">
        <v>23</v>
      </c>
      <c r="Z137" s="1234">
        <v>24</v>
      </c>
      <c r="AA137" s="1234">
        <v>25</v>
      </c>
      <c r="AB137" s="1234">
        <v>26</v>
      </c>
      <c r="AC137" s="1234">
        <v>27</v>
      </c>
      <c r="AD137" s="1213">
        <v>28</v>
      </c>
      <c r="AE137" s="1330">
        <v>29</v>
      </c>
      <c r="AF137" s="1235">
        <v>30</v>
      </c>
      <c r="AG137" s="1234"/>
      <c r="AH137" s="600" t="s">
        <v>481</v>
      </c>
      <c r="AI137" s="601" t="s">
        <v>482</v>
      </c>
    </row>
    <row r="138" spans="1:36" ht="21.95" customHeight="1">
      <c r="A138" s="602">
        <v>1</v>
      </c>
      <c r="B138" s="153" t="s">
        <v>531</v>
      </c>
      <c r="C138" s="1392"/>
      <c r="D138" s="1392"/>
      <c r="E138" s="1392" t="s">
        <v>514</v>
      </c>
      <c r="F138" s="1392" t="s">
        <v>514</v>
      </c>
      <c r="G138" s="1392"/>
      <c r="H138" s="1392" t="s">
        <v>514</v>
      </c>
      <c r="I138" s="1392" t="s">
        <v>514</v>
      </c>
      <c r="J138" s="1392"/>
      <c r="K138" s="1392"/>
      <c r="L138" s="1392" t="s">
        <v>514</v>
      </c>
      <c r="M138" s="1392" t="s">
        <v>514</v>
      </c>
      <c r="N138" s="1392" t="s">
        <v>514</v>
      </c>
      <c r="O138" s="1392" t="s">
        <v>514</v>
      </c>
      <c r="P138" s="1392" t="s">
        <v>514</v>
      </c>
      <c r="Q138" s="1392"/>
      <c r="R138" s="1392"/>
      <c r="S138" s="1392" t="s">
        <v>514</v>
      </c>
      <c r="T138" s="1392" t="s">
        <v>514</v>
      </c>
      <c r="U138" s="1392" t="s">
        <v>514</v>
      </c>
      <c r="V138" s="1392" t="s">
        <v>514</v>
      </c>
      <c r="W138" s="1392" t="s">
        <v>514</v>
      </c>
      <c r="X138" s="1392"/>
      <c r="Y138" s="1392"/>
      <c r="Z138" s="1392" t="s">
        <v>514</v>
      </c>
      <c r="AA138" s="1392" t="s">
        <v>514</v>
      </c>
      <c r="AB138" s="1392" t="s">
        <v>514</v>
      </c>
      <c r="AC138" s="1392" t="s">
        <v>514</v>
      </c>
      <c r="AD138" s="1392" t="s">
        <v>514</v>
      </c>
      <c r="AE138" s="1392"/>
      <c r="AF138" s="1392"/>
      <c r="AG138" s="1215"/>
      <c r="AH138" s="1320">
        <v>185</v>
      </c>
      <c r="AI138" s="1321">
        <v>37</v>
      </c>
    </row>
    <row r="139" spans="1:36" ht="21.95" customHeight="1">
      <c r="A139" s="602">
        <v>2</v>
      </c>
      <c r="B139" s="153" t="s">
        <v>534</v>
      </c>
      <c r="C139" s="1215"/>
      <c r="D139" s="1215"/>
      <c r="E139" s="1215">
        <v>4</v>
      </c>
      <c r="F139" s="1215">
        <v>4</v>
      </c>
      <c r="G139" s="1215"/>
      <c r="H139" s="1215">
        <v>4</v>
      </c>
      <c r="I139" s="1215">
        <v>4</v>
      </c>
      <c r="J139" s="1215"/>
      <c r="K139" s="1215"/>
      <c r="L139" s="1215">
        <v>4</v>
      </c>
      <c r="M139" s="1215">
        <v>4</v>
      </c>
      <c r="N139" s="1215">
        <v>4</v>
      </c>
      <c r="O139" s="1215">
        <v>4</v>
      </c>
      <c r="P139" s="1215">
        <v>4</v>
      </c>
      <c r="Q139" s="1215"/>
      <c r="R139" s="1215"/>
      <c r="S139" s="1358" t="s">
        <v>535</v>
      </c>
      <c r="T139" s="1358" t="s">
        <v>535</v>
      </c>
      <c r="U139" s="1358" t="s">
        <v>535</v>
      </c>
      <c r="V139" s="1358" t="s">
        <v>535</v>
      </c>
      <c r="W139" s="1358" t="s">
        <v>535</v>
      </c>
      <c r="X139" s="1358"/>
      <c r="Y139" s="1358"/>
      <c r="Z139" s="1358" t="s">
        <v>535</v>
      </c>
      <c r="AA139" s="1358" t="s">
        <v>535</v>
      </c>
      <c r="AB139" s="1358" t="s">
        <v>535</v>
      </c>
      <c r="AC139" s="1358" t="s">
        <v>535</v>
      </c>
      <c r="AD139" s="1358" t="s">
        <v>535</v>
      </c>
      <c r="AE139" s="1358"/>
      <c r="AF139" s="1358"/>
      <c r="AG139" s="1215"/>
      <c r="AH139" s="1322">
        <v>185</v>
      </c>
      <c r="AI139" s="1323">
        <v>37</v>
      </c>
    </row>
    <row r="140" spans="1:36" ht="21.95" customHeight="1">
      <c r="A140" s="602">
        <v>3</v>
      </c>
      <c r="B140" s="153" t="s">
        <v>536</v>
      </c>
      <c r="C140" s="1215"/>
      <c r="D140" s="1215"/>
      <c r="E140" s="1215" t="s">
        <v>711</v>
      </c>
      <c r="F140" s="1215" t="s">
        <v>711</v>
      </c>
      <c r="G140" s="1215"/>
      <c r="H140" s="1215" t="s">
        <v>711</v>
      </c>
      <c r="I140" s="1215" t="s">
        <v>711</v>
      </c>
      <c r="J140" s="1215"/>
      <c r="K140" s="1215"/>
      <c r="L140" s="1215" t="s">
        <v>537</v>
      </c>
      <c r="M140" s="1215">
        <v>7</v>
      </c>
      <c r="N140" s="1215" t="s">
        <v>535</v>
      </c>
      <c r="O140" s="1215" t="s">
        <v>550</v>
      </c>
      <c r="P140" s="1215" t="s">
        <v>487</v>
      </c>
      <c r="Q140" s="1215" t="s">
        <v>660</v>
      </c>
      <c r="R140" s="1215" t="s">
        <v>660</v>
      </c>
      <c r="S140" s="1215">
        <v>7</v>
      </c>
      <c r="T140" s="1215">
        <v>7</v>
      </c>
      <c r="U140" s="1215">
        <v>7</v>
      </c>
      <c r="V140" s="1215">
        <v>7</v>
      </c>
      <c r="W140" s="1488">
        <v>7</v>
      </c>
      <c r="X140" s="1215"/>
      <c r="Y140" s="1215"/>
      <c r="Z140" s="1215">
        <v>4</v>
      </c>
      <c r="AA140" s="1215">
        <v>4</v>
      </c>
      <c r="AB140" s="1215">
        <v>4</v>
      </c>
      <c r="AC140" s="1215">
        <v>4</v>
      </c>
      <c r="AD140" s="1215">
        <v>4</v>
      </c>
      <c r="AE140" s="1215"/>
      <c r="AF140" s="1215" t="s">
        <v>660</v>
      </c>
      <c r="AG140" s="1215"/>
      <c r="AH140" s="1322">
        <v>117</v>
      </c>
      <c r="AI140" s="1323">
        <v>37</v>
      </c>
    </row>
    <row r="141" spans="1:36" ht="21.95" customHeight="1">
      <c r="A141" s="602">
        <v>4</v>
      </c>
      <c r="B141" s="1241" t="s">
        <v>542</v>
      </c>
      <c r="C141" s="1215"/>
      <c r="D141" s="1215"/>
      <c r="E141" s="1215">
        <v>10</v>
      </c>
      <c r="F141" s="1215">
        <v>10</v>
      </c>
      <c r="G141" s="1215">
        <v>10</v>
      </c>
      <c r="H141" s="1215">
        <v>10</v>
      </c>
      <c r="I141" s="1215">
        <v>10</v>
      </c>
      <c r="J141" s="1215" t="s">
        <v>555</v>
      </c>
      <c r="K141" s="1215" t="s">
        <v>555</v>
      </c>
      <c r="L141" s="1215" t="s">
        <v>487</v>
      </c>
      <c r="M141" s="1215" t="s">
        <v>487</v>
      </c>
      <c r="N141" s="1215" t="s">
        <v>487</v>
      </c>
      <c r="O141" s="1215" t="s">
        <v>487</v>
      </c>
      <c r="P141" s="1215" t="s">
        <v>487</v>
      </c>
      <c r="Q141" s="1215"/>
      <c r="R141" s="1215"/>
      <c r="S141" s="1215" t="s">
        <v>550</v>
      </c>
      <c r="T141" s="1215" t="s">
        <v>550</v>
      </c>
      <c r="U141" s="1215" t="s">
        <v>550</v>
      </c>
      <c r="V141" s="1215" t="s">
        <v>550</v>
      </c>
      <c r="W141" s="1215">
        <v>7</v>
      </c>
      <c r="X141" s="1215"/>
      <c r="Y141" s="1215"/>
      <c r="Z141" s="1215" t="s">
        <v>548</v>
      </c>
      <c r="AA141" s="1215" t="s">
        <v>548</v>
      </c>
      <c r="AB141" s="1215" t="s">
        <v>548</v>
      </c>
      <c r="AC141" s="1215" t="s">
        <v>548</v>
      </c>
      <c r="AD141" s="1215" t="s">
        <v>548</v>
      </c>
      <c r="AE141" s="1215" t="s">
        <v>543</v>
      </c>
      <c r="AF141" s="1215"/>
      <c r="AG141" s="1215"/>
      <c r="AH141" s="1322">
        <v>185</v>
      </c>
      <c r="AI141" s="1323">
        <v>37</v>
      </c>
    </row>
    <row r="142" spans="1:36" ht="21.95" customHeight="1">
      <c r="A142" s="602">
        <v>5</v>
      </c>
      <c r="B142" s="319" t="s">
        <v>545</v>
      </c>
      <c r="C142" s="1344" t="s">
        <v>637</v>
      </c>
      <c r="D142" s="1344" t="s">
        <v>637</v>
      </c>
      <c r="E142" s="1215" t="s">
        <v>487</v>
      </c>
      <c r="F142" s="1215" t="s">
        <v>487</v>
      </c>
      <c r="G142" s="1215" t="s">
        <v>487</v>
      </c>
      <c r="H142" s="1215" t="s">
        <v>485</v>
      </c>
      <c r="I142" s="1215" t="s">
        <v>485</v>
      </c>
      <c r="J142" s="1215"/>
      <c r="K142" s="1215"/>
      <c r="L142" s="1215" t="s">
        <v>514</v>
      </c>
      <c r="M142" s="1215" t="s">
        <v>514</v>
      </c>
      <c r="N142" s="1215" t="s">
        <v>514</v>
      </c>
      <c r="O142" s="1215" t="s">
        <v>514</v>
      </c>
      <c r="P142" s="1215" t="s">
        <v>514</v>
      </c>
      <c r="Q142" s="1215"/>
      <c r="R142" s="1215"/>
      <c r="S142" s="1374" t="s">
        <v>535</v>
      </c>
      <c r="T142" s="1374" t="s">
        <v>535</v>
      </c>
      <c r="U142" s="1374" t="s">
        <v>535</v>
      </c>
      <c r="V142" s="1374" t="s">
        <v>535</v>
      </c>
      <c r="W142" s="1374" t="s">
        <v>535</v>
      </c>
      <c r="X142" s="1374"/>
      <c r="Y142" s="1374"/>
      <c r="Z142" s="1374" t="s">
        <v>535</v>
      </c>
      <c r="AA142" s="1374" t="s">
        <v>535</v>
      </c>
      <c r="AB142" s="1374" t="s">
        <v>535</v>
      </c>
      <c r="AC142" s="1374" t="s">
        <v>535</v>
      </c>
      <c r="AD142" s="1374" t="s">
        <v>535</v>
      </c>
      <c r="AE142" s="1374"/>
      <c r="AF142" s="1374"/>
      <c r="AG142" s="1215"/>
      <c r="AH142" s="1324">
        <v>185</v>
      </c>
      <c r="AI142" s="1325">
        <v>37</v>
      </c>
    </row>
    <row r="143" spans="1:36" ht="21.95" customHeight="1">
      <c r="A143" s="602">
        <v>6</v>
      </c>
      <c r="B143" s="153" t="s">
        <v>546</v>
      </c>
      <c r="C143" s="1215" t="s">
        <v>486</v>
      </c>
      <c r="D143" s="1215" t="s">
        <v>486</v>
      </c>
      <c r="E143" s="1215" t="s">
        <v>487</v>
      </c>
      <c r="F143" s="1215" t="s">
        <v>487</v>
      </c>
      <c r="G143" s="1215" t="s">
        <v>487</v>
      </c>
      <c r="H143" s="1215" t="s">
        <v>487</v>
      </c>
      <c r="I143" s="1215" t="s">
        <v>487</v>
      </c>
      <c r="J143" s="1215"/>
      <c r="K143" s="1215"/>
      <c r="L143" s="1208" t="s">
        <v>485</v>
      </c>
      <c r="M143" s="1208" t="s">
        <v>485</v>
      </c>
      <c r="N143" s="1208" t="s">
        <v>485</v>
      </c>
      <c r="O143" s="1208" t="s">
        <v>484</v>
      </c>
      <c r="P143" s="1208" t="s">
        <v>484</v>
      </c>
      <c r="Q143" s="1215"/>
      <c r="R143" s="1215"/>
      <c r="S143" s="1215">
        <v>9</v>
      </c>
      <c r="T143" s="1215">
        <v>9</v>
      </c>
      <c r="U143" s="1215">
        <v>9</v>
      </c>
      <c r="V143" s="1215">
        <v>9</v>
      </c>
      <c r="W143" s="1215">
        <v>9</v>
      </c>
      <c r="X143" s="1215" t="s">
        <v>543</v>
      </c>
      <c r="Y143" s="1215" t="s">
        <v>543</v>
      </c>
      <c r="Z143" s="1215" t="s">
        <v>487</v>
      </c>
      <c r="AA143" s="1215" t="s">
        <v>487</v>
      </c>
      <c r="AB143" s="1215" t="s">
        <v>487</v>
      </c>
      <c r="AC143" s="1215" t="s">
        <v>487</v>
      </c>
      <c r="AD143" s="1215" t="s">
        <v>487</v>
      </c>
      <c r="AE143" s="1215"/>
      <c r="AF143" s="1215"/>
      <c r="AG143" s="1215"/>
      <c r="AH143" s="1326">
        <v>185</v>
      </c>
      <c r="AI143" s="1327">
        <v>37</v>
      </c>
    </row>
    <row r="144" spans="1:36" ht="21.95" customHeight="1">
      <c r="A144" s="602">
        <v>7</v>
      </c>
      <c r="B144" s="319" t="s">
        <v>549</v>
      </c>
      <c r="C144" s="1215"/>
      <c r="D144" s="1215"/>
      <c r="E144" s="1338" t="s">
        <v>535</v>
      </c>
      <c r="F144" s="1338" t="s">
        <v>535</v>
      </c>
      <c r="G144" s="1338" t="s">
        <v>535</v>
      </c>
      <c r="H144" s="1338" t="s">
        <v>535</v>
      </c>
      <c r="I144" s="1338" t="s">
        <v>535</v>
      </c>
      <c r="J144" s="1338"/>
      <c r="K144" s="1338"/>
      <c r="L144" s="1338" t="s">
        <v>535</v>
      </c>
      <c r="M144" s="1338" t="s">
        <v>535</v>
      </c>
      <c r="N144" s="1338" t="s">
        <v>535</v>
      </c>
      <c r="O144" s="1338" t="s">
        <v>535</v>
      </c>
      <c r="P144" s="1338" t="s">
        <v>535</v>
      </c>
      <c r="Q144" s="1338"/>
      <c r="R144" s="1338"/>
      <c r="S144" s="1338" t="s">
        <v>535</v>
      </c>
      <c r="T144" s="1338" t="s">
        <v>535</v>
      </c>
      <c r="U144" s="1338" t="s">
        <v>535</v>
      </c>
      <c r="V144" s="1338" t="s">
        <v>535</v>
      </c>
      <c r="W144" s="1338" t="s">
        <v>535</v>
      </c>
      <c r="X144" s="1338"/>
      <c r="Y144" s="1338"/>
      <c r="Z144" s="1338" t="s">
        <v>535</v>
      </c>
      <c r="AA144" s="1338" t="s">
        <v>535</v>
      </c>
      <c r="AB144" s="1338" t="s">
        <v>535</v>
      </c>
      <c r="AC144" s="1338" t="s">
        <v>535</v>
      </c>
      <c r="AD144" s="1338" t="s">
        <v>535</v>
      </c>
      <c r="AE144" s="1338"/>
      <c r="AF144" s="1338"/>
      <c r="AG144" s="1215"/>
      <c r="AH144" s="1326">
        <v>148</v>
      </c>
      <c r="AI144" s="1327">
        <v>37</v>
      </c>
    </row>
    <row r="145" spans="1:35" ht="21.95" customHeight="1">
      <c r="A145" s="602">
        <v>8</v>
      </c>
      <c r="B145" s="902"/>
      <c r="C145" s="1215"/>
      <c r="D145" s="1215"/>
      <c r="E145" s="1215"/>
      <c r="F145" s="1215"/>
      <c r="G145" s="1215"/>
      <c r="H145" s="1215"/>
      <c r="I145" s="1215"/>
      <c r="J145" s="1215"/>
      <c r="K145" s="1215"/>
      <c r="L145" s="1215"/>
      <c r="M145" s="1215"/>
      <c r="N145" s="1215"/>
      <c r="O145" s="1215"/>
      <c r="P145" s="1215"/>
      <c r="Q145" s="1215"/>
      <c r="R145" s="1215"/>
      <c r="S145" s="1215"/>
      <c r="T145" s="1215"/>
      <c r="U145" s="1215"/>
      <c r="V145" s="1215"/>
      <c r="W145" s="1215"/>
      <c r="X145" s="1215"/>
      <c r="Y145" s="1215"/>
      <c r="Z145" s="1215"/>
      <c r="AA145" s="1215"/>
      <c r="AB145" s="1215"/>
      <c r="AC145" s="1215"/>
      <c r="AD145" s="1215"/>
      <c r="AE145" s="1215"/>
      <c r="AF145" s="1215"/>
      <c r="AG145" s="1215"/>
      <c r="AH145" s="1326">
        <v>185</v>
      </c>
      <c r="AI145" s="1327">
        <v>37</v>
      </c>
    </row>
    <row r="146" spans="1:35" ht="21.95" customHeight="1">
      <c r="A146" s="602">
        <v>9</v>
      </c>
      <c r="B146" s="153"/>
      <c r="C146" s="1215"/>
      <c r="D146" s="1215"/>
      <c r="E146" s="1215"/>
      <c r="F146" s="1215"/>
      <c r="G146" s="1215"/>
      <c r="H146" s="1215"/>
      <c r="I146" s="1215"/>
      <c r="J146" s="1215"/>
      <c r="K146" s="1215"/>
      <c r="L146" s="1215"/>
      <c r="M146" s="1215"/>
      <c r="N146" s="1215"/>
      <c r="O146" s="1215"/>
      <c r="P146" s="1215"/>
      <c r="Q146" s="1215"/>
      <c r="R146" s="1215"/>
      <c r="S146" s="1215"/>
      <c r="T146" s="1215"/>
      <c r="U146" s="1215"/>
      <c r="V146" s="1215"/>
      <c r="W146" s="1215"/>
      <c r="X146" s="1215"/>
      <c r="Y146" s="1215"/>
      <c r="Z146" s="1215"/>
      <c r="AA146" s="1215"/>
      <c r="AB146" s="1215"/>
      <c r="AC146" s="1215"/>
      <c r="AD146" s="1215"/>
      <c r="AE146" s="1215"/>
      <c r="AF146" s="1215"/>
      <c r="AG146" s="1215"/>
      <c r="AH146" s="1326">
        <v>185</v>
      </c>
      <c r="AI146" s="1327">
        <v>37</v>
      </c>
    </row>
    <row r="147" spans="1:35" ht="21.95" customHeight="1">
      <c r="A147" s="602">
        <v>10</v>
      </c>
      <c r="B147" s="153"/>
      <c r="C147" s="1213"/>
      <c r="D147" s="1213"/>
      <c r="E147" s="1213"/>
      <c r="F147" s="1213"/>
      <c r="G147" s="1213"/>
      <c r="H147" s="1213"/>
      <c r="I147" s="1213"/>
      <c r="J147" s="1213"/>
      <c r="K147" s="1213"/>
      <c r="L147" s="1213"/>
      <c r="M147" s="1213"/>
      <c r="N147" s="1213"/>
      <c r="O147" s="1213"/>
      <c r="P147" s="1213"/>
      <c r="Q147" s="1213"/>
      <c r="R147" s="1213"/>
      <c r="S147" s="1213"/>
      <c r="T147" s="1213"/>
      <c r="U147" s="1213"/>
      <c r="V147" s="1213"/>
      <c r="W147" s="1215"/>
      <c r="X147" s="1213"/>
      <c r="Y147" s="1213"/>
      <c r="Z147" s="1213"/>
      <c r="AA147" s="1213"/>
      <c r="AB147" s="1213"/>
      <c r="AC147" s="1213"/>
      <c r="AD147" s="1213"/>
      <c r="AE147" s="1213"/>
      <c r="AF147" s="1213"/>
      <c r="AG147" s="1230"/>
      <c r="AH147" s="1326">
        <v>185</v>
      </c>
      <c r="AI147" s="1327">
        <v>37</v>
      </c>
    </row>
    <row r="148" spans="1:35" ht="21.95" customHeight="1">
      <c r="A148" s="602">
        <v>11</v>
      </c>
      <c r="B148" s="153"/>
      <c r="C148" s="1213"/>
      <c r="D148" s="1213"/>
      <c r="E148" s="1213"/>
      <c r="F148" s="1213"/>
      <c r="G148" s="1213"/>
      <c r="H148" s="1213"/>
      <c r="I148" s="1213"/>
      <c r="J148" s="1213"/>
      <c r="K148" s="1213"/>
      <c r="L148" s="1213"/>
      <c r="M148" s="1213"/>
      <c r="N148" s="1213"/>
      <c r="O148" s="1213"/>
      <c r="P148" s="1213"/>
      <c r="Q148" s="1213"/>
      <c r="R148" s="1213"/>
      <c r="S148" s="1213"/>
      <c r="T148" s="1213"/>
      <c r="U148" s="1213"/>
      <c r="V148" s="1213"/>
      <c r="W148" s="1215"/>
      <c r="X148" s="1213"/>
      <c r="Y148" s="1213"/>
      <c r="Z148" s="1213"/>
      <c r="AA148" s="1213"/>
      <c r="AB148" s="1213"/>
      <c r="AC148" s="1213"/>
      <c r="AD148" s="1213"/>
      <c r="AE148" s="1213"/>
      <c r="AF148" s="1213"/>
      <c r="AG148" s="1230"/>
      <c r="AH148" s="1326">
        <v>185</v>
      </c>
      <c r="AI148" s="1327">
        <v>37</v>
      </c>
    </row>
    <row r="149" spans="1:35" ht="21.95" customHeight="1" thickBot="1">
      <c r="A149" s="602">
        <v>12</v>
      </c>
      <c r="B149" s="153"/>
      <c r="C149" s="1213"/>
      <c r="D149" s="1213"/>
      <c r="E149" s="1213"/>
      <c r="F149" s="1213"/>
      <c r="G149" s="1213"/>
      <c r="H149" s="1213"/>
      <c r="I149" s="1213"/>
      <c r="J149" s="1213"/>
      <c r="K149" s="1213"/>
      <c r="L149" s="1213"/>
      <c r="M149" s="1213"/>
      <c r="N149" s="1213"/>
      <c r="O149" s="1213"/>
      <c r="P149" s="1213"/>
      <c r="Q149" s="1213"/>
      <c r="R149" s="1213"/>
      <c r="S149" s="1213"/>
      <c r="T149" s="1213"/>
      <c r="U149" s="1213"/>
      <c r="V149" s="1213"/>
      <c r="W149" s="1215"/>
      <c r="X149" s="1213"/>
      <c r="Y149" s="1213"/>
      <c r="Z149" s="1213"/>
      <c r="AA149" s="1213"/>
      <c r="AB149" s="1213"/>
      <c r="AC149" s="1213"/>
      <c r="AD149" s="1213"/>
      <c r="AE149" s="1213"/>
      <c r="AF149" s="1213"/>
      <c r="AG149" s="1230"/>
      <c r="AH149" s="1328">
        <v>185</v>
      </c>
      <c r="AI149" s="1329">
        <v>37</v>
      </c>
    </row>
    <row r="150" spans="1:35" ht="21" customHeight="1">
      <c r="A150" s="312" t="s">
        <v>551</v>
      </c>
    </row>
    <row r="151" spans="1:35" ht="21" customHeight="1">
      <c r="A151" s="556"/>
      <c r="B151" s="297" t="s">
        <v>480</v>
      </c>
      <c r="C151" s="1235">
        <v>1</v>
      </c>
      <c r="D151" s="1235">
        <v>2</v>
      </c>
      <c r="E151" s="1234">
        <v>3</v>
      </c>
      <c r="F151" s="1234">
        <v>4</v>
      </c>
      <c r="G151" s="1348">
        <v>5</v>
      </c>
      <c r="H151" s="1234">
        <v>6</v>
      </c>
      <c r="I151" s="1213">
        <v>7</v>
      </c>
      <c r="J151" s="1330">
        <v>8</v>
      </c>
      <c r="K151" s="1235">
        <v>9</v>
      </c>
      <c r="L151" s="1234">
        <v>10</v>
      </c>
      <c r="M151" s="1234">
        <v>11</v>
      </c>
      <c r="N151" s="1234">
        <v>12</v>
      </c>
      <c r="O151" s="1234">
        <v>13</v>
      </c>
      <c r="P151" s="1213">
        <v>14</v>
      </c>
      <c r="Q151" s="1330">
        <v>15</v>
      </c>
      <c r="R151" s="1235">
        <v>16</v>
      </c>
      <c r="S151" s="1234">
        <v>17</v>
      </c>
      <c r="T151" s="1234">
        <v>18</v>
      </c>
      <c r="U151" s="1234">
        <v>19</v>
      </c>
      <c r="V151" s="1213">
        <v>20</v>
      </c>
      <c r="W151" s="1213">
        <v>21</v>
      </c>
      <c r="X151" s="1330">
        <v>22</v>
      </c>
      <c r="Y151" s="1235">
        <v>23</v>
      </c>
      <c r="Z151" s="1234">
        <v>24</v>
      </c>
      <c r="AA151" s="1234">
        <v>25</v>
      </c>
      <c r="AB151" s="1234">
        <v>26</v>
      </c>
      <c r="AC151" s="1234">
        <v>27</v>
      </c>
      <c r="AD151" s="1213">
        <v>28</v>
      </c>
      <c r="AE151" s="1330">
        <v>29</v>
      </c>
      <c r="AF151" s="1235">
        <v>30</v>
      </c>
      <c r="AG151" s="1234"/>
      <c r="AH151" s="606"/>
    </row>
    <row r="152" spans="1:35" ht="21" customHeight="1">
      <c r="A152" s="556">
        <v>1</v>
      </c>
      <c r="B152" s="319" t="s">
        <v>552</v>
      </c>
      <c r="C152" s="1213"/>
      <c r="D152" s="1213"/>
      <c r="E152" s="1454">
        <v>8</v>
      </c>
      <c r="F152" s="1454">
        <v>8</v>
      </c>
      <c r="G152" s="1213"/>
      <c r="H152" s="1454">
        <v>8</v>
      </c>
      <c r="I152" s="1454">
        <v>8</v>
      </c>
      <c r="J152" s="1213"/>
      <c r="K152" s="1213"/>
      <c r="L152" s="1454">
        <v>9</v>
      </c>
      <c r="M152" s="1454">
        <v>9</v>
      </c>
      <c r="N152" s="1454">
        <v>9</v>
      </c>
      <c r="O152" s="1454">
        <v>9</v>
      </c>
      <c r="P152" s="1454">
        <v>9</v>
      </c>
      <c r="Q152" s="1213" t="s">
        <v>657</v>
      </c>
      <c r="R152" s="1213"/>
      <c r="S152" s="1213" t="s">
        <v>487</v>
      </c>
      <c r="T152" s="1213">
        <v>1</v>
      </c>
      <c r="U152" s="1455" t="s">
        <v>484</v>
      </c>
      <c r="V152" s="1455" t="s">
        <v>484</v>
      </c>
      <c r="W152" s="1455" t="s">
        <v>484</v>
      </c>
      <c r="X152" s="1213" t="s">
        <v>532</v>
      </c>
      <c r="Y152" s="1213" t="s">
        <v>533</v>
      </c>
      <c r="Z152" s="1213" t="s">
        <v>487</v>
      </c>
      <c r="AA152" s="1213" t="s">
        <v>487</v>
      </c>
      <c r="AB152" s="1213" t="s">
        <v>487</v>
      </c>
      <c r="AC152" s="1213" t="s">
        <v>487</v>
      </c>
      <c r="AD152" s="1213" t="s">
        <v>487</v>
      </c>
      <c r="AE152" s="1213"/>
      <c r="AF152" s="1213"/>
      <c r="AG152" s="1213"/>
      <c r="AH152" s="606"/>
    </row>
    <row r="153" spans="1:35" ht="21" customHeight="1">
      <c r="A153" s="556">
        <v>2</v>
      </c>
      <c r="B153" s="545" t="s">
        <v>553</v>
      </c>
      <c r="C153" s="172"/>
      <c r="D153" s="172"/>
      <c r="E153" s="172">
        <v>11</v>
      </c>
      <c r="F153" s="172">
        <v>11</v>
      </c>
      <c r="G153" s="172">
        <v>11</v>
      </c>
      <c r="H153" s="172">
        <v>11</v>
      </c>
      <c r="I153" s="172">
        <v>11</v>
      </c>
      <c r="J153" s="172" t="s">
        <v>657</v>
      </c>
      <c r="K153" s="172" t="s">
        <v>657</v>
      </c>
      <c r="L153" s="172" t="s">
        <v>487</v>
      </c>
      <c r="M153" s="172" t="s">
        <v>487</v>
      </c>
      <c r="N153" s="172" t="s">
        <v>487</v>
      </c>
      <c r="O153" s="172" t="s">
        <v>487</v>
      </c>
      <c r="P153" s="172" t="s">
        <v>487</v>
      </c>
      <c r="Q153" s="172"/>
      <c r="R153" s="172"/>
      <c r="S153" s="172" t="s">
        <v>484</v>
      </c>
      <c r="T153" s="172" t="s">
        <v>484</v>
      </c>
      <c r="U153" s="172" t="s">
        <v>484</v>
      </c>
      <c r="V153" s="172" t="s">
        <v>485</v>
      </c>
      <c r="W153" s="172" t="s">
        <v>485</v>
      </c>
      <c r="X153" s="172" t="s">
        <v>486</v>
      </c>
      <c r="Y153" s="172" t="s">
        <v>486</v>
      </c>
      <c r="Z153" s="172" t="s">
        <v>487</v>
      </c>
      <c r="AA153" s="172" t="s">
        <v>487</v>
      </c>
      <c r="AB153" s="172" t="s">
        <v>487</v>
      </c>
      <c r="AC153" s="172" t="s">
        <v>487</v>
      </c>
      <c r="AD153" s="172" t="s">
        <v>487</v>
      </c>
      <c r="AE153" s="172" t="s">
        <v>660</v>
      </c>
      <c r="AF153" s="172"/>
      <c r="AG153" s="172"/>
      <c r="AH153" s="606"/>
    </row>
    <row r="154" spans="1:35" ht="21" customHeight="1">
      <c r="A154" s="556">
        <v>3</v>
      </c>
      <c r="B154" s="545" t="s">
        <v>554</v>
      </c>
      <c r="C154" s="172"/>
      <c r="D154" s="172"/>
      <c r="E154" s="1454" t="s">
        <v>537</v>
      </c>
      <c r="F154" s="1454" t="s">
        <v>537</v>
      </c>
      <c r="G154" s="172"/>
      <c r="H154" s="172" t="s">
        <v>487</v>
      </c>
      <c r="I154" s="172">
        <v>8</v>
      </c>
      <c r="J154" s="172" t="s">
        <v>533</v>
      </c>
      <c r="K154" s="172" t="s">
        <v>533</v>
      </c>
      <c r="L154" s="172" t="s">
        <v>487</v>
      </c>
      <c r="M154" s="172" t="s">
        <v>550</v>
      </c>
      <c r="N154" s="607">
        <v>7</v>
      </c>
      <c r="O154" s="172">
        <v>7</v>
      </c>
      <c r="P154" s="172">
        <v>7</v>
      </c>
      <c r="Q154" s="172"/>
      <c r="R154" s="172"/>
      <c r="S154" s="172">
        <v>10</v>
      </c>
      <c r="T154" s="172">
        <v>10</v>
      </c>
      <c r="U154" s="172">
        <v>10</v>
      </c>
      <c r="V154" s="172">
        <v>10</v>
      </c>
      <c r="W154" s="172">
        <v>10</v>
      </c>
      <c r="X154" s="172" t="s">
        <v>555</v>
      </c>
      <c r="Y154" s="172" t="s">
        <v>555</v>
      </c>
      <c r="Z154" s="172" t="s">
        <v>487</v>
      </c>
      <c r="AA154" s="172" t="s">
        <v>487</v>
      </c>
      <c r="AB154" s="172" t="s">
        <v>487</v>
      </c>
      <c r="AC154" s="172" t="s">
        <v>487</v>
      </c>
      <c r="AD154" s="172" t="s">
        <v>487</v>
      </c>
      <c r="AE154" s="172"/>
      <c r="AF154" s="172"/>
      <c r="AG154" s="172"/>
      <c r="AH154" s="606"/>
    </row>
    <row r="155" spans="1:35" ht="21" customHeight="1">
      <c r="A155" s="556">
        <v>4</v>
      </c>
      <c r="B155" s="545" t="s">
        <v>733</v>
      </c>
      <c r="C155" s="172"/>
      <c r="D155" s="172"/>
      <c r="E155" s="172" t="s">
        <v>514</v>
      </c>
      <c r="F155" s="172" t="s">
        <v>514</v>
      </c>
      <c r="G155" s="172"/>
      <c r="H155" s="172" t="s">
        <v>514</v>
      </c>
      <c r="I155" s="172" t="s">
        <v>514</v>
      </c>
      <c r="J155" s="172"/>
      <c r="K155" s="172"/>
      <c r="L155" s="172" t="s">
        <v>514</v>
      </c>
      <c r="M155" s="172" t="s">
        <v>514</v>
      </c>
      <c r="N155" s="172" t="s">
        <v>514</v>
      </c>
      <c r="O155" s="172" t="s">
        <v>514</v>
      </c>
      <c r="P155" s="172" t="s">
        <v>514</v>
      </c>
      <c r="Q155" s="172"/>
      <c r="R155" s="172"/>
      <c r="S155" s="172" t="s">
        <v>514</v>
      </c>
      <c r="T155" s="172" t="s">
        <v>514</v>
      </c>
      <c r="U155" s="172" t="s">
        <v>514</v>
      </c>
      <c r="V155" s="172" t="s">
        <v>514</v>
      </c>
      <c r="W155" s="172" t="s">
        <v>514</v>
      </c>
      <c r="X155" s="172"/>
      <c r="Y155" s="172"/>
      <c r="Z155" s="1508" t="s">
        <v>570</v>
      </c>
      <c r="AA155" s="172" t="s">
        <v>514</v>
      </c>
      <c r="AB155" s="172" t="s">
        <v>514</v>
      </c>
      <c r="AC155" s="172" t="s">
        <v>514</v>
      </c>
      <c r="AD155" s="172" t="s">
        <v>514</v>
      </c>
      <c r="AE155" s="172"/>
      <c r="AF155" s="172"/>
      <c r="AG155" s="172"/>
      <c r="AH155" s="606"/>
    </row>
    <row r="156" spans="1:35" ht="21" customHeight="1">
      <c r="A156" s="556">
        <v>5</v>
      </c>
      <c r="B156" s="545" t="s">
        <v>734</v>
      </c>
      <c r="C156" s="172"/>
      <c r="D156" s="172"/>
      <c r="E156" s="1454" t="s">
        <v>514</v>
      </c>
      <c r="F156" s="1454" t="s">
        <v>514</v>
      </c>
      <c r="G156" s="172"/>
      <c r="H156" s="1454" t="s">
        <v>514</v>
      </c>
      <c r="I156" s="1454" t="s">
        <v>514</v>
      </c>
      <c r="J156" s="172"/>
      <c r="K156" s="172"/>
      <c r="L156" s="1213">
        <v>1</v>
      </c>
      <c r="M156" s="1213">
        <v>1</v>
      </c>
      <c r="N156" s="1213">
        <v>1</v>
      </c>
      <c r="O156" s="1213">
        <v>1</v>
      </c>
      <c r="P156" s="1213">
        <v>1</v>
      </c>
      <c r="Q156" s="172"/>
      <c r="R156" s="172"/>
      <c r="S156" s="1454">
        <v>9</v>
      </c>
      <c r="T156" s="1508">
        <v>9</v>
      </c>
      <c r="U156" s="1508">
        <v>9</v>
      </c>
      <c r="V156" s="1508">
        <v>9</v>
      </c>
      <c r="W156" s="1508" t="s">
        <v>735</v>
      </c>
      <c r="X156" s="172"/>
      <c r="Y156" s="172"/>
      <c r="Z156" s="1454" t="s">
        <v>484</v>
      </c>
      <c r="AA156" s="1454" t="s">
        <v>484</v>
      </c>
      <c r="AB156" s="1454" t="s">
        <v>485</v>
      </c>
      <c r="AC156" s="1454" t="s">
        <v>485</v>
      </c>
      <c r="AD156" s="1454" t="s">
        <v>537</v>
      </c>
      <c r="AE156" s="172"/>
      <c r="AF156" s="172"/>
      <c r="AG156" s="172"/>
      <c r="AH156" s="606"/>
    </row>
    <row r="157" spans="1:35" ht="21" customHeight="1">
      <c r="A157" s="1232"/>
      <c r="B157" s="354"/>
      <c r="C157" s="139"/>
      <c r="D157" s="139"/>
      <c r="E157" s="139"/>
      <c r="F157" s="139"/>
      <c r="G157" s="139"/>
      <c r="H157" s="139"/>
      <c r="I157" s="139"/>
      <c r="J157" s="139"/>
      <c r="K157" s="139"/>
      <c r="L157" s="139"/>
      <c r="M157" s="139"/>
      <c r="N157" s="1233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  <c r="AB157" s="139"/>
      <c r="AC157" s="139"/>
      <c r="AD157" s="139"/>
      <c r="AE157" s="139"/>
      <c r="AF157" s="139"/>
      <c r="AG157" s="139"/>
      <c r="AH157" s="606"/>
    </row>
    <row r="158" spans="1:35" ht="21.95" customHeight="1" thickBot="1">
      <c r="A158" s="1" t="s">
        <v>560</v>
      </c>
      <c r="B158" s="274"/>
      <c r="C158" s="139"/>
      <c r="D158" s="139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  <c r="AB158" s="139"/>
      <c r="AC158" s="139"/>
      <c r="AD158" s="139"/>
      <c r="AE158" s="139"/>
      <c r="AF158" s="139"/>
      <c r="AG158" s="139"/>
    </row>
    <row r="159" spans="1:35" ht="21.95" customHeight="1">
      <c r="A159" s="1"/>
      <c r="B159" s="1290" t="s">
        <v>516</v>
      </c>
      <c r="C159" s="51" t="s">
        <v>2</v>
      </c>
      <c r="D159" s="51"/>
      <c r="E159" s="51"/>
      <c r="F159" s="51"/>
      <c r="G159" s="1292" t="s">
        <v>3</v>
      </c>
      <c r="H159" s="51"/>
      <c r="I159" s="51"/>
      <c r="J159" s="51"/>
      <c r="K159" s="1292" t="s">
        <v>4</v>
      </c>
      <c r="L159" s="51"/>
      <c r="M159" s="51"/>
      <c r="N159" s="51"/>
      <c r="O159" s="1292" t="s">
        <v>5</v>
      </c>
      <c r="P159" s="51"/>
      <c r="Q159" s="51"/>
      <c r="R159" s="51"/>
      <c r="S159" s="1292" t="s">
        <v>6</v>
      </c>
      <c r="T159" s="51"/>
      <c r="U159" s="51"/>
      <c r="V159" s="51"/>
      <c r="W159" s="51"/>
      <c r="X159" s="1296" t="s">
        <v>7</v>
      </c>
      <c r="Y159" s="51"/>
      <c r="Z159" s="551"/>
      <c r="AA159" s="7"/>
      <c r="AB159" s="525" t="s">
        <v>8</v>
      </c>
      <c r="AC159" s="51"/>
      <c r="AD159" s="51"/>
      <c r="AE159" s="425" t="s">
        <v>10</v>
      </c>
      <c r="AF159" s="51"/>
      <c r="AG159" s="51"/>
      <c r="AH159" s="51"/>
      <c r="AI159" s="526"/>
    </row>
    <row r="160" spans="1:35" ht="21.95" customHeight="1">
      <c r="A160" s="1"/>
      <c r="B160" s="1290">
        <v>3701</v>
      </c>
      <c r="C160" s="55" t="s">
        <v>561</v>
      </c>
      <c r="D160" s="55"/>
      <c r="E160" s="55"/>
      <c r="F160" s="55"/>
      <c r="G160" s="1293" t="s">
        <v>124</v>
      </c>
      <c r="H160" s="55"/>
      <c r="I160" s="55"/>
      <c r="J160" s="55"/>
      <c r="K160" s="1293" t="s">
        <v>124</v>
      </c>
      <c r="L160" s="55"/>
      <c r="M160" s="55"/>
      <c r="N160" s="55"/>
      <c r="O160" s="1293" t="s">
        <v>124</v>
      </c>
      <c r="P160" s="55"/>
      <c r="Q160" s="55"/>
      <c r="R160" s="55"/>
      <c r="S160" s="1293" t="s">
        <v>125</v>
      </c>
      <c r="T160" s="55"/>
      <c r="U160" s="55"/>
      <c r="V160" s="55"/>
      <c r="W160" s="55"/>
      <c r="X160" s="1297"/>
      <c r="Y160" s="55"/>
      <c r="Z160" s="608"/>
      <c r="AA160" s="14"/>
      <c r="AB160" s="609"/>
      <c r="AC160" s="55"/>
      <c r="AD160" s="55"/>
      <c r="AE160" s="610"/>
      <c r="AF160" s="55"/>
      <c r="AG160" s="55"/>
      <c r="AH160" s="55"/>
      <c r="AI160" s="611"/>
    </row>
    <row r="161" spans="1:35" ht="21.95" customHeight="1">
      <c r="B161" s="1290">
        <v>3700</v>
      </c>
      <c r="C161" s="157" t="s">
        <v>512</v>
      </c>
      <c r="D161" s="157"/>
      <c r="E161" s="157"/>
      <c r="F161" s="157"/>
      <c r="G161" s="897" t="s">
        <v>512</v>
      </c>
      <c r="H161" s="157"/>
      <c r="I161" s="157"/>
      <c r="J161" s="157"/>
      <c r="K161" s="897" t="s">
        <v>512</v>
      </c>
      <c r="L161" s="157"/>
      <c r="M161" s="157"/>
      <c r="N161" s="157"/>
      <c r="O161" s="897" t="s">
        <v>512</v>
      </c>
      <c r="P161" s="157"/>
      <c r="Q161" s="157"/>
      <c r="R161" s="157"/>
      <c r="S161" s="897" t="s">
        <v>116</v>
      </c>
      <c r="T161" s="157"/>
      <c r="U161" s="157"/>
      <c r="V161" s="157"/>
      <c r="W161" s="157"/>
      <c r="X161" s="897"/>
      <c r="Y161" s="157"/>
      <c r="Z161" s="568"/>
      <c r="AA161" s="567"/>
      <c r="AB161" s="157"/>
      <c r="AC161" s="157"/>
      <c r="AD161" s="569"/>
      <c r="AE161" s="613"/>
      <c r="AF161" s="157"/>
      <c r="AG161" s="157" t="s">
        <v>28</v>
      </c>
      <c r="AH161" s="569"/>
      <c r="AI161" s="490"/>
    </row>
    <row r="162" spans="1:35" ht="21.95" customHeight="1">
      <c r="A162" s="1"/>
      <c r="B162" s="1290">
        <v>8514</v>
      </c>
      <c r="C162" s="157" t="s">
        <v>124</v>
      </c>
      <c r="D162" s="157"/>
      <c r="E162" s="157"/>
      <c r="F162" s="157"/>
      <c r="G162" s="897" t="s">
        <v>124</v>
      </c>
      <c r="H162" s="157"/>
      <c r="I162" s="157"/>
      <c r="J162" s="157"/>
      <c r="K162" s="897" t="s">
        <v>124</v>
      </c>
      <c r="L162" s="157"/>
      <c r="M162" s="157"/>
      <c r="N162" s="157"/>
      <c r="O162" s="897" t="s">
        <v>124</v>
      </c>
      <c r="P162" s="157"/>
      <c r="Q162" s="157"/>
      <c r="R162" s="157"/>
      <c r="S162" s="897" t="s">
        <v>562</v>
      </c>
      <c r="T162" s="157"/>
      <c r="U162" s="157"/>
      <c r="V162" s="157"/>
      <c r="W162" s="157"/>
      <c r="X162" s="897"/>
      <c r="Y162" s="157"/>
      <c r="Z162" s="568"/>
      <c r="AA162" s="121"/>
      <c r="AB162" s="157"/>
      <c r="AC162" s="157"/>
      <c r="AD162" s="569"/>
      <c r="AE162" s="121"/>
      <c r="AF162" s="157"/>
      <c r="AG162" s="157"/>
      <c r="AH162" s="569"/>
      <c r="AI162" s="490"/>
    </row>
    <row r="163" spans="1:35" ht="21.95" customHeight="1">
      <c r="A163" s="1"/>
      <c r="B163" s="1290">
        <v>8500</v>
      </c>
      <c r="C163" s="55" t="s">
        <v>11</v>
      </c>
      <c r="D163" s="55"/>
      <c r="E163" s="55"/>
      <c r="F163" s="55"/>
      <c r="G163" s="1293" t="s">
        <v>11</v>
      </c>
      <c r="H163" s="55"/>
      <c r="I163" s="55"/>
      <c r="J163" s="55"/>
      <c r="K163" s="1293" t="s">
        <v>11</v>
      </c>
      <c r="L163" s="55"/>
      <c r="M163" s="55"/>
      <c r="N163" s="55"/>
      <c r="O163" s="1293" t="s">
        <v>11</v>
      </c>
      <c r="P163" s="55"/>
      <c r="Q163" s="55"/>
      <c r="R163" s="55"/>
      <c r="S163" s="1293" t="s">
        <v>12</v>
      </c>
      <c r="T163" s="55"/>
      <c r="U163" s="55"/>
      <c r="V163" s="55"/>
      <c r="W163" s="55"/>
      <c r="X163" s="1293"/>
      <c r="Y163" s="55"/>
      <c r="Z163" s="615"/>
      <c r="AA163" s="614"/>
      <c r="AB163" s="55"/>
      <c r="AC163" s="55"/>
      <c r="AD163" s="615"/>
      <c r="AE163" s="614"/>
      <c r="AF163" s="55"/>
      <c r="AG163" s="55"/>
      <c r="AH163" s="598"/>
      <c r="AI163" s="611"/>
    </row>
    <row r="164" spans="1:35" ht="21.95" customHeight="1">
      <c r="A164" s="1"/>
      <c r="B164" s="1290">
        <v>8514</v>
      </c>
      <c r="C164" s="616" t="s">
        <v>124</v>
      </c>
      <c r="D164" s="616"/>
      <c r="E164" s="616"/>
      <c r="F164" s="616"/>
      <c r="G164" s="1294" t="s">
        <v>124</v>
      </c>
      <c r="H164" s="616"/>
      <c r="I164" s="616"/>
      <c r="J164" s="616"/>
      <c r="K164" s="1294" t="s">
        <v>124</v>
      </c>
      <c r="L164" s="616"/>
      <c r="M164" s="616"/>
      <c r="N164" s="616"/>
      <c r="O164" s="1294" t="s">
        <v>124</v>
      </c>
      <c r="P164" s="616"/>
      <c r="Q164" s="616"/>
      <c r="R164" s="616"/>
      <c r="S164" s="1294" t="s">
        <v>562</v>
      </c>
      <c r="T164" s="616"/>
      <c r="U164" s="616"/>
      <c r="V164" s="616"/>
      <c r="W164" s="616"/>
      <c r="X164" s="1297"/>
      <c r="Y164" s="55"/>
      <c r="Z164" s="608"/>
      <c r="AA164" s="14"/>
      <c r="AB164" s="609"/>
      <c r="AC164" s="55"/>
      <c r="AD164" s="55"/>
      <c r="AE164" s="610"/>
      <c r="AF164" s="55"/>
      <c r="AG164" s="55"/>
      <c r="AH164" s="55"/>
      <c r="AI164" s="611"/>
    </row>
    <row r="165" spans="1:35" ht="21.95" customHeight="1" thickBot="1">
      <c r="A165" s="1"/>
      <c r="B165" s="1291" t="s">
        <v>563</v>
      </c>
      <c r="C165" s="53" t="s">
        <v>564</v>
      </c>
      <c r="D165" s="53"/>
      <c r="E165" s="53"/>
      <c r="F165" s="53"/>
      <c r="G165" s="1295" t="s">
        <v>564</v>
      </c>
      <c r="H165" s="53"/>
      <c r="I165" s="53"/>
      <c r="J165" s="53"/>
      <c r="K165" s="53" t="s">
        <v>564</v>
      </c>
      <c r="L165" s="53"/>
      <c r="M165" s="53"/>
      <c r="N165" s="53"/>
      <c r="O165" s="1295" t="s">
        <v>564</v>
      </c>
      <c r="P165" s="53"/>
      <c r="Q165" s="53"/>
      <c r="R165" s="53"/>
      <c r="S165" s="1295" t="s">
        <v>565</v>
      </c>
      <c r="T165" s="53"/>
      <c r="U165" s="53"/>
      <c r="V165" s="53"/>
      <c r="W165" s="53"/>
      <c r="X165" s="1295"/>
      <c r="Y165" s="53"/>
      <c r="Z165" s="575"/>
      <c r="AA165" s="574"/>
      <c r="AB165" s="53"/>
      <c r="AC165" s="53"/>
      <c r="AD165" s="577"/>
      <c r="AE165" s="618"/>
      <c r="AF165" s="53"/>
      <c r="AG165" s="53" t="s">
        <v>28</v>
      </c>
      <c r="AH165" s="577"/>
      <c r="AI165" s="539"/>
    </row>
    <row r="166" spans="1:35" ht="21.95" customHeight="1">
      <c r="A166" s="1"/>
      <c r="B166" s="72"/>
      <c r="C166" s="312"/>
      <c r="F166" s="354"/>
      <c r="G166" s="312"/>
      <c r="J166" s="354"/>
      <c r="K166" s="312"/>
      <c r="N166" s="354"/>
      <c r="O166" s="312"/>
      <c r="R166" s="354"/>
      <c r="S166" s="312"/>
      <c r="V166" s="354"/>
      <c r="W166" s="354"/>
      <c r="Z166" s="354"/>
      <c r="AA166" s="354"/>
      <c r="AD166" s="354"/>
      <c r="AE166" s="354"/>
      <c r="AH166" s="354"/>
    </row>
    <row r="167" spans="1:35" ht="21.95" customHeight="1" thickBot="1">
      <c r="A167" s="1" t="s">
        <v>509</v>
      </c>
      <c r="B167" s="72"/>
      <c r="C167" s="312"/>
      <c r="F167" s="354"/>
      <c r="G167" s="312"/>
      <c r="J167" s="354"/>
      <c r="K167" s="312"/>
      <c r="N167" s="354"/>
      <c r="O167" s="312"/>
      <c r="R167" s="354"/>
      <c r="S167" s="312"/>
      <c r="V167" s="354"/>
      <c r="W167" s="354"/>
      <c r="Z167" s="354"/>
      <c r="AA167" s="354"/>
      <c r="AD167" s="354"/>
      <c r="AE167" s="354"/>
      <c r="AH167" s="354"/>
    </row>
    <row r="168" spans="1:35" ht="21.95" customHeight="1">
      <c r="A168" s="556"/>
      <c r="B168" s="297" t="s">
        <v>480</v>
      </c>
      <c r="C168" s="1235">
        <v>1</v>
      </c>
      <c r="D168" s="1235">
        <v>2</v>
      </c>
      <c r="E168" s="1234">
        <v>3</v>
      </c>
      <c r="F168" s="1234">
        <v>4</v>
      </c>
      <c r="G168" s="1348">
        <v>5</v>
      </c>
      <c r="H168" s="1234">
        <v>6</v>
      </c>
      <c r="I168" s="1213">
        <v>7</v>
      </c>
      <c r="J168" s="1330">
        <v>8</v>
      </c>
      <c r="K168" s="1235">
        <v>9</v>
      </c>
      <c r="L168" s="1234">
        <v>10</v>
      </c>
      <c r="M168" s="1234">
        <v>11</v>
      </c>
      <c r="N168" s="1234">
        <v>12</v>
      </c>
      <c r="O168" s="1234">
        <v>13</v>
      </c>
      <c r="P168" s="1213">
        <v>14</v>
      </c>
      <c r="Q168" s="1330">
        <v>15</v>
      </c>
      <c r="R168" s="1235">
        <v>16</v>
      </c>
      <c r="S168" s="1234">
        <v>17</v>
      </c>
      <c r="T168" s="1234">
        <v>18</v>
      </c>
      <c r="U168" s="1234">
        <v>19</v>
      </c>
      <c r="V168" s="1213">
        <v>20</v>
      </c>
      <c r="W168" s="1213">
        <v>21</v>
      </c>
      <c r="X168" s="1330">
        <v>22</v>
      </c>
      <c r="Y168" s="1235">
        <v>23</v>
      </c>
      <c r="Z168" s="1234">
        <v>24</v>
      </c>
      <c r="AA168" s="1234">
        <v>25</v>
      </c>
      <c r="AB168" s="1234">
        <v>26</v>
      </c>
      <c r="AC168" s="1234">
        <v>27</v>
      </c>
      <c r="AD168" s="1213">
        <v>28</v>
      </c>
      <c r="AE168" s="1330">
        <v>29</v>
      </c>
      <c r="AF168" s="1235">
        <v>30</v>
      </c>
      <c r="AG168" s="1234"/>
      <c r="AH168" s="498" t="s">
        <v>481</v>
      </c>
      <c r="AI168" s="499" t="s">
        <v>482</v>
      </c>
    </row>
    <row r="169" spans="1:35" ht="21.95" customHeight="1">
      <c r="A169" s="556"/>
      <c r="B169" s="1236" t="s">
        <v>566</v>
      </c>
      <c r="C169" s="1215"/>
      <c r="D169" s="1215"/>
      <c r="E169" s="1338" t="s">
        <v>535</v>
      </c>
      <c r="F169" s="1338" t="s">
        <v>535</v>
      </c>
      <c r="G169" s="1215" t="s">
        <v>535</v>
      </c>
      <c r="H169" s="1338" t="s">
        <v>535</v>
      </c>
      <c r="I169" s="1338" t="s">
        <v>535</v>
      </c>
      <c r="J169" s="1215"/>
      <c r="K169" s="1215"/>
      <c r="L169" s="1370" t="s">
        <v>535</v>
      </c>
      <c r="M169" s="1370" t="s">
        <v>535</v>
      </c>
      <c r="N169" s="1370" t="s">
        <v>535</v>
      </c>
      <c r="O169" s="1370" t="s">
        <v>535</v>
      </c>
      <c r="P169" s="1370" t="s">
        <v>535</v>
      </c>
      <c r="Q169" s="1215"/>
      <c r="R169" s="1215"/>
      <c r="S169" s="1338" t="s">
        <v>535</v>
      </c>
      <c r="T169" s="1338" t="s">
        <v>535</v>
      </c>
      <c r="U169" s="1338" t="s">
        <v>535</v>
      </c>
      <c r="V169" s="1338" t="s">
        <v>535</v>
      </c>
      <c r="W169" s="1338" t="s">
        <v>535</v>
      </c>
      <c r="X169" s="1215"/>
      <c r="Y169" s="1215"/>
      <c r="Z169" s="1338" t="s">
        <v>535</v>
      </c>
      <c r="AA169" s="1338" t="s">
        <v>535</v>
      </c>
      <c r="AB169" s="1338" t="s">
        <v>535</v>
      </c>
      <c r="AC169" s="1338" t="s">
        <v>535</v>
      </c>
      <c r="AD169" s="1338" t="s">
        <v>535</v>
      </c>
      <c r="AE169" s="1215"/>
      <c r="AF169" s="1215"/>
      <c r="AG169" s="1215"/>
      <c r="AH169" s="603">
        <v>74</v>
      </c>
      <c r="AI169" s="604">
        <v>37</v>
      </c>
    </row>
    <row r="170" spans="1:35" ht="21.95" customHeight="1">
      <c r="A170" s="620">
        <v>8500</v>
      </c>
      <c r="B170" s="1237" t="s">
        <v>151</v>
      </c>
      <c r="C170" s="1215"/>
      <c r="D170" s="1215"/>
      <c r="E170" s="1215" t="s">
        <v>535</v>
      </c>
      <c r="F170" s="1215" t="s">
        <v>535</v>
      </c>
      <c r="G170" s="1215" t="s">
        <v>535</v>
      </c>
      <c r="H170" s="1335" t="s">
        <v>535</v>
      </c>
      <c r="I170" s="1335" t="s">
        <v>535</v>
      </c>
      <c r="J170" s="1215"/>
      <c r="K170" s="1215"/>
      <c r="L170" s="1342" t="s">
        <v>535</v>
      </c>
      <c r="M170" s="1342" t="s">
        <v>535</v>
      </c>
      <c r="N170" s="1342" t="s">
        <v>535</v>
      </c>
      <c r="O170" s="1344" t="s">
        <v>535</v>
      </c>
      <c r="P170" s="1215" t="s">
        <v>535</v>
      </c>
      <c r="Q170" s="1215"/>
      <c r="R170" s="1215"/>
      <c r="S170" s="1215" t="s">
        <v>535</v>
      </c>
      <c r="T170" s="1215" t="s">
        <v>535</v>
      </c>
      <c r="U170" s="1215" t="s">
        <v>535</v>
      </c>
      <c r="V170" s="1215" t="s">
        <v>535</v>
      </c>
      <c r="W170" s="1215" t="s">
        <v>535</v>
      </c>
      <c r="X170" s="1215"/>
      <c r="Y170" s="1215"/>
      <c r="Z170" s="1215" t="s">
        <v>535</v>
      </c>
      <c r="AA170" s="1215" t="s">
        <v>535</v>
      </c>
      <c r="AB170" s="1215" t="s">
        <v>535</v>
      </c>
      <c r="AC170" s="1215" t="s">
        <v>535</v>
      </c>
      <c r="AD170" s="1215" t="s">
        <v>535</v>
      </c>
      <c r="AE170" s="1215"/>
      <c r="AF170" s="1215"/>
      <c r="AG170" s="1215"/>
      <c r="AH170" s="603">
        <v>185</v>
      </c>
      <c r="AI170" s="604">
        <v>37</v>
      </c>
    </row>
    <row r="171" spans="1:35" ht="21" customHeight="1">
      <c r="A171" s="442"/>
      <c r="B171" s="1236" t="s">
        <v>567</v>
      </c>
      <c r="C171" s="1215"/>
      <c r="D171" s="1215"/>
      <c r="E171" s="1215" t="s">
        <v>535</v>
      </c>
      <c r="F171" s="1215" t="s">
        <v>535</v>
      </c>
      <c r="G171" s="1215" t="s">
        <v>535</v>
      </c>
      <c r="H171" s="1215" t="s">
        <v>535</v>
      </c>
      <c r="I171" s="1215" t="s">
        <v>535</v>
      </c>
      <c r="J171" s="1215"/>
      <c r="K171" s="1215"/>
      <c r="L171" s="1215" t="s">
        <v>535</v>
      </c>
      <c r="M171" s="1215" t="s">
        <v>535</v>
      </c>
      <c r="N171" s="1215" t="s">
        <v>535</v>
      </c>
      <c r="O171" s="1215" t="s">
        <v>535</v>
      </c>
      <c r="P171" s="1215" t="s">
        <v>535</v>
      </c>
      <c r="Q171" s="1215"/>
      <c r="R171" s="1215"/>
      <c r="S171" s="1215" t="s">
        <v>535</v>
      </c>
      <c r="T171" s="1215" t="s">
        <v>535</v>
      </c>
      <c r="U171" s="1215" t="s">
        <v>535</v>
      </c>
      <c r="V171" s="1215" t="s">
        <v>535</v>
      </c>
      <c r="W171" s="1215" t="s">
        <v>535</v>
      </c>
      <c r="X171" s="1215"/>
      <c r="Y171" s="1215"/>
      <c r="Z171" s="1215" t="s">
        <v>535</v>
      </c>
      <c r="AA171" s="1215" t="s">
        <v>535</v>
      </c>
      <c r="AB171" s="1215" t="s">
        <v>535</v>
      </c>
      <c r="AC171" s="1215" t="s">
        <v>535</v>
      </c>
      <c r="AD171" s="1215" t="s">
        <v>535</v>
      </c>
      <c r="AE171" s="1215"/>
      <c r="AF171" s="1215"/>
      <c r="AG171" s="1215"/>
      <c r="AH171" s="603">
        <v>185</v>
      </c>
      <c r="AI171" s="604">
        <v>37</v>
      </c>
    </row>
    <row r="172" spans="1:35" ht="21" customHeight="1">
      <c r="A172" s="442">
        <v>8521</v>
      </c>
      <c r="B172" s="1236" t="s">
        <v>568</v>
      </c>
      <c r="C172" s="1215"/>
      <c r="D172" s="1215"/>
      <c r="E172" s="1215" t="s">
        <v>535</v>
      </c>
      <c r="F172" s="1215" t="s">
        <v>535</v>
      </c>
      <c r="G172" s="1215" t="s">
        <v>535</v>
      </c>
      <c r="H172" s="1215" t="s">
        <v>535</v>
      </c>
      <c r="I172" s="1215" t="s">
        <v>535</v>
      </c>
      <c r="J172" s="1215"/>
      <c r="K172" s="1215"/>
      <c r="L172" s="1215" t="s">
        <v>535</v>
      </c>
      <c r="M172" s="1215" t="s">
        <v>535</v>
      </c>
      <c r="N172" s="1215" t="s">
        <v>535</v>
      </c>
      <c r="O172" s="1215" t="s">
        <v>535</v>
      </c>
      <c r="P172" s="1215" t="s">
        <v>535</v>
      </c>
      <c r="Q172" s="1215"/>
      <c r="R172" s="1215"/>
      <c r="S172" s="1215" t="s">
        <v>535</v>
      </c>
      <c r="T172" s="1215" t="s">
        <v>535</v>
      </c>
      <c r="U172" s="1215" t="s">
        <v>535</v>
      </c>
      <c r="V172" s="1215" t="s">
        <v>535</v>
      </c>
      <c r="W172" s="1215" t="s">
        <v>535</v>
      </c>
      <c r="X172" s="1215"/>
      <c r="Y172" s="1215"/>
      <c r="Z172" s="1335" t="s">
        <v>535</v>
      </c>
      <c r="AA172" s="1335" t="s">
        <v>535</v>
      </c>
      <c r="AB172" s="1335" t="s">
        <v>535</v>
      </c>
      <c r="AC172" s="1335" t="s">
        <v>535</v>
      </c>
      <c r="AD172" s="1335" t="s">
        <v>535</v>
      </c>
      <c r="AE172" s="1215"/>
      <c r="AF172" s="1215"/>
      <c r="AG172" s="1215"/>
      <c r="AH172" s="603">
        <v>185</v>
      </c>
      <c r="AI172" s="604">
        <v>37</v>
      </c>
    </row>
    <row r="173" spans="1:35" ht="21" customHeight="1">
      <c r="A173" s="442"/>
      <c r="B173" s="1236"/>
      <c r="C173" s="1215"/>
      <c r="D173" s="1215"/>
      <c r="E173" s="1215" t="s">
        <v>535</v>
      </c>
      <c r="F173" s="1215" t="s">
        <v>535</v>
      </c>
      <c r="G173" s="1215" t="s">
        <v>535</v>
      </c>
      <c r="H173" s="1215" t="s">
        <v>535</v>
      </c>
      <c r="I173" s="1215" t="s">
        <v>535</v>
      </c>
      <c r="J173" s="1215"/>
      <c r="K173" s="1215"/>
      <c r="L173" s="1215" t="s">
        <v>535</v>
      </c>
      <c r="M173" s="1215" t="s">
        <v>535</v>
      </c>
      <c r="N173" s="1215" t="s">
        <v>535</v>
      </c>
      <c r="O173" s="1215" t="s">
        <v>535</v>
      </c>
      <c r="P173" s="1215" t="s">
        <v>535</v>
      </c>
      <c r="Q173" s="1215"/>
      <c r="R173" s="1215"/>
      <c r="S173" s="1215" t="s">
        <v>535</v>
      </c>
      <c r="T173" s="1215" t="s">
        <v>535</v>
      </c>
      <c r="U173" s="1215" t="s">
        <v>535</v>
      </c>
      <c r="V173" s="1215" t="s">
        <v>535</v>
      </c>
      <c r="W173" s="1215" t="s">
        <v>535</v>
      </c>
      <c r="X173" s="1215"/>
      <c r="Y173" s="1215"/>
      <c r="Z173" s="1215" t="s">
        <v>535</v>
      </c>
      <c r="AA173" s="1215" t="s">
        <v>535</v>
      </c>
      <c r="AB173" s="1215" t="s">
        <v>535</v>
      </c>
      <c r="AC173" s="1215" t="s">
        <v>535</v>
      </c>
      <c r="AD173" s="1215" t="s">
        <v>535</v>
      </c>
      <c r="AE173" s="1215"/>
      <c r="AF173" s="1215"/>
      <c r="AG173" s="1215"/>
      <c r="AH173" s="603">
        <v>185</v>
      </c>
      <c r="AI173" s="604">
        <v>37</v>
      </c>
    </row>
    <row r="174" spans="1:35" ht="21" customHeight="1">
      <c r="A174" s="442">
        <v>8514</v>
      </c>
      <c r="B174" s="1238" t="s">
        <v>569</v>
      </c>
      <c r="C174" s="1215"/>
      <c r="D174" s="1215"/>
      <c r="E174" s="1215" t="s">
        <v>535</v>
      </c>
      <c r="F174" s="1215" t="s">
        <v>535</v>
      </c>
      <c r="G174" s="1215" t="s">
        <v>535</v>
      </c>
      <c r="H174" s="1215" t="s">
        <v>535</v>
      </c>
      <c r="I174" s="1215" t="s">
        <v>535</v>
      </c>
      <c r="J174" s="1215"/>
      <c r="K174" s="1215"/>
      <c r="L174" s="1215" t="s">
        <v>535</v>
      </c>
      <c r="M174" s="1215" t="s">
        <v>535</v>
      </c>
      <c r="N174" s="1215" t="s">
        <v>535</v>
      </c>
      <c r="O174" s="1215" t="s">
        <v>535</v>
      </c>
      <c r="P174" s="1335" t="s">
        <v>535</v>
      </c>
      <c r="Q174" s="1215"/>
      <c r="R174" s="1215"/>
      <c r="S174" s="1215" t="s">
        <v>535</v>
      </c>
      <c r="T174" s="1215" t="s">
        <v>535</v>
      </c>
      <c r="U174" s="1215" t="s">
        <v>535</v>
      </c>
      <c r="V174" s="1215" t="s">
        <v>535</v>
      </c>
      <c r="W174" s="1215" t="s">
        <v>535</v>
      </c>
      <c r="X174" s="1215"/>
      <c r="Y174" s="1215"/>
      <c r="Z174" s="1215" t="s">
        <v>535</v>
      </c>
      <c r="AA174" s="1215" t="s">
        <v>535</v>
      </c>
      <c r="AB174" s="1335" t="s">
        <v>535</v>
      </c>
      <c r="AC174" s="1335" t="s">
        <v>535</v>
      </c>
      <c r="AD174" s="1335" t="s">
        <v>535</v>
      </c>
      <c r="AE174" s="1215"/>
      <c r="AF174" s="1215"/>
      <c r="AG174" s="1215"/>
      <c r="AH174" s="603">
        <v>185</v>
      </c>
      <c r="AI174" s="604">
        <v>37</v>
      </c>
    </row>
    <row r="175" spans="1:35" ht="21.95" customHeight="1">
      <c r="A175" s="442">
        <v>3701</v>
      </c>
      <c r="B175" s="1236"/>
      <c r="C175" s="1215"/>
      <c r="D175" s="1215"/>
      <c r="E175" s="1215" t="s">
        <v>535</v>
      </c>
      <c r="F175" s="1215" t="s">
        <v>535</v>
      </c>
      <c r="G175" s="1215" t="s">
        <v>535</v>
      </c>
      <c r="H175" s="1215" t="s">
        <v>535</v>
      </c>
      <c r="I175" s="1215" t="s">
        <v>535</v>
      </c>
      <c r="J175" s="1215"/>
      <c r="K175" s="1215"/>
      <c r="L175" s="1215" t="s">
        <v>535</v>
      </c>
      <c r="M175" s="1215" t="s">
        <v>535</v>
      </c>
      <c r="N175" s="1215" t="s">
        <v>535</v>
      </c>
      <c r="O175" s="1215" t="s">
        <v>535</v>
      </c>
      <c r="P175" s="1215" t="s">
        <v>535</v>
      </c>
      <c r="Q175" s="1215"/>
      <c r="R175" s="1215"/>
      <c r="S175" s="1215" t="s">
        <v>535</v>
      </c>
      <c r="T175" s="1215" t="s">
        <v>535</v>
      </c>
      <c r="U175" s="1215" t="s">
        <v>535</v>
      </c>
      <c r="V175" s="1215" t="s">
        <v>535</v>
      </c>
      <c r="W175" s="1215" t="s">
        <v>535</v>
      </c>
      <c r="X175" s="1215"/>
      <c r="Y175" s="1215"/>
      <c r="Z175" s="1215" t="s">
        <v>535</v>
      </c>
      <c r="AA175" s="1215" t="s">
        <v>535</v>
      </c>
      <c r="AB175" s="1215" t="s">
        <v>535</v>
      </c>
      <c r="AC175" s="1215" t="s">
        <v>535</v>
      </c>
      <c r="AD175" s="1215" t="s">
        <v>535</v>
      </c>
      <c r="AE175" s="1215"/>
      <c r="AF175" s="1215"/>
      <c r="AG175" s="1215"/>
      <c r="AH175" s="603">
        <v>185</v>
      </c>
      <c r="AI175" s="604">
        <v>37</v>
      </c>
    </row>
    <row r="176" spans="1:35" ht="21.95" customHeight="1">
      <c r="A176" s="442">
        <v>3701</v>
      </c>
      <c r="B176" s="1236" t="s">
        <v>345</v>
      </c>
      <c r="C176" s="1215"/>
      <c r="D176" s="1215"/>
      <c r="E176" s="1338" t="s">
        <v>535</v>
      </c>
      <c r="F176" s="1338" t="s">
        <v>535</v>
      </c>
      <c r="G176" s="1215" t="s">
        <v>535</v>
      </c>
      <c r="H176" s="1338" t="s">
        <v>535</v>
      </c>
      <c r="I176" s="1338" t="s">
        <v>535</v>
      </c>
      <c r="J176" s="1215"/>
      <c r="K176" s="1215"/>
      <c r="L176" s="1215" t="s">
        <v>535</v>
      </c>
      <c r="M176" s="1215" t="s">
        <v>535</v>
      </c>
      <c r="N176" s="1215" t="s">
        <v>535</v>
      </c>
      <c r="O176" s="1215" t="s">
        <v>535</v>
      </c>
      <c r="P176" s="1215" t="s">
        <v>535</v>
      </c>
      <c r="Q176" s="1215"/>
      <c r="R176" s="1215"/>
      <c r="S176" s="1215" t="s">
        <v>535</v>
      </c>
      <c r="T176" s="1215" t="s">
        <v>535</v>
      </c>
      <c r="U176" s="1215" t="s">
        <v>535</v>
      </c>
      <c r="V176" s="1215" t="s">
        <v>535</v>
      </c>
      <c r="W176" s="1215" t="s">
        <v>535</v>
      </c>
      <c r="X176" s="1215"/>
      <c r="Y176" s="1215"/>
      <c r="Z176" s="1215" t="s">
        <v>535</v>
      </c>
      <c r="AA176" s="1215" t="s">
        <v>535</v>
      </c>
      <c r="AB176" s="1215" t="s">
        <v>535</v>
      </c>
      <c r="AC176" s="1215" t="s">
        <v>535</v>
      </c>
      <c r="AD176" s="1215" t="s">
        <v>535</v>
      </c>
      <c r="AE176" s="1215"/>
      <c r="AF176" s="1215"/>
      <c r="AG176" s="1215"/>
      <c r="AH176" s="603">
        <v>156</v>
      </c>
      <c r="AI176" s="604">
        <v>37</v>
      </c>
    </row>
    <row r="177" spans="1:36" ht="21.95" customHeight="1">
      <c r="A177" s="442">
        <v>3701</v>
      </c>
      <c r="B177" s="1236" t="s">
        <v>348</v>
      </c>
      <c r="C177" s="1215"/>
      <c r="D177" s="1215"/>
      <c r="E177" s="1215" t="s">
        <v>535</v>
      </c>
      <c r="F177" s="1215" t="s">
        <v>535</v>
      </c>
      <c r="G177" s="1215" t="s">
        <v>535</v>
      </c>
      <c r="H177" s="1215" t="s">
        <v>535</v>
      </c>
      <c r="I177" s="1346" t="s">
        <v>535</v>
      </c>
      <c r="J177" s="1215"/>
      <c r="K177" s="1215"/>
      <c r="L177" s="1215" t="s">
        <v>535</v>
      </c>
      <c r="M177" s="1215" t="s">
        <v>535</v>
      </c>
      <c r="N177" s="1215" t="s">
        <v>535</v>
      </c>
      <c r="O177" s="1215" t="s">
        <v>535</v>
      </c>
      <c r="P177" s="1215" t="s">
        <v>535</v>
      </c>
      <c r="Q177" s="1215"/>
      <c r="R177" s="1215"/>
      <c r="S177" s="1215" t="s">
        <v>535</v>
      </c>
      <c r="T177" s="1215" t="s">
        <v>535</v>
      </c>
      <c r="U177" s="1215" t="s">
        <v>535</v>
      </c>
      <c r="V177" s="1215" t="s">
        <v>535</v>
      </c>
      <c r="W177" s="1215" t="s">
        <v>535</v>
      </c>
      <c r="X177" s="1215"/>
      <c r="Y177" s="1215"/>
      <c r="Z177" s="1215">
        <v>19</v>
      </c>
      <c r="AA177" s="1215">
        <v>19</v>
      </c>
      <c r="AB177" s="1215">
        <v>19</v>
      </c>
      <c r="AC177" s="1215">
        <v>19</v>
      </c>
      <c r="AD177" s="1215">
        <v>19</v>
      </c>
      <c r="AE177" s="1215"/>
      <c r="AF177" s="1215"/>
      <c r="AG177" s="1215"/>
      <c r="AH177" s="603">
        <v>185</v>
      </c>
      <c r="AI177" s="604">
        <v>37</v>
      </c>
    </row>
    <row r="178" spans="1:36" ht="21.95" customHeight="1">
      <c r="A178" s="442">
        <v>3701</v>
      </c>
      <c r="B178" s="1236" t="s">
        <v>350</v>
      </c>
      <c r="C178" s="1215"/>
      <c r="D178" s="1215"/>
      <c r="E178" s="1215">
        <v>19</v>
      </c>
      <c r="F178" s="1215">
        <v>19</v>
      </c>
      <c r="G178" s="1215">
        <v>19</v>
      </c>
      <c r="H178" s="1215">
        <v>19</v>
      </c>
      <c r="I178" s="1215">
        <v>19</v>
      </c>
      <c r="J178" s="1215"/>
      <c r="K178" s="1215"/>
      <c r="L178" s="1215" t="s">
        <v>535</v>
      </c>
      <c r="M178" s="1335" t="s">
        <v>535</v>
      </c>
      <c r="N178" s="1335" t="s">
        <v>535</v>
      </c>
      <c r="O178" s="1215" t="s">
        <v>535</v>
      </c>
      <c r="P178" s="1215" t="s">
        <v>535</v>
      </c>
      <c r="Q178" s="1215"/>
      <c r="R178" s="1215"/>
      <c r="S178" s="1500" t="s">
        <v>535</v>
      </c>
      <c r="T178" s="1500" t="s">
        <v>535</v>
      </c>
      <c r="U178" s="1215" t="s">
        <v>535</v>
      </c>
      <c r="V178" s="1215" t="s">
        <v>535</v>
      </c>
      <c r="W178" s="1215" t="s">
        <v>535</v>
      </c>
      <c r="X178" s="1215"/>
      <c r="Y178" s="1215"/>
      <c r="Z178" s="1215" t="s">
        <v>535</v>
      </c>
      <c r="AA178" s="1215" t="s">
        <v>535</v>
      </c>
      <c r="AB178" s="1215" t="s">
        <v>535</v>
      </c>
      <c r="AC178" s="1215" t="s">
        <v>535</v>
      </c>
      <c r="AD178" s="1215" t="s">
        <v>535</v>
      </c>
      <c r="AE178" s="1215"/>
      <c r="AF178" s="1215"/>
      <c r="AG178" s="1215"/>
      <c r="AH178" s="603">
        <v>185</v>
      </c>
      <c r="AI178" s="604">
        <v>37</v>
      </c>
    </row>
    <row r="179" spans="1:36" ht="21.95" customHeight="1">
      <c r="A179" s="442">
        <v>3701</v>
      </c>
      <c r="B179" s="1236" t="s">
        <v>351</v>
      </c>
      <c r="C179" s="1215"/>
      <c r="D179" s="1215"/>
      <c r="E179" s="1215" t="s">
        <v>535</v>
      </c>
      <c r="F179" s="1215" t="s">
        <v>535</v>
      </c>
      <c r="G179" s="1215" t="s">
        <v>535</v>
      </c>
      <c r="H179" s="1215" t="s">
        <v>535</v>
      </c>
      <c r="I179" s="1215" t="s">
        <v>535</v>
      </c>
      <c r="J179" s="1215"/>
      <c r="K179" s="1215"/>
      <c r="L179" s="1215" t="s">
        <v>535</v>
      </c>
      <c r="M179" s="1215" t="s">
        <v>535</v>
      </c>
      <c r="N179" s="1215" t="s">
        <v>535</v>
      </c>
      <c r="O179" s="1215" t="s">
        <v>535</v>
      </c>
      <c r="P179" s="1215" t="s">
        <v>535</v>
      </c>
      <c r="Q179" s="1215"/>
      <c r="R179" s="1215"/>
      <c r="S179" s="1215">
        <v>19</v>
      </c>
      <c r="T179" s="1215">
        <v>19</v>
      </c>
      <c r="U179" s="1215">
        <v>19</v>
      </c>
      <c r="V179" s="1215">
        <v>19</v>
      </c>
      <c r="W179" s="1215">
        <v>19</v>
      </c>
      <c r="X179" s="1215"/>
      <c r="Y179" s="1215"/>
      <c r="Z179" s="1358" t="s">
        <v>535</v>
      </c>
      <c r="AA179" s="1358" t="s">
        <v>535</v>
      </c>
      <c r="AB179" s="1358" t="s">
        <v>535</v>
      </c>
      <c r="AC179" s="1358" t="s">
        <v>535</v>
      </c>
      <c r="AD179" s="1358" t="s">
        <v>535</v>
      </c>
      <c r="AE179" s="1358"/>
      <c r="AF179" s="1358"/>
      <c r="AG179" s="1215"/>
      <c r="AH179" s="603">
        <v>185</v>
      </c>
      <c r="AI179" s="604">
        <v>37</v>
      </c>
    </row>
    <row r="180" spans="1:36" ht="21.95" customHeight="1">
      <c r="A180" s="442">
        <v>3701</v>
      </c>
      <c r="B180" s="1236" t="s">
        <v>571</v>
      </c>
      <c r="C180" s="1215"/>
      <c r="D180" s="1215"/>
      <c r="E180" s="1215" t="s">
        <v>535</v>
      </c>
      <c r="F180" s="1215" t="s">
        <v>535</v>
      </c>
      <c r="G180" s="1215" t="s">
        <v>535</v>
      </c>
      <c r="H180" s="1392" t="s">
        <v>570</v>
      </c>
      <c r="I180" s="1344" t="s">
        <v>514</v>
      </c>
      <c r="J180" s="1215"/>
      <c r="K180" s="1215"/>
      <c r="L180" s="1215" t="s">
        <v>535</v>
      </c>
      <c r="M180" s="1215" t="s">
        <v>535</v>
      </c>
      <c r="N180" s="1215" t="s">
        <v>535</v>
      </c>
      <c r="O180" s="1215" t="s">
        <v>535</v>
      </c>
      <c r="P180" s="1215" t="s">
        <v>535</v>
      </c>
      <c r="Q180" s="1215"/>
      <c r="R180" s="1215"/>
      <c r="S180" s="1215" t="s">
        <v>535</v>
      </c>
      <c r="T180" s="1215" t="s">
        <v>535</v>
      </c>
      <c r="U180" s="1215" t="s">
        <v>535</v>
      </c>
      <c r="V180" s="1335" t="s">
        <v>535</v>
      </c>
      <c r="W180" s="1335" t="s">
        <v>535</v>
      </c>
      <c r="X180" s="1215"/>
      <c r="Y180" s="1215"/>
      <c r="Z180" s="1215" t="s">
        <v>535</v>
      </c>
      <c r="AA180" s="1215" t="s">
        <v>535</v>
      </c>
      <c r="AB180" s="1215" t="s">
        <v>535</v>
      </c>
      <c r="AC180" s="1215" t="s">
        <v>535</v>
      </c>
      <c r="AD180" s="1215" t="s">
        <v>535</v>
      </c>
      <c r="AE180" s="1215"/>
      <c r="AF180" s="1215"/>
      <c r="AG180" s="1215"/>
      <c r="AH180" s="603">
        <v>185</v>
      </c>
      <c r="AI180" s="604">
        <v>37</v>
      </c>
    </row>
    <row r="181" spans="1:36" ht="21.95" customHeight="1">
      <c r="A181" s="442">
        <v>3701</v>
      </c>
      <c r="B181" s="545" t="s">
        <v>572</v>
      </c>
      <c r="C181" s="1215"/>
      <c r="D181" s="1215"/>
      <c r="E181" s="1392" t="s">
        <v>570</v>
      </c>
      <c r="F181" s="1344" t="s">
        <v>535</v>
      </c>
      <c r="G181" s="1344" t="s">
        <v>535</v>
      </c>
      <c r="H181" s="1344" t="s">
        <v>535</v>
      </c>
      <c r="I181" s="1344" t="s">
        <v>535</v>
      </c>
      <c r="J181" s="1215"/>
      <c r="K181" s="1215"/>
      <c r="L181" s="1215">
        <v>19</v>
      </c>
      <c r="M181" s="1215">
        <v>19</v>
      </c>
      <c r="N181" s="1215">
        <v>19</v>
      </c>
      <c r="O181" s="1215">
        <v>19</v>
      </c>
      <c r="P181" s="1215">
        <v>19</v>
      </c>
      <c r="Q181" s="1215"/>
      <c r="R181" s="1215"/>
      <c r="S181" s="1500" t="s">
        <v>535</v>
      </c>
      <c r="T181" s="1500" t="s">
        <v>535</v>
      </c>
      <c r="U181" s="1215" t="s">
        <v>535</v>
      </c>
      <c r="V181" s="1215" t="s">
        <v>535</v>
      </c>
      <c r="W181" s="1215" t="s">
        <v>535</v>
      </c>
      <c r="X181" s="1215"/>
      <c r="Y181" s="1215"/>
      <c r="Z181" s="1215" t="s">
        <v>535</v>
      </c>
      <c r="AA181" s="1215" t="s">
        <v>535</v>
      </c>
      <c r="AB181" s="1215" t="s">
        <v>535</v>
      </c>
      <c r="AC181" s="1215" t="s">
        <v>535</v>
      </c>
      <c r="AD181" s="1215" t="s">
        <v>535</v>
      </c>
      <c r="AE181" s="1215"/>
      <c r="AF181" s="1215"/>
      <c r="AG181" s="1215"/>
      <c r="AH181" s="603">
        <v>185</v>
      </c>
      <c r="AI181" s="604">
        <v>37</v>
      </c>
      <c r="AJ181">
        <v>322</v>
      </c>
    </row>
    <row r="182" spans="1:36" ht="21.95" customHeight="1">
      <c r="A182" s="1318">
        <v>3701</v>
      </c>
      <c r="B182" s="1319" t="s">
        <v>573</v>
      </c>
      <c r="C182" s="1215"/>
      <c r="D182" s="1215"/>
      <c r="E182" s="1215" t="s">
        <v>535</v>
      </c>
      <c r="F182" s="1215" t="s">
        <v>535</v>
      </c>
      <c r="G182" s="1215" t="s">
        <v>535</v>
      </c>
      <c r="H182" s="1215" t="s">
        <v>535</v>
      </c>
      <c r="I182" s="1215" t="s">
        <v>535</v>
      </c>
      <c r="J182" s="1215"/>
      <c r="K182" s="1215"/>
      <c r="L182" s="1215" t="s">
        <v>535</v>
      </c>
      <c r="M182" s="1215" t="s">
        <v>535</v>
      </c>
      <c r="N182" s="1215" t="s">
        <v>535</v>
      </c>
      <c r="O182" s="1215" t="s">
        <v>535</v>
      </c>
      <c r="P182" s="1215" t="s">
        <v>535</v>
      </c>
      <c r="Q182" s="1215"/>
      <c r="R182" s="1215"/>
      <c r="S182" s="1215" t="s">
        <v>535</v>
      </c>
      <c r="T182" s="1215" t="s">
        <v>535</v>
      </c>
      <c r="U182" s="1215" t="s">
        <v>535</v>
      </c>
      <c r="V182" s="1215" t="s">
        <v>535</v>
      </c>
      <c r="W182" s="1215" t="s">
        <v>535</v>
      </c>
      <c r="X182" s="1215"/>
      <c r="Y182" s="1215"/>
      <c r="Z182" s="1215" t="s">
        <v>535</v>
      </c>
      <c r="AA182" s="1215" t="s">
        <v>535</v>
      </c>
      <c r="AB182" s="1215" t="s">
        <v>535</v>
      </c>
      <c r="AC182" s="1215" t="s">
        <v>535</v>
      </c>
      <c r="AD182" s="1215" t="s">
        <v>535</v>
      </c>
      <c r="AE182" s="1215"/>
      <c r="AF182" s="1215"/>
      <c r="AG182" s="1215"/>
      <c r="AH182" s="603">
        <v>185</v>
      </c>
      <c r="AI182" s="604">
        <v>37</v>
      </c>
    </row>
    <row r="183" spans="1:36" ht="21.95" customHeight="1">
      <c r="A183" s="442">
        <v>3701</v>
      </c>
      <c r="B183" s="545" t="s">
        <v>513</v>
      </c>
      <c r="C183" s="1215"/>
      <c r="D183" s="1215"/>
      <c r="E183" s="1215" t="s">
        <v>535</v>
      </c>
      <c r="F183" s="1215" t="s">
        <v>535</v>
      </c>
      <c r="G183" s="1215" t="s">
        <v>535</v>
      </c>
      <c r="H183" s="1215" t="s">
        <v>535</v>
      </c>
      <c r="I183" s="1215" t="s">
        <v>535</v>
      </c>
      <c r="J183" s="1215"/>
      <c r="K183" s="1215"/>
      <c r="L183" s="1335" t="s">
        <v>535</v>
      </c>
      <c r="M183" s="1335" t="s">
        <v>535</v>
      </c>
      <c r="N183" s="1335" t="s">
        <v>535</v>
      </c>
      <c r="O183" s="1335" t="s">
        <v>535</v>
      </c>
      <c r="P183" s="1215" t="s">
        <v>535</v>
      </c>
      <c r="Q183" s="1215"/>
      <c r="R183" s="1215"/>
      <c r="S183" s="1215" t="s">
        <v>535</v>
      </c>
      <c r="T183" s="1215" t="s">
        <v>535</v>
      </c>
      <c r="U183" s="1215" t="s">
        <v>535</v>
      </c>
      <c r="V183" s="1215" t="s">
        <v>535</v>
      </c>
      <c r="W183" s="1215" t="s">
        <v>535</v>
      </c>
      <c r="X183" s="1215"/>
      <c r="Y183" s="1215"/>
      <c r="Z183" s="1215" t="s">
        <v>535</v>
      </c>
      <c r="AA183" s="1215" t="s">
        <v>535</v>
      </c>
      <c r="AB183" s="1215" t="s">
        <v>535</v>
      </c>
      <c r="AC183" s="1215" t="s">
        <v>535</v>
      </c>
      <c r="AD183" s="1215" t="s">
        <v>535</v>
      </c>
      <c r="AE183" s="1215"/>
      <c r="AF183" s="1215"/>
      <c r="AG183" s="1215"/>
      <c r="AH183" s="603">
        <v>185</v>
      </c>
      <c r="AI183" s="604">
        <v>37</v>
      </c>
    </row>
    <row r="184" spans="1:36" ht="21.95" customHeight="1">
      <c r="A184" s="442">
        <v>3701</v>
      </c>
      <c r="B184" s="1236" t="s">
        <v>574</v>
      </c>
      <c r="C184" s="1215"/>
      <c r="D184" s="1215"/>
      <c r="E184" s="1215" t="s">
        <v>535</v>
      </c>
      <c r="F184" s="1215" t="s">
        <v>535</v>
      </c>
      <c r="G184" s="1215" t="s">
        <v>535</v>
      </c>
      <c r="H184" s="1215" t="s">
        <v>535</v>
      </c>
      <c r="I184" s="1215" t="s">
        <v>535</v>
      </c>
      <c r="J184" s="1215"/>
      <c r="K184" s="1215"/>
      <c r="L184" s="1215" t="s">
        <v>535</v>
      </c>
      <c r="M184" s="1215" t="s">
        <v>535</v>
      </c>
      <c r="N184" s="1215" t="s">
        <v>535</v>
      </c>
      <c r="O184" s="1215" t="s">
        <v>535</v>
      </c>
      <c r="P184" s="1215" t="s">
        <v>535</v>
      </c>
      <c r="Q184" s="1215"/>
      <c r="R184" s="1215"/>
      <c r="S184" s="1215" t="s">
        <v>535</v>
      </c>
      <c r="T184" s="1215" t="s">
        <v>535</v>
      </c>
      <c r="U184" s="1215" t="s">
        <v>535</v>
      </c>
      <c r="V184" s="1215" t="s">
        <v>535</v>
      </c>
      <c r="W184" s="1215" t="s">
        <v>535</v>
      </c>
      <c r="X184" s="1215"/>
      <c r="Y184" s="1215"/>
      <c r="Z184" s="1215" t="s">
        <v>535</v>
      </c>
      <c r="AA184" s="1215" t="s">
        <v>535</v>
      </c>
      <c r="AB184" s="1215" t="s">
        <v>535</v>
      </c>
      <c r="AC184" s="1215" t="s">
        <v>535</v>
      </c>
      <c r="AD184" s="1215" t="s">
        <v>535</v>
      </c>
      <c r="AE184" s="1215"/>
      <c r="AF184" s="1215"/>
      <c r="AG184" s="1215"/>
      <c r="AH184" s="603">
        <v>185</v>
      </c>
      <c r="AI184" s="604">
        <v>37</v>
      </c>
    </row>
    <row r="185" spans="1:36" ht="21.95" customHeight="1">
      <c r="A185" s="442">
        <v>3701</v>
      </c>
      <c r="B185" s="1239" t="s">
        <v>575</v>
      </c>
      <c r="C185" s="1215"/>
      <c r="D185" s="1215"/>
      <c r="E185" s="1215" t="s">
        <v>535</v>
      </c>
      <c r="F185" s="1215" t="s">
        <v>535</v>
      </c>
      <c r="G185" s="1215" t="s">
        <v>535</v>
      </c>
      <c r="H185" s="1344" t="s">
        <v>535</v>
      </c>
      <c r="I185" s="1344" t="s">
        <v>535</v>
      </c>
      <c r="J185" s="1215"/>
      <c r="K185" s="1215"/>
      <c r="L185" s="1215" t="s">
        <v>535</v>
      </c>
      <c r="M185" s="1215" t="s">
        <v>535</v>
      </c>
      <c r="N185" s="1215" t="s">
        <v>535</v>
      </c>
      <c r="O185" s="1215" t="s">
        <v>535</v>
      </c>
      <c r="P185" s="1215" t="s">
        <v>535</v>
      </c>
      <c r="Q185" s="1215"/>
      <c r="R185" s="1215"/>
      <c r="S185" s="1215" t="s">
        <v>535</v>
      </c>
      <c r="T185" s="1215" t="s">
        <v>535</v>
      </c>
      <c r="U185" s="1215" t="s">
        <v>535</v>
      </c>
      <c r="V185" s="1215" t="s">
        <v>535</v>
      </c>
      <c r="W185" s="1215" t="s">
        <v>535</v>
      </c>
      <c r="X185" s="1215"/>
      <c r="Y185" s="1215"/>
      <c r="Z185" s="1374" t="s">
        <v>535</v>
      </c>
      <c r="AA185" s="1374" t="s">
        <v>535</v>
      </c>
      <c r="AB185" s="1374" t="s">
        <v>535</v>
      </c>
      <c r="AC185" s="1374" t="s">
        <v>535</v>
      </c>
      <c r="AD185" s="1374" t="s">
        <v>535</v>
      </c>
      <c r="AE185" s="1374"/>
      <c r="AF185" s="1374"/>
      <c r="AG185" s="1215"/>
      <c r="AH185" s="603">
        <v>185</v>
      </c>
      <c r="AI185" s="604">
        <v>37</v>
      </c>
    </row>
    <row r="186" spans="1:36" ht="21.95" customHeight="1">
      <c r="A186" s="903">
        <v>3701</v>
      </c>
      <c r="B186" s="1240" t="s">
        <v>576</v>
      </c>
      <c r="C186" s="1229"/>
      <c r="D186" s="1229"/>
      <c r="E186" s="1215" t="s">
        <v>535</v>
      </c>
      <c r="F186" s="1215" t="s">
        <v>535</v>
      </c>
      <c r="G186" s="1215" t="s">
        <v>535</v>
      </c>
      <c r="H186" s="1215" t="s">
        <v>535</v>
      </c>
      <c r="I186" s="1215" t="s">
        <v>535</v>
      </c>
      <c r="J186" s="1215"/>
      <c r="K186" s="1215"/>
      <c r="L186" s="1338" t="s">
        <v>535</v>
      </c>
      <c r="M186" s="1338" t="s">
        <v>535</v>
      </c>
      <c r="N186" s="1338" t="s">
        <v>535</v>
      </c>
      <c r="O186" s="1338" t="s">
        <v>535</v>
      </c>
      <c r="P186" s="1338" t="s">
        <v>535</v>
      </c>
      <c r="Q186" s="1338"/>
      <c r="R186" s="1338"/>
      <c r="S186" s="1215" t="s">
        <v>535</v>
      </c>
      <c r="T186" s="1215" t="s">
        <v>535</v>
      </c>
      <c r="U186" s="1215" t="s">
        <v>535</v>
      </c>
      <c r="V186" s="1215" t="s">
        <v>535</v>
      </c>
      <c r="W186" s="1215" t="s">
        <v>535</v>
      </c>
      <c r="X186" s="1215"/>
      <c r="Y186" s="1215"/>
      <c r="Z186" s="1392" t="s">
        <v>535</v>
      </c>
      <c r="AA186" s="1392" t="s">
        <v>535</v>
      </c>
      <c r="AB186" s="1392" t="s">
        <v>570</v>
      </c>
      <c r="AC186" s="1344" t="s">
        <v>535</v>
      </c>
      <c r="AD186" s="1344" t="s">
        <v>535</v>
      </c>
      <c r="AE186" s="1229"/>
      <c r="AF186" s="1229"/>
      <c r="AG186" s="1229"/>
      <c r="AH186" s="904"/>
      <c r="AI186" s="904"/>
    </row>
    <row r="187" spans="1:36" ht="21.95" customHeight="1">
      <c r="A187" s="578"/>
      <c r="B187" s="621"/>
      <c r="C187" s="559"/>
      <c r="D187" s="559"/>
      <c r="E187" s="559"/>
      <c r="F187" s="559"/>
      <c r="G187" s="559"/>
      <c r="H187" s="559"/>
      <c r="I187" s="559"/>
      <c r="J187" s="559"/>
      <c r="K187" s="520"/>
      <c r="L187" s="559"/>
      <c r="M187" s="559"/>
      <c r="N187" s="559"/>
      <c r="O187" s="559"/>
      <c r="P187" s="541"/>
      <c r="Q187" s="541"/>
      <c r="R187" s="541"/>
      <c r="S187" s="559"/>
      <c r="T187" s="559"/>
      <c r="U187" s="559"/>
      <c r="V187" s="559"/>
      <c r="W187" s="559"/>
      <c r="X187" s="559"/>
      <c r="Y187" s="559"/>
      <c r="Z187" s="559"/>
      <c r="AA187" s="559"/>
      <c r="AB187" s="559"/>
      <c r="AC187" s="559"/>
      <c r="AD187" s="559"/>
      <c r="AE187" s="559"/>
      <c r="AF187" s="559"/>
      <c r="AG187" s="559"/>
      <c r="AH187" s="560"/>
      <c r="AI187" s="560"/>
    </row>
    <row r="188" spans="1:36" ht="21" customHeight="1" thickBot="1">
      <c r="A188" s="1" t="s">
        <v>577</v>
      </c>
    </row>
    <row r="189" spans="1:36" ht="21" customHeight="1">
      <c r="B189" s="201" t="s">
        <v>516</v>
      </c>
      <c r="C189" s="7"/>
      <c r="D189" s="525" t="s">
        <v>2</v>
      </c>
      <c r="E189" s="51"/>
      <c r="F189" s="551"/>
      <c r="G189" s="7"/>
      <c r="H189" s="525" t="s">
        <v>3</v>
      </c>
      <c r="I189" s="51"/>
      <c r="J189" s="551"/>
      <c r="K189" s="7"/>
      <c r="L189" s="525" t="s">
        <v>4</v>
      </c>
      <c r="M189" s="51"/>
      <c r="N189" s="551"/>
      <c r="O189" s="7"/>
      <c r="P189" s="525" t="s">
        <v>5</v>
      </c>
      <c r="Q189" s="51"/>
      <c r="R189" s="551"/>
      <c r="S189" s="7"/>
      <c r="T189" s="525" t="s">
        <v>6</v>
      </c>
      <c r="U189" s="51"/>
      <c r="V189" s="551"/>
      <c r="W189" s="7"/>
      <c r="X189" s="525" t="s">
        <v>7</v>
      </c>
      <c r="Y189" s="51"/>
      <c r="Z189" s="551"/>
      <c r="AA189" s="7"/>
      <c r="AB189" s="525" t="s">
        <v>8</v>
      </c>
      <c r="AC189" s="51"/>
      <c r="AD189" s="51"/>
      <c r="AE189" s="425" t="s">
        <v>10</v>
      </c>
      <c r="AF189" s="51"/>
      <c r="AG189" s="51"/>
      <c r="AH189" s="51"/>
      <c r="AI189" s="526"/>
    </row>
    <row r="190" spans="1:36" ht="21" customHeight="1">
      <c r="B190" s="9">
        <v>8502</v>
      </c>
      <c r="C190" s="14" t="s">
        <v>11</v>
      </c>
      <c r="D190" s="609"/>
      <c r="E190" s="55"/>
      <c r="F190" s="608"/>
      <c r="G190" s="14" t="s">
        <v>11</v>
      </c>
      <c r="H190" s="609"/>
      <c r="I190" s="55"/>
      <c r="J190" s="608"/>
      <c r="K190" s="14" t="s">
        <v>11</v>
      </c>
      <c r="L190" s="609"/>
      <c r="M190" s="55"/>
      <c r="N190" s="608"/>
      <c r="O190" s="14" t="s">
        <v>11</v>
      </c>
      <c r="P190" s="609"/>
      <c r="Q190" s="55"/>
      <c r="R190" s="608"/>
      <c r="S190" s="14" t="s">
        <v>12</v>
      </c>
      <c r="T190" s="609"/>
      <c r="U190" s="55"/>
      <c r="V190" s="608"/>
      <c r="W190" s="14"/>
      <c r="X190" s="609"/>
      <c r="Y190" s="55"/>
      <c r="Z190" s="608"/>
      <c r="AA190" s="14"/>
      <c r="AB190" s="609"/>
      <c r="AC190" s="55"/>
      <c r="AD190" s="55"/>
      <c r="AE190" s="610"/>
      <c r="AF190" s="55"/>
      <c r="AG190" s="55"/>
      <c r="AH190" s="55"/>
      <c r="AI190" s="611"/>
    </row>
    <row r="191" spans="1:36" ht="21" customHeight="1">
      <c r="B191" s="612">
        <v>3701</v>
      </c>
      <c r="C191" s="121" t="s">
        <v>11</v>
      </c>
      <c r="D191" s="131"/>
      <c r="E191" s="55"/>
      <c r="F191" s="608"/>
      <c r="G191" s="121" t="s">
        <v>11</v>
      </c>
      <c r="H191" s="609"/>
      <c r="I191" s="55"/>
      <c r="J191" s="608"/>
      <c r="K191" s="121" t="s">
        <v>11</v>
      </c>
      <c r="L191" s="609"/>
      <c r="M191" s="55"/>
      <c r="N191" s="608"/>
      <c r="O191" s="121" t="s">
        <v>11</v>
      </c>
      <c r="P191" s="609"/>
      <c r="Q191" s="55"/>
      <c r="R191" s="608"/>
      <c r="S191" s="14" t="s">
        <v>12</v>
      </c>
      <c r="T191" s="609"/>
      <c r="U191" s="55"/>
      <c r="V191" s="608"/>
      <c r="W191" s="14"/>
      <c r="X191" s="609"/>
      <c r="Y191" s="55"/>
      <c r="Z191" s="608"/>
      <c r="AA191" s="14"/>
      <c r="AB191" s="609"/>
      <c r="AC191" s="55"/>
      <c r="AD191" s="55"/>
      <c r="AE191" s="610"/>
      <c r="AF191" s="55"/>
      <c r="AG191" s="55"/>
      <c r="AH191" s="55"/>
      <c r="AI191" s="611"/>
    </row>
    <row r="192" spans="1:36" ht="21" customHeight="1">
      <c r="B192" s="612">
        <v>3705</v>
      </c>
      <c r="C192" s="121" t="s">
        <v>147</v>
      </c>
      <c r="D192" s="131"/>
      <c r="E192" s="55"/>
      <c r="F192" s="608"/>
      <c r="G192" s="121" t="s">
        <v>147</v>
      </c>
      <c r="H192" s="609"/>
      <c r="I192" s="55"/>
      <c r="J192" s="608"/>
      <c r="K192" s="121" t="s">
        <v>147</v>
      </c>
      <c r="L192" s="609"/>
      <c r="M192" s="55"/>
      <c r="N192" s="608"/>
      <c r="O192" s="121" t="s">
        <v>147</v>
      </c>
      <c r="P192" s="609"/>
      <c r="Q192" s="55"/>
      <c r="R192" s="608"/>
      <c r="S192" s="121" t="s">
        <v>578</v>
      </c>
      <c r="T192" s="609"/>
      <c r="U192" s="55"/>
      <c r="V192" s="608"/>
      <c r="W192" s="14"/>
      <c r="X192" s="609"/>
      <c r="Y192" s="55"/>
      <c r="Z192" s="608"/>
      <c r="AA192" s="14"/>
      <c r="AB192" s="609"/>
      <c r="AC192" s="55"/>
      <c r="AD192" s="55"/>
      <c r="AE192" s="610"/>
      <c r="AF192" s="55"/>
      <c r="AG192" s="55"/>
      <c r="AH192" s="55"/>
      <c r="AI192" s="611"/>
    </row>
    <row r="193" spans="1:35" ht="21" customHeight="1">
      <c r="B193" s="612" t="s">
        <v>579</v>
      </c>
      <c r="C193" s="567" t="s">
        <v>580</v>
      </c>
      <c r="D193" s="131"/>
      <c r="E193" s="55"/>
      <c r="F193" s="608"/>
      <c r="G193" s="567" t="s">
        <v>580</v>
      </c>
      <c r="H193" s="609"/>
      <c r="I193" s="55"/>
      <c r="J193" s="608"/>
      <c r="K193" s="567" t="s">
        <v>580</v>
      </c>
      <c r="L193" s="609"/>
      <c r="M193" s="55"/>
      <c r="N193" s="608"/>
      <c r="O193" s="567" t="s">
        <v>580</v>
      </c>
      <c r="P193" s="609"/>
      <c r="Q193" s="55"/>
      <c r="R193" s="608"/>
      <c r="S193" s="567" t="s">
        <v>580</v>
      </c>
      <c r="T193" s="609"/>
      <c r="U193" s="55"/>
      <c r="V193" s="608"/>
      <c r="W193" s="14"/>
      <c r="X193" s="609"/>
      <c r="Y193" s="55"/>
      <c r="Z193" s="608"/>
      <c r="AA193" s="14"/>
      <c r="AB193" s="609"/>
      <c r="AC193" s="55"/>
      <c r="AD193" s="55"/>
      <c r="AE193" s="610"/>
      <c r="AF193" s="55"/>
      <c r="AG193" s="55"/>
      <c r="AH193" s="55"/>
      <c r="AI193" s="611"/>
    </row>
    <row r="194" spans="1:35" ht="21" customHeight="1">
      <c r="B194" s="612" t="s">
        <v>581</v>
      </c>
      <c r="C194" s="567" t="s">
        <v>582</v>
      </c>
      <c r="D194" s="131"/>
      <c r="E194" s="55"/>
      <c r="F194" s="608"/>
      <c r="G194" s="609" t="s">
        <v>583</v>
      </c>
      <c r="H194" s="609"/>
      <c r="I194" s="55"/>
      <c r="J194" s="608"/>
      <c r="K194" s="609" t="s">
        <v>584</v>
      </c>
      <c r="L194" s="609"/>
      <c r="M194" s="55"/>
      <c r="N194" s="608"/>
      <c r="O194" s="609" t="s">
        <v>584</v>
      </c>
      <c r="P194" s="609"/>
      <c r="Q194" s="55"/>
      <c r="R194" s="608"/>
      <c r="S194" s="609" t="s">
        <v>585</v>
      </c>
      <c r="T194" s="609"/>
      <c r="U194" s="55"/>
      <c r="V194" s="608"/>
      <c r="W194" s="14"/>
      <c r="X194" s="609"/>
      <c r="Y194" s="55"/>
      <c r="Z194" s="608"/>
      <c r="AA194" s="14"/>
      <c r="AB194" s="609"/>
      <c r="AC194" s="55"/>
      <c r="AD194" s="55"/>
      <c r="AE194" s="610"/>
      <c r="AF194" s="55"/>
      <c r="AG194" s="55"/>
      <c r="AH194" s="55"/>
      <c r="AI194" s="611"/>
    </row>
    <row r="195" spans="1:35" ht="21" customHeight="1">
      <c r="B195" s="612" t="s">
        <v>164</v>
      </c>
      <c r="C195" s="567" t="s">
        <v>518</v>
      </c>
      <c r="D195" s="131"/>
      <c r="E195" s="55"/>
      <c r="F195" s="608"/>
      <c r="G195" s="567" t="s">
        <v>518</v>
      </c>
      <c r="H195" s="131"/>
      <c r="I195" s="55"/>
      <c r="J195" s="608"/>
      <c r="K195" s="567" t="s">
        <v>518</v>
      </c>
      <c r="L195" s="131"/>
      <c r="M195" s="55"/>
      <c r="N195" s="608"/>
      <c r="O195" s="567" t="s">
        <v>518</v>
      </c>
      <c r="P195" s="131"/>
      <c r="Q195" s="55"/>
      <c r="R195" s="608"/>
      <c r="S195" s="609" t="s">
        <v>519</v>
      </c>
      <c r="T195" s="609"/>
      <c r="U195" s="55"/>
      <c r="V195" s="608"/>
      <c r="W195" s="14"/>
      <c r="X195" s="609"/>
      <c r="Y195" s="55"/>
      <c r="Z195" s="608"/>
      <c r="AA195" s="14"/>
      <c r="AB195" s="609"/>
      <c r="AC195" s="55"/>
      <c r="AD195" s="55"/>
      <c r="AE195" s="610"/>
      <c r="AF195" s="55"/>
      <c r="AG195" s="55"/>
      <c r="AH195" s="55"/>
      <c r="AI195" s="611"/>
    </row>
    <row r="196" spans="1:35" ht="21" customHeight="1">
      <c r="B196" s="612" t="s">
        <v>167</v>
      </c>
      <c r="C196" s="567" t="s">
        <v>521</v>
      </c>
      <c r="D196" s="131"/>
      <c r="E196" s="55"/>
      <c r="F196" s="608"/>
      <c r="G196" s="567" t="s">
        <v>521</v>
      </c>
      <c r="H196" s="131"/>
      <c r="I196" s="55"/>
      <c r="J196" s="608"/>
      <c r="K196" s="567" t="s">
        <v>521</v>
      </c>
      <c r="L196" s="131"/>
      <c r="M196" s="55"/>
      <c r="N196" s="608"/>
      <c r="O196" s="567" t="s">
        <v>521</v>
      </c>
      <c r="P196" s="131"/>
      <c r="Q196" s="55"/>
      <c r="R196" s="608"/>
      <c r="S196" s="609" t="s">
        <v>522</v>
      </c>
      <c r="T196" s="609"/>
      <c r="U196" s="55"/>
      <c r="V196" s="608"/>
      <c r="W196" s="14"/>
      <c r="X196" s="609"/>
      <c r="Y196" s="55"/>
      <c r="Z196" s="608"/>
      <c r="AA196" s="14"/>
      <c r="AB196" s="609"/>
      <c r="AC196" s="55"/>
      <c r="AD196" s="55"/>
      <c r="AE196" s="610"/>
      <c r="AF196" s="55"/>
      <c r="AG196" s="55"/>
      <c r="AH196" s="55"/>
      <c r="AI196" s="611"/>
    </row>
    <row r="197" spans="1:35" ht="21" customHeight="1" thickBot="1">
      <c r="B197" s="617" t="s">
        <v>170</v>
      </c>
      <c r="C197" s="574" t="s">
        <v>524</v>
      </c>
      <c r="D197" s="48"/>
      <c r="E197" s="622"/>
      <c r="F197" s="240"/>
      <c r="G197" s="574" t="s">
        <v>524</v>
      </c>
      <c r="H197" s="48"/>
      <c r="I197" s="622"/>
      <c r="J197" s="240"/>
      <c r="K197" s="574" t="s">
        <v>524</v>
      </c>
      <c r="L197" s="48"/>
      <c r="M197" s="622"/>
      <c r="N197" s="240"/>
      <c r="O197" s="574" t="s">
        <v>524</v>
      </c>
      <c r="P197" s="48"/>
      <c r="Q197" s="622"/>
      <c r="R197" s="240"/>
      <c r="S197" s="149" t="s">
        <v>525</v>
      </c>
      <c r="T197" s="149"/>
      <c r="U197" s="622"/>
      <c r="V197" s="240"/>
      <c r="W197" s="623"/>
      <c r="X197" s="149"/>
      <c r="Y197" s="622"/>
      <c r="Z197" s="240"/>
      <c r="AA197" s="623"/>
      <c r="AB197" s="149"/>
      <c r="AC197" s="622"/>
      <c r="AD197" s="622"/>
      <c r="AE197" s="624"/>
      <c r="AF197" s="622"/>
      <c r="AG197" s="622"/>
      <c r="AH197" s="622"/>
      <c r="AI197" s="625"/>
    </row>
    <row r="198" spans="1:35" ht="21" customHeight="1">
      <c r="B198" s="274"/>
      <c r="C198" s="312"/>
      <c r="D198" s="72"/>
      <c r="G198" s="312"/>
      <c r="H198" s="72"/>
      <c r="K198" s="312"/>
      <c r="L198" s="72"/>
      <c r="O198" s="312"/>
      <c r="P198" s="72"/>
      <c r="S198" s="312"/>
      <c r="T198" s="312"/>
      <c r="X198" s="312"/>
      <c r="AB198" s="312"/>
      <c r="AE198" s="312"/>
    </row>
    <row r="199" spans="1:35" ht="21" customHeight="1" thickBot="1">
      <c r="A199" s="626" t="s">
        <v>586</v>
      </c>
    </row>
    <row r="200" spans="1:35" ht="21" customHeight="1">
      <c r="A200" s="556"/>
      <c r="B200" s="297" t="s">
        <v>480</v>
      </c>
      <c r="C200" s="1235">
        <v>1</v>
      </c>
      <c r="D200" s="1235">
        <v>2</v>
      </c>
      <c r="E200" s="1234">
        <v>3</v>
      </c>
      <c r="F200" s="1234">
        <v>4</v>
      </c>
      <c r="G200" s="1348">
        <v>5</v>
      </c>
      <c r="H200" s="1234">
        <v>6</v>
      </c>
      <c r="I200" s="1213">
        <v>7</v>
      </c>
      <c r="J200" s="1330">
        <v>8</v>
      </c>
      <c r="K200" s="1235">
        <v>9</v>
      </c>
      <c r="L200" s="1234">
        <v>10</v>
      </c>
      <c r="M200" s="1234">
        <v>11</v>
      </c>
      <c r="N200" s="1234">
        <v>12</v>
      </c>
      <c r="O200" s="1234">
        <v>13</v>
      </c>
      <c r="P200" s="1213">
        <v>14</v>
      </c>
      <c r="Q200" s="1330">
        <v>15</v>
      </c>
      <c r="R200" s="1235">
        <v>16</v>
      </c>
      <c r="S200" s="1234">
        <v>17</v>
      </c>
      <c r="T200" s="1234">
        <v>18</v>
      </c>
      <c r="U200" s="1234">
        <v>19</v>
      </c>
      <c r="V200" s="1213">
        <v>20</v>
      </c>
      <c r="W200" s="1213">
        <v>21</v>
      </c>
      <c r="X200" s="1330">
        <v>22</v>
      </c>
      <c r="Y200" s="1235">
        <v>23</v>
      </c>
      <c r="Z200" s="1234">
        <v>24</v>
      </c>
      <c r="AA200" s="1234">
        <v>25</v>
      </c>
      <c r="AB200" s="1234">
        <v>26</v>
      </c>
      <c r="AC200" s="1234">
        <v>27</v>
      </c>
      <c r="AD200" s="1213">
        <v>28</v>
      </c>
      <c r="AE200" s="1330">
        <v>29</v>
      </c>
      <c r="AF200" s="1235">
        <v>30</v>
      </c>
      <c r="AG200" s="1234"/>
      <c r="AH200" s="498" t="s">
        <v>481</v>
      </c>
      <c r="AI200" s="499" t="s">
        <v>482</v>
      </c>
    </row>
    <row r="201" spans="1:35" ht="21" customHeight="1">
      <c r="A201" s="442">
        <v>3702</v>
      </c>
      <c r="B201" s="153" t="s">
        <v>587</v>
      </c>
      <c r="C201" s="1215"/>
      <c r="D201" s="557"/>
      <c r="E201" s="557">
        <v>2</v>
      </c>
      <c r="F201" s="557">
        <v>2</v>
      </c>
      <c r="G201" s="557">
        <v>2</v>
      </c>
      <c r="H201" s="557">
        <v>2</v>
      </c>
      <c r="I201" s="557">
        <v>2</v>
      </c>
      <c r="J201" s="1215"/>
      <c r="K201" s="1215"/>
      <c r="L201" s="557">
        <v>1</v>
      </c>
      <c r="M201" s="557">
        <v>1</v>
      </c>
      <c r="N201" s="557">
        <v>1</v>
      </c>
      <c r="O201" s="557">
        <v>1</v>
      </c>
      <c r="P201" s="557">
        <v>1</v>
      </c>
      <c r="Q201" s="1215"/>
      <c r="R201" s="557"/>
      <c r="S201" s="557">
        <v>2</v>
      </c>
      <c r="T201" s="557">
        <v>2</v>
      </c>
      <c r="U201" s="557">
        <v>2</v>
      </c>
      <c r="V201" s="557">
        <v>2</v>
      </c>
      <c r="W201" s="557">
        <v>2</v>
      </c>
      <c r="X201" s="1215"/>
      <c r="Y201" s="1215"/>
      <c r="Z201" s="557">
        <v>1</v>
      </c>
      <c r="AA201" s="557">
        <v>1</v>
      </c>
      <c r="AB201" s="557">
        <v>1</v>
      </c>
      <c r="AC201" s="557">
        <v>1</v>
      </c>
      <c r="AD201" s="557">
        <v>1</v>
      </c>
      <c r="AE201" s="1208"/>
      <c r="AF201" s="1208"/>
      <c r="AG201" s="1208"/>
      <c r="AH201" s="504">
        <v>185</v>
      </c>
      <c r="AI201" s="505">
        <v>37</v>
      </c>
    </row>
    <row r="202" spans="1:35" ht="21" customHeight="1">
      <c r="A202" s="442">
        <v>3701</v>
      </c>
      <c r="B202" s="153" t="s">
        <v>588</v>
      </c>
      <c r="C202" s="1215"/>
      <c r="D202" s="557"/>
      <c r="E202" s="557" t="s">
        <v>535</v>
      </c>
      <c r="F202" s="557" t="s">
        <v>535</v>
      </c>
      <c r="G202" s="557" t="s">
        <v>535</v>
      </c>
      <c r="H202" s="557" t="s">
        <v>535</v>
      </c>
      <c r="I202" s="557" t="s">
        <v>535</v>
      </c>
      <c r="J202" s="1215"/>
      <c r="K202" s="1215"/>
      <c r="L202" s="557" t="s">
        <v>535</v>
      </c>
      <c r="M202" s="557" t="s">
        <v>535</v>
      </c>
      <c r="N202" s="557" t="s">
        <v>535</v>
      </c>
      <c r="O202" s="557" t="s">
        <v>535</v>
      </c>
      <c r="P202" s="1368" t="s">
        <v>535</v>
      </c>
      <c r="Q202" s="1215"/>
      <c r="R202" s="557"/>
      <c r="S202" s="557" t="s">
        <v>535</v>
      </c>
      <c r="T202" s="557" t="s">
        <v>535</v>
      </c>
      <c r="U202" s="557" t="s">
        <v>535</v>
      </c>
      <c r="V202" s="557" t="s">
        <v>535</v>
      </c>
      <c r="W202" s="557" t="s">
        <v>535</v>
      </c>
      <c r="X202" s="1215"/>
      <c r="Y202" s="1215"/>
      <c r="Z202" s="557" t="s">
        <v>535</v>
      </c>
      <c r="AA202" s="557" t="s">
        <v>535</v>
      </c>
      <c r="AB202" s="557" t="s">
        <v>535</v>
      </c>
      <c r="AC202" s="557" t="s">
        <v>535</v>
      </c>
      <c r="AD202" s="557" t="s">
        <v>535</v>
      </c>
      <c r="AE202" s="1208"/>
      <c r="AF202" s="1208"/>
      <c r="AG202" s="1208"/>
      <c r="AH202" s="504">
        <v>185</v>
      </c>
      <c r="AI202" s="505">
        <v>37</v>
      </c>
    </row>
    <row r="203" spans="1:35" ht="21" customHeight="1">
      <c r="A203" s="442">
        <v>3702</v>
      </c>
      <c r="B203" s="153" t="s">
        <v>589</v>
      </c>
      <c r="C203" s="1215"/>
      <c r="D203" s="557"/>
      <c r="E203" s="557">
        <v>1</v>
      </c>
      <c r="F203" s="557">
        <v>1</v>
      </c>
      <c r="G203" s="557">
        <v>1</v>
      </c>
      <c r="H203" s="557">
        <v>1</v>
      </c>
      <c r="I203" s="557">
        <v>1</v>
      </c>
      <c r="J203" s="1215"/>
      <c r="K203" s="1215"/>
      <c r="L203" s="557">
        <v>2</v>
      </c>
      <c r="M203" s="557">
        <v>2</v>
      </c>
      <c r="N203" s="557">
        <v>2</v>
      </c>
      <c r="O203" s="557">
        <v>2</v>
      </c>
      <c r="P203" s="557">
        <v>2</v>
      </c>
      <c r="Q203" s="1215"/>
      <c r="R203" s="557"/>
      <c r="S203" s="557">
        <v>1</v>
      </c>
      <c r="T203" s="557">
        <v>1</v>
      </c>
      <c r="U203" s="557">
        <v>1</v>
      </c>
      <c r="V203" s="557">
        <v>1</v>
      </c>
      <c r="W203" s="557">
        <v>1</v>
      </c>
      <c r="X203" s="1215"/>
      <c r="Y203" s="1215"/>
      <c r="Z203" s="557">
        <v>2</v>
      </c>
      <c r="AA203" s="557">
        <v>2</v>
      </c>
      <c r="AB203" s="557">
        <v>2</v>
      </c>
      <c r="AC203" s="557">
        <v>2</v>
      </c>
      <c r="AD203" s="557">
        <v>2</v>
      </c>
      <c r="AE203" s="1208"/>
      <c r="AF203" s="1208"/>
      <c r="AG203" s="1208"/>
      <c r="AH203" s="504">
        <v>185</v>
      </c>
      <c r="AI203" s="505">
        <v>37</v>
      </c>
    </row>
    <row r="204" spans="1:35" ht="21" customHeight="1">
      <c r="A204" s="627">
        <v>3706</v>
      </c>
      <c r="B204" s="545"/>
      <c r="C204" s="1215"/>
      <c r="D204" s="1215"/>
      <c r="E204" s="1215"/>
      <c r="F204" s="1215"/>
      <c r="G204" s="1215"/>
      <c r="H204" s="1215"/>
      <c r="I204" s="1215"/>
      <c r="J204" s="1215"/>
      <c r="K204" s="1215"/>
      <c r="L204" s="1215"/>
      <c r="M204" s="1215"/>
      <c r="N204" s="1215"/>
      <c r="O204" s="1215"/>
      <c r="P204" s="1215"/>
      <c r="Q204" s="1215"/>
      <c r="R204" s="1215"/>
      <c r="S204" s="1215"/>
      <c r="T204" s="1215"/>
      <c r="U204" s="1215"/>
      <c r="V204" s="1215"/>
      <c r="W204" s="1215"/>
      <c r="X204" s="1215"/>
      <c r="Y204" s="1215"/>
      <c r="Z204" s="1215"/>
      <c r="AA204" s="1215"/>
      <c r="AB204" s="1215"/>
      <c r="AC204" s="1215"/>
      <c r="AD204" s="1215"/>
      <c r="AE204" s="1215"/>
      <c r="AF204" s="1215"/>
      <c r="AG204" s="1215"/>
      <c r="AH204" s="504">
        <v>185</v>
      </c>
      <c r="AI204" s="505">
        <v>37</v>
      </c>
    </row>
    <row r="205" spans="1:35" ht="21" customHeight="1">
      <c r="A205" s="628"/>
      <c r="B205" s="629" t="s">
        <v>590</v>
      </c>
      <c r="C205" s="630"/>
      <c r="D205" s="630"/>
      <c r="E205" s="630"/>
      <c r="F205" s="630"/>
      <c r="G205" s="630"/>
      <c r="H205" s="630"/>
      <c r="I205" s="630"/>
      <c r="J205" s="630"/>
      <c r="K205" s="630"/>
      <c r="L205" s="630"/>
      <c r="M205" s="630"/>
      <c r="N205" s="630"/>
      <c r="O205" s="630"/>
      <c r="P205" s="630"/>
      <c r="Q205" s="630"/>
      <c r="R205" s="630"/>
      <c r="S205" s="630"/>
      <c r="T205" s="630"/>
      <c r="U205" s="630"/>
      <c r="V205" s="630"/>
      <c r="W205" s="630"/>
      <c r="X205" s="630"/>
      <c r="Y205" s="630"/>
      <c r="Z205" s="630"/>
      <c r="AA205" s="630"/>
      <c r="AB205" s="630"/>
      <c r="AC205" s="630"/>
      <c r="AD205" s="630"/>
      <c r="AE205" s="630"/>
      <c r="AF205" s="630"/>
      <c r="AG205" s="631"/>
      <c r="AH205" s="632"/>
      <c r="AI205" s="633"/>
    </row>
    <row r="206" spans="1:35" ht="21" customHeight="1">
      <c r="A206" s="442">
        <v>3702</v>
      </c>
      <c r="B206" s="902" t="s">
        <v>520</v>
      </c>
      <c r="C206" s="557"/>
      <c r="D206" s="557"/>
      <c r="E206" s="557" t="s">
        <v>591</v>
      </c>
      <c r="F206" s="557" t="s">
        <v>591</v>
      </c>
      <c r="G206" s="557" t="s">
        <v>591</v>
      </c>
      <c r="H206" s="557" t="s">
        <v>591</v>
      </c>
      <c r="I206" s="557" t="s">
        <v>591</v>
      </c>
      <c r="J206" s="1215"/>
      <c r="K206" s="1215"/>
      <c r="L206" s="557" t="s">
        <v>591</v>
      </c>
      <c r="M206" s="557" t="s">
        <v>591</v>
      </c>
      <c r="N206" s="557" t="s">
        <v>591</v>
      </c>
      <c r="O206" s="557" t="s">
        <v>591</v>
      </c>
      <c r="P206" s="557" t="s">
        <v>591</v>
      </c>
      <c r="Q206" s="502"/>
      <c r="R206" s="502"/>
      <c r="S206" s="557" t="s">
        <v>591</v>
      </c>
      <c r="T206" s="557" t="s">
        <v>591</v>
      </c>
      <c r="U206" s="557" t="s">
        <v>591</v>
      </c>
      <c r="V206" s="557" t="s">
        <v>591</v>
      </c>
      <c r="W206" s="557" t="s">
        <v>591</v>
      </c>
      <c r="X206" s="557"/>
      <c r="Y206" s="557"/>
      <c r="Z206" s="1362" t="s">
        <v>591</v>
      </c>
      <c r="AA206" s="1362" t="s">
        <v>591</v>
      </c>
      <c r="AB206" s="1362" t="s">
        <v>591</v>
      </c>
      <c r="AC206" s="1362" t="s">
        <v>591</v>
      </c>
      <c r="AD206" s="1362" t="s">
        <v>591</v>
      </c>
      <c r="AE206" s="1358"/>
      <c r="AF206" s="1358"/>
      <c r="AG206" s="557"/>
      <c r="AH206" s="504">
        <v>185</v>
      </c>
      <c r="AI206" s="505">
        <v>37</v>
      </c>
    </row>
    <row r="207" spans="1:35" ht="21" customHeight="1">
      <c r="A207" s="442"/>
      <c r="B207" s="153" t="s">
        <v>517</v>
      </c>
      <c r="C207" s="557"/>
      <c r="D207" s="557"/>
      <c r="E207" s="1439" t="s">
        <v>592</v>
      </c>
      <c r="F207" s="1439" t="s">
        <v>736</v>
      </c>
      <c r="G207" s="557" t="s">
        <v>592</v>
      </c>
      <c r="H207" s="557" t="s">
        <v>592</v>
      </c>
      <c r="I207" s="557" t="s">
        <v>592</v>
      </c>
      <c r="J207" s="1215"/>
      <c r="K207" s="1215"/>
      <c r="L207" s="557" t="s">
        <v>592</v>
      </c>
      <c r="M207" s="557" t="s">
        <v>592</v>
      </c>
      <c r="N207" s="557" t="s">
        <v>592</v>
      </c>
      <c r="O207" s="557" t="s">
        <v>592</v>
      </c>
      <c r="P207" s="557" t="s">
        <v>592</v>
      </c>
      <c r="Q207" s="502"/>
      <c r="R207" s="502"/>
      <c r="S207" s="557" t="s">
        <v>592</v>
      </c>
      <c r="T207" s="557" t="s">
        <v>592</v>
      </c>
      <c r="U207" s="557" t="s">
        <v>592</v>
      </c>
      <c r="V207" s="557" t="s">
        <v>592</v>
      </c>
      <c r="W207" s="557" t="s">
        <v>592</v>
      </c>
      <c r="X207" s="557"/>
      <c r="Y207" s="557"/>
      <c r="Z207" s="557" t="s">
        <v>592</v>
      </c>
      <c r="AA207" s="557" t="s">
        <v>592</v>
      </c>
      <c r="AB207" s="557" t="s">
        <v>592</v>
      </c>
      <c r="AC207" s="557" t="s">
        <v>592</v>
      </c>
      <c r="AD207" s="557" t="s">
        <v>592</v>
      </c>
      <c r="AE207" s="1215"/>
      <c r="AF207" s="1215"/>
      <c r="AG207" s="557"/>
      <c r="AH207" s="504">
        <v>185</v>
      </c>
      <c r="AI207" s="505">
        <v>37</v>
      </c>
    </row>
    <row r="208" spans="1:35" ht="21" customHeight="1">
      <c r="A208" s="442"/>
      <c r="B208" s="153" t="s">
        <v>523</v>
      </c>
      <c r="C208" s="557"/>
      <c r="D208" s="557"/>
      <c r="E208" s="557" t="s">
        <v>556</v>
      </c>
      <c r="F208" s="557" t="s">
        <v>556</v>
      </c>
      <c r="G208" s="557" t="s">
        <v>556</v>
      </c>
      <c r="H208" s="557" t="s">
        <v>556</v>
      </c>
      <c r="I208" s="557" t="s">
        <v>556</v>
      </c>
      <c r="J208" s="1215"/>
      <c r="K208" s="1215"/>
      <c r="L208" s="557" t="s">
        <v>556</v>
      </c>
      <c r="M208" s="557" t="s">
        <v>556</v>
      </c>
      <c r="N208" s="557" t="s">
        <v>556</v>
      </c>
      <c r="O208" s="557" t="s">
        <v>556</v>
      </c>
      <c r="P208" s="557" t="s">
        <v>556</v>
      </c>
      <c r="Q208" s="502"/>
      <c r="R208" s="502"/>
      <c r="S208" s="557" t="s">
        <v>556</v>
      </c>
      <c r="T208" s="557" t="s">
        <v>556</v>
      </c>
      <c r="U208" s="557" t="s">
        <v>556</v>
      </c>
      <c r="V208" s="557" t="s">
        <v>556</v>
      </c>
      <c r="W208" s="557" t="s">
        <v>556</v>
      </c>
      <c r="X208" s="557"/>
      <c r="Y208" s="557"/>
      <c r="Z208" s="557" t="s">
        <v>556</v>
      </c>
      <c r="AA208" s="557" t="s">
        <v>556</v>
      </c>
      <c r="AB208" s="557" t="s">
        <v>556</v>
      </c>
      <c r="AC208" s="557" t="s">
        <v>556</v>
      </c>
      <c r="AD208" s="557" t="s">
        <v>556</v>
      </c>
      <c r="AE208" s="1215"/>
      <c r="AF208" s="1215"/>
      <c r="AG208" s="557"/>
      <c r="AH208" s="504">
        <v>185</v>
      </c>
      <c r="AI208" s="505">
        <v>37</v>
      </c>
    </row>
    <row r="209" spans="1:35" ht="21" customHeight="1"/>
    <row r="210" spans="1:35" ht="21" customHeight="1"/>
    <row r="211" spans="1:35" ht="21" customHeight="1" thickBot="1">
      <c r="A211" s="1" t="s">
        <v>593</v>
      </c>
    </row>
    <row r="212" spans="1:35" ht="21" customHeight="1">
      <c r="B212" s="201" t="s">
        <v>516</v>
      </c>
      <c r="C212" s="7"/>
      <c r="D212" s="525" t="s">
        <v>2</v>
      </c>
      <c r="E212" s="51"/>
      <c r="F212" s="551"/>
      <c r="G212" s="7"/>
      <c r="H212" s="525" t="s">
        <v>3</v>
      </c>
      <c r="I212" s="51"/>
      <c r="J212" s="551"/>
      <c r="K212" s="7"/>
      <c r="L212" s="525" t="s">
        <v>4</v>
      </c>
      <c r="M212" s="51"/>
      <c r="N212" s="551"/>
      <c r="O212" s="7"/>
      <c r="P212" s="525" t="s">
        <v>5</v>
      </c>
      <c r="Q212" s="51"/>
      <c r="R212" s="551"/>
      <c r="S212" s="7"/>
      <c r="T212" s="525" t="s">
        <v>6</v>
      </c>
      <c r="U212" s="51"/>
      <c r="V212" s="551"/>
      <c r="W212" s="7"/>
      <c r="X212" s="525" t="s">
        <v>7</v>
      </c>
      <c r="Y212" s="51"/>
      <c r="Z212" s="551"/>
      <c r="AA212" s="7"/>
      <c r="AB212" s="525" t="s">
        <v>8</v>
      </c>
      <c r="AC212" s="51"/>
      <c r="AD212" s="51"/>
      <c r="AE212" s="425" t="s">
        <v>10</v>
      </c>
      <c r="AF212" s="51"/>
      <c r="AG212" s="51"/>
      <c r="AH212" s="51"/>
      <c r="AI212" s="526"/>
    </row>
    <row r="213" spans="1:35" ht="21" customHeight="1">
      <c r="B213" s="9">
        <v>8500</v>
      </c>
      <c r="C213" s="121" t="s">
        <v>33</v>
      </c>
      <c r="D213" s="609"/>
      <c r="E213" s="55"/>
      <c r="F213" s="608"/>
      <c r="G213" s="121" t="s">
        <v>33</v>
      </c>
      <c r="H213" s="609"/>
      <c r="I213" s="55"/>
      <c r="J213" s="608"/>
      <c r="K213" s="121" t="s">
        <v>33</v>
      </c>
      <c r="L213" s="609"/>
      <c r="M213" s="55"/>
      <c r="N213" s="608"/>
      <c r="O213" s="121" t="s">
        <v>33</v>
      </c>
      <c r="P213" s="609"/>
      <c r="Q213" s="55"/>
      <c r="R213" s="608"/>
      <c r="S213" s="121" t="s">
        <v>34</v>
      </c>
      <c r="T213" s="609"/>
      <c r="U213" s="55"/>
      <c r="V213" s="608"/>
      <c r="W213" s="14"/>
      <c r="X213" s="609"/>
      <c r="Y213" s="55"/>
      <c r="Z213" s="608"/>
      <c r="AA213" s="14"/>
      <c r="AB213" s="609"/>
      <c r="AC213" s="55"/>
      <c r="AD213" s="55"/>
      <c r="AE213" s="610"/>
      <c r="AF213" s="55"/>
      <c r="AG213" s="55"/>
      <c r="AH213" s="55"/>
      <c r="AI213" s="611"/>
    </row>
    <row r="214" spans="1:35" ht="21" customHeight="1" thickBot="1">
      <c r="B214" s="163" t="s">
        <v>594</v>
      </c>
      <c r="C214" s="634" t="s">
        <v>595</v>
      </c>
      <c r="D214" s="635"/>
      <c r="E214" s="622"/>
      <c r="F214" s="240"/>
      <c r="G214" s="634" t="s">
        <v>595</v>
      </c>
      <c r="H214" s="149"/>
      <c r="I214" s="622"/>
      <c r="J214" s="240"/>
      <c r="K214" s="634" t="s">
        <v>595</v>
      </c>
      <c r="L214" s="149"/>
      <c r="M214" s="622"/>
      <c r="N214" s="240"/>
      <c r="O214" s="634" t="s">
        <v>596</v>
      </c>
      <c r="P214" s="149"/>
      <c r="Q214" s="622"/>
      <c r="R214" s="240"/>
      <c r="S214" s="634" t="s">
        <v>16</v>
      </c>
      <c r="T214" s="149"/>
      <c r="U214" s="622"/>
      <c r="V214" s="240"/>
      <c r="W214" s="623"/>
      <c r="X214" s="149"/>
      <c r="Y214" s="622"/>
      <c r="Z214" s="240"/>
      <c r="AA214" s="623"/>
      <c r="AB214" s="149"/>
      <c r="AC214" s="622"/>
      <c r="AD214" s="622"/>
      <c r="AE214" s="624"/>
      <c r="AF214" s="622"/>
      <c r="AG214" s="622"/>
      <c r="AH214" s="622"/>
      <c r="AI214" s="625"/>
    </row>
    <row r="215" spans="1:35" ht="21" customHeight="1" thickBot="1">
      <c r="A215" s="60" t="s">
        <v>597</v>
      </c>
    </row>
    <row r="216" spans="1:35" ht="21" customHeight="1">
      <c r="A216" s="636"/>
      <c r="B216" s="297" t="s">
        <v>480</v>
      </c>
      <c r="C216" s="1235">
        <v>1</v>
      </c>
      <c r="D216" s="1235">
        <v>2</v>
      </c>
      <c r="E216" s="1234">
        <v>3</v>
      </c>
      <c r="F216" s="1234">
        <v>4</v>
      </c>
      <c r="G216" s="1348">
        <v>5</v>
      </c>
      <c r="H216" s="1234">
        <v>6</v>
      </c>
      <c r="I216" s="1213">
        <v>7</v>
      </c>
      <c r="J216" s="1330">
        <v>8</v>
      </c>
      <c r="K216" s="1235">
        <v>9</v>
      </c>
      <c r="L216" s="1234">
        <v>10</v>
      </c>
      <c r="M216" s="1234">
        <v>11</v>
      </c>
      <c r="N216" s="1234">
        <v>12</v>
      </c>
      <c r="O216" s="1234">
        <v>13</v>
      </c>
      <c r="P216" s="1213">
        <v>14</v>
      </c>
      <c r="Q216" s="1330">
        <v>15</v>
      </c>
      <c r="R216" s="1235">
        <v>16</v>
      </c>
      <c r="S216" s="1234">
        <v>17</v>
      </c>
      <c r="T216" s="1234">
        <v>18</v>
      </c>
      <c r="U216" s="1234">
        <v>19</v>
      </c>
      <c r="V216" s="1213">
        <v>20</v>
      </c>
      <c r="W216" s="1213">
        <v>21</v>
      </c>
      <c r="X216" s="1330">
        <v>22</v>
      </c>
      <c r="Y216" s="1235">
        <v>23</v>
      </c>
      <c r="Z216" s="1234">
        <v>24</v>
      </c>
      <c r="AA216" s="1234">
        <v>25</v>
      </c>
      <c r="AB216" s="1234">
        <v>26</v>
      </c>
      <c r="AC216" s="1234">
        <v>27</v>
      </c>
      <c r="AD216" s="1213">
        <v>28</v>
      </c>
      <c r="AE216" s="1330">
        <v>29</v>
      </c>
      <c r="AF216" s="1235">
        <v>30</v>
      </c>
      <c r="AG216" s="1234"/>
      <c r="AH216" s="498" t="s">
        <v>481</v>
      </c>
      <c r="AI216" s="499" t="s">
        <v>482</v>
      </c>
    </row>
    <row r="217" spans="1:35" ht="21" customHeight="1">
      <c r="A217" s="155">
        <v>8500</v>
      </c>
      <c r="B217" s="637" t="s">
        <v>598</v>
      </c>
      <c r="C217" s="1215"/>
      <c r="D217" s="557"/>
      <c r="E217" s="557" t="s">
        <v>535</v>
      </c>
      <c r="F217" s="557" t="s">
        <v>535</v>
      </c>
      <c r="G217" s="557" t="s">
        <v>535</v>
      </c>
      <c r="H217" s="557" t="s">
        <v>535</v>
      </c>
      <c r="I217" s="557" t="s">
        <v>535</v>
      </c>
      <c r="J217" s="1215"/>
      <c r="K217" s="1215"/>
      <c r="L217" s="557" t="s">
        <v>535</v>
      </c>
      <c r="M217" s="557" t="s">
        <v>535</v>
      </c>
      <c r="N217" s="557" t="s">
        <v>535</v>
      </c>
      <c r="O217" s="557" t="s">
        <v>535</v>
      </c>
      <c r="P217" s="557" t="s">
        <v>535</v>
      </c>
      <c r="Q217" s="1215"/>
      <c r="R217" s="557"/>
      <c r="S217" s="1208" t="s">
        <v>535</v>
      </c>
      <c r="T217" s="1365" t="s">
        <v>535</v>
      </c>
      <c r="U217" s="1439" t="s">
        <v>535</v>
      </c>
      <c r="V217" s="1439" t="s">
        <v>535</v>
      </c>
      <c r="W217" s="1439" t="s">
        <v>535</v>
      </c>
      <c r="X217" s="1215"/>
      <c r="Y217" s="1215"/>
      <c r="Z217" s="557" t="s">
        <v>535</v>
      </c>
      <c r="AA217" s="557" t="s">
        <v>535</v>
      </c>
      <c r="AB217" s="557" t="s">
        <v>535</v>
      </c>
      <c r="AC217" s="557" t="s">
        <v>535</v>
      </c>
      <c r="AD217" s="557" t="s">
        <v>535</v>
      </c>
      <c r="AE217" s="1208"/>
      <c r="AF217" s="1208"/>
      <c r="AG217" s="1208"/>
      <c r="AH217" s="638">
        <v>185</v>
      </c>
      <c r="AI217" s="639">
        <v>37</v>
      </c>
    </row>
    <row r="218" spans="1:35" ht="21" customHeight="1">
      <c r="A218" s="500" t="s">
        <v>599</v>
      </c>
      <c r="B218" s="153" t="s">
        <v>600</v>
      </c>
      <c r="C218" s="1215"/>
      <c r="D218" s="557"/>
      <c r="E218" s="557" t="s">
        <v>535</v>
      </c>
      <c r="F218" s="557" t="s">
        <v>535</v>
      </c>
      <c r="G218" s="557" t="s">
        <v>535</v>
      </c>
      <c r="H218" s="557" t="s">
        <v>535</v>
      </c>
      <c r="I218" s="557" t="s">
        <v>535</v>
      </c>
      <c r="J218" s="1215"/>
      <c r="K218" s="1215"/>
      <c r="L218" s="557" t="s">
        <v>535</v>
      </c>
      <c r="M218" s="557" t="s">
        <v>535</v>
      </c>
      <c r="N218" s="557" t="s">
        <v>535</v>
      </c>
      <c r="O218" s="1439" t="s">
        <v>535</v>
      </c>
      <c r="P218" s="1439" t="s">
        <v>535</v>
      </c>
      <c r="Q218" s="1215"/>
      <c r="R218" s="557"/>
      <c r="S218" s="1439" t="s">
        <v>535</v>
      </c>
      <c r="T218" s="1439" t="s">
        <v>535</v>
      </c>
      <c r="U218" s="1439" t="s">
        <v>535</v>
      </c>
      <c r="V218" s="1439" t="s">
        <v>535</v>
      </c>
      <c r="W218" s="1439" t="s">
        <v>535</v>
      </c>
      <c r="X218" s="1215"/>
      <c r="Y218" s="1215"/>
      <c r="Z218" s="1439" t="s">
        <v>535</v>
      </c>
      <c r="AA218" s="1439" t="s">
        <v>535</v>
      </c>
      <c r="AB218" s="1439" t="s">
        <v>535</v>
      </c>
      <c r="AC218" s="1439" t="s">
        <v>535</v>
      </c>
      <c r="AD218" s="1439" t="s">
        <v>535</v>
      </c>
      <c r="AE218" s="1208"/>
      <c r="AF218" s="1208"/>
      <c r="AG218" s="1208"/>
      <c r="AH218" s="638">
        <v>185</v>
      </c>
      <c r="AI218" s="639">
        <v>37</v>
      </c>
    </row>
    <row r="219" spans="1:35" ht="21" customHeight="1">
      <c r="A219" s="153">
        <v>8500</v>
      </c>
      <c r="B219" s="153" t="s">
        <v>737</v>
      </c>
      <c r="C219" s="1215"/>
      <c r="D219" s="557"/>
      <c r="E219" s="557" t="s">
        <v>535</v>
      </c>
      <c r="F219" s="557" t="s">
        <v>535</v>
      </c>
      <c r="G219" s="557" t="s">
        <v>535</v>
      </c>
      <c r="H219" s="557" t="s">
        <v>535</v>
      </c>
      <c r="I219" s="557" t="s">
        <v>535</v>
      </c>
      <c r="J219" s="1215"/>
      <c r="K219" s="1215"/>
      <c r="L219" s="557" t="s">
        <v>535</v>
      </c>
      <c r="M219" s="557" t="s">
        <v>535</v>
      </c>
      <c r="N219" s="557" t="s">
        <v>535</v>
      </c>
      <c r="O219" s="557" t="s">
        <v>535</v>
      </c>
      <c r="P219" s="557" t="s">
        <v>535</v>
      </c>
      <c r="Q219" s="1215"/>
      <c r="R219" s="557"/>
      <c r="S219" s="557" t="s">
        <v>535</v>
      </c>
      <c r="T219" s="557" t="s">
        <v>535</v>
      </c>
      <c r="U219" s="557" t="s">
        <v>535</v>
      </c>
      <c r="V219" s="557" t="s">
        <v>535</v>
      </c>
      <c r="W219" s="557" t="s">
        <v>535</v>
      </c>
      <c r="X219" s="1215"/>
      <c r="Y219" s="1215"/>
      <c r="Z219" s="557" t="s">
        <v>535</v>
      </c>
      <c r="AA219" s="557" t="s">
        <v>535</v>
      </c>
      <c r="AB219" s="557" t="s">
        <v>535</v>
      </c>
      <c r="AC219" s="557" t="s">
        <v>535</v>
      </c>
      <c r="AD219" s="557" t="s">
        <v>535</v>
      </c>
      <c r="AE219" s="1208"/>
      <c r="AF219" s="1208"/>
      <c r="AG219" s="1208"/>
      <c r="AH219" s="638">
        <v>185</v>
      </c>
      <c r="AI219" s="639">
        <v>37</v>
      </c>
    </row>
    <row r="220" spans="1:35" ht="21.95" customHeight="1">
      <c r="A220" s="442"/>
      <c r="B220" s="153" t="s">
        <v>601</v>
      </c>
      <c r="C220" s="1215"/>
      <c r="D220" s="557"/>
      <c r="E220" s="557" t="s">
        <v>535</v>
      </c>
      <c r="F220" s="557" t="s">
        <v>535</v>
      </c>
      <c r="G220" s="557" t="s">
        <v>535</v>
      </c>
      <c r="H220" s="557" t="s">
        <v>535</v>
      </c>
      <c r="I220" s="557" t="s">
        <v>535</v>
      </c>
      <c r="J220" s="1215"/>
      <c r="K220" s="1215"/>
      <c r="L220" s="557" t="s">
        <v>535</v>
      </c>
      <c r="M220" s="557" t="s">
        <v>535</v>
      </c>
      <c r="N220" s="557" t="s">
        <v>535</v>
      </c>
      <c r="O220" s="557" t="s">
        <v>535</v>
      </c>
      <c r="P220" s="557" t="s">
        <v>535</v>
      </c>
      <c r="Q220" s="1215"/>
      <c r="R220" s="557"/>
      <c r="S220" s="557" t="s">
        <v>535</v>
      </c>
      <c r="T220" s="557" t="s">
        <v>535</v>
      </c>
      <c r="U220" s="557" t="s">
        <v>535</v>
      </c>
      <c r="V220" s="557" t="s">
        <v>535</v>
      </c>
      <c r="W220" s="557" t="s">
        <v>535</v>
      </c>
      <c r="X220" s="1215"/>
      <c r="Y220" s="1215"/>
      <c r="Z220" s="557" t="s">
        <v>535</v>
      </c>
      <c r="AA220" s="557" t="s">
        <v>535</v>
      </c>
      <c r="AB220" s="557" t="s">
        <v>535</v>
      </c>
      <c r="AC220" s="557" t="s">
        <v>535</v>
      </c>
      <c r="AD220" s="557" t="s">
        <v>535</v>
      </c>
      <c r="AE220" s="1208"/>
      <c r="AF220" s="1208"/>
      <c r="AG220" s="1208"/>
      <c r="AH220" s="638">
        <v>185</v>
      </c>
      <c r="AI220" s="639">
        <v>37</v>
      </c>
    </row>
    <row r="221" spans="1:35" ht="21.95" customHeight="1">
      <c r="A221" s="511">
        <v>3350</v>
      </c>
      <c r="B221" s="54" t="s">
        <v>602</v>
      </c>
      <c r="C221" s="1215"/>
      <c r="D221" s="557"/>
      <c r="E221" s="557" t="s">
        <v>535</v>
      </c>
      <c r="F221" s="557" t="s">
        <v>535</v>
      </c>
      <c r="G221" s="557" t="s">
        <v>535</v>
      </c>
      <c r="H221" s="557" t="s">
        <v>535</v>
      </c>
      <c r="I221" s="557" t="s">
        <v>535</v>
      </c>
      <c r="J221" s="1215"/>
      <c r="K221" s="1215"/>
      <c r="L221" s="1362" t="s">
        <v>535</v>
      </c>
      <c r="M221" s="1362" t="s">
        <v>535</v>
      </c>
      <c r="N221" s="1362" t="s">
        <v>535</v>
      </c>
      <c r="O221" s="1362" t="s">
        <v>535</v>
      </c>
      <c r="P221" s="1362" t="s">
        <v>535</v>
      </c>
      <c r="Q221" s="1358"/>
      <c r="R221" s="1362"/>
      <c r="S221" s="1362" t="s">
        <v>535</v>
      </c>
      <c r="T221" s="1362" t="s">
        <v>535</v>
      </c>
      <c r="U221" s="1362" t="s">
        <v>535</v>
      </c>
      <c r="V221" s="1362" t="s">
        <v>535</v>
      </c>
      <c r="W221" s="1362" t="s">
        <v>535</v>
      </c>
      <c r="X221" s="1358"/>
      <c r="Y221" s="1358"/>
      <c r="Z221" s="1362" t="s">
        <v>535</v>
      </c>
      <c r="AA221" s="1362" t="s">
        <v>535</v>
      </c>
      <c r="AB221" s="1362" t="s">
        <v>535</v>
      </c>
      <c r="AC221" s="1362" t="s">
        <v>535</v>
      </c>
      <c r="AD221" s="1362" t="s">
        <v>535</v>
      </c>
      <c r="AE221" s="1362"/>
      <c r="AF221" s="1362"/>
      <c r="AG221" s="1208"/>
      <c r="AH221" s="638">
        <v>185</v>
      </c>
      <c r="AI221" s="639">
        <v>37</v>
      </c>
    </row>
    <row r="222" spans="1:35" ht="21.95" customHeight="1">
      <c r="A222" s="519">
        <v>3701</v>
      </c>
      <c r="B222" s="153" t="s">
        <v>603</v>
      </c>
      <c r="C222" s="1215"/>
      <c r="D222" s="557"/>
      <c r="E222" s="557" t="s">
        <v>535</v>
      </c>
      <c r="F222" s="557" t="s">
        <v>535</v>
      </c>
      <c r="G222" s="557" t="s">
        <v>535</v>
      </c>
      <c r="H222" s="557" t="s">
        <v>535</v>
      </c>
      <c r="I222" s="557" t="s">
        <v>535</v>
      </c>
      <c r="J222" s="1215"/>
      <c r="K222" s="1215"/>
      <c r="L222" s="557" t="s">
        <v>535</v>
      </c>
      <c r="M222" s="557" t="s">
        <v>535</v>
      </c>
      <c r="N222" s="557" t="s">
        <v>535</v>
      </c>
      <c r="O222" s="557" t="s">
        <v>535</v>
      </c>
      <c r="P222" s="557" t="s">
        <v>535</v>
      </c>
      <c r="Q222" s="1215"/>
      <c r="R222" s="557"/>
      <c r="S222" s="557" t="s">
        <v>535</v>
      </c>
      <c r="T222" s="557" t="s">
        <v>535</v>
      </c>
      <c r="U222" s="557" t="s">
        <v>535</v>
      </c>
      <c r="V222" s="557" t="s">
        <v>535</v>
      </c>
      <c r="W222" s="557" t="s">
        <v>535</v>
      </c>
      <c r="X222" s="1215"/>
      <c r="Y222" s="1215"/>
      <c r="Z222" s="557" t="s">
        <v>535</v>
      </c>
      <c r="AA222" s="557" t="s">
        <v>535</v>
      </c>
      <c r="AB222" s="557" t="s">
        <v>535</v>
      </c>
      <c r="AC222" s="557" t="s">
        <v>535</v>
      </c>
      <c r="AD222" s="557" t="s">
        <v>535</v>
      </c>
      <c r="AE222" s="1208"/>
      <c r="AF222" s="1208"/>
      <c r="AG222" s="1208"/>
      <c r="AH222" s="638">
        <v>185</v>
      </c>
      <c r="AI222" s="639">
        <v>37</v>
      </c>
    </row>
    <row r="223" spans="1:35" ht="25.5" customHeight="1" thickBot="1">
      <c r="A223" s="1" t="s">
        <v>604</v>
      </c>
    </row>
    <row r="224" spans="1:35" ht="21" customHeight="1">
      <c r="A224" s="1"/>
      <c r="B224" s="201" t="s">
        <v>516</v>
      </c>
      <c r="C224" s="7"/>
      <c r="D224" s="525" t="s">
        <v>2</v>
      </c>
      <c r="E224" s="51"/>
      <c r="F224" s="551"/>
      <c r="G224" s="7"/>
      <c r="H224" s="525" t="s">
        <v>3</v>
      </c>
      <c r="I224" s="51"/>
      <c r="J224" s="551"/>
      <c r="K224" s="7"/>
      <c r="L224" s="525" t="s">
        <v>4</v>
      </c>
      <c r="M224" s="51"/>
      <c r="N224" s="551"/>
      <c r="O224" s="7"/>
      <c r="P224" s="525" t="s">
        <v>5</v>
      </c>
      <c r="Q224" s="51"/>
      <c r="R224" s="551"/>
      <c r="S224" s="7"/>
      <c r="T224" s="525" t="s">
        <v>6</v>
      </c>
      <c r="U224" s="51"/>
      <c r="V224" s="551"/>
      <c r="W224" s="7"/>
      <c r="X224" s="525" t="s">
        <v>7</v>
      </c>
      <c r="Y224" s="51"/>
      <c r="Z224" s="551"/>
      <c r="AA224" s="7"/>
      <c r="AB224" s="525" t="s">
        <v>8</v>
      </c>
      <c r="AC224" s="51"/>
      <c r="AD224" s="51"/>
      <c r="AE224" s="425" t="s">
        <v>10</v>
      </c>
      <c r="AF224" s="51"/>
      <c r="AG224" s="51"/>
      <c r="AH224" s="51"/>
      <c r="AI224" s="526"/>
    </row>
    <row r="225" spans="1:35" ht="21" customHeight="1">
      <c r="A225" s="1"/>
      <c r="B225" s="9"/>
      <c r="C225" s="14"/>
      <c r="D225" s="609"/>
      <c r="E225" s="55"/>
      <c r="F225" s="608"/>
      <c r="G225" s="14"/>
      <c r="H225" s="609"/>
      <c r="I225" s="55"/>
      <c r="J225" s="608"/>
      <c r="K225" s="14"/>
      <c r="L225" s="609"/>
      <c r="M225" s="55"/>
      <c r="N225" s="608"/>
      <c r="O225" s="14"/>
      <c r="P225" s="609"/>
      <c r="Q225" s="55"/>
      <c r="R225" s="608"/>
      <c r="S225" s="14"/>
      <c r="T225" s="609"/>
      <c r="U225" s="55"/>
      <c r="V225" s="608"/>
      <c r="W225" s="14"/>
      <c r="X225" s="609"/>
      <c r="Y225" s="55"/>
      <c r="Z225" s="608"/>
      <c r="AA225" s="14"/>
      <c r="AB225" s="609"/>
      <c r="AC225" s="55"/>
      <c r="AD225" s="55"/>
      <c r="AE225" s="610"/>
      <c r="AF225" s="55"/>
      <c r="AG225" s="55"/>
      <c r="AH225" s="55"/>
      <c r="AI225" s="611"/>
    </row>
    <row r="226" spans="1:35" ht="21" customHeight="1">
      <c r="B226" s="612"/>
      <c r="C226" s="121"/>
      <c r="D226" s="157"/>
      <c r="E226" s="157"/>
      <c r="F226" s="568"/>
      <c r="G226" s="121"/>
      <c r="H226" s="157"/>
      <c r="I226" s="157"/>
      <c r="J226" s="568"/>
      <c r="K226" s="121"/>
      <c r="L226" s="157"/>
      <c r="M226" s="157"/>
      <c r="N226" s="568"/>
      <c r="O226" s="121"/>
      <c r="P226" s="157"/>
      <c r="Q226" s="157"/>
      <c r="R226" s="568"/>
      <c r="S226" s="121"/>
      <c r="T226" s="157"/>
      <c r="U226" s="157"/>
      <c r="V226" s="568"/>
      <c r="W226" s="121"/>
      <c r="X226" s="157"/>
      <c r="Y226" s="157"/>
      <c r="Z226" s="568"/>
      <c r="AA226" s="567"/>
      <c r="AB226" s="157"/>
      <c r="AC226" s="157"/>
      <c r="AD226" s="569"/>
      <c r="AE226" s="613"/>
      <c r="AF226" s="157"/>
      <c r="AG226" s="157" t="s">
        <v>28</v>
      </c>
      <c r="AH226" s="569"/>
      <c r="AI226" s="490"/>
    </row>
    <row r="227" spans="1:35" ht="21" customHeight="1" thickBot="1">
      <c r="A227" s="1"/>
      <c r="B227" s="47"/>
      <c r="C227" s="574"/>
      <c r="D227" s="53"/>
      <c r="E227" s="53"/>
      <c r="F227" s="575"/>
      <c r="G227" s="574"/>
      <c r="H227" s="53"/>
      <c r="I227" s="53"/>
      <c r="J227" s="575"/>
      <c r="K227" s="574"/>
      <c r="L227" s="53"/>
      <c r="M227" s="53"/>
      <c r="N227" s="575"/>
      <c r="O227" s="574"/>
      <c r="P227" s="53"/>
      <c r="Q227" s="53"/>
      <c r="R227" s="575"/>
      <c r="S227" s="574"/>
      <c r="T227" s="53"/>
      <c r="U227" s="53"/>
      <c r="V227" s="575"/>
      <c r="W227" s="57"/>
      <c r="X227" s="53"/>
      <c r="Y227" s="53"/>
      <c r="Z227" s="575"/>
      <c r="AA227" s="57"/>
      <c r="AB227" s="53"/>
      <c r="AC227" s="53"/>
      <c r="AD227" s="577"/>
      <c r="AE227" s="57"/>
      <c r="AF227" s="53"/>
      <c r="AG227" s="53"/>
      <c r="AH227" s="577"/>
      <c r="AI227" s="539"/>
    </row>
    <row r="228" spans="1:35" ht="33" customHeight="1" thickBot="1">
      <c r="A228" s="1" t="s">
        <v>605</v>
      </c>
      <c r="B228" s="72"/>
      <c r="C228" s="312"/>
      <c r="F228" s="354"/>
      <c r="G228" s="312"/>
      <c r="J228" s="354"/>
      <c r="K228" s="312"/>
      <c r="N228" s="354"/>
      <c r="O228" s="312"/>
      <c r="R228" s="354"/>
      <c r="S228" s="312"/>
      <c r="V228" s="354"/>
      <c r="W228" s="354"/>
      <c r="Z228" s="354"/>
      <c r="AA228" s="354"/>
      <c r="AD228" s="354"/>
      <c r="AE228" s="354"/>
      <c r="AH228" s="354"/>
    </row>
    <row r="229" spans="1:35" ht="21" customHeight="1">
      <c r="A229" s="556" t="s">
        <v>528</v>
      </c>
      <c r="B229" s="297" t="s">
        <v>480</v>
      </c>
      <c r="C229" s="1235">
        <v>1</v>
      </c>
      <c r="D229" s="1235">
        <v>2</v>
      </c>
      <c r="E229" s="1234">
        <v>3</v>
      </c>
      <c r="F229" s="1234">
        <v>4</v>
      </c>
      <c r="G229" s="1348">
        <v>5</v>
      </c>
      <c r="H229" s="1234">
        <v>6</v>
      </c>
      <c r="I229" s="1213">
        <v>7</v>
      </c>
      <c r="J229" s="1330">
        <v>8</v>
      </c>
      <c r="K229" s="1235">
        <v>9</v>
      </c>
      <c r="L229" s="1234">
        <v>10</v>
      </c>
      <c r="M229" s="1234">
        <v>11</v>
      </c>
      <c r="N229" s="1234">
        <v>12</v>
      </c>
      <c r="O229" s="1234">
        <v>13</v>
      </c>
      <c r="P229" s="1213">
        <v>14</v>
      </c>
      <c r="Q229" s="1330">
        <v>15</v>
      </c>
      <c r="R229" s="1235">
        <v>16</v>
      </c>
      <c r="S229" s="1234">
        <v>17</v>
      </c>
      <c r="T229" s="1234">
        <v>18</v>
      </c>
      <c r="U229" s="1234">
        <v>19</v>
      </c>
      <c r="V229" s="1213">
        <v>20</v>
      </c>
      <c r="W229" s="1213">
        <v>21</v>
      </c>
      <c r="X229" s="1330">
        <v>22</v>
      </c>
      <c r="Y229" s="1235">
        <v>23</v>
      </c>
      <c r="Z229" s="1234">
        <v>24</v>
      </c>
      <c r="AA229" s="1234">
        <v>25</v>
      </c>
      <c r="AB229" s="1234">
        <v>26</v>
      </c>
      <c r="AC229" s="1234">
        <v>27</v>
      </c>
      <c r="AD229" s="1213">
        <v>28</v>
      </c>
      <c r="AE229" s="1330">
        <v>29</v>
      </c>
      <c r="AF229" s="1235">
        <v>30</v>
      </c>
      <c r="AG229" s="1234"/>
      <c r="AH229" s="498" t="s">
        <v>481</v>
      </c>
      <c r="AI229" s="499" t="s">
        <v>482</v>
      </c>
    </row>
    <row r="230" spans="1:35" ht="21" customHeight="1">
      <c r="A230" s="442"/>
      <c r="B230" s="619" t="s">
        <v>606</v>
      </c>
      <c r="C230" s="1215"/>
      <c r="D230" s="557"/>
      <c r="E230" s="557" t="s">
        <v>535</v>
      </c>
      <c r="F230" s="557" t="s">
        <v>535</v>
      </c>
      <c r="G230" s="557" t="s">
        <v>535</v>
      </c>
      <c r="H230" s="557" t="s">
        <v>535</v>
      </c>
      <c r="I230" s="557" t="s">
        <v>535</v>
      </c>
      <c r="J230" s="1215"/>
      <c r="K230" s="1215"/>
      <c r="L230" s="1365" t="s">
        <v>535</v>
      </c>
      <c r="M230" s="1365" t="s">
        <v>535</v>
      </c>
      <c r="N230" s="1365" t="s">
        <v>535</v>
      </c>
      <c r="O230" s="1365" t="s">
        <v>535</v>
      </c>
      <c r="P230" s="1365" t="s">
        <v>535</v>
      </c>
      <c r="Q230" s="1215"/>
      <c r="R230" s="557"/>
      <c r="S230" s="557" t="s">
        <v>535</v>
      </c>
      <c r="T230" s="557" t="s">
        <v>535</v>
      </c>
      <c r="U230" s="557" t="s">
        <v>535</v>
      </c>
      <c r="V230" s="557" t="s">
        <v>535</v>
      </c>
      <c r="W230" s="557" t="s">
        <v>535</v>
      </c>
      <c r="X230" s="1215"/>
      <c r="Y230" s="1215"/>
      <c r="Z230" s="1365" t="s">
        <v>535</v>
      </c>
      <c r="AA230" s="1365" t="s">
        <v>535</v>
      </c>
      <c r="AB230" s="1365" t="s">
        <v>535</v>
      </c>
      <c r="AC230" s="1365" t="s">
        <v>535</v>
      </c>
      <c r="AD230" s="1365" t="s">
        <v>535</v>
      </c>
      <c r="AE230" s="1208"/>
      <c r="AF230" s="1208"/>
      <c r="AG230" s="1208"/>
      <c r="AH230" s="638">
        <v>148</v>
      </c>
      <c r="AI230" s="639">
        <v>37</v>
      </c>
    </row>
    <row r="231" spans="1:35" ht="21" customHeight="1">
      <c r="A231" s="442"/>
      <c r="B231" s="619" t="s">
        <v>607</v>
      </c>
      <c r="C231" s="1215"/>
      <c r="D231" s="557"/>
      <c r="E231" s="557" t="s">
        <v>535</v>
      </c>
      <c r="F231" s="557" t="s">
        <v>535</v>
      </c>
      <c r="G231" s="557" t="s">
        <v>535</v>
      </c>
      <c r="H231" s="557" t="s">
        <v>535</v>
      </c>
      <c r="I231" s="557" t="s">
        <v>535</v>
      </c>
      <c r="J231" s="1215"/>
      <c r="K231" s="1215"/>
      <c r="L231" s="557" t="s">
        <v>535</v>
      </c>
      <c r="M231" s="557" t="s">
        <v>535</v>
      </c>
      <c r="N231" s="557" t="s">
        <v>535</v>
      </c>
      <c r="O231" s="557" t="s">
        <v>535</v>
      </c>
      <c r="P231" s="557" t="s">
        <v>535</v>
      </c>
      <c r="Q231" s="1215"/>
      <c r="R231" s="557"/>
      <c r="S231" s="557" t="s">
        <v>535</v>
      </c>
      <c r="T231" s="557" t="s">
        <v>535</v>
      </c>
      <c r="U231" s="557" t="s">
        <v>535</v>
      </c>
      <c r="V231" s="557" t="s">
        <v>535</v>
      </c>
      <c r="W231" s="557" t="s">
        <v>535</v>
      </c>
      <c r="X231" s="1215"/>
      <c r="Y231" s="1215"/>
      <c r="Z231" s="557" t="s">
        <v>535</v>
      </c>
      <c r="AA231" s="557" t="s">
        <v>535</v>
      </c>
      <c r="AB231" s="557" t="s">
        <v>535</v>
      </c>
      <c r="AC231" s="557" t="s">
        <v>535</v>
      </c>
      <c r="AD231" s="557" t="s">
        <v>535</v>
      </c>
      <c r="AE231" s="1208"/>
      <c r="AF231" s="1208"/>
      <c r="AG231" s="1208"/>
      <c r="AH231" s="638">
        <v>185</v>
      </c>
      <c r="AI231" s="639">
        <v>37</v>
      </c>
    </row>
    <row r="232" spans="1:35" ht="21" customHeight="1">
      <c r="A232" s="442"/>
      <c r="B232" s="619" t="s">
        <v>608</v>
      </c>
      <c r="C232" s="1215"/>
      <c r="D232" s="557"/>
      <c r="E232" s="557" t="s">
        <v>535</v>
      </c>
      <c r="F232" s="557" t="s">
        <v>535</v>
      </c>
      <c r="G232" s="557" t="s">
        <v>535</v>
      </c>
      <c r="H232" s="557" t="s">
        <v>535</v>
      </c>
      <c r="I232" s="557" t="s">
        <v>535</v>
      </c>
      <c r="J232" s="1215"/>
      <c r="K232" s="1215"/>
      <c r="L232" s="557" t="s">
        <v>535</v>
      </c>
      <c r="M232" s="557" t="s">
        <v>535</v>
      </c>
      <c r="N232" s="557" t="s">
        <v>535</v>
      </c>
      <c r="O232" s="557" t="s">
        <v>535</v>
      </c>
      <c r="P232" s="557" t="s">
        <v>535</v>
      </c>
      <c r="Q232" s="1215"/>
      <c r="R232" s="557"/>
      <c r="S232" s="557" t="s">
        <v>535</v>
      </c>
      <c r="T232" s="557" t="s">
        <v>535</v>
      </c>
      <c r="U232" s="557" t="s">
        <v>535</v>
      </c>
      <c r="V232" s="557" t="s">
        <v>535</v>
      </c>
      <c r="W232" s="557" t="s">
        <v>535</v>
      </c>
      <c r="X232" s="1215"/>
      <c r="Y232" s="1215"/>
      <c r="Z232" s="557" t="s">
        <v>535</v>
      </c>
      <c r="AA232" s="557" t="s">
        <v>535</v>
      </c>
      <c r="AB232" s="557" t="s">
        <v>535</v>
      </c>
      <c r="AC232" s="557" t="s">
        <v>535</v>
      </c>
      <c r="AD232" s="557" t="s">
        <v>535</v>
      </c>
      <c r="AE232" s="1208"/>
      <c r="AF232" s="1208"/>
      <c r="AG232" s="1208"/>
      <c r="AH232" s="638">
        <v>185</v>
      </c>
      <c r="AI232" s="639">
        <v>37</v>
      </c>
    </row>
    <row r="233" spans="1:35" ht="21" customHeight="1">
      <c r="A233" s="442"/>
      <c r="B233" s="619" t="s">
        <v>609</v>
      </c>
      <c r="C233" s="1215"/>
      <c r="D233" s="557"/>
      <c r="E233" s="557" t="s">
        <v>535</v>
      </c>
      <c r="F233" s="557" t="s">
        <v>535</v>
      </c>
      <c r="G233" s="557" t="s">
        <v>535</v>
      </c>
      <c r="H233" s="557" t="s">
        <v>535</v>
      </c>
      <c r="I233" s="557" t="s">
        <v>535</v>
      </c>
      <c r="J233" s="1215"/>
      <c r="K233" s="1215"/>
      <c r="L233" s="557" t="s">
        <v>535</v>
      </c>
      <c r="M233" s="557" t="s">
        <v>535</v>
      </c>
      <c r="N233" s="557" t="s">
        <v>535</v>
      </c>
      <c r="O233" s="557" t="s">
        <v>535</v>
      </c>
      <c r="P233" s="557" t="s">
        <v>535</v>
      </c>
      <c r="Q233" s="1215"/>
      <c r="R233" s="557"/>
      <c r="S233" s="557" t="s">
        <v>535</v>
      </c>
      <c r="T233" s="557" t="s">
        <v>535</v>
      </c>
      <c r="U233" s="557" t="s">
        <v>535</v>
      </c>
      <c r="V233" s="557" t="s">
        <v>535</v>
      </c>
      <c r="W233" s="557" t="s">
        <v>535</v>
      </c>
      <c r="X233" s="1215"/>
      <c r="Y233" s="1215"/>
      <c r="Z233" s="557" t="s">
        <v>535</v>
      </c>
      <c r="AA233" s="557" t="s">
        <v>535</v>
      </c>
      <c r="AB233" s="557" t="s">
        <v>535</v>
      </c>
      <c r="AC233" s="557" t="s">
        <v>535</v>
      </c>
      <c r="AD233" s="557" t="s">
        <v>535</v>
      </c>
      <c r="AE233" s="1208"/>
      <c r="AF233" s="1208"/>
      <c r="AG233" s="1208"/>
      <c r="AH233" s="638">
        <v>185</v>
      </c>
      <c r="AI233" s="639">
        <v>37</v>
      </c>
    </row>
    <row r="234" spans="1:35" ht="21" customHeight="1">
      <c r="A234" s="442"/>
      <c r="B234" s="619" t="s">
        <v>610</v>
      </c>
      <c r="C234" s="1215"/>
      <c r="D234" s="557"/>
      <c r="E234" s="557" t="s">
        <v>535</v>
      </c>
      <c r="F234" s="557" t="s">
        <v>535</v>
      </c>
      <c r="G234" s="557" t="s">
        <v>535</v>
      </c>
      <c r="H234" s="557" t="s">
        <v>535</v>
      </c>
      <c r="I234" s="557" t="s">
        <v>535</v>
      </c>
      <c r="J234" s="1215"/>
      <c r="K234" s="1215"/>
      <c r="L234" s="557" t="s">
        <v>535</v>
      </c>
      <c r="M234" s="557" t="s">
        <v>535</v>
      </c>
      <c r="N234" s="557" t="s">
        <v>535</v>
      </c>
      <c r="O234" s="557" t="s">
        <v>535</v>
      </c>
      <c r="P234" s="557" t="s">
        <v>535</v>
      </c>
      <c r="Q234" s="1215"/>
      <c r="R234" s="557"/>
      <c r="S234" s="557" t="s">
        <v>535</v>
      </c>
      <c r="T234" s="557" t="s">
        <v>535</v>
      </c>
      <c r="U234" s="557" t="s">
        <v>535</v>
      </c>
      <c r="V234" s="557" t="s">
        <v>535</v>
      </c>
      <c r="W234" s="557" t="s">
        <v>535</v>
      </c>
      <c r="X234" s="1215"/>
      <c r="Y234" s="1215"/>
      <c r="Z234" s="557" t="s">
        <v>535</v>
      </c>
      <c r="AA234" s="557" t="s">
        <v>535</v>
      </c>
      <c r="AB234" s="557" t="s">
        <v>535</v>
      </c>
      <c r="AC234" s="557" t="s">
        <v>535</v>
      </c>
      <c r="AD234" s="557" t="s">
        <v>535</v>
      </c>
      <c r="AE234" s="1208"/>
      <c r="AF234" s="1208"/>
      <c r="AG234" s="1208"/>
      <c r="AH234" s="638">
        <v>185</v>
      </c>
      <c r="AI234" s="639">
        <v>37</v>
      </c>
    </row>
    <row r="235" spans="1:35" ht="21" customHeight="1">
      <c r="A235" s="442"/>
      <c r="B235" s="619" t="s">
        <v>611</v>
      </c>
      <c r="C235" s="1215"/>
      <c r="D235" s="557"/>
      <c r="E235" s="557" t="s">
        <v>535</v>
      </c>
      <c r="F235" s="557" t="s">
        <v>535</v>
      </c>
      <c r="G235" s="557" t="s">
        <v>535</v>
      </c>
      <c r="H235" s="557" t="s">
        <v>535</v>
      </c>
      <c r="I235" s="1347" t="s">
        <v>535</v>
      </c>
      <c r="J235" s="1215"/>
      <c r="K235" s="1215"/>
      <c r="L235" s="557" t="s">
        <v>535</v>
      </c>
      <c r="M235" s="557" t="s">
        <v>535</v>
      </c>
      <c r="N235" s="557" t="s">
        <v>535</v>
      </c>
      <c r="O235" s="557" t="s">
        <v>535</v>
      </c>
      <c r="P235" s="557" t="s">
        <v>535</v>
      </c>
      <c r="Q235" s="1215"/>
      <c r="R235" s="557"/>
      <c r="S235" s="557" t="s">
        <v>535</v>
      </c>
      <c r="T235" s="557" t="s">
        <v>535</v>
      </c>
      <c r="U235" s="557" t="s">
        <v>535</v>
      </c>
      <c r="V235" s="557" t="s">
        <v>535</v>
      </c>
      <c r="W235" s="557" t="s">
        <v>535</v>
      </c>
      <c r="X235" s="1215"/>
      <c r="Y235" s="1215"/>
      <c r="Z235" s="557" t="s">
        <v>535</v>
      </c>
      <c r="AA235" s="557" t="s">
        <v>535</v>
      </c>
      <c r="AB235" s="557" t="s">
        <v>535</v>
      </c>
      <c r="AC235" s="557" t="s">
        <v>535</v>
      </c>
      <c r="AD235" s="557" t="s">
        <v>535</v>
      </c>
      <c r="AE235" s="1208"/>
      <c r="AF235" s="1208"/>
      <c r="AG235" s="1208"/>
      <c r="AH235" s="638">
        <v>185</v>
      </c>
      <c r="AI235" s="639">
        <v>37</v>
      </c>
    </row>
    <row r="236" spans="1:35" ht="21" customHeight="1">
      <c r="A236" s="442"/>
      <c r="B236" s="619" t="s">
        <v>612</v>
      </c>
      <c r="C236" s="1215"/>
      <c r="D236" s="557"/>
      <c r="E236" s="557" t="s">
        <v>535</v>
      </c>
      <c r="F236" s="557" t="s">
        <v>535</v>
      </c>
      <c r="G236" s="557" t="s">
        <v>535</v>
      </c>
      <c r="H236" s="557" t="s">
        <v>535</v>
      </c>
      <c r="I236" s="557" t="s">
        <v>535</v>
      </c>
      <c r="J236" s="1215"/>
      <c r="K236" s="1215"/>
      <c r="L236" s="557" t="s">
        <v>535</v>
      </c>
      <c r="M236" s="557" t="s">
        <v>535</v>
      </c>
      <c r="N236" s="557" t="s">
        <v>535</v>
      </c>
      <c r="O236" s="557" t="s">
        <v>535</v>
      </c>
      <c r="P236" s="557" t="s">
        <v>535</v>
      </c>
      <c r="Q236" s="1215"/>
      <c r="R236" s="557"/>
      <c r="S236" s="557" t="s">
        <v>535</v>
      </c>
      <c r="T236" s="557" t="s">
        <v>535</v>
      </c>
      <c r="U236" s="557" t="s">
        <v>535</v>
      </c>
      <c r="V236" s="557" t="s">
        <v>535</v>
      </c>
      <c r="W236" s="1387" t="s">
        <v>535</v>
      </c>
      <c r="X236" s="1215"/>
      <c r="Y236" s="1215"/>
      <c r="Z236" s="1439" t="s">
        <v>535</v>
      </c>
      <c r="AA236" s="1439" t="s">
        <v>535</v>
      </c>
      <c r="AB236" s="1439" t="s">
        <v>570</v>
      </c>
      <c r="AC236" s="557" t="s">
        <v>535</v>
      </c>
      <c r="AD236" s="557" t="s">
        <v>535</v>
      </c>
      <c r="AE236" s="1208"/>
      <c r="AF236" s="1208"/>
      <c r="AG236" s="1208"/>
      <c r="AH236" s="638">
        <v>173</v>
      </c>
      <c r="AI236" s="639">
        <v>18</v>
      </c>
    </row>
    <row r="237" spans="1:35" ht="21" customHeight="1">
      <c r="A237" s="442"/>
      <c r="B237" s="619" t="s">
        <v>613</v>
      </c>
      <c r="C237" s="1215"/>
      <c r="D237" s="557"/>
      <c r="E237" s="557" t="s">
        <v>535</v>
      </c>
      <c r="F237" s="557" t="s">
        <v>535</v>
      </c>
      <c r="G237" s="557" t="s">
        <v>535</v>
      </c>
      <c r="H237" s="1347" t="s">
        <v>535</v>
      </c>
      <c r="I237" s="1347" t="s">
        <v>535</v>
      </c>
      <c r="J237" s="1215"/>
      <c r="K237" s="1215"/>
      <c r="L237" s="557" t="s">
        <v>535</v>
      </c>
      <c r="M237" s="557" t="s">
        <v>535</v>
      </c>
      <c r="N237" s="557" t="s">
        <v>535</v>
      </c>
      <c r="O237" s="557" t="s">
        <v>535</v>
      </c>
      <c r="P237" s="557" t="s">
        <v>535</v>
      </c>
      <c r="Q237" s="1215"/>
      <c r="R237" s="557"/>
      <c r="S237" s="557" t="s">
        <v>535</v>
      </c>
      <c r="T237" s="557" t="s">
        <v>535</v>
      </c>
      <c r="U237" s="557" t="s">
        <v>535</v>
      </c>
      <c r="V237" s="557" t="s">
        <v>535</v>
      </c>
      <c r="W237" s="557" t="s">
        <v>535</v>
      </c>
      <c r="X237" s="1215"/>
      <c r="Y237" s="1215"/>
      <c r="Z237" s="557" t="s">
        <v>535</v>
      </c>
      <c r="AA237" s="557" t="s">
        <v>535</v>
      </c>
      <c r="AB237" s="557" t="s">
        <v>535</v>
      </c>
      <c r="AC237" s="557" t="s">
        <v>535</v>
      </c>
      <c r="AD237" s="557" t="s">
        <v>535</v>
      </c>
      <c r="AE237" s="1208"/>
      <c r="AF237" s="1208"/>
      <c r="AG237" s="1208"/>
      <c r="AH237" s="638">
        <v>185</v>
      </c>
      <c r="AI237" s="639">
        <v>37</v>
      </c>
    </row>
    <row r="238" spans="1:35" ht="21" customHeight="1">
      <c r="A238" s="442"/>
      <c r="B238" s="619" t="s">
        <v>614</v>
      </c>
      <c r="C238" s="1215"/>
      <c r="D238" s="557"/>
      <c r="E238" s="557" t="s">
        <v>535</v>
      </c>
      <c r="F238" s="557" t="s">
        <v>535</v>
      </c>
      <c r="G238" s="557" t="s">
        <v>535</v>
      </c>
      <c r="H238" s="557" t="s">
        <v>535</v>
      </c>
      <c r="I238" s="557" t="s">
        <v>535</v>
      </c>
      <c r="J238" s="1215"/>
      <c r="K238" s="1215"/>
      <c r="L238" s="557" t="s">
        <v>535</v>
      </c>
      <c r="M238" s="557" t="s">
        <v>535</v>
      </c>
      <c r="N238" s="557" t="s">
        <v>535</v>
      </c>
      <c r="O238" s="557" t="s">
        <v>535</v>
      </c>
      <c r="P238" s="557" t="s">
        <v>535</v>
      </c>
      <c r="Q238" s="1215"/>
      <c r="R238" s="557"/>
      <c r="S238" s="1497" t="s">
        <v>535</v>
      </c>
      <c r="T238" s="1497" t="s">
        <v>535</v>
      </c>
      <c r="U238" s="1497" t="s">
        <v>535</v>
      </c>
      <c r="V238" s="557" t="s">
        <v>535</v>
      </c>
      <c r="W238" s="557" t="s">
        <v>535</v>
      </c>
      <c r="X238" s="1215"/>
      <c r="Y238" s="1215"/>
      <c r="Z238" s="1439" t="s">
        <v>570</v>
      </c>
      <c r="AA238" s="557" t="s">
        <v>535</v>
      </c>
      <c r="AB238" s="557" t="s">
        <v>535</v>
      </c>
      <c r="AC238" s="557" t="s">
        <v>535</v>
      </c>
      <c r="AD238" s="1365" t="s">
        <v>535</v>
      </c>
      <c r="AE238" s="1208"/>
      <c r="AF238" s="1208"/>
      <c r="AG238" s="1208"/>
      <c r="AH238" s="638">
        <v>179</v>
      </c>
      <c r="AI238" s="639">
        <v>37</v>
      </c>
    </row>
    <row r="239" spans="1:35" ht="21" customHeight="1">
      <c r="A239" s="442"/>
      <c r="B239" s="619" t="s">
        <v>615</v>
      </c>
      <c r="C239" s="1215"/>
      <c r="D239" s="557"/>
      <c r="E239" s="557" t="s">
        <v>535</v>
      </c>
      <c r="F239" s="557" t="s">
        <v>535</v>
      </c>
      <c r="G239" s="557" t="s">
        <v>535</v>
      </c>
      <c r="H239" s="557" t="s">
        <v>535</v>
      </c>
      <c r="I239" s="557" t="s">
        <v>535</v>
      </c>
      <c r="J239" s="1215"/>
      <c r="K239" s="1215"/>
      <c r="L239" s="557" t="s">
        <v>535</v>
      </c>
      <c r="M239" s="557" t="s">
        <v>535</v>
      </c>
      <c r="N239" s="557" t="s">
        <v>535</v>
      </c>
      <c r="O239" s="557" t="s">
        <v>535</v>
      </c>
      <c r="P239" s="557" t="s">
        <v>535</v>
      </c>
      <c r="Q239" s="1215"/>
      <c r="R239" s="557"/>
      <c r="S239" s="557" t="s">
        <v>535</v>
      </c>
      <c r="T239" s="557" t="s">
        <v>535</v>
      </c>
      <c r="U239" s="557" t="s">
        <v>535</v>
      </c>
      <c r="V239" s="557" t="s">
        <v>535</v>
      </c>
      <c r="W239" s="557" t="s">
        <v>535</v>
      </c>
      <c r="X239" s="1215"/>
      <c r="Y239" s="1215"/>
      <c r="Z239" s="557" t="s">
        <v>535</v>
      </c>
      <c r="AA239" s="557" t="s">
        <v>535</v>
      </c>
      <c r="AB239" s="557" t="s">
        <v>535</v>
      </c>
      <c r="AC239" s="557" t="s">
        <v>535</v>
      </c>
      <c r="AD239" s="557" t="s">
        <v>535</v>
      </c>
      <c r="AE239" s="1208"/>
      <c r="AF239" s="1208"/>
      <c r="AG239" s="1208"/>
      <c r="AH239" s="638">
        <v>185</v>
      </c>
      <c r="AI239" s="639">
        <v>37</v>
      </c>
    </row>
    <row r="240" spans="1:35" ht="21" customHeight="1">
      <c r="A240" s="442"/>
      <c r="B240" s="153" t="s">
        <v>616</v>
      </c>
      <c r="C240" s="1215"/>
      <c r="D240" s="557"/>
      <c r="E240" s="557" t="s">
        <v>535</v>
      </c>
      <c r="F240" s="557" t="s">
        <v>535</v>
      </c>
      <c r="G240" s="557" t="s">
        <v>535</v>
      </c>
      <c r="H240" s="557" t="s">
        <v>535</v>
      </c>
      <c r="I240" s="557" t="s">
        <v>535</v>
      </c>
      <c r="J240" s="1215"/>
      <c r="K240" s="1215"/>
      <c r="L240" s="557" t="s">
        <v>535</v>
      </c>
      <c r="M240" s="557" t="s">
        <v>535</v>
      </c>
      <c r="N240" s="557" t="s">
        <v>535</v>
      </c>
      <c r="O240" s="557" t="s">
        <v>535</v>
      </c>
      <c r="P240" s="557" t="s">
        <v>535</v>
      </c>
      <c r="Q240" s="1215"/>
      <c r="R240" s="557"/>
      <c r="S240" s="557" t="s">
        <v>535</v>
      </c>
      <c r="T240" s="557" t="s">
        <v>535</v>
      </c>
      <c r="U240" s="557" t="s">
        <v>535</v>
      </c>
      <c r="V240" s="557" t="s">
        <v>535</v>
      </c>
      <c r="W240" s="557" t="s">
        <v>535</v>
      </c>
      <c r="X240" s="1215"/>
      <c r="Y240" s="1215"/>
      <c r="Z240" s="557" t="s">
        <v>535</v>
      </c>
      <c r="AA240" s="557" t="s">
        <v>535</v>
      </c>
      <c r="AB240" s="557" t="s">
        <v>535</v>
      </c>
      <c r="AC240" s="557" t="s">
        <v>535</v>
      </c>
      <c r="AD240" s="557" t="s">
        <v>535</v>
      </c>
      <c r="AE240" s="1208"/>
      <c r="AF240" s="1208"/>
      <c r="AG240" s="1208"/>
      <c r="AH240" s="638">
        <v>173</v>
      </c>
      <c r="AI240" s="639">
        <v>37</v>
      </c>
    </row>
    <row r="241" spans="1:35" ht="21" customHeight="1">
      <c r="A241" s="442"/>
      <c r="B241" s="153" t="s">
        <v>617</v>
      </c>
      <c r="C241" s="1215"/>
      <c r="D241" s="557"/>
      <c r="E241" s="557" t="s">
        <v>535</v>
      </c>
      <c r="F241" s="557" t="s">
        <v>535</v>
      </c>
      <c r="G241" s="557" t="s">
        <v>535</v>
      </c>
      <c r="H241" s="1497" t="s">
        <v>535</v>
      </c>
      <c r="I241" s="1497" t="s">
        <v>535</v>
      </c>
      <c r="J241" s="1215"/>
      <c r="K241" s="1215"/>
      <c r="L241" s="557" t="s">
        <v>535</v>
      </c>
      <c r="M241" s="557" t="s">
        <v>535</v>
      </c>
      <c r="N241" s="557" t="s">
        <v>535</v>
      </c>
      <c r="O241" s="557" t="s">
        <v>535</v>
      </c>
      <c r="P241" s="557" t="s">
        <v>535</v>
      </c>
      <c r="Q241" s="1215"/>
      <c r="R241" s="557"/>
      <c r="S241" s="557" t="s">
        <v>535</v>
      </c>
      <c r="T241" s="557" t="s">
        <v>535</v>
      </c>
      <c r="U241" s="557" t="s">
        <v>535</v>
      </c>
      <c r="V241" s="1365" t="s">
        <v>535</v>
      </c>
      <c r="W241" s="557" t="s">
        <v>535</v>
      </c>
      <c r="X241" s="1215"/>
      <c r="Y241" s="1215"/>
      <c r="Z241" s="557" t="s">
        <v>535</v>
      </c>
      <c r="AA241" s="557" t="s">
        <v>535</v>
      </c>
      <c r="AB241" s="557" t="s">
        <v>535</v>
      </c>
      <c r="AC241" s="557" t="s">
        <v>535</v>
      </c>
      <c r="AD241" s="557" t="s">
        <v>535</v>
      </c>
      <c r="AE241" s="1208"/>
      <c r="AF241" s="1208"/>
      <c r="AG241" s="1208"/>
      <c r="AH241" s="638">
        <v>185</v>
      </c>
      <c r="AI241" s="639">
        <v>37</v>
      </c>
    </row>
    <row r="242" spans="1:35" ht="21" customHeight="1">
      <c r="A242" s="442"/>
      <c r="B242" s="153" t="s">
        <v>618</v>
      </c>
      <c r="C242" s="1215"/>
      <c r="D242" s="557"/>
      <c r="E242" s="557"/>
      <c r="F242" s="557"/>
      <c r="G242" s="557"/>
      <c r="H242" s="557"/>
      <c r="I242" s="557"/>
      <c r="J242" s="1215"/>
      <c r="K242" s="1215"/>
      <c r="L242" s="557"/>
      <c r="M242" s="557"/>
      <c r="N242" s="557"/>
      <c r="O242" s="557"/>
      <c r="P242" s="557"/>
      <c r="Q242" s="1215"/>
      <c r="R242" s="557"/>
      <c r="S242" s="557"/>
      <c r="T242" s="557"/>
      <c r="U242" s="557"/>
      <c r="V242" s="557"/>
      <c r="W242" s="557"/>
      <c r="X242" s="1215"/>
      <c r="Y242" s="1215"/>
      <c r="Z242" s="557"/>
      <c r="AA242" s="557"/>
      <c r="AB242" s="557"/>
      <c r="AC242" s="557"/>
      <c r="AD242" s="557"/>
      <c r="AE242" s="1208"/>
      <c r="AF242" s="1208"/>
      <c r="AG242" s="1208"/>
      <c r="AH242" s="638"/>
      <c r="AI242" s="639"/>
    </row>
    <row r="243" spans="1:35" ht="21" customHeight="1">
      <c r="A243" s="153"/>
      <c r="B243" s="153" t="s">
        <v>619</v>
      </c>
      <c r="C243" s="1215"/>
      <c r="D243" s="557"/>
      <c r="E243" s="557" t="s">
        <v>535</v>
      </c>
      <c r="F243" s="557" t="s">
        <v>535</v>
      </c>
      <c r="G243" s="557" t="s">
        <v>535</v>
      </c>
      <c r="H243" s="557" t="s">
        <v>535</v>
      </c>
      <c r="I243" s="557" t="s">
        <v>535</v>
      </c>
      <c r="J243" s="1215"/>
      <c r="K243" s="1215"/>
      <c r="L243" s="557" t="s">
        <v>535</v>
      </c>
      <c r="M243" s="557" t="s">
        <v>535</v>
      </c>
      <c r="N243" s="557" t="s">
        <v>535</v>
      </c>
      <c r="O243" s="557" t="s">
        <v>535</v>
      </c>
      <c r="P243" s="557" t="s">
        <v>535</v>
      </c>
      <c r="Q243" s="1215"/>
      <c r="R243" s="557"/>
      <c r="S243" s="557" t="s">
        <v>535</v>
      </c>
      <c r="T243" s="557" t="s">
        <v>535</v>
      </c>
      <c r="U243" s="557" t="s">
        <v>535</v>
      </c>
      <c r="V243" s="557" t="s">
        <v>535</v>
      </c>
      <c r="W243" s="557" t="s">
        <v>535</v>
      </c>
      <c r="X243" s="1215"/>
      <c r="Y243" s="1215"/>
      <c r="Z243" s="557" t="s">
        <v>535</v>
      </c>
      <c r="AA243" s="557" t="s">
        <v>535</v>
      </c>
      <c r="AB243" s="557" t="s">
        <v>535</v>
      </c>
      <c r="AC243" s="557" t="s">
        <v>535</v>
      </c>
      <c r="AD243" s="557" t="s">
        <v>535</v>
      </c>
      <c r="AE243" s="1208"/>
      <c r="AF243" s="1208"/>
      <c r="AG243" s="1208"/>
      <c r="AH243" s="638">
        <v>185</v>
      </c>
      <c r="AI243" s="639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31" max="16383" man="1"/>
  </row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14"/>
  <dimension ref="A1:AL271"/>
  <sheetViews>
    <sheetView topLeftCell="A22" zoomScale="70" zoomScaleNormal="70" workbookViewId="0">
      <selection activeCell="J16" sqref="J16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620</v>
      </c>
      <c r="B6" s="157"/>
      <c r="C6" s="489"/>
      <c r="D6" s="488" t="s">
        <v>621</v>
      </c>
      <c r="E6" s="157"/>
      <c r="F6" s="157"/>
      <c r="G6" s="157"/>
      <c r="H6" s="490"/>
      <c r="I6" s="157"/>
      <c r="J6" s="157"/>
      <c r="K6" s="157"/>
      <c r="L6" s="488" t="s">
        <v>725</v>
      </c>
      <c r="M6" s="157"/>
      <c r="N6" s="157"/>
      <c r="O6" s="157"/>
      <c r="P6" s="157"/>
      <c r="Q6" s="157"/>
      <c r="R6" s="157"/>
      <c r="S6" s="489"/>
      <c r="T6" s="491" t="s">
        <v>623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624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625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626</v>
      </c>
      <c r="L8" s="496"/>
      <c r="AB8" s="1"/>
    </row>
    <row r="9" spans="1:35" ht="21.95" customHeight="1" thickBot="1">
      <c r="B9" s="497" t="s">
        <v>627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528</v>
      </c>
      <c r="B10" s="297" t="s">
        <v>480</v>
      </c>
      <c r="C10" s="1234">
        <v>1</v>
      </c>
      <c r="D10" s="1234">
        <v>2</v>
      </c>
      <c r="E10" s="1234">
        <v>3</v>
      </c>
      <c r="F10" s="1234">
        <v>4</v>
      </c>
      <c r="G10" s="1234">
        <v>5</v>
      </c>
      <c r="H10" s="1235">
        <v>6</v>
      </c>
      <c r="I10" s="1330">
        <v>7</v>
      </c>
      <c r="J10" s="1213">
        <v>8</v>
      </c>
      <c r="K10" s="1234">
        <v>9</v>
      </c>
      <c r="L10" s="1234">
        <v>10</v>
      </c>
      <c r="M10" s="1234">
        <v>11</v>
      </c>
      <c r="N10" s="1234">
        <v>12</v>
      </c>
      <c r="O10" s="1235">
        <v>13</v>
      </c>
      <c r="P10" s="1330">
        <v>14</v>
      </c>
      <c r="Q10" s="1213">
        <v>15</v>
      </c>
      <c r="R10" s="1234">
        <v>16</v>
      </c>
      <c r="S10" s="1234">
        <v>17</v>
      </c>
      <c r="T10" s="1234">
        <v>18</v>
      </c>
      <c r="U10" s="1234">
        <v>19</v>
      </c>
      <c r="V10" s="1330">
        <v>20</v>
      </c>
      <c r="W10" s="1330">
        <v>21</v>
      </c>
      <c r="X10" s="1213">
        <v>22</v>
      </c>
      <c r="Y10" s="1234">
        <v>23</v>
      </c>
      <c r="Z10" s="1234">
        <v>24</v>
      </c>
      <c r="AA10" s="1234">
        <v>25</v>
      </c>
      <c r="AB10" s="1234">
        <v>26</v>
      </c>
      <c r="AC10" s="1235">
        <v>27</v>
      </c>
      <c r="AD10" s="1330">
        <v>28</v>
      </c>
      <c r="AE10" s="1213">
        <v>29</v>
      </c>
      <c r="AF10" s="1234">
        <v>30</v>
      </c>
      <c r="AG10" s="1234">
        <v>31</v>
      </c>
      <c r="AH10" s="498" t="s">
        <v>481</v>
      </c>
      <c r="AI10" s="499" t="s">
        <v>482</v>
      </c>
    </row>
    <row r="11" spans="1:35" ht="21.95" customHeight="1">
      <c r="A11" s="500"/>
      <c r="B11" s="501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1215"/>
      <c r="N11" s="1215"/>
      <c r="O11" s="1215"/>
      <c r="P11" s="1215"/>
      <c r="Q11" s="1215"/>
      <c r="R11" s="1215"/>
      <c r="S11" s="1215"/>
      <c r="T11" s="1215"/>
      <c r="U11" s="1215"/>
      <c r="V11" s="1215"/>
      <c r="W11" s="1215"/>
      <c r="X11" s="1215"/>
      <c r="Y11" s="1215"/>
      <c r="Z11" s="1215"/>
      <c r="AA11" s="1215"/>
      <c r="AB11" s="1215"/>
      <c r="AC11" s="1215"/>
      <c r="AD11" s="1215"/>
      <c r="AE11" s="1215"/>
      <c r="AF11" s="1215"/>
      <c r="AG11" s="503"/>
      <c r="AH11" s="504"/>
      <c r="AI11" s="505"/>
    </row>
    <row r="12" spans="1:35" ht="21.95" customHeight="1">
      <c r="A12" s="506" t="s">
        <v>628</v>
      </c>
      <c r="B12" s="45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509"/>
      <c r="AI12" s="510"/>
    </row>
    <row r="13" spans="1:35" ht="21.95" customHeight="1">
      <c r="A13" s="511">
        <v>8546</v>
      </c>
      <c r="B13" s="512" t="s">
        <v>629</v>
      </c>
      <c r="C13" s="1211">
        <v>2</v>
      </c>
      <c r="D13" s="1211">
        <v>2</v>
      </c>
      <c r="E13" s="1211">
        <v>2</v>
      </c>
      <c r="F13" s="1211">
        <v>2</v>
      </c>
      <c r="G13" s="1211">
        <v>2</v>
      </c>
      <c r="H13" s="1215" t="s">
        <v>631</v>
      </c>
      <c r="I13" s="1211" t="s">
        <v>631</v>
      </c>
      <c r="J13" s="1211" t="s">
        <v>487</v>
      </c>
      <c r="K13" s="1211" t="s">
        <v>487</v>
      </c>
      <c r="L13" s="1211" t="s">
        <v>487</v>
      </c>
      <c r="M13" s="1211" t="s">
        <v>487</v>
      </c>
      <c r="N13" s="1211" t="s">
        <v>487</v>
      </c>
      <c r="O13" s="1211"/>
      <c r="P13" s="1211"/>
      <c r="Q13" s="1211">
        <v>3</v>
      </c>
      <c r="R13" s="1211">
        <v>3</v>
      </c>
      <c r="S13" s="1211">
        <v>3</v>
      </c>
      <c r="T13" s="1211">
        <v>3</v>
      </c>
      <c r="U13" s="1211">
        <v>3</v>
      </c>
      <c r="V13" s="1211"/>
      <c r="W13" s="1211"/>
      <c r="X13" s="1211">
        <v>4</v>
      </c>
      <c r="Y13" s="1211">
        <v>4</v>
      </c>
      <c r="Z13" s="1211">
        <v>4</v>
      </c>
      <c r="AA13" s="1211">
        <v>4</v>
      </c>
      <c r="AB13" s="1211">
        <v>4</v>
      </c>
      <c r="AC13" s="1211" t="s">
        <v>630</v>
      </c>
      <c r="AD13" s="1211" t="s">
        <v>630</v>
      </c>
      <c r="AE13" s="1211" t="s">
        <v>487</v>
      </c>
      <c r="AF13" s="1211" t="s">
        <v>487</v>
      </c>
      <c r="AG13" s="1218" t="s">
        <v>487</v>
      </c>
      <c r="AH13" s="513">
        <v>172</v>
      </c>
      <c r="AI13" s="514">
        <v>37</v>
      </c>
    </row>
    <row r="14" spans="1:35" ht="21.95" customHeight="1">
      <c r="A14" s="500">
        <v>8546</v>
      </c>
      <c r="B14" s="347" t="s">
        <v>632</v>
      </c>
      <c r="C14" s="1215" t="s">
        <v>487</v>
      </c>
      <c r="D14" s="1215" t="s">
        <v>487</v>
      </c>
      <c r="E14" s="1215" t="s">
        <v>487</v>
      </c>
      <c r="F14" s="1215" t="s">
        <v>487</v>
      </c>
      <c r="G14" s="1215" t="s">
        <v>487</v>
      </c>
      <c r="H14" s="1215"/>
      <c r="I14" s="1215"/>
      <c r="J14" s="1215">
        <v>1</v>
      </c>
      <c r="K14" s="1215">
        <v>1</v>
      </c>
      <c r="L14" s="1215">
        <v>1</v>
      </c>
      <c r="M14" s="1215">
        <v>1</v>
      </c>
      <c r="N14" s="1215">
        <v>1</v>
      </c>
      <c r="O14" s="1215"/>
      <c r="P14" s="1215"/>
      <c r="Q14" s="1215">
        <v>2</v>
      </c>
      <c r="R14" s="1215">
        <v>2</v>
      </c>
      <c r="S14" s="1215">
        <v>2</v>
      </c>
      <c r="T14" s="1215">
        <v>2</v>
      </c>
      <c r="U14" s="1215">
        <v>2</v>
      </c>
      <c r="V14" s="1215" t="s">
        <v>631</v>
      </c>
      <c r="W14" s="1215" t="s">
        <v>631</v>
      </c>
      <c r="X14" s="1215" t="s">
        <v>487</v>
      </c>
      <c r="Y14" s="1215" t="s">
        <v>487</v>
      </c>
      <c r="Z14" s="1215" t="s">
        <v>487</v>
      </c>
      <c r="AA14" s="1215" t="s">
        <v>487</v>
      </c>
      <c r="AB14" s="1215" t="s">
        <v>487</v>
      </c>
      <c r="AC14" s="1215"/>
      <c r="AD14" s="1215"/>
      <c r="AE14" s="1215">
        <v>3</v>
      </c>
      <c r="AF14" s="1215">
        <v>3</v>
      </c>
      <c r="AG14" s="1216">
        <v>3</v>
      </c>
      <c r="AH14" s="513">
        <v>185</v>
      </c>
      <c r="AI14" s="514">
        <v>37</v>
      </c>
    </row>
    <row r="15" spans="1:35" ht="21.95" customHeight="1">
      <c r="A15" s="500">
        <v>8546</v>
      </c>
      <c r="B15" s="347" t="s">
        <v>171</v>
      </c>
      <c r="C15" s="1215">
        <v>1</v>
      </c>
      <c r="D15" s="1215">
        <v>1</v>
      </c>
      <c r="E15" s="1215">
        <v>1</v>
      </c>
      <c r="F15" s="1335">
        <v>1</v>
      </c>
      <c r="G15" s="1335">
        <v>1</v>
      </c>
      <c r="H15" s="1215"/>
      <c r="I15" s="1215"/>
      <c r="J15" s="1215">
        <v>2</v>
      </c>
      <c r="K15" s="1215">
        <v>2</v>
      </c>
      <c r="L15" s="1215">
        <v>2</v>
      </c>
      <c r="M15" s="1215">
        <v>2</v>
      </c>
      <c r="N15" s="1215">
        <v>2</v>
      </c>
      <c r="O15" s="1215" t="s">
        <v>631</v>
      </c>
      <c r="P15" s="1215" t="s">
        <v>631</v>
      </c>
      <c r="Q15" s="1338" t="s">
        <v>487</v>
      </c>
      <c r="R15" s="1338" t="s">
        <v>487</v>
      </c>
      <c r="S15" s="1338" t="s">
        <v>487</v>
      </c>
      <c r="T15" s="1338" t="s">
        <v>487</v>
      </c>
      <c r="U15" s="1338" t="s">
        <v>487</v>
      </c>
      <c r="V15" s="1338"/>
      <c r="W15" s="1338"/>
      <c r="X15" s="1338">
        <v>3</v>
      </c>
      <c r="Y15" s="1338">
        <v>3</v>
      </c>
      <c r="Z15" s="1338">
        <v>3</v>
      </c>
      <c r="AA15" s="1338">
        <v>3</v>
      </c>
      <c r="AB15" s="1338">
        <v>3</v>
      </c>
      <c r="AC15" s="1338"/>
      <c r="AD15" s="1338"/>
      <c r="AE15" s="1215">
        <v>4</v>
      </c>
      <c r="AF15" s="1215">
        <v>4</v>
      </c>
      <c r="AG15" s="1216">
        <v>4</v>
      </c>
      <c r="AH15" s="513">
        <v>185</v>
      </c>
      <c r="AI15" s="514">
        <v>37</v>
      </c>
    </row>
    <row r="16" spans="1:35" ht="21.95" customHeight="1">
      <c r="A16" s="500">
        <v>8546</v>
      </c>
      <c r="B16" s="347" t="s">
        <v>633</v>
      </c>
      <c r="C16" s="1215">
        <v>3</v>
      </c>
      <c r="D16" s="1215">
        <v>3</v>
      </c>
      <c r="E16" s="1215">
        <v>3</v>
      </c>
      <c r="F16" s="1215">
        <v>3</v>
      </c>
      <c r="G16" s="1215">
        <v>3</v>
      </c>
      <c r="H16" s="1215"/>
      <c r="I16" s="1215"/>
      <c r="J16" s="1338">
        <v>4</v>
      </c>
      <c r="K16" s="1338">
        <v>4</v>
      </c>
      <c r="L16" s="1338">
        <v>4</v>
      </c>
      <c r="M16" s="1338">
        <v>4</v>
      </c>
      <c r="N16" s="1338">
        <v>4</v>
      </c>
      <c r="O16" s="1338" t="s">
        <v>630</v>
      </c>
      <c r="P16" s="1338" t="s">
        <v>630</v>
      </c>
      <c r="Q16" s="1338" t="s">
        <v>487</v>
      </c>
      <c r="R16" s="1338" t="s">
        <v>487</v>
      </c>
      <c r="S16" s="1338" t="s">
        <v>487</v>
      </c>
      <c r="T16" s="1338" t="s">
        <v>487</v>
      </c>
      <c r="U16" s="1338" t="s">
        <v>487</v>
      </c>
      <c r="V16" s="1338"/>
      <c r="W16" s="1338"/>
      <c r="X16" s="1338">
        <v>1</v>
      </c>
      <c r="Y16" s="1338">
        <v>1</v>
      </c>
      <c r="Z16" s="1338">
        <v>1</v>
      </c>
      <c r="AA16" s="1338">
        <v>1</v>
      </c>
      <c r="AB16" s="1338">
        <v>1</v>
      </c>
      <c r="AC16" s="1338"/>
      <c r="AD16" s="1338"/>
      <c r="AE16" s="1215">
        <v>2</v>
      </c>
      <c r="AF16" s="1215">
        <v>2</v>
      </c>
      <c r="AG16" s="1216">
        <v>2</v>
      </c>
      <c r="AH16" s="513">
        <v>78</v>
      </c>
      <c r="AI16" s="514">
        <v>37</v>
      </c>
    </row>
    <row r="17" spans="1:37" ht="21.95" customHeight="1">
      <c r="A17" s="500">
        <v>8546</v>
      </c>
      <c r="B17" s="347" t="s">
        <v>634</v>
      </c>
      <c r="C17" s="1215" t="s">
        <v>487</v>
      </c>
      <c r="D17" s="1215" t="s">
        <v>487</v>
      </c>
      <c r="E17" s="1215" t="s">
        <v>487</v>
      </c>
      <c r="F17" s="1215" t="s">
        <v>487</v>
      </c>
      <c r="G17" s="1215" t="s">
        <v>487</v>
      </c>
      <c r="H17" s="1215"/>
      <c r="I17" s="1215"/>
      <c r="J17" s="1215">
        <v>3</v>
      </c>
      <c r="K17" s="1215">
        <v>3</v>
      </c>
      <c r="L17" s="1215">
        <v>3</v>
      </c>
      <c r="M17" s="1215">
        <v>3</v>
      </c>
      <c r="N17" s="1215">
        <v>3</v>
      </c>
      <c r="O17" s="1215"/>
      <c r="P17" s="1215"/>
      <c r="Q17" s="1215">
        <v>4</v>
      </c>
      <c r="R17" s="1215">
        <v>4</v>
      </c>
      <c r="S17" s="1215">
        <v>4</v>
      </c>
      <c r="T17" s="1215">
        <v>4</v>
      </c>
      <c r="U17" s="1215">
        <v>4</v>
      </c>
      <c r="V17" s="1215" t="s">
        <v>630</v>
      </c>
      <c r="W17" s="1215" t="s">
        <v>630</v>
      </c>
      <c r="X17" s="1215" t="s">
        <v>487</v>
      </c>
      <c r="Y17" s="1215" t="s">
        <v>487</v>
      </c>
      <c r="Z17" s="1215" t="s">
        <v>487</v>
      </c>
      <c r="AA17" s="1215" t="s">
        <v>487</v>
      </c>
      <c r="AB17" s="1215" t="s">
        <v>487</v>
      </c>
      <c r="AC17" s="1215"/>
      <c r="AD17" s="1215"/>
      <c r="AE17" s="1215">
        <v>1</v>
      </c>
      <c r="AF17" s="1215">
        <v>1</v>
      </c>
      <c r="AG17" s="1216">
        <v>1</v>
      </c>
      <c r="AH17" s="513">
        <v>79</v>
      </c>
      <c r="AI17" s="514">
        <v>37</v>
      </c>
    </row>
    <row r="18" spans="1:37" ht="21.95" customHeight="1">
      <c r="A18" s="500">
        <v>8546</v>
      </c>
      <c r="B18" s="347" t="s">
        <v>635</v>
      </c>
      <c r="C18" s="1215">
        <v>4</v>
      </c>
      <c r="D18" s="1215">
        <v>4</v>
      </c>
      <c r="E18" s="1215">
        <v>4</v>
      </c>
      <c r="F18" s="1215">
        <v>4</v>
      </c>
      <c r="G18" s="1215">
        <v>4</v>
      </c>
      <c r="H18" s="1215" t="s">
        <v>630</v>
      </c>
      <c r="I18" s="1215" t="s">
        <v>630</v>
      </c>
      <c r="J18" s="1215" t="s">
        <v>487</v>
      </c>
      <c r="K18" s="1215" t="s">
        <v>487</v>
      </c>
      <c r="L18" s="1215" t="s">
        <v>487</v>
      </c>
      <c r="M18" s="1215" t="s">
        <v>487</v>
      </c>
      <c r="N18" s="1215" t="s">
        <v>487</v>
      </c>
      <c r="O18" s="1215"/>
      <c r="P18" s="1215"/>
      <c r="Q18" s="1215">
        <v>1</v>
      </c>
      <c r="R18" s="1215">
        <v>1</v>
      </c>
      <c r="S18" s="1215">
        <v>1</v>
      </c>
      <c r="T18" s="1346">
        <v>1</v>
      </c>
      <c r="U18" s="1346">
        <v>1</v>
      </c>
      <c r="V18" s="1215"/>
      <c r="W18" s="1215"/>
      <c r="X18" s="1215">
        <v>2</v>
      </c>
      <c r="Y18" s="1215">
        <v>2</v>
      </c>
      <c r="Z18" s="1215">
        <v>2</v>
      </c>
      <c r="AA18" s="1215">
        <v>2</v>
      </c>
      <c r="AB18" s="1215">
        <v>2</v>
      </c>
      <c r="AC18" s="1215" t="s">
        <v>631</v>
      </c>
      <c r="AD18" s="1215" t="s">
        <v>631</v>
      </c>
      <c r="AE18" s="1338" t="s">
        <v>487</v>
      </c>
      <c r="AF18" s="1338" t="s">
        <v>487</v>
      </c>
      <c r="AG18" s="1339" t="s">
        <v>487</v>
      </c>
      <c r="AH18" s="513">
        <v>185</v>
      </c>
      <c r="AI18" s="514">
        <v>37</v>
      </c>
    </row>
    <row r="19" spans="1:37" ht="21.95" customHeight="1">
      <c r="A19" s="515" t="s">
        <v>636</v>
      </c>
      <c r="B19" s="516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507"/>
      <c r="AE19" s="507"/>
      <c r="AF19" s="507"/>
      <c r="AG19" s="508"/>
      <c r="AH19" s="509"/>
      <c r="AI19" s="510"/>
    </row>
    <row r="20" spans="1:37" ht="21.95" customHeight="1">
      <c r="A20" s="500">
        <v>8500</v>
      </c>
      <c r="B20" s="186" t="s">
        <v>192</v>
      </c>
      <c r="C20" s="1215" t="s">
        <v>487</v>
      </c>
      <c r="D20" s="1215" t="s">
        <v>487</v>
      </c>
      <c r="E20" s="1215" t="s">
        <v>487</v>
      </c>
      <c r="F20" s="1215">
        <v>1</v>
      </c>
      <c r="G20" s="1215">
        <v>1</v>
      </c>
      <c r="H20" s="1215" t="s">
        <v>637</v>
      </c>
      <c r="I20" s="1215" t="s">
        <v>637</v>
      </c>
      <c r="J20" s="1215">
        <v>4</v>
      </c>
      <c r="K20" s="1215">
        <v>4</v>
      </c>
      <c r="L20" s="1215">
        <v>4</v>
      </c>
      <c r="M20" s="1215">
        <v>4</v>
      </c>
      <c r="N20" s="1215">
        <v>4</v>
      </c>
      <c r="O20" s="1215" t="s">
        <v>630</v>
      </c>
      <c r="P20" s="1215" t="s">
        <v>630</v>
      </c>
      <c r="Q20" s="1215" t="s">
        <v>487</v>
      </c>
      <c r="R20" s="1215" t="s">
        <v>487</v>
      </c>
      <c r="S20" s="1215" t="s">
        <v>487</v>
      </c>
      <c r="T20" s="1215" t="s">
        <v>487</v>
      </c>
      <c r="U20" s="1215" t="s">
        <v>487</v>
      </c>
      <c r="V20" s="1215"/>
      <c r="W20" s="1215"/>
      <c r="X20" s="1215">
        <v>1</v>
      </c>
      <c r="Y20" s="1215">
        <v>1</v>
      </c>
      <c r="Z20" s="1215">
        <v>1</v>
      </c>
      <c r="AA20" s="1215">
        <v>1</v>
      </c>
      <c r="AB20" s="1215">
        <v>1</v>
      </c>
      <c r="AC20" s="1215" t="s">
        <v>637</v>
      </c>
      <c r="AD20" s="1215" t="s">
        <v>637</v>
      </c>
      <c r="AE20" s="1338" t="s">
        <v>535</v>
      </c>
      <c r="AF20" s="1338" t="s">
        <v>535</v>
      </c>
      <c r="AG20" s="1338" t="s">
        <v>535</v>
      </c>
      <c r="AH20" s="504">
        <v>185</v>
      </c>
      <c r="AI20" s="505">
        <v>37</v>
      </c>
    </row>
    <row r="21" spans="1:37" ht="21.95" customHeight="1">
      <c r="A21" s="500">
        <v>8500</v>
      </c>
      <c r="B21" s="153" t="s">
        <v>638</v>
      </c>
      <c r="C21" s="1338" t="s">
        <v>535</v>
      </c>
      <c r="D21" s="1338" t="s">
        <v>535</v>
      </c>
      <c r="E21" s="1338" t="s">
        <v>535</v>
      </c>
      <c r="F21" s="1338" t="s">
        <v>535</v>
      </c>
      <c r="G21" s="1338" t="s">
        <v>535</v>
      </c>
      <c r="H21" s="1338"/>
      <c r="I21" s="1338"/>
      <c r="J21" s="1338" t="s">
        <v>535</v>
      </c>
      <c r="K21" s="1338" t="s">
        <v>535</v>
      </c>
      <c r="L21" s="1335" t="s">
        <v>535</v>
      </c>
      <c r="M21" s="1335" t="s">
        <v>535</v>
      </c>
      <c r="N21" s="1335" t="s">
        <v>535</v>
      </c>
      <c r="O21" s="1215"/>
      <c r="P21" s="1215"/>
      <c r="Q21" s="1215" t="s">
        <v>535</v>
      </c>
      <c r="R21" s="1215" t="s">
        <v>535</v>
      </c>
      <c r="S21" s="1215" t="s">
        <v>535</v>
      </c>
      <c r="T21" s="1215">
        <v>1</v>
      </c>
      <c r="U21" s="1215">
        <v>1</v>
      </c>
      <c r="V21" s="1215"/>
      <c r="W21" s="1215"/>
      <c r="X21" s="1215">
        <v>3</v>
      </c>
      <c r="Y21" s="1215">
        <v>3</v>
      </c>
      <c r="Z21" s="1215">
        <v>3</v>
      </c>
      <c r="AA21" s="1215">
        <v>3</v>
      </c>
      <c r="AB21" s="1215">
        <v>3</v>
      </c>
      <c r="AC21" s="1215"/>
      <c r="AD21" s="1215"/>
      <c r="AE21" s="1215" t="s">
        <v>535</v>
      </c>
      <c r="AF21" s="1215" t="s">
        <v>535</v>
      </c>
      <c r="AG21" s="1215" t="s">
        <v>535</v>
      </c>
      <c r="AH21" s="504">
        <v>89.3</v>
      </c>
      <c r="AI21" s="505">
        <v>37</v>
      </c>
    </row>
    <row r="22" spans="1:37" ht="21.95" customHeight="1" thickBot="1">
      <c r="A22" s="500"/>
      <c r="B22" s="153"/>
      <c r="C22" s="1215"/>
      <c r="D22" s="1215"/>
      <c r="E22" s="1215"/>
      <c r="F22" s="1215"/>
      <c r="G22" s="1215"/>
      <c r="H22" s="1215"/>
      <c r="I22" s="1215"/>
      <c r="J22" s="1215"/>
      <c r="K22" s="1215"/>
      <c r="L22" s="1215"/>
      <c r="M22" s="1215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15"/>
      <c r="AA22" s="1215"/>
      <c r="AB22" s="1215"/>
      <c r="AC22" s="1215"/>
      <c r="AD22" s="1215"/>
      <c r="AE22" s="1215"/>
      <c r="AF22" s="1215"/>
      <c r="AG22" s="1215"/>
      <c r="AH22" s="517">
        <v>185</v>
      </c>
      <c r="AI22" s="518">
        <v>37</v>
      </c>
    </row>
    <row r="23" spans="1:37" ht="21.95" customHeight="1">
      <c r="A23" s="519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</row>
    <row r="24" spans="1:37" ht="21.95" customHeight="1">
      <c r="A24" s="519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</row>
    <row r="25" spans="1:37" ht="21.95" customHeight="1">
      <c r="A25" s="519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</row>
    <row r="26" spans="1:37" ht="21.95" customHeight="1">
      <c r="A26" s="519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</row>
    <row r="27" spans="1:37" ht="21.95" customHeight="1">
      <c r="A27" s="519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</row>
    <row r="28" spans="1:37" ht="21.95" customHeight="1">
      <c r="A28" s="519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</row>
    <row r="29" spans="1:37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7" ht="21.95" customHeight="1" thickBot="1">
      <c r="A30" s="1" t="s">
        <v>639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640</v>
      </c>
      <c r="B31" s="521"/>
      <c r="C31" s="521"/>
      <c r="D31" s="425" t="s">
        <v>641</v>
      </c>
      <c r="E31" s="522"/>
      <c r="F31" s="522"/>
      <c r="G31" s="522"/>
      <c r="H31" s="522"/>
      <c r="I31" s="522"/>
      <c r="J31" s="522"/>
      <c r="K31" s="522"/>
      <c r="L31" s="522"/>
      <c r="M31" s="523" t="s">
        <v>642</v>
      </c>
      <c r="N31" s="522"/>
      <c r="O31" s="522"/>
      <c r="P31" s="522"/>
      <c r="Q31" s="522"/>
      <c r="R31" s="522"/>
      <c r="S31" s="524"/>
      <c r="T31" s="524" t="s">
        <v>643</v>
      </c>
      <c r="U31" s="522"/>
      <c r="V31" s="522"/>
      <c r="W31" s="522"/>
      <c r="X31" s="522"/>
      <c r="Y31" s="522"/>
      <c r="Z31" s="238"/>
      <c r="AA31" s="525" t="s">
        <v>644</v>
      </c>
      <c r="AB31" s="51"/>
      <c r="AC31" s="51"/>
      <c r="AD31" s="51"/>
      <c r="AE31" s="51"/>
      <c r="AF31" s="51"/>
      <c r="AG31" s="526"/>
      <c r="AK31" s="1"/>
    </row>
    <row r="32" spans="1:37" ht="21.95" customHeight="1">
      <c r="A32" s="527" t="s">
        <v>645</v>
      </c>
      <c r="B32" s="135"/>
      <c r="C32" s="135"/>
      <c r="D32" s="495" t="s">
        <v>646</v>
      </c>
      <c r="E32" s="491"/>
      <c r="F32" s="157"/>
      <c r="G32" s="157"/>
      <c r="H32" s="157"/>
      <c r="I32" s="157"/>
      <c r="J32" s="157"/>
      <c r="K32" s="157"/>
      <c r="L32" s="489"/>
      <c r="M32" s="528" t="s">
        <v>647</v>
      </c>
      <c r="N32" s="135"/>
      <c r="O32" s="529"/>
      <c r="P32" s="135"/>
      <c r="Q32" s="135"/>
      <c r="R32" s="135"/>
      <c r="S32" s="530"/>
      <c r="T32" s="495" t="s">
        <v>648</v>
      </c>
      <c r="U32" s="157"/>
      <c r="V32" s="491"/>
      <c r="W32" s="157"/>
      <c r="X32" s="157"/>
      <c r="Y32" s="157"/>
      <c r="Z32" s="489"/>
      <c r="AA32" s="1" t="s">
        <v>649</v>
      </c>
      <c r="AD32" s="496"/>
      <c r="AG32" s="531"/>
      <c r="AK32" s="1"/>
    </row>
    <row r="33" spans="1:38" ht="21.95" customHeight="1">
      <c r="A33" s="532" t="s">
        <v>650</v>
      </c>
      <c r="B33" s="157"/>
      <c r="C33" s="157"/>
      <c r="D33" s="157"/>
      <c r="E33" s="157"/>
      <c r="F33" s="157"/>
      <c r="G33" s="489"/>
      <c r="H33" s="495" t="s">
        <v>651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3" t="s">
        <v>652</v>
      </c>
      <c r="AA33" s="529"/>
      <c r="AB33" s="135"/>
      <c r="AC33" s="135"/>
      <c r="AD33" s="135"/>
      <c r="AE33" s="135"/>
      <c r="AF33" s="135"/>
      <c r="AG33" s="534"/>
      <c r="AK33" s="312"/>
    </row>
    <row r="34" spans="1:38" ht="21.95" customHeight="1" thickBot="1">
      <c r="A34" s="535" t="s">
        <v>653</v>
      </c>
      <c r="B34" s="53"/>
      <c r="C34" s="53"/>
      <c r="D34" s="53"/>
      <c r="E34" s="53"/>
      <c r="F34" s="53"/>
      <c r="G34" s="536"/>
      <c r="H34" s="537" t="s">
        <v>654</v>
      </c>
      <c r="I34" s="536"/>
      <c r="J34" s="53"/>
      <c r="K34" s="53"/>
      <c r="L34" s="53"/>
      <c r="M34" s="53"/>
      <c r="N34" s="53"/>
      <c r="O34" s="53"/>
      <c r="P34" s="53"/>
      <c r="Q34" s="538"/>
      <c r="R34" s="538"/>
      <c r="S34" s="538"/>
      <c r="T34" s="53"/>
      <c r="U34" s="537" t="s">
        <v>655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9"/>
      <c r="AK34" s="1"/>
    </row>
    <row r="35" spans="1:38" ht="21.95" customHeight="1" thickBot="1">
      <c r="B35" s="540" t="s">
        <v>627</v>
      </c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41"/>
      <c r="Y35" s="541"/>
      <c r="Z35" s="541"/>
      <c r="AA35" s="541"/>
      <c r="AB35" s="541"/>
      <c r="AC35" s="541"/>
      <c r="AD35" s="541"/>
      <c r="AE35" s="541"/>
      <c r="AF35" s="541"/>
      <c r="AG35" s="541"/>
      <c r="AH35" s="1"/>
    </row>
    <row r="36" spans="1:38" ht="21.95" customHeight="1" thickBot="1">
      <c r="A36" s="542" t="s">
        <v>528</v>
      </c>
      <c r="B36" s="182" t="s">
        <v>480</v>
      </c>
      <c r="C36" s="1234">
        <v>1</v>
      </c>
      <c r="D36" s="1234">
        <v>2</v>
      </c>
      <c r="E36" s="1234">
        <v>3</v>
      </c>
      <c r="F36" s="1234">
        <v>4</v>
      </c>
      <c r="G36" s="1234">
        <v>5</v>
      </c>
      <c r="H36" s="1235">
        <v>6</v>
      </c>
      <c r="I36" s="1330">
        <v>7</v>
      </c>
      <c r="J36" s="1213">
        <v>8</v>
      </c>
      <c r="K36" s="1234">
        <v>9</v>
      </c>
      <c r="L36" s="1234">
        <v>10</v>
      </c>
      <c r="M36" s="1234">
        <v>11</v>
      </c>
      <c r="N36" s="1234">
        <v>12</v>
      </c>
      <c r="O36" s="1235">
        <v>13</v>
      </c>
      <c r="P36" s="1330">
        <v>14</v>
      </c>
      <c r="Q36" s="1213">
        <v>15</v>
      </c>
      <c r="R36" s="1234">
        <v>16</v>
      </c>
      <c r="S36" s="1234">
        <v>17</v>
      </c>
      <c r="T36" s="1234">
        <v>18</v>
      </c>
      <c r="U36" s="1234">
        <v>19</v>
      </c>
      <c r="V36" s="1330">
        <v>20</v>
      </c>
      <c r="W36" s="1330">
        <v>21</v>
      </c>
      <c r="X36" s="1213">
        <v>22</v>
      </c>
      <c r="Y36" s="1234">
        <v>23</v>
      </c>
      <c r="Z36" s="1234">
        <v>24</v>
      </c>
      <c r="AA36" s="1234">
        <v>25</v>
      </c>
      <c r="AB36" s="1234">
        <v>26</v>
      </c>
      <c r="AC36" s="1235">
        <v>27</v>
      </c>
      <c r="AD36" s="1330">
        <v>28</v>
      </c>
      <c r="AE36" s="1213">
        <v>29</v>
      </c>
      <c r="AF36" s="1234">
        <v>30</v>
      </c>
      <c r="AG36" s="1234">
        <v>31</v>
      </c>
      <c r="AH36" s="498" t="s">
        <v>481</v>
      </c>
      <c r="AI36" s="499" t="s">
        <v>482</v>
      </c>
      <c r="AL36" t="s">
        <v>28</v>
      </c>
    </row>
    <row r="37" spans="1:38" ht="21.95" customHeight="1">
      <c r="A37" s="543">
        <v>1</v>
      </c>
      <c r="B37" s="45" t="s">
        <v>656</v>
      </c>
      <c r="C37" s="1209">
        <v>6</v>
      </c>
      <c r="D37" s="1209">
        <v>6</v>
      </c>
      <c r="E37" s="1209">
        <v>6</v>
      </c>
      <c r="F37" s="1209">
        <v>6</v>
      </c>
      <c r="G37" s="1209">
        <v>6</v>
      </c>
      <c r="H37" s="1209"/>
      <c r="I37" s="1209"/>
      <c r="J37" s="1351">
        <v>10</v>
      </c>
      <c r="K37" s="1351">
        <v>10</v>
      </c>
      <c r="L37" s="1351">
        <v>10</v>
      </c>
      <c r="M37" s="1351">
        <v>10</v>
      </c>
      <c r="N37" s="1351">
        <v>10</v>
      </c>
      <c r="O37" s="1351" t="s">
        <v>555</v>
      </c>
      <c r="P37" s="1351" t="s">
        <v>555</v>
      </c>
      <c r="Q37" s="1351" t="s">
        <v>487</v>
      </c>
      <c r="R37" s="1351" t="s">
        <v>487</v>
      </c>
      <c r="S37" s="1351" t="s">
        <v>487</v>
      </c>
      <c r="T37" s="1351" t="s">
        <v>487</v>
      </c>
      <c r="U37" s="1351" t="s">
        <v>487</v>
      </c>
      <c r="V37" s="1351" t="s">
        <v>660</v>
      </c>
      <c r="W37" s="1351" t="s">
        <v>660</v>
      </c>
      <c r="X37" s="1351">
        <v>7</v>
      </c>
      <c r="Y37" s="1351">
        <v>7</v>
      </c>
      <c r="Z37" s="1351">
        <v>7</v>
      </c>
      <c r="AA37" s="1351">
        <v>7</v>
      </c>
      <c r="AB37" s="1351">
        <v>7</v>
      </c>
      <c r="AC37" s="1351"/>
      <c r="AD37" s="1351"/>
      <c r="AE37" s="1209">
        <v>4</v>
      </c>
      <c r="AF37" s="1209">
        <v>4</v>
      </c>
      <c r="AG37" s="1220">
        <v>4</v>
      </c>
      <c r="AH37" s="504">
        <v>56.3</v>
      </c>
      <c r="AI37" s="505">
        <v>37</v>
      </c>
    </row>
    <row r="38" spans="1:38" ht="21.95" customHeight="1">
      <c r="A38" s="544">
        <v>6</v>
      </c>
      <c r="B38" s="545" t="s">
        <v>658</v>
      </c>
      <c r="C38" s="1376">
        <v>3</v>
      </c>
      <c r="D38" s="1376">
        <v>3</v>
      </c>
      <c r="E38" s="1376">
        <v>3</v>
      </c>
      <c r="F38" s="1376">
        <v>3</v>
      </c>
      <c r="G38" s="1376">
        <v>3</v>
      </c>
      <c r="H38" s="1376"/>
      <c r="I38" s="1376"/>
      <c r="J38" s="1376">
        <v>11</v>
      </c>
      <c r="K38" s="1376">
        <v>11</v>
      </c>
      <c r="L38" s="1376">
        <v>11</v>
      </c>
      <c r="M38" s="1376">
        <v>11</v>
      </c>
      <c r="N38" s="1376">
        <v>11</v>
      </c>
      <c r="O38" s="1376" t="s">
        <v>657</v>
      </c>
      <c r="P38" s="1376" t="s">
        <v>657</v>
      </c>
      <c r="Q38" s="1376" t="s">
        <v>487</v>
      </c>
      <c r="R38" s="1376" t="s">
        <v>487</v>
      </c>
      <c r="S38" s="1376" t="s">
        <v>487</v>
      </c>
      <c r="T38" s="1376" t="s">
        <v>487</v>
      </c>
      <c r="U38" s="1376" t="s">
        <v>487</v>
      </c>
      <c r="V38" s="1376"/>
      <c r="W38" s="1376"/>
      <c r="X38" s="1376">
        <v>8</v>
      </c>
      <c r="Y38" s="1376">
        <v>8</v>
      </c>
      <c r="Z38" s="1376">
        <v>8</v>
      </c>
      <c r="AA38" s="1376">
        <v>8</v>
      </c>
      <c r="AB38" s="1376">
        <v>8</v>
      </c>
      <c r="AC38" s="1376" t="s">
        <v>533</v>
      </c>
      <c r="AD38" s="1376" t="s">
        <v>533</v>
      </c>
      <c r="AE38" s="1376" t="s">
        <v>487</v>
      </c>
      <c r="AF38" s="1376" t="s">
        <v>487</v>
      </c>
      <c r="AG38" s="1377" t="s">
        <v>487</v>
      </c>
      <c r="AH38" s="504">
        <v>185</v>
      </c>
      <c r="AI38" s="505">
        <v>37</v>
      </c>
    </row>
    <row r="39" spans="1:38" ht="21.95" customHeight="1" thickBot="1">
      <c r="A39" s="546">
        <v>11</v>
      </c>
      <c r="B39" s="1242" t="s">
        <v>659</v>
      </c>
      <c r="C39" s="1207">
        <v>1</v>
      </c>
      <c r="D39" s="1207">
        <v>1</v>
      </c>
      <c r="E39" s="1207">
        <v>1</v>
      </c>
      <c r="F39" s="1207">
        <v>1</v>
      </c>
      <c r="G39" s="1207">
        <v>1</v>
      </c>
      <c r="H39" s="1207"/>
      <c r="I39" s="1207"/>
      <c r="J39" s="1207">
        <v>9</v>
      </c>
      <c r="K39" s="1207">
        <v>9</v>
      </c>
      <c r="L39" s="1207">
        <v>9</v>
      </c>
      <c r="M39" s="1207">
        <v>9</v>
      </c>
      <c r="N39" s="1207">
        <v>9</v>
      </c>
      <c r="O39" s="1207" t="s">
        <v>543</v>
      </c>
      <c r="P39" s="1207" t="s">
        <v>555</v>
      </c>
      <c r="Q39" s="1207" t="s">
        <v>487</v>
      </c>
      <c r="R39" s="1207" t="s">
        <v>487</v>
      </c>
      <c r="S39" s="1207" t="s">
        <v>487</v>
      </c>
      <c r="T39" s="1207" t="s">
        <v>487</v>
      </c>
      <c r="U39" s="1207" t="s">
        <v>487</v>
      </c>
      <c r="V39" s="1207"/>
      <c r="W39" s="1207"/>
      <c r="X39" s="1550">
        <v>6</v>
      </c>
      <c r="Y39" s="1550">
        <v>6</v>
      </c>
      <c r="Z39" s="1207">
        <v>6</v>
      </c>
      <c r="AA39" s="1207">
        <v>6</v>
      </c>
      <c r="AB39" s="1207">
        <v>6</v>
      </c>
      <c r="AC39" s="1207" t="s">
        <v>532</v>
      </c>
      <c r="AD39" s="1207" t="s">
        <v>533</v>
      </c>
      <c r="AE39" s="1207" t="s">
        <v>487</v>
      </c>
      <c r="AF39" s="1207" t="s">
        <v>487</v>
      </c>
      <c r="AG39" s="1222" t="s">
        <v>487</v>
      </c>
      <c r="AH39" s="504">
        <v>185</v>
      </c>
      <c r="AI39" s="505">
        <v>37</v>
      </c>
    </row>
    <row r="40" spans="1:38" ht="21.95" customHeight="1">
      <c r="A40" s="543">
        <v>2</v>
      </c>
      <c r="B40" s="45" t="s">
        <v>662</v>
      </c>
      <c r="C40" s="1438" t="s">
        <v>738</v>
      </c>
      <c r="D40" s="1209">
        <v>10</v>
      </c>
      <c r="E40" s="1209">
        <v>10</v>
      </c>
      <c r="F40" s="1223">
        <v>10</v>
      </c>
      <c r="G40" s="1223">
        <v>10</v>
      </c>
      <c r="H40" s="1209" t="s">
        <v>555</v>
      </c>
      <c r="I40" s="1209" t="s">
        <v>555</v>
      </c>
      <c r="J40" s="1209" t="s">
        <v>487</v>
      </c>
      <c r="K40" s="1209" t="s">
        <v>487</v>
      </c>
      <c r="L40" s="1209" t="s">
        <v>487</v>
      </c>
      <c r="M40" s="1209" t="s">
        <v>487</v>
      </c>
      <c r="N40" s="1209" t="s">
        <v>487</v>
      </c>
      <c r="O40" s="1209" t="s">
        <v>660</v>
      </c>
      <c r="P40" s="1209" t="s">
        <v>660</v>
      </c>
      <c r="Q40" s="1209">
        <v>7</v>
      </c>
      <c r="R40" s="1209">
        <v>7</v>
      </c>
      <c r="S40" s="1209">
        <v>7</v>
      </c>
      <c r="T40" s="1223">
        <v>7</v>
      </c>
      <c r="U40" s="1223">
        <v>7</v>
      </c>
      <c r="V40" s="1209"/>
      <c r="W40" s="1209"/>
      <c r="X40" s="1209">
        <v>4</v>
      </c>
      <c r="Y40" s="1209">
        <v>4</v>
      </c>
      <c r="Z40" s="1209">
        <v>4</v>
      </c>
      <c r="AA40" s="1209">
        <v>4</v>
      </c>
      <c r="AB40" s="1209">
        <v>4</v>
      </c>
      <c r="AC40" s="1209"/>
      <c r="AD40" s="1209"/>
      <c r="AE40" s="1351">
        <v>3</v>
      </c>
      <c r="AF40" s="1351">
        <v>3</v>
      </c>
      <c r="AG40" s="1351">
        <v>3</v>
      </c>
      <c r="AH40" s="504">
        <v>185</v>
      </c>
      <c r="AI40" s="505">
        <v>37</v>
      </c>
    </row>
    <row r="41" spans="1:38" ht="21.95" customHeight="1">
      <c r="A41" s="544">
        <v>7</v>
      </c>
      <c r="B41" s="153" t="s">
        <v>664</v>
      </c>
      <c r="C41" s="1215">
        <v>11</v>
      </c>
      <c r="D41" s="1215">
        <v>11</v>
      </c>
      <c r="E41" s="1215">
        <v>11</v>
      </c>
      <c r="F41" s="1215">
        <v>11</v>
      </c>
      <c r="G41" s="1215">
        <v>11</v>
      </c>
      <c r="H41" s="1215" t="s">
        <v>657</v>
      </c>
      <c r="I41" s="1215" t="s">
        <v>657</v>
      </c>
      <c r="J41" s="1215" t="s">
        <v>487</v>
      </c>
      <c r="K41" s="1215" t="s">
        <v>487</v>
      </c>
      <c r="L41" s="1215" t="s">
        <v>487</v>
      </c>
      <c r="M41" s="1215" t="s">
        <v>487</v>
      </c>
      <c r="N41" s="1215" t="s">
        <v>487</v>
      </c>
      <c r="O41" s="1215"/>
      <c r="P41" s="1215"/>
      <c r="Q41" s="1215">
        <v>8</v>
      </c>
      <c r="R41" s="1215">
        <v>8</v>
      </c>
      <c r="S41" s="1215">
        <v>8</v>
      </c>
      <c r="T41" s="1215">
        <v>8</v>
      </c>
      <c r="U41" s="1215">
        <v>8</v>
      </c>
      <c r="V41" s="1215" t="s">
        <v>533</v>
      </c>
      <c r="W41" s="1215" t="s">
        <v>533</v>
      </c>
      <c r="X41" s="1215" t="s">
        <v>487</v>
      </c>
      <c r="Y41" s="1215" t="s">
        <v>487</v>
      </c>
      <c r="Z41" s="1215" t="s">
        <v>487</v>
      </c>
      <c r="AA41" s="1215" t="s">
        <v>487</v>
      </c>
      <c r="AB41" s="1215" t="s">
        <v>487</v>
      </c>
      <c r="AC41" s="1215"/>
      <c r="AD41" s="1215"/>
      <c r="AE41" s="1215">
        <v>1</v>
      </c>
      <c r="AF41" s="1215">
        <v>1</v>
      </c>
      <c r="AG41" s="1221">
        <v>1</v>
      </c>
      <c r="AH41" s="504">
        <v>185</v>
      </c>
      <c r="AI41" s="505">
        <v>37</v>
      </c>
    </row>
    <row r="42" spans="1:38" ht="21.95" customHeight="1" thickBot="1">
      <c r="A42" s="546">
        <v>12</v>
      </c>
      <c r="B42" s="547" t="s">
        <v>665</v>
      </c>
      <c r="C42" s="1366">
        <v>9</v>
      </c>
      <c r="D42" s="1366">
        <v>9</v>
      </c>
      <c r="E42" s="1366">
        <v>9</v>
      </c>
      <c r="F42" s="1366">
        <v>9</v>
      </c>
      <c r="G42" s="1366">
        <v>9</v>
      </c>
      <c r="H42" s="1366" t="s">
        <v>543</v>
      </c>
      <c r="I42" s="1366" t="s">
        <v>555</v>
      </c>
      <c r="J42" s="1207" t="s">
        <v>487</v>
      </c>
      <c r="K42" s="1207" t="s">
        <v>487</v>
      </c>
      <c r="L42" s="1207" t="s">
        <v>487</v>
      </c>
      <c r="M42" s="1207" t="s">
        <v>487</v>
      </c>
      <c r="N42" s="1207" t="s">
        <v>487</v>
      </c>
      <c r="O42" s="1207"/>
      <c r="P42" s="1207"/>
      <c r="Q42" s="1366">
        <v>6</v>
      </c>
      <c r="R42" s="1366">
        <v>6</v>
      </c>
      <c r="S42" s="1366">
        <v>6</v>
      </c>
      <c r="T42" s="1366">
        <v>6</v>
      </c>
      <c r="U42" s="1366">
        <v>6</v>
      </c>
      <c r="V42" s="1366" t="s">
        <v>532</v>
      </c>
      <c r="W42" s="1366" t="s">
        <v>533</v>
      </c>
      <c r="X42" s="1207" t="s">
        <v>487</v>
      </c>
      <c r="Y42" s="1207" t="s">
        <v>487</v>
      </c>
      <c r="Z42" s="1207" t="s">
        <v>487</v>
      </c>
      <c r="AA42" s="1207" t="s">
        <v>487</v>
      </c>
      <c r="AB42" s="1207" t="s">
        <v>487</v>
      </c>
      <c r="AC42" s="1207"/>
      <c r="AD42" s="1207"/>
      <c r="AE42" s="1366">
        <v>5</v>
      </c>
      <c r="AF42" s="1366">
        <v>5</v>
      </c>
      <c r="AG42" s="1548">
        <v>5</v>
      </c>
      <c r="AH42" s="504">
        <v>128</v>
      </c>
      <c r="AI42" s="505">
        <v>37</v>
      </c>
    </row>
    <row r="43" spans="1:38" ht="21.95" customHeight="1">
      <c r="A43" s="548">
        <v>3</v>
      </c>
      <c r="B43" s="1373" t="s">
        <v>666</v>
      </c>
      <c r="C43" s="1211" t="s">
        <v>487</v>
      </c>
      <c r="D43" s="1211" t="s">
        <v>487</v>
      </c>
      <c r="E43" s="1211" t="s">
        <v>487</v>
      </c>
      <c r="F43" s="1211" t="s">
        <v>487</v>
      </c>
      <c r="G43" s="1211" t="s">
        <v>487</v>
      </c>
      <c r="H43" s="1211" t="s">
        <v>660</v>
      </c>
      <c r="I43" s="1211" t="s">
        <v>660</v>
      </c>
      <c r="J43" s="1211">
        <v>7</v>
      </c>
      <c r="K43" s="1211">
        <v>7</v>
      </c>
      <c r="L43" s="1211">
        <v>7</v>
      </c>
      <c r="M43" s="1211">
        <v>7</v>
      </c>
      <c r="N43" s="1211">
        <v>7</v>
      </c>
      <c r="O43" s="1211"/>
      <c r="P43" s="1211"/>
      <c r="Q43" s="1211">
        <v>4</v>
      </c>
      <c r="R43" s="1214">
        <v>4</v>
      </c>
      <c r="S43" s="1211">
        <v>4</v>
      </c>
      <c r="T43" s="1211">
        <v>4</v>
      </c>
      <c r="U43" s="1211">
        <v>4</v>
      </c>
      <c r="V43" s="1211"/>
      <c r="W43" s="1211"/>
      <c r="X43" s="1211">
        <v>3</v>
      </c>
      <c r="Y43" s="1211">
        <v>3</v>
      </c>
      <c r="Z43" s="1211">
        <v>3</v>
      </c>
      <c r="AA43" s="1211">
        <v>3</v>
      </c>
      <c r="AB43" s="1211">
        <v>3</v>
      </c>
      <c r="AC43" s="1211"/>
      <c r="AD43" s="1211"/>
      <c r="AE43" s="1211">
        <v>11</v>
      </c>
      <c r="AF43" s="1211">
        <v>11</v>
      </c>
      <c r="AG43" s="1224">
        <v>11</v>
      </c>
      <c r="AH43" s="504">
        <v>185</v>
      </c>
      <c r="AI43" s="505">
        <v>37</v>
      </c>
    </row>
    <row r="44" spans="1:38" ht="21.95" customHeight="1">
      <c r="A44" s="544">
        <v>8</v>
      </c>
      <c r="B44" s="319" t="s">
        <v>667</v>
      </c>
      <c r="C44" s="1215" t="s">
        <v>487</v>
      </c>
      <c r="D44" s="1215" t="s">
        <v>487</v>
      </c>
      <c r="E44" s="1215" t="s">
        <v>487</v>
      </c>
      <c r="F44" s="1215" t="s">
        <v>487</v>
      </c>
      <c r="G44" s="1225" t="s">
        <v>487</v>
      </c>
      <c r="H44" s="1215"/>
      <c r="I44" s="1215"/>
      <c r="J44" s="1215">
        <v>8</v>
      </c>
      <c r="K44" s="1215">
        <v>8</v>
      </c>
      <c r="L44" s="1215">
        <v>8</v>
      </c>
      <c r="M44" s="1215">
        <v>8</v>
      </c>
      <c r="N44" s="1215">
        <v>8</v>
      </c>
      <c r="O44" s="1215" t="s">
        <v>533</v>
      </c>
      <c r="P44" s="1215" t="s">
        <v>533</v>
      </c>
      <c r="Q44" s="1216" t="s">
        <v>487</v>
      </c>
      <c r="R44" s="1215" t="s">
        <v>487</v>
      </c>
      <c r="S44" s="1226" t="s">
        <v>487</v>
      </c>
      <c r="T44" s="1215" t="s">
        <v>487</v>
      </c>
      <c r="U44" s="1215" t="s">
        <v>487</v>
      </c>
      <c r="V44" s="1215"/>
      <c r="W44" s="1215"/>
      <c r="X44" s="1215">
        <v>1</v>
      </c>
      <c r="Y44" s="1215">
        <v>1</v>
      </c>
      <c r="Z44" s="1215">
        <v>1</v>
      </c>
      <c r="AA44" s="1215">
        <v>1</v>
      </c>
      <c r="AB44" s="1215">
        <v>1</v>
      </c>
      <c r="AC44" s="1215"/>
      <c r="AD44" s="1215"/>
      <c r="AE44" s="1215">
        <v>9</v>
      </c>
      <c r="AF44" s="1215">
        <v>9</v>
      </c>
      <c r="AG44" s="1215">
        <v>9</v>
      </c>
      <c r="AH44" s="504">
        <v>185</v>
      </c>
      <c r="AI44" s="505">
        <v>37</v>
      </c>
    </row>
    <row r="45" spans="1:38" ht="21.95" customHeight="1" thickBot="1">
      <c r="A45" s="546">
        <v>13</v>
      </c>
      <c r="B45" s="52" t="s">
        <v>668</v>
      </c>
      <c r="C45" s="1207" t="s">
        <v>487</v>
      </c>
      <c r="D45" s="1207" t="s">
        <v>487</v>
      </c>
      <c r="E45" s="1207" t="s">
        <v>487</v>
      </c>
      <c r="F45" s="1207" t="s">
        <v>487</v>
      </c>
      <c r="G45" s="1207" t="s">
        <v>487</v>
      </c>
      <c r="H45" s="1207"/>
      <c r="I45" s="1207"/>
      <c r="J45" s="1207">
        <v>6</v>
      </c>
      <c r="K45" s="1207">
        <v>6</v>
      </c>
      <c r="L45" s="1207">
        <v>6</v>
      </c>
      <c r="M45" s="1207">
        <v>6</v>
      </c>
      <c r="N45" s="1207">
        <v>6</v>
      </c>
      <c r="O45" s="1207" t="s">
        <v>532</v>
      </c>
      <c r="P45" s="1207" t="s">
        <v>533</v>
      </c>
      <c r="Q45" s="1207" t="s">
        <v>487</v>
      </c>
      <c r="R45" s="1217" t="s">
        <v>487</v>
      </c>
      <c r="S45" s="1207" t="s">
        <v>487</v>
      </c>
      <c r="T45" s="1207" t="s">
        <v>487</v>
      </c>
      <c r="U45" s="1207" t="s">
        <v>487</v>
      </c>
      <c r="V45" s="1207"/>
      <c r="W45" s="1207"/>
      <c r="X45" s="1371">
        <v>5</v>
      </c>
      <c r="Y45" s="1371">
        <v>5</v>
      </c>
      <c r="Z45" s="1371">
        <v>5</v>
      </c>
      <c r="AA45" s="1371">
        <v>5</v>
      </c>
      <c r="AB45" s="1371">
        <v>5</v>
      </c>
      <c r="AC45" s="1207"/>
      <c r="AD45" s="1207"/>
      <c r="AE45" s="1366">
        <v>10</v>
      </c>
      <c r="AF45" s="1366">
        <v>10</v>
      </c>
      <c r="AG45" s="1366">
        <v>10</v>
      </c>
      <c r="AH45" s="504">
        <v>185</v>
      </c>
      <c r="AI45" s="505">
        <v>37</v>
      </c>
    </row>
    <row r="46" spans="1:38" ht="21.95" customHeight="1">
      <c r="A46" s="548">
        <v>4</v>
      </c>
      <c r="B46" s="319" t="s">
        <v>669</v>
      </c>
      <c r="C46" s="1338">
        <v>7</v>
      </c>
      <c r="D46" s="1338">
        <v>7</v>
      </c>
      <c r="E46" s="1338">
        <v>7</v>
      </c>
      <c r="F46" s="1338">
        <v>7</v>
      </c>
      <c r="G46" s="1338">
        <v>7</v>
      </c>
      <c r="H46" s="1215"/>
      <c r="I46" s="1215"/>
      <c r="J46" s="1211">
        <v>4</v>
      </c>
      <c r="K46" s="1211">
        <v>4</v>
      </c>
      <c r="L46" s="1211">
        <v>4</v>
      </c>
      <c r="M46" s="1211">
        <v>4</v>
      </c>
      <c r="N46" s="1211">
        <v>4</v>
      </c>
      <c r="O46" s="1211"/>
      <c r="P46" s="1211"/>
      <c r="Q46" s="1484">
        <v>3</v>
      </c>
      <c r="R46" s="1484">
        <v>3</v>
      </c>
      <c r="S46" s="1484">
        <v>3</v>
      </c>
      <c r="T46" s="1484">
        <v>3</v>
      </c>
      <c r="U46" s="1484">
        <v>3</v>
      </c>
      <c r="V46" s="1484"/>
      <c r="W46" s="1484"/>
      <c r="X46" s="1484">
        <v>11</v>
      </c>
      <c r="Y46" s="1484">
        <v>11</v>
      </c>
      <c r="Z46" s="1484">
        <v>11</v>
      </c>
      <c r="AA46" s="1484">
        <v>11</v>
      </c>
      <c r="AB46" s="1484">
        <v>11</v>
      </c>
      <c r="AC46" s="1484" t="s">
        <v>657</v>
      </c>
      <c r="AD46" s="1484" t="s">
        <v>657</v>
      </c>
      <c r="AE46" s="1484" t="s">
        <v>487</v>
      </c>
      <c r="AF46" s="1484" t="s">
        <v>487</v>
      </c>
      <c r="AG46" s="1485" t="s">
        <v>487</v>
      </c>
      <c r="AH46" s="504">
        <v>51</v>
      </c>
      <c r="AI46" s="505">
        <v>37</v>
      </c>
    </row>
    <row r="47" spans="1:38" ht="21.95" customHeight="1">
      <c r="A47" s="544">
        <v>9</v>
      </c>
      <c r="B47" s="319" t="s">
        <v>670</v>
      </c>
      <c r="C47" s="1215">
        <v>8</v>
      </c>
      <c r="D47" s="1215">
        <v>8</v>
      </c>
      <c r="E47" s="1215">
        <v>8</v>
      </c>
      <c r="F47" s="1215">
        <v>8</v>
      </c>
      <c r="G47" s="1215">
        <v>8</v>
      </c>
      <c r="H47" s="1215" t="s">
        <v>533</v>
      </c>
      <c r="I47" s="1215" t="s">
        <v>533</v>
      </c>
      <c r="J47" s="1338" t="s">
        <v>487</v>
      </c>
      <c r="K47" s="1338" t="s">
        <v>487</v>
      </c>
      <c r="L47" s="1338" t="s">
        <v>487</v>
      </c>
      <c r="M47" s="1338" t="s">
        <v>487</v>
      </c>
      <c r="N47" s="1338" t="s">
        <v>487</v>
      </c>
      <c r="O47" s="1338"/>
      <c r="P47" s="1338"/>
      <c r="Q47" s="1338">
        <v>1</v>
      </c>
      <c r="R47" s="1338">
        <v>1</v>
      </c>
      <c r="S47" s="1338">
        <v>1</v>
      </c>
      <c r="T47" s="1338">
        <v>1</v>
      </c>
      <c r="U47" s="1338">
        <v>1</v>
      </c>
      <c r="V47" s="1338"/>
      <c r="W47" s="1338"/>
      <c r="X47" s="1338">
        <v>9</v>
      </c>
      <c r="Y47" s="1338">
        <v>9</v>
      </c>
      <c r="Z47" s="1338">
        <v>9</v>
      </c>
      <c r="AA47" s="1338">
        <v>9</v>
      </c>
      <c r="AB47" s="1338">
        <v>9</v>
      </c>
      <c r="AC47" s="1338" t="s">
        <v>543</v>
      </c>
      <c r="AD47" s="1338" t="s">
        <v>555</v>
      </c>
      <c r="AE47" s="1215" t="s">
        <v>487</v>
      </c>
      <c r="AF47" s="1215" t="s">
        <v>487</v>
      </c>
      <c r="AG47" s="1216" t="s">
        <v>487</v>
      </c>
      <c r="AH47" s="504">
        <v>130</v>
      </c>
      <c r="AI47" s="505">
        <v>37</v>
      </c>
    </row>
    <row r="48" spans="1:38" ht="21.95" customHeight="1" thickBot="1">
      <c r="A48" s="546">
        <v>14</v>
      </c>
      <c r="B48" s="547" t="s">
        <v>671</v>
      </c>
      <c r="C48" s="1366">
        <v>6</v>
      </c>
      <c r="D48" s="1366">
        <v>6</v>
      </c>
      <c r="E48" s="1349">
        <v>6</v>
      </c>
      <c r="F48" s="1349">
        <v>6</v>
      </c>
      <c r="G48" s="1349">
        <v>6</v>
      </c>
      <c r="H48" s="1349" t="s">
        <v>532</v>
      </c>
      <c r="I48" s="1349" t="s">
        <v>533</v>
      </c>
      <c r="J48" s="1211" t="s">
        <v>487</v>
      </c>
      <c r="K48" s="1211" t="s">
        <v>487</v>
      </c>
      <c r="L48" s="1207" t="s">
        <v>487</v>
      </c>
      <c r="M48" s="1207" t="s">
        <v>487</v>
      </c>
      <c r="N48" s="1207" t="s">
        <v>487</v>
      </c>
      <c r="O48" s="1207"/>
      <c r="P48" s="1207"/>
      <c r="Q48" s="1207">
        <v>1</v>
      </c>
      <c r="R48" s="1207">
        <v>1</v>
      </c>
      <c r="S48" s="1207">
        <v>1</v>
      </c>
      <c r="T48" s="1207">
        <v>1</v>
      </c>
      <c r="U48" s="1207">
        <v>1</v>
      </c>
      <c r="V48" s="1207"/>
      <c r="W48" s="1207"/>
      <c r="X48" s="1207">
        <v>10</v>
      </c>
      <c r="Y48" s="1207">
        <v>10</v>
      </c>
      <c r="Z48" s="1207">
        <v>10</v>
      </c>
      <c r="AA48" s="1207">
        <v>10</v>
      </c>
      <c r="AB48" s="1207">
        <v>10</v>
      </c>
      <c r="AC48" s="1207" t="s">
        <v>555</v>
      </c>
      <c r="AD48" s="1207" t="s">
        <v>555</v>
      </c>
      <c r="AE48" s="1207" t="s">
        <v>487</v>
      </c>
      <c r="AF48" s="1207" t="s">
        <v>487</v>
      </c>
      <c r="AG48" s="1227" t="s">
        <v>487</v>
      </c>
      <c r="AH48" s="504">
        <v>72</v>
      </c>
      <c r="AI48" s="505">
        <v>37</v>
      </c>
    </row>
    <row r="49" spans="1:35" ht="21.95" customHeight="1">
      <c r="A49" s="543">
        <v>5</v>
      </c>
      <c r="B49" s="545" t="s">
        <v>672</v>
      </c>
      <c r="C49" s="1209">
        <v>4</v>
      </c>
      <c r="D49" s="1209">
        <v>4</v>
      </c>
      <c r="E49" s="1209">
        <v>4</v>
      </c>
      <c r="F49" s="1209">
        <v>4</v>
      </c>
      <c r="G49" s="1209">
        <v>4</v>
      </c>
      <c r="H49" s="1209"/>
      <c r="I49" s="1209"/>
      <c r="J49" s="1209">
        <v>3</v>
      </c>
      <c r="K49" s="1209">
        <v>3</v>
      </c>
      <c r="L49" s="1209">
        <v>3</v>
      </c>
      <c r="M49" s="1209">
        <v>3</v>
      </c>
      <c r="N49" s="1209">
        <v>3</v>
      </c>
      <c r="O49" s="1209"/>
      <c r="P49" s="1209"/>
      <c r="Q49" s="1209">
        <v>11</v>
      </c>
      <c r="R49" s="1209">
        <v>11</v>
      </c>
      <c r="S49" s="1215">
        <v>11</v>
      </c>
      <c r="T49" s="1215">
        <v>11</v>
      </c>
      <c r="U49" s="1215">
        <v>11</v>
      </c>
      <c r="V49" s="1215" t="s">
        <v>657</v>
      </c>
      <c r="W49" s="1215" t="s">
        <v>657</v>
      </c>
      <c r="X49" s="1215" t="s">
        <v>487</v>
      </c>
      <c r="Y49" s="1215" t="s">
        <v>487</v>
      </c>
      <c r="Z49" s="1215" t="s">
        <v>487</v>
      </c>
      <c r="AA49" s="1215" t="s">
        <v>487</v>
      </c>
      <c r="AB49" s="1215" t="s">
        <v>487</v>
      </c>
      <c r="AC49" s="1215"/>
      <c r="AD49" s="1215"/>
      <c r="AE49" s="1228">
        <v>8</v>
      </c>
      <c r="AF49" s="1209">
        <v>8</v>
      </c>
      <c r="AG49" s="1228">
        <v>8</v>
      </c>
      <c r="AH49" s="504">
        <v>185</v>
      </c>
      <c r="AI49" s="505">
        <v>37</v>
      </c>
    </row>
    <row r="50" spans="1:35" ht="21.95" customHeight="1">
      <c r="A50" s="544">
        <v>10</v>
      </c>
      <c r="B50" s="319" t="s">
        <v>673</v>
      </c>
      <c r="C50" s="1215" t="s">
        <v>487</v>
      </c>
      <c r="D50" s="1215" t="s">
        <v>487</v>
      </c>
      <c r="E50" s="1215" t="s">
        <v>487</v>
      </c>
      <c r="F50" s="1215" t="s">
        <v>487</v>
      </c>
      <c r="G50" s="1215" t="s">
        <v>487</v>
      </c>
      <c r="H50" s="1215"/>
      <c r="I50" s="1215"/>
      <c r="J50" s="1215">
        <v>1</v>
      </c>
      <c r="K50" s="1215">
        <v>1</v>
      </c>
      <c r="L50" s="1215">
        <v>1</v>
      </c>
      <c r="M50" s="1215">
        <v>1</v>
      </c>
      <c r="N50" s="1215">
        <v>1</v>
      </c>
      <c r="O50" s="1215"/>
      <c r="P50" s="1215"/>
      <c r="Q50" s="1215">
        <v>9</v>
      </c>
      <c r="R50" s="1215">
        <v>9</v>
      </c>
      <c r="S50" s="1215">
        <v>9</v>
      </c>
      <c r="T50" s="1215">
        <v>9</v>
      </c>
      <c r="U50" s="1215">
        <v>9</v>
      </c>
      <c r="V50" s="1215" t="s">
        <v>543</v>
      </c>
      <c r="W50" s="1215" t="s">
        <v>555</v>
      </c>
      <c r="X50" s="1215" t="s">
        <v>487</v>
      </c>
      <c r="Y50" s="1215" t="s">
        <v>487</v>
      </c>
      <c r="Z50" s="1215" t="s">
        <v>487</v>
      </c>
      <c r="AA50" s="1215" t="s">
        <v>487</v>
      </c>
      <c r="AB50" s="1215" t="s">
        <v>487</v>
      </c>
      <c r="AC50" s="1215"/>
      <c r="AD50" s="1215"/>
      <c r="AE50" s="1339">
        <v>6</v>
      </c>
      <c r="AF50" s="1338">
        <v>6</v>
      </c>
      <c r="AG50" s="1339">
        <v>6</v>
      </c>
      <c r="AH50" s="504">
        <v>185</v>
      </c>
      <c r="AI50" s="505">
        <v>37</v>
      </c>
    </row>
    <row r="51" spans="1:35" ht="21.95" customHeight="1" thickBot="1">
      <c r="A51" s="546">
        <v>15</v>
      </c>
      <c r="B51" s="52" t="s">
        <v>674</v>
      </c>
      <c r="C51" s="1207" t="s">
        <v>487</v>
      </c>
      <c r="D51" s="1207" t="s">
        <v>487</v>
      </c>
      <c r="E51" s="1207" t="s">
        <v>487</v>
      </c>
      <c r="F51" s="1207" t="s">
        <v>487</v>
      </c>
      <c r="G51" s="1207" t="s">
        <v>487</v>
      </c>
      <c r="H51" s="1207"/>
      <c r="I51" s="1207"/>
      <c r="J51" s="1207" t="s">
        <v>537</v>
      </c>
      <c r="K51" s="1207" t="s">
        <v>537</v>
      </c>
      <c r="L51" s="1207" t="s">
        <v>537</v>
      </c>
      <c r="M51" s="1207" t="s">
        <v>537</v>
      </c>
      <c r="N51" s="1207" t="s">
        <v>537</v>
      </c>
      <c r="O51" s="1207"/>
      <c r="P51" s="1207"/>
      <c r="Q51" s="1207">
        <v>10</v>
      </c>
      <c r="R51" s="1207">
        <v>10</v>
      </c>
      <c r="S51" s="1207">
        <v>10</v>
      </c>
      <c r="T51" s="1207">
        <v>10</v>
      </c>
      <c r="U51" s="1207">
        <v>10</v>
      </c>
      <c r="V51" s="1207" t="s">
        <v>555</v>
      </c>
      <c r="W51" s="1207" t="s">
        <v>555</v>
      </c>
      <c r="X51" s="1207" t="s">
        <v>487</v>
      </c>
      <c r="Y51" s="1207" t="s">
        <v>487</v>
      </c>
      <c r="Z51" s="1207" t="s">
        <v>487</v>
      </c>
      <c r="AA51" s="1207" t="s">
        <v>487</v>
      </c>
      <c r="AB51" s="1207" t="s">
        <v>487</v>
      </c>
      <c r="AC51" s="1207" t="s">
        <v>660</v>
      </c>
      <c r="AD51" s="1207" t="s">
        <v>660</v>
      </c>
      <c r="AE51" s="1380">
        <v>7</v>
      </c>
      <c r="AF51" s="1366">
        <v>7</v>
      </c>
      <c r="AG51" s="1380">
        <v>7</v>
      </c>
      <c r="AH51" s="504">
        <v>185</v>
      </c>
      <c r="AI51" s="505">
        <v>37</v>
      </c>
    </row>
    <row r="52" spans="1:35" ht="21.95" customHeight="1">
      <c r="A52" s="519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  <c r="T52" s="541"/>
      <c r="U52" s="541"/>
      <c r="V52" s="541"/>
      <c r="W52" s="541"/>
      <c r="X52" s="541"/>
      <c r="Y52" s="541"/>
      <c r="Z52" s="541"/>
      <c r="AA52" s="541"/>
      <c r="AB52" s="541"/>
      <c r="AC52" s="541"/>
      <c r="AD52" s="541"/>
      <c r="AE52" s="541"/>
      <c r="AF52" s="541"/>
      <c r="AG52" s="541"/>
      <c r="AH52" s="1"/>
    </row>
    <row r="53" spans="1:35" ht="21.95" customHeight="1">
      <c r="A53" s="519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1"/>
      <c r="W53" s="541"/>
      <c r="X53" s="541"/>
      <c r="Y53" s="541"/>
      <c r="Z53" s="541"/>
      <c r="AA53" s="541"/>
      <c r="AB53" s="541"/>
      <c r="AC53" s="541"/>
      <c r="AD53" s="541"/>
      <c r="AE53" s="541"/>
      <c r="AF53" s="541"/>
      <c r="AG53" s="541"/>
      <c r="AH53" s="1"/>
    </row>
    <row r="54" spans="1:35" ht="21.95" customHeight="1">
      <c r="A54" s="519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1"/>
      <c r="AA54" s="541"/>
      <c r="AB54" s="541"/>
      <c r="AC54" s="541"/>
      <c r="AD54" s="541"/>
      <c r="AE54" s="541"/>
      <c r="AF54" s="541"/>
      <c r="AG54" s="541"/>
      <c r="AH54" s="1"/>
    </row>
    <row r="55" spans="1:35" ht="21.95" customHeight="1" thickBot="1">
      <c r="A55" s="558"/>
      <c r="C55" s="559"/>
      <c r="D55" s="559"/>
      <c r="E55" s="559"/>
      <c r="F55" s="559"/>
      <c r="G55" s="559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59"/>
      <c r="AA55" s="559"/>
      <c r="AB55" s="559"/>
      <c r="AC55" s="559"/>
      <c r="AD55" s="559"/>
      <c r="AE55" s="559"/>
      <c r="AF55" s="559"/>
      <c r="AG55" s="559"/>
      <c r="AH55" s="560"/>
      <c r="AI55" s="560"/>
    </row>
    <row r="56" spans="1:35" ht="21.95" customHeight="1">
      <c r="A56" s="361"/>
      <c r="B56" s="23" t="s">
        <v>675</v>
      </c>
      <c r="C56" s="7"/>
      <c r="D56" s="414" t="s">
        <v>2</v>
      </c>
      <c r="E56" s="550"/>
      <c r="F56" s="7"/>
      <c r="G56" s="6" t="s">
        <v>3</v>
      </c>
      <c r="H56" s="551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52"/>
      <c r="R56" s="118"/>
      <c r="S56" s="6" t="s">
        <v>7</v>
      </c>
      <c r="T56" s="553"/>
      <c r="U56" s="118"/>
      <c r="V56" s="6" t="s">
        <v>8</v>
      </c>
      <c r="W56" s="552"/>
      <c r="X56" s="349" t="s">
        <v>9</v>
      </c>
      <c r="Y56" s="561"/>
      <c r="Z56" s="561"/>
      <c r="AA56" s="562"/>
      <c r="AB56" s="27" t="s">
        <v>10</v>
      </c>
      <c r="AC56" s="554"/>
      <c r="AD56" s="554"/>
      <c r="AE56" s="563"/>
      <c r="AF56" s="563"/>
      <c r="AG56" s="564"/>
    </row>
    <row r="57" spans="1:35" ht="21.95" customHeight="1">
      <c r="A57" s="361"/>
      <c r="B57" s="306" t="s">
        <v>676</v>
      </c>
      <c r="C57" s="565" t="s">
        <v>512</v>
      </c>
      <c r="D57" s="483"/>
      <c r="E57" s="484"/>
      <c r="F57" s="565" t="s">
        <v>512</v>
      </c>
      <c r="G57" s="483"/>
      <c r="H57" s="484"/>
      <c r="I57" s="565" t="s">
        <v>512</v>
      </c>
      <c r="J57" s="483"/>
      <c r="K57" s="484"/>
      <c r="L57" s="565" t="s">
        <v>512</v>
      </c>
      <c r="M57" s="483"/>
      <c r="N57" s="484"/>
      <c r="O57" s="565" t="s">
        <v>116</v>
      </c>
      <c r="P57" s="483"/>
      <c r="Q57" s="484"/>
      <c r="R57" s="565"/>
      <c r="S57" s="483"/>
      <c r="T57" s="484"/>
      <c r="U57" s="565"/>
      <c r="V57" s="483"/>
      <c r="W57" s="484"/>
      <c r="X57" s="565"/>
      <c r="Y57" s="483"/>
      <c r="Z57" s="483"/>
      <c r="AA57" s="483"/>
      <c r="AB57" s="476"/>
      <c r="AC57" s="483"/>
      <c r="AD57" s="483"/>
      <c r="AE57" s="483"/>
      <c r="AF57" s="483"/>
      <c r="AG57" s="566"/>
    </row>
    <row r="58" spans="1:35" ht="21.95" customHeight="1">
      <c r="A58" s="361"/>
      <c r="B58" s="306" t="s">
        <v>677</v>
      </c>
      <c r="C58" s="565" t="s">
        <v>147</v>
      </c>
      <c r="D58" s="483"/>
      <c r="E58" s="484"/>
      <c r="F58" s="565" t="s">
        <v>147</v>
      </c>
      <c r="G58" s="483"/>
      <c r="H58" s="484"/>
      <c r="I58" s="565" t="s">
        <v>147</v>
      </c>
      <c r="J58" s="483"/>
      <c r="K58" s="484"/>
      <c r="L58" s="565" t="s">
        <v>147</v>
      </c>
      <c r="M58" s="483"/>
      <c r="N58" s="484"/>
      <c r="O58" s="565" t="s">
        <v>578</v>
      </c>
      <c r="P58" s="483"/>
      <c r="Q58" s="484"/>
      <c r="R58" s="565"/>
      <c r="S58" s="483"/>
      <c r="T58" s="484"/>
      <c r="U58" s="565"/>
      <c r="V58" s="483"/>
      <c r="W58" s="484"/>
      <c r="X58" s="565"/>
      <c r="Y58" s="483"/>
      <c r="Z58" s="483"/>
      <c r="AA58" s="483"/>
      <c r="AB58" s="476"/>
      <c r="AC58" s="483"/>
      <c r="AD58" s="483"/>
      <c r="AE58" s="483"/>
      <c r="AF58" s="483"/>
      <c r="AG58" s="566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>
      <c r="A60" s="556" t="s">
        <v>528</v>
      </c>
      <c r="B60" s="297" t="s">
        <v>480</v>
      </c>
      <c r="C60" s="1234">
        <v>1</v>
      </c>
      <c r="D60" s="1234">
        <v>2</v>
      </c>
      <c r="E60" s="1234">
        <v>3</v>
      </c>
      <c r="F60" s="1234">
        <v>4</v>
      </c>
      <c r="G60" s="1234">
        <v>5</v>
      </c>
      <c r="H60" s="1235">
        <v>6</v>
      </c>
      <c r="I60" s="1330">
        <v>7</v>
      </c>
      <c r="J60" s="1213">
        <v>8</v>
      </c>
      <c r="K60" s="1234">
        <v>9</v>
      </c>
      <c r="L60" s="1234">
        <v>10</v>
      </c>
      <c r="M60" s="1234">
        <v>11</v>
      </c>
      <c r="N60" s="1234">
        <v>12</v>
      </c>
      <c r="O60" s="1235">
        <v>13</v>
      </c>
      <c r="P60" s="1330">
        <v>14</v>
      </c>
      <c r="Q60" s="1213">
        <v>15</v>
      </c>
      <c r="R60" s="1234">
        <v>16</v>
      </c>
      <c r="S60" s="1234">
        <v>17</v>
      </c>
      <c r="T60" s="1234">
        <v>18</v>
      </c>
      <c r="U60" s="1234">
        <v>19</v>
      </c>
      <c r="V60" s="1330">
        <v>20</v>
      </c>
      <c r="W60" s="1330">
        <v>21</v>
      </c>
      <c r="X60" s="1213">
        <v>22</v>
      </c>
      <c r="Y60" s="1234">
        <v>23</v>
      </c>
      <c r="Z60" s="1234">
        <v>24</v>
      </c>
      <c r="AA60" s="1234">
        <v>25</v>
      </c>
      <c r="AB60" s="1234">
        <v>26</v>
      </c>
      <c r="AC60" s="1235">
        <v>27</v>
      </c>
      <c r="AD60" s="1330">
        <v>28</v>
      </c>
      <c r="AE60" s="1213">
        <v>29</v>
      </c>
      <c r="AF60" s="1234">
        <v>30</v>
      </c>
      <c r="AG60" s="1234">
        <v>31</v>
      </c>
      <c r="AH60" s="498" t="s">
        <v>481</v>
      </c>
      <c r="AI60" s="499" t="s">
        <v>482</v>
      </c>
    </row>
    <row r="61" spans="1:35" ht="21.95" customHeight="1">
      <c r="A61" s="186">
        <v>8520</v>
      </c>
      <c r="B61" s="186" t="s">
        <v>678</v>
      </c>
      <c r="C61" s="1338" t="s">
        <v>679</v>
      </c>
      <c r="D61" s="1338" t="s">
        <v>679</v>
      </c>
      <c r="E61" s="1338" t="s">
        <v>679</v>
      </c>
      <c r="F61" s="1338" t="s">
        <v>679</v>
      </c>
      <c r="G61" s="1338" t="s">
        <v>679</v>
      </c>
      <c r="H61" s="1338"/>
      <c r="I61" s="1338"/>
      <c r="J61" s="1338" t="s">
        <v>679</v>
      </c>
      <c r="K61" s="1338" t="s">
        <v>679</v>
      </c>
      <c r="L61" s="1338" t="s">
        <v>679</v>
      </c>
      <c r="M61" s="1338" t="s">
        <v>679</v>
      </c>
      <c r="N61" s="1338" t="s">
        <v>679</v>
      </c>
      <c r="O61" s="1215"/>
      <c r="P61" s="1215"/>
      <c r="Q61" s="1215" t="s">
        <v>679</v>
      </c>
      <c r="R61" s="1215" t="s">
        <v>679</v>
      </c>
      <c r="S61" s="1215" t="s">
        <v>679</v>
      </c>
      <c r="T61" s="1215" t="s">
        <v>679</v>
      </c>
      <c r="U61" s="1215" t="s">
        <v>679</v>
      </c>
      <c r="V61" s="1215"/>
      <c r="W61" s="1215"/>
      <c r="X61" s="1215" t="s">
        <v>679</v>
      </c>
      <c r="Y61" s="1215" t="s">
        <v>679</v>
      </c>
      <c r="Z61" s="1215" t="s">
        <v>679</v>
      </c>
      <c r="AA61" s="1215" t="s">
        <v>679</v>
      </c>
      <c r="AB61" s="1215" t="s">
        <v>679</v>
      </c>
      <c r="AC61" s="1215"/>
      <c r="AD61" s="1215"/>
      <c r="AE61" s="1215" t="s">
        <v>679</v>
      </c>
      <c r="AF61" s="1215" t="s">
        <v>679</v>
      </c>
      <c r="AG61" s="1215" t="s">
        <v>679</v>
      </c>
      <c r="AH61" s="504">
        <v>74</v>
      </c>
      <c r="AI61" s="505">
        <v>31</v>
      </c>
    </row>
    <row r="62" spans="1:35" ht="21.95" customHeight="1">
      <c r="A62" s="186">
        <v>8521</v>
      </c>
      <c r="B62" s="186" t="s">
        <v>681</v>
      </c>
      <c r="C62" s="1392" t="s">
        <v>550</v>
      </c>
      <c r="D62" s="1392" t="s">
        <v>550</v>
      </c>
      <c r="E62" s="1392" t="s">
        <v>550</v>
      </c>
      <c r="F62" s="1392" t="s">
        <v>739</v>
      </c>
      <c r="G62" s="1215" t="s">
        <v>550</v>
      </c>
      <c r="H62" s="1215"/>
      <c r="I62" s="1215"/>
      <c r="J62" s="1338" t="s">
        <v>550</v>
      </c>
      <c r="K62" s="1338" t="s">
        <v>550</v>
      </c>
      <c r="L62" s="1338" t="s">
        <v>550</v>
      </c>
      <c r="M62" s="1338" t="s">
        <v>550</v>
      </c>
      <c r="N62" s="1338" t="s">
        <v>550</v>
      </c>
      <c r="O62" s="1338"/>
      <c r="P62" s="1338"/>
      <c r="Q62" s="1338" t="s">
        <v>550</v>
      </c>
      <c r="R62" s="1338" t="s">
        <v>550</v>
      </c>
      <c r="S62" s="1338" t="s">
        <v>550</v>
      </c>
      <c r="T62" s="1338" t="s">
        <v>550</v>
      </c>
      <c r="U62" s="1338" t="s">
        <v>550</v>
      </c>
      <c r="V62" s="1338"/>
      <c r="W62" s="1338"/>
      <c r="X62" s="1338" t="s">
        <v>550</v>
      </c>
      <c r="Y62" s="1338" t="s">
        <v>550</v>
      </c>
      <c r="Z62" s="1338" t="s">
        <v>550</v>
      </c>
      <c r="AA62" s="1338" t="s">
        <v>550</v>
      </c>
      <c r="AB62" s="1338" t="s">
        <v>550</v>
      </c>
      <c r="AC62" s="1338"/>
      <c r="AD62" s="1338"/>
      <c r="AE62" s="1215" t="s">
        <v>550</v>
      </c>
      <c r="AF62" s="1215" t="s">
        <v>550</v>
      </c>
      <c r="AG62" s="1215" t="s">
        <v>550</v>
      </c>
      <c r="AH62" s="504">
        <v>66.150000000000006</v>
      </c>
      <c r="AI62" s="505">
        <v>37</v>
      </c>
    </row>
    <row r="63" spans="1:35" ht="21.95" customHeight="1">
      <c r="A63" s="361"/>
      <c r="B63" s="361"/>
      <c r="C63" s="541"/>
      <c r="D63" s="520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520"/>
      <c r="AE63" s="520"/>
      <c r="AF63" s="520"/>
      <c r="AG63" s="520"/>
      <c r="AH63" s="560"/>
      <c r="AI63" s="560"/>
    </row>
    <row r="64" spans="1:35" ht="21.95" customHeight="1">
      <c r="A64" s="361"/>
      <c r="B64" s="361"/>
      <c r="C64" s="541"/>
      <c r="D64" s="520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520"/>
      <c r="AE64" s="520"/>
      <c r="AF64" s="520"/>
      <c r="AG64" s="520"/>
      <c r="AH64" s="560"/>
      <c r="AI64" s="560"/>
    </row>
    <row r="65" spans="1:35" ht="21.95" customHeight="1">
      <c r="A65" s="361"/>
      <c r="B65" s="361"/>
      <c r="C65" s="541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60"/>
      <c r="AI65" s="560"/>
    </row>
    <row r="66" spans="1:35" ht="21.95" customHeight="1" thickBot="1">
      <c r="A66" s="1" t="s">
        <v>468</v>
      </c>
      <c r="D66" s="361"/>
      <c r="E66" s="361"/>
      <c r="F66" s="361"/>
      <c r="G66" s="549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726</v>
      </c>
      <c r="C67" s="7"/>
      <c r="D67" s="525" t="s">
        <v>2</v>
      </c>
      <c r="E67" s="51"/>
      <c r="F67" s="551"/>
      <c r="G67" s="7"/>
      <c r="H67" s="525" t="s">
        <v>3</v>
      </c>
      <c r="I67" s="51"/>
      <c r="J67" s="551"/>
      <c r="K67" s="7"/>
      <c r="L67" s="525" t="s">
        <v>4</v>
      </c>
      <c r="M67" s="51"/>
      <c r="N67" s="551"/>
      <c r="O67" s="7"/>
      <c r="P67" s="525" t="s">
        <v>5</v>
      </c>
      <c r="Q67" s="51"/>
      <c r="R67" s="551"/>
      <c r="S67" s="7"/>
      <c r="T67" s="525" t="s">
        <v>6</v>
      </c>
      <c r="U67" s="51"/>
      <c r="V67" s="551"/>
      <c r="W67" s="27"/>
      <c r="X67" s="898" t="s">
        <v>7</v>
      </c>
      <c r="Y67" s="522"/>
      <c r="Z67" s="238"/>
      <c r="AA67" s="7"/>
      <c r="AB67" s="525" t="s">
        <v>8</v>
      </c>
      <c r="AC67" s="51"/>
      <c r="AD67" s="51"/>
      <c r="AE67" s="349" t="s">
        <v>9</v>
      </c>
      <c r="AF67" s="51"/>
      <c r="AG67" s="51"/>
      <c r="AH67" s="51"/>
      <c r="AI67" s="526"/>
    </row>
    <row r="68" spans="1:35" ht="21.95" customHeight="1">
      <c r="A68" s="1"/>
      <c r="B68" s="129" t="s">
        <v>164</v>
      </c>
      <c r="C68" s="567" t="s">
        <v>740</v>
      </c>
      <c r="E68" s="157"/>
      <c r="F68" s="568"/>
      <c r="G68" s="567" t="s">
        <v>740</v>
      </c>
      <c r="H68" s="157"/>
      <c r="I68" s="157"/>
      <c r="J68" s="568"/>
      <c r="K68" s="567" t="s">
        <v>740</v>
      </c>
      <c r="L68" s="157"/>
      <c r="M68" s="157"/>
      <c r="N68" s="568"/>
      <c r="O68" s="567" t="s">
        <v>740</v>
      </c>
      <c r="P68" s="157"/>
      <c r="Q68" s="157"/>
      <c r="R68" s="568"/>
      <c r="S68" s="567" t="s">
        <v>741</v>
      </c>
      <c r="T68" s="157"/>
      <c r="U68" s="157"/>
      <c r="V68" s="569"/>
      <c r="W68" s="899"/>
      <c r="X68" s="900"/>
      <c r="Y68" s="900"/>
      <c r="Z68" s="901"/>
      <c r="AA68" s="569"/>
      <c r="AB68" s="157"/>
      <c r="AC68" s="157"/>
      <c r="AD68" s="569"/>
      <c r="AE68" s="121">
        <v>37</v>
      </c>
      <c r="AG68" s="157"/>
      <c r="AH68" s="569"/>
      <c r="AI68" s="490"/>
    </row>
    <row r="69" spans="1:35" ht="21.95" customHeight="1">
      <c r="A69" s="1"/>
      <c r="B69" s="129" t="s">
        <v>167</v>
      </c>
      <c r="C69" s="567" t="s">
        <v>474</v>
      </c>
      <c r="D69" s="157"/>
      <c r="E69" s="157"/>
      <c r="F69" s="568"/>
      <c r="G69" s="567" t="s">
        <v>474</v>
      </c>
      <c r="H69" s="157"/>
      <c r="I69" s="157"/>
      <c r="J69" s="568"/>
      <c r="K69" s="567" t="s">
        <v>474</v>
      </c>
      <c r="L69" s="157"/>
      <c r="M69" s="157"/>
      <c r="N69" s="568"/>
      <c r="O69" s="567" t="s">
        <v>475</v>
      </c>
      <c r="P69" s="157" t="s">
        <v>476</v>
      </c>
      <c r="Q69" s="157"/>
      <c r="R69" s="568"/>
      <c r="S69" s="567" t="s">
        <v>477</v>
      </c>
      <c r="T69" s="157" t="s">
        <v>727</v>
      </c>
      <c r="U69" s="157"/>
      <c r="V69" s="568"/>
      <c r="W69" s="610" t="s">
        <v>478</v>
      </c>
      <c r="X69" s="55"/>
      <c r="Y69" s="55"/>
      <c r="Z69" s="55"/>
      <c r="AA69" s="567" t="s">
        <v>479</v>
      </c>
      <c r="AB69" s="567"/>
      <c r="AC69" s="567"/>
      <c r="AD69" s="567"/>
      <c r="AE69" s="155">
        <v>68.25</v>
      </c>
      <c r="AF69" s="157"/>
      <c r="AG69" s="571"/>
      <c r="AH69" s="572"/>
      <c r="AI69" s="573"/>
    </row>
    <row r="70" spans="1:35" ht="21.95" customHeight="1">
      <c r="A70" s="1"/>
      <c r="B70" s="129" t="s">
        <v>170</v>
      </c>
      <c r="C70" s="897" t="s">
        <v>162</v>
      </c>
      <c r="D70" s="157"/>
      <c r="E70" s="157"/>
      <c r="F70" s="568"/>
      <c r="G70" s="157" t="s">
        <v>162</v>
      </c>
      <c r="H70" s="157"/>
      <c r="I70" s="157"/>
      <c r="J70" s="568"/>
      <c r="K70" s="157" t="s">
        <v>162</v>
      </c>
      <c r="L70" s="157"/>
      <c r="M70" s="157"/>
      <c r="N70" s="568"/>
      <c r="O70" s="157" t="s">
        <v>162</v>
      </c>
      <c r="P70" s="157"/>
      <c r="Q70" s="157"/>
      <c r="R70" s="568"/>
      <c r="S70" s="157" t="s">
        <v>162</v>
      </c>
      <c r="T70" s="157"/>
      <c r="U70" s="157"/>
      <c r="V70" s="568"/>
      <c r="W70" s="567"/>
      <c r="X70" s="157"/>
      <c r="Y70" s="157"/>
      <c r="Z70" s="568"/>
      <c r="AA70" s="567"/>
      <c r="AB70" s="157"/>
      <c r="AC70" s="157"/>
      <c r="AD70" s="569"/>
      <c r="AE70" s="570">
        <v>0</v>
      </c>
      <c r="AF70" s="571"/>
      <c r="AG70" s="157"/>
      <c r="AH70" s="569"/>
      <c r="AI70" s="490"/>
    </row>
    <row r="71" spans="1:35" ht="21.95" customHeight="1" thickBot="1">
      <c r="A71" s="1"/>
      <c r="B71" s="47"/>
      <c r="C71" s="574"/>
      <c r="D71" s="53"/>
      <c r="E71" s="53"/>
      <c r="F71" s="575"/>
      <c r="G71" s="574"/>
      <c r="H71" s="53"/>
      <c r="I71" s="53"/>
      <c r="J71" s="575"/>
      <c r="K71" s="574"/>
      <c r="L71" s="53"/>
      <c r="M71" s="53"/>
      <c r="N71" s="575"/>
      <c r="O71" s="574"/>
      <c r="P71" s="53"/>
      <c r="Q71" s="53"/>
      <c r="R71" s="575"/>
      <c r="S71" s="574"/>
      <c r="T71" s="53"/>
      <c r="U71" s="53"/>
      <c r="V71" s="575"/>
      <c r="W71" s="53"/>
      <c r="X71" s="53"/>
      <c r="Y71" s="53"/>
      <c r="Z71" s="53"/>
      <c r="AA71" s="53"/>
      <c r="AB71" s="53"/>
      <c r="AC71" s="53"/>
      <c r="AD71" s="53"/>
      <c r="AE71" s="576"/>
      <c r="AF71" s="53"/>
      <c r="AG71" s="53"/>
      <c r="AH71" s="577"/>
      <c r="AI71" s="539"/>
    </row>
    <row r="72" spans="1:35" ht="21.95" customHeight="1" thickBot="1">
      <c r="A72" s="578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>
      <c r="A73" s="556"/>
      <c r="B73" s="297" t="s">
        <v>480</v>
      </c>
      <c r="C73" s="1234">
        <v>1</v>
      </c>
      <c r="D73" s="1234">
        <v>2</v>
      </c>
      <c r="E73" s="1234">
        <v>3</v>
      </c>
      <c r="F73" s="1234">
        <v>4</v>
      </c>
      <c r="G73" s="1234">
        <v>5</v>
      </c>
      <c r="H73" s="1235">
        <v>6</v>
      </c>
      <c r="I73" s="1330">
        <v>7</v>
      </c>
      <c r="J73" s="1213">
        <v>8</v>
      </c>
      <c r="K73" s="1234">
        <v>9</v>
      </c>
      <c r="L73" s="1234">
        <v>10</v>
      </c>
      <c r="M73" s="1234">
        <v>11</v>
      </c>
      <c r="N73" s="1234">
        <v>12</v>
      </c>
      <c r="O73" s="1235">
        <v>13</v>
      </c>
      <c r="P73" s="1330">
        <v>14</v>
      </c>
      <c r="Q73" s="1213">
        <v>15</v>
      </c>
      <c r="R73" s="1234">
        <v>16</v>
      </c>
      <c r="S73" s="1234">
        <v>17</v>
      </c>
      <c r="T73" s="1234">
        <v>18</v>
      </c>
      <c r="U73" s="1234">
        <v>19</v>
      </c>
      <c r="V73" s="1330">
        <v>20</v>
      </c>
      <c r="W73" s="1330">
        <v>21</v>
      </c>
      <c r="X73" s="1213">
        <v>22</v>
      </c>
      <c r="Y73" s="1234">
        <v>23</v>
      </c>
      <c r="Z73" s="1234">
        <v>24</v>
      </c>
      <c r="AA73" s="1234">
        <v>25</v>
      </c>
      <c r="AB73" s="1234">
        <v>26</v>
      </c>
      <c r="AC73" s="1235">
        <v>27</v>
      </c>
      <c r="AD73" s="1330">
        <v>28</v>
      </c>
      <c r="AE73" s="1213">
        <v>29</v>
      </c>
      <c r="AF73" s="1234">
        <v>30</v>
      </c>
      <c r="AG73" s="1234">
        <v>31</v>
      </c>
      <c r="AH73" s="498" t="s">
        <v>481</v>
      </c>
      <c r="AI73" s="499" t="s">
        <v>482</v>
      </c>
    </row>
    <row r="74" spans="1:35" ht="21.95" customHeight="1" thickBot="1">
      <c r="A74" s="579">
        <v>1</v>
      </c>
      <c r="B74" s="153" t="s">
        <v>483</v>
      </c>
      <c r="C74" s="1208" t="s">
        <v>484</v>
      </c>
      <c r="D74" s="1208" t="s">
        <v>484</v>
      </c>
      <c r="E74" s="1208" t="s">
        <v>484</v>
      </c>
      <c r="F74" s="1208" t="s">
        <v>485</v>
      </c>
      <c r="G74" s="1208" t="s">
        <v>485</v>
      </c>
      <c r="H74" s="1208" t="s">
        <v>486</v>
      </c>
      <c r="I74" s="1208" t="s">
        <v>486</v>
      </c>
      <c r="J74" s="1208" t="s">
        <v>487</v>
      </c>
      <c r="K74" s="1208" t="s">
        <v>487</v>
      </c>
      <c r="L74" s="1208" t="s">
        <v>487</v>
      </c>
      <c r="M74" s="1208" t="s">
        <v>487</v>
      </c>
      <c r="N74" s="1208" t="s">
        <v>487</v>
      </c>
      <c r="O74" s="1208"/>
      <c r="P74" s="1208"/>
      <c r="Q74" s="1208" t="s">
        <v>682</v>
      </c>
      <c r="R74" s="1208" t="s">
        <v>682</v>
      </c>
      <c r="S74" s="1208" t="s">
        <v>682</v>
      </c>
      <c r="T74" s="1208" t="s">
        <v>682</v>
      </c>
      <c r="U74" s="1208" t="s">
        <v>682</v>
      </c>
      <c r="V74" s="1208"/>
      <c r="W74" s="1208"/>
      <c r="X74" s="1208" t="s">
        <v>484</v>
      </c>
      <c r="Y74" s="1368" t="s">
        <v>484</v>
      </c>
      <c r="Z74" s="1368" t="s">
        <v>484</v>
      </c>
      <c r="AA74" s="1208" t="s">
        <v>742</v>
      </c>
      <c r="AB74" s="1208" t="s">
        <v>485</v>
      </c>
      <c r="AC74" s="1208" t="s">
        <v>486</v>
      </c>
      <c r="AD74" s="1208" t="s">
        <v>486</v>
      </c>
      <c r="AE74" s="1208" t="s">
        <v>487</v>
      </c>
      <c r="AF74" s="1208" t="s">
        <v>487</v>
      </c>
      <c r="AG74" s="1208" t="s">
        <v>487</v>
      </c>
      <c r="AH74" s="504">
        <v>185</v>
      </c>
      <c r="AI74" s="505">
        <v>37</v>
      </c>
    </row>
    <row r="75" spans="1:35" ht="21.95" customHeight="1">
      <c r="A75" s="579">
        <v>2</v>
      </c>
      <c r="B75" s="45" t="s">
        <v>489</v>
      </c>
      <c r="C75" s="1208" t="s">
        <v>487</v>
      </c>
      <c r="D75" s="1208" t="s">
        <v>487</v>
      </c>
      <c r="E75" s="1208" t="s">
        <v>487</v>
      </c>
      <c r="F75" s="1208" t="s">
        <v>487</v>
      </c>
      <c r="G75" s="1208" t="s">
        <v>487</v>
      </c>
      <c r="H75" s="1208"/>
      <c r="I75" s="1208"/>
      <c r="J75" s="557" t="s">
        <v>682</v>
      </c>
      <c r="K75" s="557" t="s">
        <v>682</v>
      </c>
      <c r="L75" s="557" t="s">
        <v>682</v>
      </c>
      <c r="M75" s="1368" t="s">
        <v>682</v>
      </c>
      <c r="N75" s="1368" t="s">
        <v>682</v>
      </c>
      <c r="O75" s="557"/>
      <c r="P75" s="557"/>
      <c r="Q75" s="557" t="s">
        <v>484</v>
      </c>
      <c r="R75" s="557" t="s">
        <v>484</v>
      </c>
      <c r="S75" s="557" t="s">
        <v>484</v>
      </c>
      <c r="T75" s="557" t="s">
        <v>485</v>
      </c>
      <c r="U75" s="557" t="s">
        <v>485</v>
      </c>
      <c r="V75" s="1368" t="s">
        <v>486</v>
      </c>
      <c r="W75" s="557" t="s">
        <v>486</v>
      </c>
      <c r="X75" s="557" t="s">
        <v>487</v>
      </c>
      <c r="Y75" s="557" t="s">
        <v>487</v>
      </c>
      <c r="Z75" s="557" t="s">
        <v>487</v>
      </c>
      <c r="AA75" s="557" t="s">
        <v>487</v>
      </c>
      <c r="AB75" s="557" t="s">
        <v>487</v>
      </c>
      <c r="AC75" s="557"/>
      <c r="AD75" s="557"/>
      <c r="AE75" s="557" t="s">
        <v>682</v>
      </c>
      <c r="AF75" s="557" t="s">
        <v>682</v>
      </c>
      <c r="AG75" s="557" t="s">
        <v>682</v>
      </c>
      <c r="AH75" s="504">
        <v>185</v>
      </c>
      <c r="AI75" s="505">
        <v>37</v>
      </c>
    </row>
    <row r="76" spans="1:35" ht="21.95" customHeight="1">
      <c r="A76" s="579">
        <v>3</v>
      </c>
      <c r="B76" s="545" t="s">
        <v>490</v>
      </c>
      <c r="C76" s="1372" t="s">
        <v>682</v>
      </c>
      <c r="D76" s="1372" t="s">
        <v>682</v>
      </c>
      <c r="E76" s="1372" t="s">
        <v>682</v>
      </c>
      <c r="F76" s="1372" t="s">
        <v>682</v>
      </c>
      <c r="G76" s="1372" t="s">
        <v>682</v>
      </c>
      <c r="H76" s="1372"/>
      <c r="I76" s="1372"/>
      <c r="J76" s="1372" t="s">
        <v>484</v>
      </c>
      <c r="K76" s="1372" t="s">
        <v>484</v>
      </c>
      <c r="L76" s="1372" t="s">
        <v>484</v>
      </c>
      <c r="M76" s="1372" t="s">
        <v>485</v>
      </c>
      <c r="N76" s="1372" t="s">
        <v>485</v>
      </c>
      <c r="O76" s="1372" t="s">
        <v>486</v>
      </c>
      <c r="P76" s="1372" t="s">
        <v>486</v>
      </c>
      <c r="Q76" s="1208" t="s">
        <v>487</v>
      </c>
      <c r="R76" s="1208" t="s">
        <v>487</v>
      </c>
      <c r="S76" s="1208" t="s">
        <v>487</v>
      </c>
      <c r="T76" s="1208" t="s">
        <v>487</v>
      </c>
      <c r="U76" s="1208" t="s">
        <v>487</v>
      </c>
      <c r="V76" s="1208"/>
      <c r="W76" s="1208"/>
      <c r="X76" s="1396" t="s">
        <v>484</v>
      </c>
      <c r="Y76" s="1208" t="s">
        <v>544</v>
      </c>
      <c r="Z76" s="1208" t="s">
        <v>544</v>
      </c>
      <c r="AA76" s="1396" t="s">
        <v>485</v>
      </c>
      <c r="AB76" s="1208" t="s">
        <v>485</v>
      </c>
      <c r="AC76" s="1208"/>
      <c r="AD76" s="1208"/>
      <c r="AE76" s="1208" t="s">
        <v>484</v>
      </c>
      <c r="AF76" s="1208" t="s">
        <v>484</v>
      </c>
      <c r="AG76" s="1208" t="s">
        <v>484</v>
      </c>
      <c r="AH76" s="504">
        <v>185</v>
      </c>
      <c r="AI76" s="505">
        <v>37</v>
      </c>
    </row>
    <row r="77" spans="1:35" ht="21" customHeight="1"/>
    <row r="78" spans="1:35" ht="21.95" customHeight="1" thickBot="1">
      <c r="A78" s="312" t="s">
        <v>491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  <c r="O78" s="559"/>
      <c r="P78" s="559"/>
      <c r="Q78" s="559"/>
      <c r="R78" s="559"/>
      <c r="S78" s="559"/>
      <c r="T78" s="559"/>
      <c r="U78" s="559"/>
      <c r="V78" s="559"/>
      <c r="W78" s="559"/>
      <c r="X78" s="559"/>
      <c r="Y78" s="559"/>
      <c r="Z78" s="559"/>
      <c r="AA78" s="559"/>
      <c r="AB78" s="559"/>
      <c r="AC78" s="559"/>
      <c r="AD78" s="559"/>
      <c r="AE78" s="559"/>
      <c r="AF78" s="559"/>
      <c r="AH78" s="560"/>
      <c r="AI78" s="560"/>
    </row>
    <row r="79" spans="1:35" ht="21.95" customHeight="1">
      <c r="A79" s="580"/>
      <c r="B79" s="23" t="s">
        <v>726</v>
      </c>
      <c r="C79" s="7"/>
      <c r="D79" s="525" t="s">
        <v>2</v>
      </c>
      <c r="E79" s="51"/>
      <c r="F79" s="551"/>
      <c r="G79" s="7"/>
      <c r="H79" s="525" t="s">
        <v>3</v>
      </c>
      <c r="I79" s="51"/>
      <c r="J79" s="551"/>
      <c r="K79" s="7"/>
      <c r="L79" s="525" t="s">
        <v>4</v>
      </c>
      <c r="M79" s="51"/>
      <c r="N79" s="551"/>
      <c r="O79" s="7"/>
      <c r="P79" s="525" t="s">
        <v>5</v>
      </c>
      <c r="Q79" s="51"/>
      <c r="R79" s="551"/>
      <c r="S79" s="7"/>
      <c r="T79" s="525" t="s">
        <v>6</v>
      </c>
      <c r="U79" s="51"/>
      <c r="V79" s="551"/>
      <c r="W79" s="27"/>
      <c r="X79" s="898" t="s">
        <v>7</v>
      </c>
      <c r="Y79" s="522"/>
      <c r="Z79" s="238"/>
      <c r="AA79" s="7"/>
      <c r="AB79" s="525" t="s">
        <v>8</v>
      </c>
      <c r="AC79" s="51"/>
      <c r="AD79" s="51"/>
      <c r="AE79" s="349" t="s">
        <v>9</v>
      </c>
      <c r="AF79" s="51"/>
      <c r="AG79" s="51"/>
      <c r="AH79" s="51"/>
      <c r="AI79" s="526"/>
    </row>
    <row r="80" spans="1:35" ht="21.95" customHeight="1">
      <c r="B80" s="129" t="s">
        <v>164</v>
      </c>
      <c r="C80" s="593" t="s">
        <v>492</v>
      </c>
      <c r="E80" s="157"/>
      <c r="F80" s="568"/>
      <c r="G80" s="567" t="s">
        <v>488</v>
      </c>
      <c r="H80" s="483" t="s">
        <v>493</v>
      </c>
      <c r="I80" s="157"/>
      <c r="J80" s="568"/>
      <c r="K80" s="593" t="s">
        <v>492</v>
      </c>
      <c r="L80" s="483"/>
      <c r="M80" s="483"/>
      <c r="N80" s="592"/>
      <c r="O80" s="593" t="s">
        <v>494</v>
      </c>
      <c r="P80" s="483"/>
      <c r="Q80" s="483"/>
      <c r="R80" s="592"/>
      <c r="S80" s="593" t="s">
        <v>495</v>
      </c>
      <c r="T80" s="483"/>
      <c r="U80" s="483"/>
      <c r="V80" s="477"/>
      <c r="W80" s="899"/>
      <c r="X80" s="900"/>
      <c r="Y80" s="900"/>
      <c r="Z80" s="901"/>
      <c r="AA80" s="569"/>
      <c r="AB80" s="157"/>
      <c r="AC80" s="157"/>
      <c r="AD80" s="569"/>
      <c r="AE80" s="121">
        <v>37</v>
      </c>
      <c r="AG80" s="157"/>
      <c r="AH80" s="569"/>
      <c r="AI80" s="490"/>
    </row>
    <row r="81" spans="1:35" ht="21.95" customHeight="1">
      <c r="B81" s="129" t="s">
        <v>167</v>
      </c>
      <c r="C81" s="593" t="s">
        <v>496</v>
      </c>
      <c r="E81" s="157"/>
      <c r="F81" s="568"/>
      <c r="G81" s="593" t="s">
        <v>496</v>
      </c>
      <c r="I81" s="157"/>
      <c r="J81" s="568"/>
      <c r="K81" s="593" t="s">
        <v>496</v>
      </c>
      <c r="L81" s="157"/>
      <c r="M81" s="157"/>
      <c r="N81" s="568"/>
      <c r="O81" s="593" t="s">
        <v>497</v>
      </c>
      <c r="P81" s="157"/>
      <c r="Q81" s="157"/>
      <c r="R81" s="568"/>
      <c r="S81" s="567" t="s">
        <v>498</v>
      </c>
      <c r="T81" s="157"/>
      <c r="U81" s="157"/>
      <c r="V81" s="568"/>
      <c r="W81" s="610" t="s">
        <v>414</v>
      </c>
      <c r="X81" s="55"/>
      <c r="Y81" s="55"/>
      <c r="Z81" s="55"/>
      <c r="AA81" s="567" t="s">
        <v>28</v>
      </c>
      <c r="AB81" s="567"/>
      <c r="AC81" s="567"/>
      <c r="AD81" s="567"/>
      <c r="AE81" s="155">
        <v>37</v>
      </c>
      <c r="AF81" s="157"/>
      <c r="AG81" s="571"/>
      <c r="AH81" s="572"/>
      <c r="AI81" s="573"/>
    </row>
    <row r="82" spans="1:35" ht="21.95" customHeight="1">
      <c r="B82" s="129" t="s">
        <v>170</v>
      </c>
      <c r="C82" s="1336" t="s">
        <v>499</v>
      </c>
      <c r="D82" s="157"/>
      <c r="E82" s="157"/>
      <c r="F82" s="568"/>
      <c r="G82" s="157" t="s">
        <v>500</v>
      </c>
      <c r="H82" s="157"/>
      <c r="I82" s="157"/>
      <c r="J82" s="568"/>
      <c r="K82" s="1337" t="s">
        <v>501</v>
      </c>
      <c r="L82" s="157"/>
      <c r="M82" s="157"/>
      <c r="N82" s="568"/>
      <c r="O82" s="581" t="s">
        <v>502</v>
      </c>
      <c r="P82" s="157" t="s">
        <v>503</v>
      </c>
      <c r="Q82" s="157"/>
      <c r="R82" s="568"/>
      <c r="S82" s="581" t="s">
        <v>504</v>
      </c>
      <c r="T82" s="157" t="s">
        <v>503</v>
      </c>
      <c r="U82" s="157"/>
      <c r="V82" s="568"/>
      <c r="W82" s="567"/>
      <c r="X82" s="157"/>
      <c r="Y82" s="157"/>
      <c r="Z82" s="568"/>
      <c r="AA82" s="567"/>
      <c r="AB82" s="157"/>
      <c r="AC82" s="157"/>
      <c r="AD82" s="569"/>
      <c r="AE82" s="570">
        <v>36</v>
      </c>
      <c r="AF82" s="571"/>
      <c r="AG82" s="157"/>
      <c r="AH82" s="569"/>
      <c r="AI82" s="490"/>
    </row>
    <row r="83" spans="1:35" ht="21.95" customHeight="1" thickBot="1">
      <c r="B83" s="47"/>
      <c r="C83" s="574"/>
      <c r="D83" s="53"/>
      <c r="E83" s="53"/>
      <c r="F83" s="575"/>
      <c r="G83" s="574"/>
      <c r="H83" s="53"/>
      <c r="I83" s="53"/>
      <c r="J83" s="575"/>
      <c r="K83" s="574"/>
      <c r="L83" s="53"/>
      <c r="M83" s="53"/>
      <c r="N83" s="575"/>
      <c r="O83" s="574"/>
      <c r="P83" s="53"/>
      <c r="Q83" s="53"/>
      <c r="R83" s="575"/>
      <c r="S83" s="574"/>
      <c r="T83" s="53"/>
      <c r="U83" s="53"/>
      <c r="V83" s="575"/>
      <c r="W83" s="53"/>
      <c r="X83" s="53"/>
      <c r="Y83" s="53"/>
      <c r="Z83" s="53"/>
      <c r="AA83" s="53"/>
      <c r="AB83" s="53"/>
      <c r="AC83" s="53"/>
      <c r="AD83" s="53"/>
      <c r="AE83" s="576"/>
      <c r="AF83" s="53"/>
      <c r="AG83" s="53"/>
      <c r="AH83" s="577"/>
      <c r="AI83" s="539"/>
    </row>
    <row r="84" spans="1:35" ht="21.95" customHeight="1" thickBot="1"/>
    <row r="85" spans="1:35" ht="21.95" customHeight="1">
      <c r="A85" s="556"/>
      <c r="B85" s="297" t="s">
        <v>480</v>
      </c>
      <c r="C85" s="1234">
        <v>1</v>
      </c>
      <c r="D85" s="1234">
        <v>2</v>
      </c>
      <c r="E85" s="1234">
        <v>3</v>
      </c>
      <c r="F85" s="1234">
        <v>4</v>
      </c>
      <c r="G85" s="1234">
        <v>5</v>
      </c>
      <c r="H85" s="1235">
        <v>6</v>
      </c>
      <c r="I85" s="1330">
        <v>7</v>
      </c>
      <c r="J85" s="1213">
        <v>8</v>
      </c>
      <c r="K85" s="1234">
        <v>9</v>
      </c>
      <c r="L85" s="1234">
        <v>10</v>
      </c>
      <c r="M85" s="1234">
        <v>11</v>
      </c>
      <c r="N85" s="1234">
        <v>12</v>
      </c>
      <c r="O85" s="1235">
        <v>13</v>
      </c>
      <c r="P85" s="1330">
        <v>14</v>
      </c>
      <c r="Q85" s="1213">
        <v>15</v>
      </c>
      <c r="R85" s="1234">
        <v>16</v>
      </c>
      <c r="S85" s="1234">
        <v>17</v>
      </c>
      <c r="T85" s="1234">
        <v>18</v>
      </c>
      <c r="U85" s="1234">
        <v>19</v>
      </c>
      <c r="V85" s="1330">
        <v>20</v>
      </c>
      <c r="W85" s="1330">
        <v>21</v>
      </c>
      <c r="X85" s="1213">
        <v>22</v>
      </c>
      <c r="Y85" s="1234">
        <v>23</v>
      </c>
      <c r="Z85" s="1234">
        <v>24</v>
      </c>
      <c r="AA85" s="1234">
        <v>25</v>
      </c>
      <c r="AB85" s="1234">
        <v>26</v>
      </c>
      <c r="AC85" s="1235">
        <v>27</v>
      </c>
      <c r="AD85" s="1330">
        <v>28</v>
      </c>
      <c r="AE85" s="1213">
        <v>29</v>
      </c>
      <c r="AF85" s="1234">
        <v>30</v>
      </c>
      <c r="AG85" s="1234">
        <v>31</v>
      </c>
      <c r="AH85" s="498" t="s">
        <v>481</v>
      </c>
      <c r="AI85" s="499" t="s">
        <v>482</v>
      </c>
    </row>
    <row r="86" spans="1:35" ht="21.95" customHeight="1">
      <c r="A86" s="579">
        <v>1</v>
      </c>
      <c r="B86" s="153" t="s">
        <v>508</v>
      </c>
      <c r="C86" s="1208" t="s">
        <v>506</v>
      </c>
      <c r="D86" s="1208" t="s">
        <v>506</v>
      </c>
      <c r="E86" s="1208" t="s">
        <v>506</v>
      </c>
      <c r="F86" s="1208" t="s">
        <v>506</v>
      </c>
      <c r="G86" s="1208" t="s">
        <v>506</v>
      </c>
      <c r="H86" s="1208" t="s">
        <v>28</v>
      </c>
      <c r="I86" s="1208" t="s">
        <v>28</v>
      </c>
      <c r="J86" s="1365" t="s">
        <v>485</v>
      </c>
      <c r="K86" s="1365" t="s">
        <v>485</v>
      </c>
      <c r="L86" s="1365" t="s">
        <v>485</v>
      </c>
      <c r="M86" s="1365" t="s">
        <v>484</v>
      </c>
      <c r="N86" s="1365" t="s">
        <v>484</v>
      </c>
      <c r="O86" s="1365"/>
      <c r="P86" s="1365"/>
      <c r="Q86" s="1365" t="s">
        <v>488</v>
      </c>
      <c r="R86" s="1365" t="s">
        <v>488</v>
      </c>
      <c r="S86" s="1365" t="s">
        <v>488</v>
      </c>
      <c r="T86" s="1365" t="s">
        <v>488</v>
      </c>
      <c r="U86" s="1365" t="s">
        <v>488</v>
      </c>
      <c r="V86" s="1365" t="s">
        <v>28</v>
      </c>
      <c r="W86" s="1365" t="s">
        <v>28</v>
      </c>
      <c r="X86" s="1365" t="s">
        <v>506</v>
      </c>
      <c r="Y86" s="1365" t="s">
        <v>506</v>
      </c>
      <c r="Z86" s="1365" t="s">
        <v>506</v>
      </c>
      <c r="AA86" s="1365" t="s">
        <v>506</v>
      </c>
      <c r="AB86" s="1365" t="s">
        <v>506</v>
      </c>
      <c r="AC86" s="1365" t="s">
        <v>28</v>
      </c>
      <c r="AD86" s="1365" t="s">
        <v>28</v>
      </c>
      <c r="AE86" s="1208" t="s">
        <v>485</v>
      </c>
      <c r="AF86" s="1208" t="s">
        <v>485</v>
      </c>
      <c r="AG86" s="1208" t="s">
        <v>485</v>
      </c>
      <c r="AH86" s="504">
        <v>92.37</v>
      </c>
      <c r="AI86" s="505">
        <v>37</v>
      </c>
    </row>
    <row r="87" spans="1:35" ht="21.95" customHeight="1">
      <c r="A87" s="579">
        <v>2</v>
      </c>
      <c r="B87" s="319" t="s">
        <v>507</v>
      </c>
      <c r="C87" s="1208" t="s">
        <v>485</v>
      </c>
      <c r="D87" s="1208" t="s">
        <v>485</v>
      </c>
      <c r="E87" s="1208" t="s">
        <v>485</v>
      </c>
      <c r="F87" s="1208" t="s">
        <v>484</v>
      </c>
      <c r="G87" s="1208" t="s">
        <v>484</v>
      </c>
      <c r="H87" s="1208"/>
      <c r="I87" s="1208"/>
      <c r="J87" s="1365" t="s">
        <v>488</v>
      </c>
      <c r="K87" s="1365" t="s">
        <v>488</v>
      </c>
      <c r="L87" s="1365" t="s">
        <v>488</v>
      </c>
      <c r="M87" s="1365" t="s">
        <v>488</v>
      </c>
      <c r="N87" s="1365" t="s">
        <v>488</v>
      </c>
      <c r="O87" s="1365" t="s">
        <v>28</v>
      </c>
      <c r="P87" s="1365" t="s">
        <v>28</v>
      </c>
      <c r="Q87" s="557" t="s">
        <v>506</v>
      </c>
      <c r="R87" s="557" t="s">
        <v>506</v>
      </c>
      <c r="S87" s="557" t="s">
        <v>506</v>
      </c>
      <c r="T87" s="557" t="s">
        <v>506</v>
      </c>
      <c r="U87" s="557" t="s">
        <v>506</v>
      </c>
      <c r="V87" s="557"/>
      <c r="W87" s="557"/>
      <c r="X87" s="557" t="s">
        <v>506</v>
      </c>
      <c r="Y87" s="557" t="s">
        <v>506</v>
      </c>
      <c r="Z87" s="557" t="s">
        <v>506</v>
      </c>
      <c r="AA87" s="557" t="s">
        <v>506</v>
      </c>
      <c r="AB87" s="557" t="s">
        <v>506</v>
      </c>
      <c r="AC87" s="1208"/>
      <c r="AD87" s="1208"/>
      <c r="AE87" s="1208" t="s">
        <v>485</v>
      </c>
      <c r="AF87" s="1208" t="s">
        <v>485</v>
      </c>
      <c r="AG87" s="1208" t="s">
        <v>485</v>
      </c>
      <c r="AH87" s="504">
        <v>185</v>
      </c>
      <c r="AI87" s="505">
        <v>37</v>
      </c>
    </row>
    <row r="88" spans="1:35" ht="21.95" customHeight="1">
      <c r="A88" s="579">
        <v>3</v>
      </c>
      <c r="B88" s="545" t="s">
        <v>505</v>
      </c>
      <c r="C88" s="1208" t="s">
        <v>488</v>
      </c>
      <c r="D88" s="1208" t="s">
        <v>488</v>
      </c>
      <c r="E88" s="1208" t="s">
        <v>488</v>
      </c>
      <c r="F88" s="1208" t="s">
        <v>488</v>
      </c>
      <c r="G88" s="1208" t="s">
        <v>488</v>
      </c>
      <c r="H88" s="1208"/>
      <c r="I88" s="1208"/>
      <c r="J88" s="1208" t="s">
        <v>506</v>
      </c>
      <c r="K88" s="1208" t="s">
        <v>506</v>
      </c>
      <c r="L88" s="1208" t="s">
        <v>506</v>
      </c>
      <c r="M88" s="1208" t="s">
        <v>506</v>
      </c>
      <c r="N88" s="1208" t="s">
        <v>506</v>
      </c>
      <c r="O88" s="1208"/>
      <c r="P88" s="1208"/>
      <c r="Q88" s="1208" t="s">
        <v>485</v>
      </c>
      <c r="R88" s="1208" t="s">
        <v>485</v>
      </c>
      <c r="S88" s="1208" t="s">
        <v>485</v>
      </c>
      <c r="T88" s="1208" t="s">
        <v>484</v>
      </c>
      <c r="U88" s="1208" t="s">
        <v>484</v>
      </c>
      <c r="V88" s="1208"/>
      <c r="W88" s="1208"/>
      <c r="X88" s="1208" t="s">
        <v>544</v>
      </c>
      <c r="Y88" s="1208" t="s">
        <v>484</v>
      </c>
      <c r="Z88" s="1208" t="s">
        <v>484</v>
      </c>
      <c r="AA88" s="1208" t="s">
        <v>544</v>
      </c>
      <c r="AB88" s="1208" t="s">
        <v>544</v>
      </c>
      <c r="AC88" s="1208"/>
      <c r="AD88" s="1208"/>
      <c r="AE88" s="1365" t="s">
        <v>506</v>
      </c>
      <c r="AF88" s="1365" t="s">
        <v>506</v>
      </c>
      <c r="AG88" s="1365" t="s">
        <v>506</v>
      </c>
      <c r="AH88" s="504">
        <v>222</v>
      </c>
      <c r="AI88" s="505">
        <v>37</v>
      </c>
    </row>
    <row r="89" spans="1:35" ht="21.95" customHeight="1">
      <c r="A89" s="580"/>
      <c r="B89" s="354"/>
      <c r="C89" s="559"/>
      <c r="D89" s="559"/>
      <c r="E89" s="559"/>
      <c r="F89" s="559"/>
      <c r="G89" s="559"/>
      <c r="H89" s="559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H89" s="560"/>
      <c r="AI89" s="560"/>
    </row>
    <row r="90" spans="1:35" ht="21.95" customHeight="1">
      <c r="A90" s="580"/>
      <c r="B90" s="587"/>
      <c r="C90" s="559"/>
      <c r="D90" s="559"/>
      <c r="E90" s="559"/>
      <c r="F90" s="559"/>
      <c r="G90" s="559"/>
      <c r="H90" s="559"/>
      <c r="I90" s="559"/>
      <c r="J90" s="559"/>
      <c r="K90" s="559"/>
      <c r="L90" s="559"/>
      <c r="M90" s="559"/>
      <c r="N90" s="559"/>
      <c r="O90" s="559"/>
      <c r="P90" s="559"/>
      <c r="Q90" s="559"/>
      <c r="R90" s="559"/>
      <c r="S90" s="559"/>
      <c r="T90" s="559"/>
      <c r="U90" s="559"/>
      <c r="V90" s="559"/>
      <c r="W90" s="559"/>
      <c r="X90" s="559"/>
      <c r="Y90" s="559"/>
      <c r="Z90" s="559"/>
      <c r="AA90" s="559"/>
      <c r="AB90" s="559"/>
      <c r="AC90" s="559"/>
      <c r="AD90" s="559"/>
      <c r="AE90" s="559"/>
      <c r="AF90" s="559"/>
      <c r="AG90" s="559"/>
      <c r="AH90" s="560"/>
      <c r="AI90" s="560"/>
    </row>
    <row r="91" spans="1:35" ht="21.95" customHeight="1" thickBot="1">
      <c r="A91" s="1" t="s">
        <v>686</v>
      </c>
      <c r="D91" s="361"/>
      <c r="E91" s="361"/>
      <c r="F91" s="361"/>
      <c r="G91" s="549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687</v>
      </c>
      <c r="C92" s="7"/>
      <c r="D92" s="525" t="s">
        <v>2</v>
      </c>
      <c r="E92" s="51"/>
      <c r="F92" s="551"/>
      <c r="G92" s="7"/>
      <c r="H92" s="525" t="s">
        <v>3</v>
      </c>
      <c r="I92" s="51"/>
      <c r="J92" s="551"/>
      <c r="K92" s="7"/>
      <c r="L92" s="525" t="s">
        <v>4</v>
      </c>
      <c r="M92" s="51"/>
      <c r="N92" s="551"/>
      <c r="O92" s="7"/>
      <c r="P92" s="525" t="s">
        <v>5</v>
      </c>
      <c r="Q92" s="51"/>
      <c r="R92" s="551"/>
      <c r="S92" s="7"/>
      <c r="T92" s="525" t="s">
        <v>6</v>
      </c>
      <c r="U92" s="51"/>
      <c r="V92" s="551"/>
      <c r="W92" s="7"/>
      <c r="X92" s="525" t="s">
        <v>7</v>
      </c>
      <c r="Y92" s="51"/>
      <c r="Z92" s="551"/>
      <c r="AA92" s="7"/>
      <c r="AB92" s="525" t="s">
        <v>8</v>
      </c>
      <c r="AC92" s="51"/>
      <c r="AD92" s="51"/>
      <c r="AE92" s="425" t="s">
        <v>10</v>
      </c>
      <c r="AF92" s="51"/>
      <c r="AG92" s="51"/>
      <c r="AH92" s="51"/>
      <c r="AI92" s="526"/>
    </row>
    <row r="93" spans="1:35" ht="21.95" customHeight="1">
      <c r="A93" s="1"/>
      <c r="B93" s="129" t="s">
        <v>164</v>
      </c>
      <c r="C93" s="121" t="s">
        <v>162</v>
      </c>
      <c r="D93" s="157"/>
      <c r="E93" s="157"/>
      <c r="F93" s="568"/>
      <c r="G93" s="121" t="s">
        <v>688</v>
      </c>
      <c r="H93" s="157"/>
      <c r="I93" s="157"/>
      <c r="J93" s="568"/>
      <c r="K93" s="121" t="s">
        <v>688</v>
      </c>
      <c r="L93" s="157"/>
      <c r="M93" s="157"/>
      <c r="N93" s="568"/>
      <c r="O93" s="121" t="s">
        <v>688</v>
      </c>
      <c r="P93" s="157"/>
      <c r="Q93" s="157"/>
      <c r="R93" s="568"/>
      <c r="S93" s="121" t="s">
        <v>688</v>
      </c>
      <c r="T93" s="157"/>
      <c r="U93" s="157"/>
      <c r="V93" s="568"/>
      <c r="W93" s="1243" t="s">
        <v>689</v>
      </c>
      <c r="X93" s="581"/>
      <c r="Y93" s="581"/>
      <c r="Z93" s="582"/>
      <c r="AA93" s="567"/>
      <c r="AB93" s="157"/>
      <c r="AC93" s="157"/>
      <c r="AD93" s="569"/>
      <c r="AE93" s="128">
        <v>37</v>
      </c>
      <c r="AF93" s="157"/>
      <c r="AG93" s="157" t="s">
        <v>28</v>
      </c>
      <c r="AH93" s="569"/>
      <c r="AI93" s="490"/>
    </row>
    <row r="94" spans="1:35" ht="21.95" customHeight="1">
      <c r="A94" s="1"/>
      <c r="B94" s="129" t="s">
        <v>167</v>
      </c>
      <c r="C94" s="121" t="s">
        <v>688</v>
      </c>
      <c r="D94" s="157"/>
      <c r="E94" s="157"/>
      <c r="F94" s="568"/>
      <c r="G94" s="121" t="s">
        <v>688</v>
      </c>
      <c r="H94" s="157"/>
      <c r="I94" s="157"/>
      <c r="J94" s="568"/>
      <c r="K94" s="121" t="s">
        <v>688</v>
      </c>
      <c r="L94" s="157"/>
      <c r="M94" s="157"/>
      <c r="N94" s="568"/>
      <c r="O94" s="121" t="s">
        <v>688</v>
      </c>
      <c r="P94" s="157"/>
      <c r="Q94" s="157"/>
      <c r="R94" s="568"/>
      <c r="S94" s="121" t="s">
        <v>162</v>
      </c>
      <c r="T94" s="157"/>
      <c r="U94" s="157"/>
      <c r="V94" s="568"/>
      <c r="W94" s="121"/>
      <c r="X94" s="157"/>
      <c r="Y94" s="157"/>
      <c r="Z94" s="568"/>
      <c r="AA94" s="157"/>
      <c r="AB94" s="157"/>
      <c r="AC94" s="157"/>
      <c r="AD94" s="569"/>
      <c r="AE94" s="128">
        <v>32</v>
      </c>
      <c r="AF94" s="157"/>
      <c r="AG94" s="157"/>
      <c r="AH94" s="569"/>
      <c r="AI94" s="490"/>
    </row>
    <row r="95" spans="1:35" ht="21.95" customHeight="1">
      <c r="A95" s="1"/>
      <c r="B95" s="129" t="s">
        <v>170</v>
      </c>
      <c r="C95" s="121" t="s">
        <v>690</v>
      </c>
      <c r="D95" s="157"/>
      <c r="E95" s="157"/>
      <c r="F95" s="568"/>
      <c r="G95" s="121" t="s">
        <v>690</v>
      </c>
      <c r="H95" s="157"/>
      <c r="I95" s="157"/>
      <c r="J95" s="568"/>
      <c r="K95" s="121" t="s">
        <v>690</v>
      </c>
      <c r="L95" s="157"/>
      <c r="M95" s="157"/>
      <c r="N95" s="568"/>
      <c r="O95" s="121" t="s">
        <v>690</v>
      </c>
      <c r="P95" s="157"/>
      <c r="Q95" s="157"/>
      <c r="R95" s="568"/>
      <c r="S95" s="121" t="s">
        <v>690</v>
      </c>
      <c r="T95" s="157"/>
      <c r="U95" s="157"/>
      <c r="V95" s="568"/>
      <c r="W95" s="588" t="s">
        <v>689</v>
      </c>
      <c r="X95" s="135"/>
      <c r="Y95" s="135"/>
      <c r="Z95" s="584"/>
      <c r="AA95" s="583"/>
      <c r="AB95" s="135"/>
      <c r="AC95" s="135"/>
      <c r="AD95" s="585"/>
      <c r="AE95" s="128">
        <v>40</v>
      </c>
      <c r="AF95" s="157"/>
      <c r="AG95" s="157"/>
      <c r="AH95" s="569"/>
      <c r="AI95" s="490"/>
    </row>
    <row r="96" spans="1:35" ht="21.95" customHeight="1" thickBot="1">
      <c r="A96" s="1"/>
      <c r="B96" s="16" t="s">
        <v>173</v>
      </c>
      <c r="C96" s="57" t="s">
        <v>688</v>
      </c>
      <c r="D96" s="53"/>
      <c r="E96" s="53"/>
      <c r="F96" s="575"/>
      <c r="G96" s="57" t="s">
        <v>688</v>
      </c>
      <c r="H96" s="53"/>
      <c r="I96" s="53"/>
      <c r="J96" s="575"/>
      <c r="K96" s="57" t="s">
        <v>688</v>
      </c>
      <c r="L96" s="53"/>
      <c r="M96" s="53"/>
      <c r="N96" s="575"/>
      <c r="O96" s="57" t="s">
        <v>688</v>
      </c>
      <c r="P96" s="53"/>
      <c r="Q96" s="53"/>
      <c r="R96" s="575"/>
      <c r="S96" s="57" t="s">
        <v>691</v>
      </c>
      <c r="T96" s="53"/>
      <c r="U96" s="53"/>
      <c r="V96" s="577"/>
      <c r="W96" s="57"/>
      <c r="X96" s="577"/>
      <c r="Y96" s="53"/>
      <c r="Z96" s="575"/>
      <c r="AA96" s="57"/>
      <c r="AB96" s="577"/>
      <c r="AC96" s="53"/>
      <c r="AD96" s="575"/>
      <c r="AE96" s="586">
        <v>39</v>
      </c>
      <c r="AF96" s="53"/>
      <c r="AG96" s="53"/>
      <c r="AH96" s="577"/>
      <c r="AI96" s="539"/>
    </row>
    <row r="97" spans="1:35" ht="21.95" customHeight="1" thickBot="1">
      <c r="A97" s="578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>
      <c r="A98" s="556"/>
      <c r="B98" s="297" t="s">
        <v>480</v>
      </c>
      <c r="C98" s="1234">
        <v>1</v>
      </c>
      <c r="D98" s="1234">
        <v>2</v>
      </c>
      <c r="E98" s="1234">
        <v>3</v>
      </c>
      <c r="F98" s="1234">
        <v>4</v>
      </c>
      <c r="G98" s="1234">
        <v>5</v>
      </c>
      <c r="H98" s="1235">
        <v>6</v>
      </c>
      <c r="I98" s="1330">
        <v>7</v>
      </c>
      <c r="J98" s="1213">
        <v>8</v>
      </c>
      <c r="K98" s="1234">
        <v>9</v>
      </c>
      <c r="L98" s="1234">
        <v>10</v>
      </c>
      <c r="M98" s="1234">
        <v>11</v>
      </c>
      <c r="N98" s="1234">
        <v>12</v>
      </c>
      <c r="O98" s="1235">
        <v>13</v>
      </c>
      <c r="P98" s="1330">
        <v>14</v>
      </c>
      <c r="Q98" s="1213">
        <v>15</v>
      </c>
      <c r="R98" s="1234">
        <v>16</v>
      </c>
      <c r="S98" s="1234">
        <v>17</v>
      </c>
      <c r="T98" s="1234">
        <v>18</v>
      </c>
      <c r="U98" s="1234">
        <v>19</v>
      </c>
      <c r="V98" s="1330">
        <v>20</v>
      </c>
      <c r="W98" s="1330">
        <v>21</v>
      </c>
      <c r="X98" s="1213">
        <v>22</v>
      </c>
      <c r="Y98" s="1234">
        <v>23</v>
      </c>
      <c r="Z98" s="1234">
        <v>24</v>
      </c>
      <c r="AA98" s="1234">
        <v>25</v>
      </c>
      <c r="AB98" s="1234">
        <v>26</v>
      </c>
      <c r="AC98" s="1235">
        <v>27</v>
      </c>
      <c r="AD98" s="1330">
        <v>28</v>
      </c>
      <c r="AE98" s="1213">
        <v>29</v>
      </c>
      <c r="AF98" s="1234">
        <v>30</v>
      </c>
      <c r="AG98" s="1234">
        <v>31</v>
      </c>
      <c r="AH98" s="498" t="s">
        <v>481</v>
      </c>
      <c r="AI98" s="499" t="s">
        <v>482</v>
      </c>
    </row>
    <row r="99" spans="1:35" ht="21.95" customHeight="1">
      <c r="A99" s="579">
        <v>1</v>
      </c>
      <c r="B99" s="545" t="s">
        <v>692</v>
      </c>
      <c r="C99" s="1215">
        <v>4</v>
      </c>
      <c r="D99" s="1208">
        <v>4</v>
      </c>
      <c r="E99" s="1208">
        <v>4</v>
      </c>
      <c r="F99" s="1215">
        <v>4</v>
      </c>
      <c r="G99" s="1346">
        <v>4</v>
      </c>
      <c r="H99" s="1215"/>
      <c r="I99" s="1215"/>
      <c r="J99" s="1215" t="s">
        <v>487</v>
      </c>
      <c r="K99" s="1215">
        <v>1</v>
      </c>
      <c r="L99" s="1208">
        <v>1</v>
      </c>
      <c r="M99" s="1215">
        <v>1</v>
      </c>
      <c r="N99" s="1215">
        <v>1</v>
      </c>
      <c r="O99" s="1215">
        <v>1</v>
      </c>
      <c r="P99" s="1215"/>
      <c r="Q99" s="1215">
        <v>2</v>
      </c>
      <c r="R99" s="1208">
        <v>2</v>
      </c>
      <c r="S99" s="1208">
        <v>2</v>
      </c>
      <c r="T99" s="1215">
        <v>2</v>
      </c>
      <c r="U99" s="1215" t="s">
        <v>487</v>
      </c>
      <c r="V99" s="1215"/>
      <c r="W99" s="1215"/>
      <c r="X99" s="1215">
        <v>3</v>
      </c>
      <c r="Y99" s="1215">
        <v>3</v>
      </c>
      <c r="Z99" s="1208">
        <v>3</v>
      </c>
      <c r="AA99" s="1215">
        <v>3</v>
      </c>
      <c r="AB99" s="1215">
        <v>3</v>
      </c>
      <c r="AC99" s="1215">
        <v>3</v>
      </c>
      <c r="AD99" s="1215"/>
      <c r="AE99" s="1215">
        <v>4</v>
      </c>
      <c r="AF99" s="1208">
        <v>4</v>
      </c>
      <c r="AG99" s="1208">
        <v>4</v>
      </c>
      <c r="AH99" s="504">
        <v>185</v>
      </c>
      <c r="AI99" s="505">
        <v>37</v>
      </c>
    </row>
    <row r="100" spans="1:35" ht="21.95" customHeight="1">
      <c r="A100" s="579">
        <v>2</v>
      </c>
      <c r="B100" s="545"/>
      <c r="C100" s="1215" t="s">
        <v>487</v>
      </c>
      <c r="D100" s="1215">
        <v>1</v>
      </c>
      <c r="E100" s="1208">
        <v>1</v>
      </c>
      <c r="F100" s="1215">
        <v>1</v>
      </c>
      <c r="G100" s="1215">
        <v>1</v>
      </c>
      <c r="H100" s="1215">
        <v>1</v>
      </c>
      <c r="I100" s="1215"/>
      <c r="J100" s="1215">
        <v>2</v>
      </c>
      <c r="K100" s="1208">
        <v>2</v>
      </c>
      <c r="L100" s="1208">
        <v>2</v>
      </c>
      <c r="M100" s="1215">
        <v>2</v>
      </c>
      <c r="N100" s="1215" t="s">
        <v>487</v>
      </c>
      <c r="O100" s="1215"/>
      <c r="P100" s="1215"/>
      <c r="Q100" s="1215">
        <v>3</v>
      </c>
      <c r="R100" s="1215">
        <v>3</v>
      </c>
      <c r="S100" s="1208">
        <v>3</v>
      </c>
      <c r="T100" s="1215">
        <v>3</v>
      </c>
      <c r="U100" s="1215">
        <v>3</v>
      </c>
      <c r="V100" s="1215">
        <v>3</v>
      </c>
      <c r="W100" s="1215"/>
      <c r="X100" s="1215">
        <v>4</v>
      </c>
      <c r="Y100" s="1208">
        <v>4</v>
      </c>
      <c r="Z100" s="1208">
        <v>4</v>
      </c>
      <c r="AA100" s="1215">
        <v>4</v>
      </c>
      <c r="AB100" s="1215">
        <v>4</v>
      </c>
      <c r="AC100" s="1215"/>
      <c r="AD100" s="1215"/>
      <c r="AE100" s="1215" t="s">
        <v>487</v>
      </c>
      <c r="AF100" s="1215">
        <v>1</v>
      </c>
      <c r="AG100" s="1208">
        <v>1</v>
      </c>
      <c r="AH100" s="504">
        <v>185</v>
      </c>
      <c r="AI100" s="505">
        <v>37</v>
      </c>
    </row>
    <row r="101" spans="1:35" ht="21.95" customHeight="1">
      <c r="A101" s="579">
        <v>3</v>
      </c>
      <c r="B101" s="545"/>
      <c r="C101" s="1215">
        <v>2</v>
      </c>
      <c r="D101" s="1215">
        <v>2</v>
      </c>
      <c r="E101" s="1208">
        <v>2</v>
      </c>
      <c r="F101" s="1215">
        <v>2</v>
      </c>
      <c r="G101" s="1215" t="s">
        <v>487</v>
      </c>
      <c r="H101" s="1215"/>
      <c r="I101" s="1215"/>
      <c r="J101" s="1215">
        <v>3</v>
      </c>
      <c r="K101" s="1208">
        <v>3</v>
      </c>
      <c r="L101" s="1208">
        <v>3</v>
      </c>
      <c r="M101" s="1215">
        <v>3</v>
      </c>
      <c r="N101" s="1215">
        <v>3</v>
      </c>
      <c r="O101" s="1215">
        <v>3</v>
      </c>
      <c r="P101" s="1215"/>
      <c r="Q101" s="1215">
        <v>4</v>
      </c>
      <c r="R101" s="1215">
        <v>4</v>
      </c>
      <c r="S101" s="1208">
        <v>4</v>
      </c>
      <c r="T101" s="1215">
        <v>4</v>
      </c>
      <c r="U101" s="1215">
        <v>4</v>
      </c>
      <c r="V101" s="1215"/>
      <c r="W101" s="1215"/>
      <c r="X101" s="1215" t="s">
        <v>487</v>
      </c>
      <c r="Y101" s="1208">
        <v>1</v>
      </c>
      <c r="Z101" s="1208">
        <v>1</v>
      </c>
      <c r="AA101" s="1215">
        <v>1</v>
      </c>
      <c r="AB101" s="1215">
        <v>1</v>
      </c>
      <c r="AC101" s="1215">
        <v>1</v>
      </c>
      <c r="AD101" s="1215"/>
      <c r="AE101" s="1215">
        <v>2</v>
      </c>
      <c r="AF101" s="1215">
        <v>2</v>
      </c>
      <c r="AG101" s="1208">
        <v>2</v>
      </c>
      <c r="AH101" s="504">
        <v>185</v>
      </c>
      <c r="AI101" s="505">
        <v>37</v>
      </c>
    </row>
    <row r="102" spans="1:35" ht="21.95" customHeight="1">
      <c r="A102" s="579">
        <v>4</v>
      </c>
      <c r="B102" s="545" t="s">
        <v>412</v>
      </c>
      <c r="C102" s="1215">
        <v>3</v>
      </c>
      <c r="D102" s="1208">
        <v>3</v>
      </c>
      <c r="E102" s="1208">
        <v>3</v>
      </c>
      <c r="F102" s="1215">
        <v>3</v>
      </c>
      <c r="G102" s="1215">
        <v>3</v>
      </c>
      <c r="H102" s="1215">
        <v>3</v>
      </c>
      <c r="I102" s="1215"/>
      <c r="J102" s="1215">
        <v>4</v>
      </c>
      <c r="K102" s="1215">
        <v>4</v>
      </c>
      <c r="L102" s="1208">
        <v>4</v>
      </c>
      <c r="M102" s="1208">
        <v>4</v>
      </c>
      <c r="N102" s="1208">
        <v>4</v>
      </c>
      <c r="O102" s="1208"/>
      <c r="P102" s="1208"/>
      <c r="Q102" s="1208" t="s">
        <v>487</v>
      </c>
      <c r="R102" s="1208">
        <v>1</v>
      </c>
      <c r="S102" s="1208">
        <v>1</v>
      </c>
      <c r="T102" s="1215">
        <v>1</v>
      </c>
      <c r="U102" s="1215">
        <v>1</v>
      </c>
      <c r="V102" s="1215">
        <v>1</v>
      </c>
      <c r="W102" s="1215"/>
      <c r="X102" s="1215">
        <v>2</v>
      </c>
      <c r="Y102" s="1215">
        <v>2</v>
      </c>
      <c r="Z102" s="1208">
        <v>2</v>
      </c>
      <c r="AA102" s="1215">
        <v>2</v>
      </c>
      <c r="AB102" s="1215" t="s">
        <v>487</v>
      </c>
      <c r="AC102" s="1215"/>
      <c r="AD102" s="1215"/>
      <c r="AE102" s="1338">
        <v>3</v>
      </c>
      <c r="AF102" s="1365">
        <v>3</v>
      </c>
      <c r="AG102" s="1365">
        <v>3</v>
      </c>
      <c r="AH102" s="504">
        <v>185</v>
      </c>
      <c r="AI102" s="505">
        <v>37</v>
      </c>
    </row>
    <row r="103" spans="1:35" ht="21.95" customHeight="1">
      <c r="A103" s="580"/>
      <c r="B103" s="587"/>
      <c r="C103" s="559"/>
      <c r="D103" s="541"/>
      <c r="E103" s="541"/>
      <c r="F103" s="541"/>
      <c r="G103" s="541"/>
      <c r="H103" s="541"/>
      <c r="I103" s="559"/>
      <c r="J103" s="559"/>
      <c r="K103" s="541"/>
      <c r="L103" s="541"/>
      <c r="M103" s="541"/>
      <c r="N103" s="541"/>
      <c r="O103" s="541"/>
      <c r="P103" s="541"/>
      <c r="Q103" s="559"/>
      <c r="R103" s="541"/>
      <c r="S103" s="1315"/>
      <c r="T103" s="1315"/>
      <c r="U103" s="1315"/>
      <c r="V103" s="1315"/>
      <c r="W103" s="559"/>
      <c r="X103" s="559"/>
      <c r="Y103" s="541"/>
      <c r="Z103" s="541"/>
      <c r="AA103" s="541"/>
      <c r="AB103" s="541"/>
      <c r="AC103" s="541"/>
      <c r="AD103" s="541"/>
      <c r="AE103" s="559"/>
      <c r="AF103" s="541"/>
      <c r="AG103" s="541"/>
      <c r="AH103" s="560"/>
      <c r="AI103" s="560"/>
    </row>
    <row r="104" spans="1:35" ht="21.95" customHeight="1" thickBot="1">
      <c r="A104" s="1303" t="s">
        <v>695</v>
      </c>
      <c r="B104" s="541"/>
      <c r="C104" s="559"/>
      <c r="D104" s="541"/>
      <c r="E104" s="541"/>
      <c r="F104" s="541"/>
      <c r="G104" s="541"/>
      <c r="H104" s="541"/>
      <c r="I104" s="559"/>
      <c r="J104" s="559"/>
      <c r="K104" s="541"/>
      <c r="L104" s="541"/>
      <c r="M104" s="541"/>
      <c r="N104" s="541"/>
      <c r="O104" s="541"/>
      <c r="P104" s="541"/>
      <c r="Q104" s="559"/>
      <c r="R104" s="541"/>
      <c r="S104" s="541"/>
      <c r="T104" s="541"/>
      <c r="U104" s="541"/>
      <c r="V104" s="541"/>
      <c r="W104" s="559"/>
      <c r="X104" s="559"/>
      <c r="Y104" s="541"/>
      <c r="Z104" s="541"/>
      <c r="AA104" s="541"/>
      <c r="AB104" s="541"/>
      <c r="AC104" s="541"/>
      <c r="AD104" s="541"/>
      <c r="AE104" s="559"/>
      <c r="AF104" s="541"/>
      <c r="AG104" s="541"/>
      <c r="AH104" s="560"/>
      <c r="AI104" s="560"/>
    </row>
    <row r="105" spans="1:35" ht="21.95" customHeight="1">
      <c r="A105" s="580"/>
      <c r="B105" s="1304" t="s">
        <v>696</v>
      </c>
      <c r="C105" s="1312"/>
      <c r="D105" s="1305" t="s">
        <v>2</v>
      </c>
      <c r="E105" s="1306"/>
      <c r="F105" s="1307"/>
      <c r="G105" s="1308"/>
      <c r="H105" s="1305" t="s">
        <v>3</v>
      </c>
      <c r="I105" s="1306"/>
      <c r="J105" s="1307"/>
      <c r="K105" s="1308"/>
      <c r="L105" s="1305" t="s">
        <v>4</v>
      </c>
      <c r="M105" s="1306"/>
      <c r="N105" s="1307"/>
      <c r="O105" s="1308"/>
      <c r="P105" s="1305" t="s">
        <v>5</v>
      </c>
      <c r="Q105" s="1306"/>
      <c r="R105" s="1307"/>
      <c r="S105" s="1308"/>
      <c r="T105" s="1305" t="s">
        <v>6</v>
      </c>
      <c r="U105" s="1306"/>
      <c r="V105" s="1307"/>
      <c r="W105" s="1308"/>
      <c r="X105" s="1305" t="s">
        <v>7</v>
      </c>
      <c r="Y105" s="1306"/>
      <c r="Z105" s="1307"/>
      <c r="AA105" s="1308"/>
      <c r="AB105" s="1305" t="s">
        <v>8</v>
      </c>
      <c r="AC105" s="1306"/>
      <c r="AD105" s="1306"/>
      <c r="AE105" s="1309" t="s">
        <v>10</v>
      </c>
      <c r="AF105" s="1306"/>
      <c r="AG105" s="1306"/>
      <c r="AH105" s="1306"/>
      <c r="AI105" s="1310"/>
    </row>
    <row r="106" spans="1:35" ht="21.95" customHeight="1">
      <c r="A106" s="580"/>
      <c r="B106" s="1332" t="s">
        <v>697</v>
      </c>
      <c r="C106" s="1313" t="s">
        <v>698</v>
      </c>
      <c r="D106" s="1331" t="s">
        <v>699</v>
      </c>
      <c r="E106" s="1314"/>
      <c r="F106" s="1311"/>
      <c r="G106" s="1313"/>
      <c r="H106" s="1331" t="s">
        <v>699</v>
      </c>
      <c r="I106" s="1314"/>
      <c r="J106" s="1311"/>
      <c r="K106" s="1313"/>
      <c r="L106" s="1331" t="s">
        <v>699</v>
      </c>
      <c r="M106" s="1314"/>
      <c r="N106" s="1311"/>
      <c r="O106" s="1313"/>
      <c r="P106" s="1331" t="s">
        <v>700</v>
      </c>
      <c r="Q106" s="1314"/>
      <c r="R106" s="1311"/>
      <c r="S106" s="1313"/>
      <c r="T106" s="1331" t="s">
        <v>701</v>
      </c>
      <c r="U106" s="1314"/>
      <c r="V106" s="1311"/>
      <c r="W106" s="1313"/>
      <c r="X106" s="1314"/>
      <c r="Y106" s="1314"/>
      <c r="Z106" s="1311"/>
      <c r="AA106" s="1313"/>
      <c r="AB106" s="1314"/>
      <c r="AC106" s="1314"/>
      <c r="AD106" s="1314"/>
      <c r="AE106" s="1313"/>
      <c r="AF106" s="1314"/>
      <c r="AG106" s="1314"/>
      <c r="AH106" s="1316"/>
      <c r="AI106" s="1317"/>
    </row>
    <row r="107" spans="1:35" ht="21.95" customHeight="1">
      <c r="A107" s="580"/>
      <c r="B107" s="1333" t="s">
        <v>702</v>
      </c>
      <c r="C107" s="1313" t="s">
        <v>683</v>
      </c>
      <c r="D107" s="1331" t="s">
        <v>699</v>
      </c>
      <c r="E107" s="1314"/>
      <c r="F107" s="1311"/>
      <c r="G107" s="1313"/>
      <c r="H107" s="1331" t="s">
        <v>699</v>
      </c>
      <c r="I107" s="1314"/>
      <c r="J107" s="1311"/>
      <c r="K107" s="1313"/>
      <c r="L107" s="1331" t="s">
        <v>699</v>
      </c>
      <c r="M107" s="1314"/>
      <c r="N107" s="1311"/>
      <c r="O107" s="1313"/>
      <c r="P107" s="1331" t="s">
        <v>700</v>
      </c>
      <c r="Q107" s="1314"/>
      <c r="R107" s="1311"/>
      <c r="S107" s="1313"/>
      <c r="T107" s="1331" t="s">
        <v>701</v>
      </c>
      <c r="U107" s="1314"/>
      <c r="V107" s="1311"/>
      <c r="W107" s="1313"/>
      <c r="X107" s="1314"/>
      <c r="Y107" s="1314"/>
      <c r="Z107" s="1311"/>
      <c r="AA107" s="1313"/>
      <c r="AB107" s="1314"/>
      <c r="AC107" s="1314"/>
      <c r="AD107" s="1314"/>
      <c r="AE107" s="1313"/>
      <c r="AF107" s="1314"/>
      <c r="AG107" s="1314"/>
      <c r="AH107" s="1316"/>
      <c r="AI107" s="1317"/>
    </row>
    <row r="108" spans="1:35" ht="21.95" customHeight="1">
      <c r="A108" s="580"/>
      <c r="B108" s="1333" t="s">
        <v>703</v>
      </c>
      <c r="C108" s="1313" t="s">
        <v>547</v>
      </c>
      <c r="D108" s="1331" t="s">
        <v>699</v>
      </c>
      <c r="E108" s="1314"/>
      <c r="F108" s="1311"/>
      <c r="G108" s="1313"/>
      <c r="H108" s="1331" t="s">
        <v>699</v>
      </c>
      <c r="I108" s="1314"/>
      <c r="J108" s="1311"/>
      <c r="K108" s="1313"/>
      <c r="L108" s="1331" t="s">
        <v>699</v>
      </c>
      <c r="M108" s="1314"/>
      <c r="N108" s="1311"/>
      <c r="O108" s="1313"/>
      <c r="P108" s="1331" t="s">
        <v>700</v>
      </c>
      <c r="Q108" s="1314"/>
      <c r="R108" s="1311"/>
      <c r="S108" s="1313"/>
      <c r="T108" s="1331" t="s">
        <v>701</v>
      </c>
      <c r="U108" s="1314"/>
      <c r="V108" s="1311"/>
      <c r="W108" s="1313"/>
      <c r="X108" s="1314"/>
      <c r="Y108" s="1314"/>
      <c r="Z108" s="1311"/>
      <c r="AA108" s="1313"/>
      <c r="AB108" s="1314"/>
      <c r="AC108" s="1314"/>
      <c r="AD108" s="1314"/>
      <c r="AE108" s="1313"/>
      <c r="AF108" s="1314"/>
      <c r="AG108" s="1314"/>
      <c r="AH108" s="1316"/>
      <c r="AI108" s="1317"/>
    </row>
    <row r="109" spans="1:35" ht="21.95" customHeight="1">
      <c r="A109" s="580"/>
      <c r="B109" s="1333" t="s">
        <v>704</v>
      </c>
      <c r="C109" s="1313" t="s">
        <v>685</v>
      </c>
      <c r="D109" s="1331" t="s">
        <v>699</v>
      </c>
      <c r="E109" s="1314"/>
      <c r="F109" s="1311"/>
      <c r="G109" s="1313"/>
      <c r="H109" s="1331" t="s">
        <v>699</v>
      </c>
      <c r="I109" s="1314"/>
      <c r="J109" s="1311"/>
      <c r="K109" s="1313"/>
      <c r="L109" s="1331" t="s">
        <v>699</v>
      </c>
      <c r="M109" s="1314"/>
      <c r="N109" s="1311"/>
      <c r="O109" s="1313"/>
      <c r="P109" s="1331" t="s">
        <v>700</v>
      </c>
      <c r="Q109" s="1314"/>
      <c r="R109" s="1311"/>
      <c r="S109" s="1313"/>
      <c r="T109" s="1331" t="s">
        <v>701</v>
      </c>
      <c r="U109" s="1314"/>
      <c r="V109" s="1311"/>
      <c r="W109" s="1313"/>
      <c r="X109" s="1314"/>
      <c r="Y109" s="1314"/>
      <c r="Z109" s="1311"/>
      <c r="AA109" s="1313"/>
      <c r="AB109" s="1314"/>
      <c r="AC109" s="1314"/>
      <c r="AD109" s="1314"/>
      <c r="AE109" s="1313"/>
      <c r="AF109" s="1314"/>
      <c r="AG109" s="1314"/>
      <c r="AH109" s="1316"/>
      <c r="AI109" s="1317"/>
    </row>
    <row r="110" spans="1:35" ht="21.95" customHeight="1">
      <c r="A110" s="580"/>
      <c r="B110" s="1333" t="s">
        <v>705</v>
      </c>
      <c r="C110" s="1313" t="s">
        <v>684</v>
      </c>
      <c r="D110" s="1331" t="s">
        <v>699</v>
      </c>
      <c r="E110" s="1314"/>
      <c r="F110" s="1311"/>
      <c r="G110" s="1313"/>
      <c r="H110" s="1331" t="s">
        <v>699</v>
      </c>
      <c r="I110" s="1314"/>
      <c r="J110" s="1311"/>
      <c r="K110" s="1313"/>
      <c r="L110" s="1331" t="s">
        <v>699</v>
      </c>
      <c r="M110" s="1314"/>
      <c r="N110" s="1311"/>
      <c r="O110" s="1313"/>
      <c r="P110" s="1331" t="s">
        <v>700</v>
      </c>
      <c r="Q110" s="1314"/>
      <c r="R110" s="1311"/>
      <c r="S110" s="1313"/>
      <c r="T110" s="1331" t="s">
        <v>701</v>
      </c>
      <c r="U110" s="1314"/>
      <c r="V110" s="1311"/>
      <c r="W110" s="1313"/>
      <c r="X110" s="1314"/>
      <c r="Y110" s="1314"/>
      <c r="Z110" s="1311"/>
      <c r="AA110" s="1313"/>
      <c r="AB110" s="1314"/>
      <c r="AC110" s="1314"/>
      <c r="AD110" s="1314"/>
      <c r="AE110" s="1313"/>
      <c r="AF110" s="1314"/>
      <c r="AG110" s="1314"/>
      <c r="AH110" s="1316"/>
      <c r="AI110" s="1317"/>
    </row>
    <row r="111" spans="1:35" ht="21.95" customHeight="1">
      <c r="A111" s="580"/>
      <c r="B111" s="1333" t="s">
        <v>706</v>
      </c>
      <c r="C111" s="1313" t="s">
        <v>539</v>
      </c>
      <c r="D111" s="1331" t="s">
        <v>699</v>
      </c>
      <c r="E111" s="1314"/>
      <c r="F111" s="1311"/>
      <c r="G111" s="1313"/>
      <c r="H111" s="1331" t="s">
        <v>699</v>
      </c>
      <c r="I111" s="1314"/>
      <c r="J111" s="1311"/>
      <c r="K111" s="1313"/>
      <c r="L111" s="1331" t="s">
        <v>699</v>
      </c>
      <c r="M111" s="1314"/>
      <c r="N111" s="1311"/>
      <c r="O111" s="1313"/>
      <c r="P111" s="1331" t="s">
        <v>700</v>
      </c>
      <c r="Q111" s="1314"/>
      <c r="R111" s="1311"/>
      <c r="S111" s="1313"/>
      <c r="T111" s="1331" t="s">
        <v>701</v>
      </c>
      <c r="U111" s="1314"/>
      <c r="V111" s="1311"/>
      <c r="W111" s="1313"/>
      <c r="X111" s="1314"/>
      <c r="Y111" s="1314"/>
      <c r="Z111" s="1311"/>
      <c r="AA111" s="1313"/>
      <c r="AB111" s="1314"/>
      <c r="AC111" s="1314"/>
      <c r="AD111" s="1314"/>
      <c r="AE111" s="1313"/>
      <c r="AF111" s="1314"/>
      <c r="AG111" s="1314"/>
      <c r="AH111" s="1316"/>
      <c r="AI111" s="1317"/>
    </row>
    <row r="112" spans="1:35" ht="21.95" customHeight="1">
      <c r="A112" s="580"/>
      <c r="B112" s="1333" t="s">
        <v>707</v>
      </c>
      <c r="C112" s="1313" t="s">
        <v>540</v>
      </c>
      <c r="D112" s="1331" t="s">
        <v>699</v>
      </c>
      <c r="E112" s="1314"/>
      <c r="F112" s="1311"/>
      <c r="G112" s="1313"/>
      <c r="H112" s="1331" t="s">
        <v>699</v>
      </c>
      <c r="I112" s="1314"/>
      <c r="J112" s="1311"/>
      <c r="K112" s="1313"/>
      <c r="L112" s="1331" t="s">
        <v>699</v>
      </c>
      <c r="M112" s="1314"/>
      <c r="N112" s="1311"/>
      <c r="O112" s="1313"/>
      <c r="P112" s="1331" t="s">
        <v>700</v>
      </c>
      <c r="Q112" s="1314"/>
      <c r="R112" s="1311"/>
      <c r="S112" s="1313"/>
      <c r="T112" s="1331" t="s">
        <v>701</v>
      </c>
      <c r="U112" s="1314"/>
      <c r="V112" s="1311"/>
      <c r="W112" s="1313"/>
      <c r="X112" s="1314"/>
      <c r="Y112" s="1314"/>
      <c r="Z112" s="1311"/>
      <c r="AA112" s="1313"/>
      <c r="AB112" s="1314"/>
      <c r="AC112" s="1314"/>
      <c r="AD112" s="1314"/>
      <c r="AE112" s="1313"/>
      <c r="AF112" s="1314"/>
      <c r="AG112" s="1314"/>
      <c r="AH112" s="1316"/>
      <c r="AI112" s="1317"/>
    </row>
    <row r="113" spans="1:35" ht="21.95" customHeight="1">
      <c r="A113" s="580"/>
      <c r="B113" s="1333" t="s">
        <v>707</v>
      </c>
      <c r="C113" s="1313" t="s">
        <v>708</v>
      </c>
      <c r="D113" s="1331" t="s">
        <v>699</v>
      </c>
      <c r="E113" s="1314"/>
      <c r="F113" s="1311"/>
      <c r="G113" s="1313"/>
      <c r="H113" s="1331" t="s">
        <v>699</v>
      </c>
      <c r="I113" s="1314"/>
      <c r="J113" s="1311"/>
      <c r="K113" s="1313"/>
      <c r="L113" s="1331" t="s">
        <v>699</v>
      </c>
      <c r="M113" s="1314"/>
      <c r="N113" s="1311"/>
      <c r="O113" s="1313"/>
      <c r="P113" s="1331" t="s">
        <v>700</v>
      </c>
      <c r="Q113" s="1314"/>
      <c r="R113" s="1311"/>
      <c r="S113" s="1313"/>
      <c r="T113" s="1331" t="s">
        <v>701</v>
      </c>
      <c r="U113" s="1314"/>
      <c r="V113" s="1311"/>
      <c r="W113" s="1313"/>
      <c r="X113" s="1314"/>
      <c r="Y113" s="1314"/>
      <c r="Z113" s="1311"/>
      <c r="AA113" s="1313"/>
      <c r="AB113" s="1314"/>
      <c r="AC113" s="1314"/>
      <c r="AD113" s="1314"/>
      <c r="AE113" s="1313"/>
      <c r="AF113" s="1314"/>
      <c r="AG113" s="1314"/>
      <c r="AH113" s="1316"/>
      <c r="AI113" s="1317"/>
    </row>
    <row r="114" spans="1:35" ht="21.95" customHeight="1">
      <c r="A114" s="580"/>
      <c r="B114" s="1333" t="s">
        <v>709</v>
      </c>
      <c r="C114" s="1313" t="s">
        <v>538</v>
      </c>
      <c r="D114" s="1331" t="s">
        <v>699</v>
      </c>
      <c r="E114" s="1314"/>
      <c r="F114" s="1311"/>
      <c r="G114" s="1313"/>
      <c r="H114" s="1331" t="s">
        <v>699</v>
      </c>
      <c r="I114" s="1314"/>
      <c r="J114" s="1311"/>
      <c r="K114" s="1313"/>
      <c r="L114" s="1331" t="s">
        <v>699</v>
      </c>
      <c r="M114" s="1314"/>
      <c r="N114" s="1311"/>
      <c r="O114" s="1313"/>
      <c r="P114" s="1331" t="s">
        <v>700</v>
      </c>
      <c r="Q114" s="1314"/>
      <c r="R114" s="1311"/>
      <c r="S114" s="1313"/>
      <c r="T114" s="1331" t="s">
        <v>701</v>
      </c>
      <c r="U114" s="1314"/>
      <c r="V114" s="1311"/>
      <c r="W114" s="1313"/>
      <c r="X114" s="1314"/>
      <c r="Y114" s="1314"/>
      <c r="Z114" s="1311"/>
      <c r="AA114" s="1313"/>
      <c r="AB114" s="1314"/>
      <c r="AC114" s="1314"/>
      <c r="AD114" s="1314"/>
      <c r="AE114" s="1313"/>
      <c r="AF114" s="1314"/>
      <c r="AG114" s="1314"/>
      <c r="AH114" s="1316"/>
      <c r="AI114" s="1317"/>
    </row>
    <row r="115" spans="1:35" ht="21.95" customHeight="1">
      <c r="A115" s="580"/>
      <c r="B115" s="1333" t="s">
        <v>710</v>
      </c>
      <c r="C115" s="1313" t="s">
        <v>711</v>
      </c>
      <c r="D115" s="1331" t="s">
        <v>699</v>
      </c>
      <c r="E115" s="1314"/>
      <c r="F115" s="1311"/>
      <c r="G115" s="1313"/>
      <c r="H115" s="1331" t="s">
        <v>699</v>
      </c>
      <c r="I115" s="1314"/>
      <c r="J115" s="1311"/>
      <c r="K115" s="1313"/>
      <c r="L115" s="1331" t="s">
        <v>699</v>
      </c>
      <c r="M115" s="1314"/>
      <c r="N115" s="1311"/>
      <c r="O115" s="1313"/>
      <c r="P115" s="1331" t="s">
        <v>700</v>
      </c>
      <c r="Q115" s="1314"/>
      <c r="R115" s="1311"/>
      <c r="S115" s="1313"/>
      <c r="T115" s="1331" t="s">
        <v>701</v>
      </c>
      <c r="U115" s="1314"/>
      <c r="V115" s="1311"/>
      <c r="W115" s="1313"/>
      <c r="X115" s="1314"/>
      <c r="Y115" s="1314"/>
      <c r="Z115" s="1311"/>
      <c r="AA115" s="1313"/>
      <c r="AB115" s="1314"/>
      <c r="AC115" s="1314"/>
      <c r="AD115" s="1314"/>
      <c r="AE115" s="1313"/>
      <c r="AF115" s="1314"/>
      <c r="AG115" s="1314"/>
      <c r="AH115" s="1316"/>
      <c r="AI115" s="1317"/>
    </row>
    <row r="116" spans="1:35" ht="21.95" customHeight="1">
      <c r="A116" s="580"/>
      <c r="B116" s="1333" t="s">
        <v>712</v>
      </c>
      <c r="C116" s="1313" t="s">
        <v>544</v>
      </c>
      <c r="D116" s="1331" t="s">
        <v>699</v>
      </c>
      <c r="E116" s="1314"/>
      <c r="F116" s="1311"/>
      <c r="G116" s="1313"/>
      <c r="H116" s="1331" t="s">
        <v>699</v>
      </c>
      <c r="I116" s="1314"/>
      <c r="J116" s="1311"/>
      <c r="K116" s="1313"/>
      <c r="L116" s="1331" t="s">
        <v>699</v>
      </c>
      <c r="M116" s="1314"/>
      <c r="N116" s="1311"/>
      <c r="O116" s="1313"/>
      <c r="P116" s="1331" t="s">
        <v>700</v>
      </c>
      <c r="Q116" s="1314"/>
      <c r="R116" s="1311"/>
      <c r="S116" s="1313"/>
      <c r="T116" s="1331" t="s">
        <v>701</v>
      </c>
      <c r="U116" s="1314"/>
      <c r="V116" s="1311"/>
      <c r="W116" s="1313"/>
      <c r="X116" s="1314"/>
      <c r="Y116" s="1314"/>
      <c r="Z116" s="1311"/>
      <c r="AA116" s="1313"/>
      <c r="AB116" s="1314"/>
      <c r="AC116" s="1314"/>
      <c r="AD116" s="1314"/>
      <c r="AE116" s="1313"/>
      <c r="AF116" s="1314"/>
      <c r="AG116" s="1314"/>
      <c r="AH116" s="1316"/>
      <c r="AI116" s="1317"/>
    </row>
    <row r="117" spans="1:35" ht="21.95" customHeight="1" thickBot="1">
      <c r="A117" s="580"/>
      <c r="B117" s="587"/>
      <c r="C117" s="559"/>
      <c r="D117" s="541"/>
      <c r="E117" s="541"/>
      <c r="F117" s="541"/>
      <c r="G117" s="541"/>
      <c r="H117" s="541"/>
      <c r="I117" s="559"/>
      <c r="J117" s="559"/>
      <c r="K117" s="541"/>
      <c r="L117" s="541"/>
      <c r="M117" s="541"/>
      <c r="N117" s="541"/>
      <c r="O117" s="541"/>
      <c r="P117" s="541"/>
      <c r="Q117" s="559"/>
      <c r="R117" s="541"/>
      <c r="S117" s="541"/>
      <c r="T117" s="541"/>
      <c r="U117" s="541"/>
      <c r="V117" s="541"/>
      <c r="W117" s="559"/>
      <c r="X117" s="559"/>
      <c r="Y117" s="541"/>
      <c r="Z117" s="541"/>
      <c r="AA117" s="541"/>
      <c r="AB117" s="541"/>
      <c r="AC117" s="541"/>
      <c r="AD117" s="541"/>
      <c r="AE117" s="559"/>
      <c r="AF117" s="541"/>
      <c r="AG117" s="541"/>
      <c r="AH117" s="560"/>
      <c r="AI117" s="560"/>
    </row>
    <row r="118" spans="1:35" ht="21.95" customHeight="1">
      <c r="A118" s="1232"/>
      <c r="B118" s="1298" t="s">
        <v>480</v>
      </c>
      <c r="C118" s="1234">
        <v>1</v>
      </c>
      <c r="D118" s="1234">
        <v>2</v>
      </c>
      <c r="E118" s="1234">
        <v>3</v>
      </c>
      <c r="F118" s="1234">
        <v>4</v>
      </c>
      <c r="G118" s="1234">
        <v>5</v>
      </c>
      <c r="H118" s="1235">
        <v>6</v>
      </c>
      <c r="I118" s="1330">
        <v>7</v>
      </c>
      <c r="J118" s="1213">
        <v>8</v>
      </c>
      <c r="K118" s="1234">
        <v>9</v>
      </c>
      <c r="L118" s="1234">
        <v>10</v>
      </c>
      <c r="M118" s="1234">
        <v>11</v>
      </c>
      <c r="N118" s="1234">
        <v>12</v>
      </c>
      <c r="O118" s="1235">
        <v>13</v>
      </c>
      <c r="P118" s="1330">
        <v>14</v>
      </c>
      <c r="Q118" s="1213">
        <v>15</v>
      </c>
      <c r="R118" s="1234">
        <v>16</v>
      </c>
      <c r="S118" s="1234">
        <v>17</v>
      </c>
      <c r="T118" s="1234">
        <v>18</v>
      </c>
      <c r="U118" s="1234">
        <v>19</v>
      </c>
      <c r="V118" s="1330">
        <v>20</v>
      </c>
      <c r="W118" s="1330">
        <v>21</v>
      </c>
      <c r="X118" s="1213">
        <v>22</v>
      </c>
      <c r="Y118" s="1234">
        <v>23</v>
      </c>
      <c r="Z118" s="1234">
        <v>24</v>
      </c>
      <c r="AA118" s="1234">
        <v>25</v>
      </c>
      <c r="AB118" s="1234">
        <v>26</v>
      </c>
      <c r="AC118" s="1235">
        <v>27</v>
      </c>
      <c r="AD118" s="1330">
        <v>28</v>
      </c>
      <c r="AE118" s="1213">
        <v>29</v>
      </c>
      <c r="AF118" s="1234">
        <v>30</v>
      </c>
      <c r="AG118" s="1234">
        <v>31</v>
      </c>
      <c r="AH118" s="1301" t="s">
        <v>481</v>
      </c>
      <c r="AI118" s="1302" t="s">
        <v>482</v>
      </c>
    </row>
    <row r="119" spans="1:35" ht="21.95" customHeight="1">
      <c r="A119" s="580"/>
      <c r="B119" s="1299" t="s">
        <v>713</v>
      </c>
      <c r="C119" s="1313" t="s">
        <v>698</v>
      </c>
      <c r="D119" s="1313" t="s">
        <v>698</v>
      </c>
      <c r="E119" s="1313" t="s">
        <v>698</v>
      </c>
      <c r="F119" s="1313" t="s">
        <v>698</v>
      </c>
      <c r="G119" s="1313" t="s">
        <v>698</v>
      </c>
      <c r="H119" s="1313"/>
      <c r="I119" s="1313"/>
      <c r="J119" s="1313" t="s">
        <v>698</v>
      </c>
      <c r="K119" s="1313" t="s">
        <v>698</v>
      </c>
      <c r="L119" s="1313" t="s">
        <v>698</v>
      </c>
      <c r="M119" s="1313" t="s">
        <v>698</v>
      </c>
      <c r="N119" s="1313" t="s">
        <v>698</v>
      </c>
      <c r="O119" s="1313"/>
      <c r="P119" s="1313"/>
      <c r="Q119" s="1313" t="s">
        <v>698</v>
      </c>
      <c r="R119" s="1313" t="s">
        <v>698</v>
      </c>
      <c r="S119" s="1313" t="s">
        <v>698</v>
      </c>
      <c r="T119" s="1313" t="s">
        <v>698</v>
      </c>
      <c r="U119" s="1313" t="s">
        <v>698</v>
      </c>
      <c r="V119" s="1313"/>
      <c r="W119" s="1313"/>
      <c r="X119" s="1313" t="s">
        <v>698</v>
      </c>
      <c r="Y119" s="1313" t="s">
        <v>698</v>
      </c>
      <c r="Z119" s="1313" t="s">
        <v>698</v>
      </c>
      <c r="AA119" s="1313" t="s">
        <v>698</v>
      </c>
      <c r="AB119" s="1313" t="s">
        <v>698</v>
      </c>
      <c r="AC119" s="1313"/>
      <c r="AD119" s="1313"/>
      <c r="AE119" s="1313" t="s">
        <v>698</v>
      </c>
      <c r="AF119" s="1313" t="s">
        <v>698</v>
      </c>
      <c r="AG119" s="1313" t="s">
        <v>698</v>
      </c>
      <c r="AH119" s="504">
        <v>185</v>
      </c>
      <c r="AI119" s="505">
        <v>37</v>
      </c>
    </row>
    <row r="120" spans="1:35" ht="21.95" customHeight="1">
      <c r="A120" s="580"/>
      <c r="B120" s="1299" t="s">
        <v>714</v>
      </c>
      <c r="C120" s="1313" t="s">
        <v>698</v>
      </c>
      <c r="D120" s="1313" t="s">
        <v>698</v>
      </c>
      <c r="E120" s="1313" t="s">
        <v>698</v>
      </c>
      <c r="F120" s="1313" t="s">
        <v>698</v>
      </c>
      <c r="G120" s="1313" t="s">
        <v>698</v>
      </c>
      <c r="H120" s="1313"/>
      <c r="I120" s="1313"/>
      <c r="J120" s="1313" t="s">
        <v>698</v>
      </c>
      <c r="K120" s="1313" t="s">
        <v>698</v>
      </c>
      <c r="L120" s="1313" t="s">
        <v>698</v>
      </c>
      <c r="M120" s="1313" t="s">
        <v>698</v>
      </c>
      <c r="N120" s="1313" t="s">
        <v>698</v>
      </c>
      <c r="O120" s="1313"/>
      <c r="P120" s="1313"/>
      <c r="Q120" s="1313" t="s">
        <v>698</v>
      </c>
      <c r="R120" s="1313" t="s">
        <v>698</v>
      </c>
      <c r="S120" s="1313" t="s">
        <v>698</v>
      </c>
      <c r="T120" s="1313" t="s">
        <v>698</v>
      </c>
      <c r="U120" s="1313" t="s">
        <v>698</v>
      </c>
      <c r="V120" s="1313"/>
      <c r="W120" s="1313"/>
      <c r="X120" s="1379" t="s">
        <v>698</v>
      </c>
      <c r="Y120" s="1379" t="s">
        <v>698</v>
      </c>
      <c r="Z120" s="1379" t="s">
        <v>698</v>
      </c>
      <c r="AA120" s="1379" t="s">
        <v>698</v>
      </c>
      <c r="AB120" s="1379" t="s">
        <v>698</v>
      </c>
      <c r="AC120" s="1379"/>
      <c r="AD120" s="1379"/>
      <c r="AE120" s="1379" t="s">
        <v>698</v>
      </c>
      <c r="AF120" s="1379" t="s">
        <v>698</v>
      </c>
      <c r="AG120" s="1379" t="s">
        <v>698</v>
      </c>
      <c r="AH120" s="504">
        <v>185</v>
      </c>
      <c r="AI120" s="505">
        <v>37</v>
      </c>
    </row>
    <row r="121" spans="1:35" ht="21.95" customHeight="1">
      <c r="A121" s="580"/>
      <c r="B121" s="1299" t="s">
        <v>715</v>
      </c>
      <c r="C121" s="1313" t="s">
        <v>683</v>
      </c>
      <c r="D121" s="1313" t="s">
        <v>683</v>
      </c>
      <c r="E121" s="1313" t="s">
        <v>683</v>
      </c>
      <c r="F121" s="1313" t="s">
        <v>683</v>
      </c>
      <c r="G121" s="1313" t="s">
        <v>683</v>
      </c>
      <c r="H121" s="1313"/>
      <c r="I121" s="1313"/>
      <c r="J121" s="1313" t="s">
        <v>683</v>
      </c>
      <c r="K121" s="1313" t="s">
        <v>683</v>
      </c>
      <c r="L121" s="1313" t="s">
        <v>683</v>
      </c>
      <c r="M121" s="1313" t="s">
        <v>683</v>
      </c>
      <c r="N121" s="1313" t="s">
        <v>683</v>
      </c>
      <c r="O121" s="1313"/>
      <c r="P121" s="1313"/>
      <c r="Q121" s="1313" t="s">
        <v>683</v>
      </c>
      <c r="R121" s="1313" t="s">
        <v>683</v>
      </c>
      <c r="S121" s="1313" t="s">
        <v>683</v>
      </c>
      <c r="T121" s="1313" t="s">
        <v>683</v>
      </c>
      <c r="U121" s="1313" t="s">
        <v>683</v>
      </c>
      <c r="V121" s="1313"/>
      <c r="W121" s="1313"/>
      <c r="X121" s="1313" t="s">
        <v>683</v>
      </c>
      <c r="Y121" s="1313" t="s">
        <v>683</v>
      </c>
      <c r="Z121" s="1313" t="s">
        <v>683</v>
      </c>
      <c r="AA121" s="1313" t="s">
        <v>683</v>
      </c>
      <c r="AB121" s="1313" t="s">
        <v>683</v>
      </c>
      <c r="AC121" s="1313"/>
      <c r="AD121" s="1313"/>
      <c r="AE121" s="1313" t="s">
        <v>683</v>
      </c>
      <c r="AF121" s="1313" t="s">
        <v>683</v>
      </c>
      <c r="AG121" s="1313" t="s">
        <v>683</v>
      </c>
      <c r="AH121" s="504">
        <v>185</v>
      </c>
      <c r="AI121" s="505">
        <v>37</v>
      </c>
    </row>
    <row r="122" spans="1:35" ht="21.95" customHeight="1">
      <c r="A122" s="580"/>
      <c r="B122" s="1299" t="s">
        <v>730</v>
      </c>
      <c r="C122" s="1313" t="s">
        <v>547</v>
      </c>
      <c r="D122" s="1313" t="s">
        <v>547</v>
      </c>
      <c r="E122" s="1313" t="s">
        <v>547</v>
      </c>
      <c r="F122" s="1313" t="s">
        <v>547</v>
      </c>
      <c r="G122" s="1313" t="s">
        <v>547</v>
      </c>
      <c r="H122" s="1313"/>
      <c r="I122" s="1313"/>
      <c r="J122" s="1313" t="s">
        <v>547</v>
      </c>
      <c r="K122" s="1313" t="s">
        <v>547</v>
      </c>
      <c r="L122" s="1313" t="s">
        <v>547</v>
      </c>
      <c r="M122" s="1313" t="s">
        <v>547</v>
      </c>
      <c r="N122" s="1313" t="s">
        <v>547</v>
      </c>
      <c r="O122" s="1313"/>
      <c r="P122" s="1313"/>
      <c r="Q122" s="1313" t="s">
        <v>547</v>
      </c>
      <c r="R122" s="1313" t="s">
        <v>547</v>
      </c>
      <c r="S122" s="1313" t="s">
        <v>547</v>
      </c>
      <c r="T122" s="1313" t="s">
        <v>547</v>
      </c>
      <c r="U122" s="1313" t="s">
        <v>547</v>
      </c>
      <c r="V122" s="1313"/>
      <c r="W122" s="1313"/>
      <c r="X122" s="1313" t="s">
        <v>547</v>
      </c>
      <c r="Y122" s="1313" t="s">
        <v>547</v>
      </c>
      <c r="Z122" s="1313" t="s">
        <v>547</v>
      </c>
      <c r="AA122" s="1313" t="s">
        <v>547</v>
      </c>
      <c r="AB122" s="1313" t="s">
        <v>547</v>
      </c>
      <c r="AC122" s="1313"/>
      <c r="AD122" s="1313"/>
      <c r="AE122" s="1379" t="s">
        <v>547</v>
      </c>
      <c r="AF122" s="1379" t="s">
        <v>547</v>
      </c>
      <c r="AG122" s="1379" t="s">
        <v>547</v>
      </c>
      <c r="AH122" s="504">
        <v>185</v>
      </c>
      <c r="AI122" s="505">
        <v>37</v>
      </c>
    </row>
    <row r="123" spans="1:35" ht="21.95" customHeight="1">
      <c r="A123" s="580"/>
      <c r="B123" s="1300" t="s">
        <v>717</v>
      </c>
      <c r="C123" s="1313" t="s">
        <v>685</v>
      </c>
      <c r="D123" s="1313" t="s">
        <v>685</v>
      </c>
      <c r="E123" s="1313" t="s">
        <v>685</v>
      </c>
      <c r="F123" s="1313" t="s">
        <v>685</v>
      </c>
      <c r="G123" s="1313" t="s">
        <v>685</v>
      </c>
      <c r="H123" s="1313"/>
      <c r="I123" s="1313"/>
      <c r="J123" s="1313" t="s">
        <v>685</v>
      </c>
      <c r="K123" s="1313" t="s">
        <v>685</v>
      </c>
      <c r="L123" s="1313" t="s">
        <v>685</v>
      </c>
      <c r="M123" s="1313" t="s">
        <v>685</v>
      </c>
      <c r="N123" s="1313" t="s">
        <v>685</v>
      </c>
      <c r="O123" s="1313"/>
      <c r="P123" s="1313"/>
      <c r="Q123" s="1313" t="s">
        <v>685</v>
      </c>
      <c r="R123" s="1313" t="s">
        <v>685</v>
      </c>
      <c r="S123" s="1313" t="s">
        <v>685</v>
      </c>
      <c r="T123" s="1313" t="s">
        <v>685</v>
      </c>
      <c r="U123" s="1313" t="s">
        <v>685</v>
      </c>
      <c r="V123" s="1313"/>
      <c r="W123" s="1313"/>
      <c r="X123" s="1313" t="s">
        <v>685</v>
      </c>
      <c r="Y123" s="1313" t="s">
        <v>685</v>
      </c>
      <c r="Z123" s="1313" t="s">
        <v>685</v>
      </c>
      <c r="AA123" s="1313" t="s">
        <v>685</v>
      </c>
      <c r="AB123" s="1313" t="s">
        <v>685</v>
      </c>
      <c r="AC123" s="1313"/>
      <c r="AD123" s="1313"/>
      <c r="AE123" s="1313" t="s">
        <v>685</v>
      </c>
      <c r="AF123" s="1446" t="s">
        <v>685</v>
      </c>
      <c r="AG123" s="1446" t="s">
        <v>743</v>
      </c>
      <c r="AH123" s="504">
        <v>185</v>
      </c>
      <c r="AI123" s="505">
        <v>37</v>
      </c>
    </row>
    <row r="124" spans="1:35" ht="21.95" customHeight="1">
      <c r="A124" s="580"/>
      <c r="B124" s="1299" t="s">
        <v>718</v>
      </c>
      <c r="C124" s="1392" t="s">
        <v>684</v>
      </c>
      <c r="D124" s="1392" t="s">
        <v>684</v>
      </c>
      <c r="E124" s="1392" t="s">
        <v>684</v>
      </c>
      <c r="F124" s="1392" t="s">
        <v>684</v>
      </c>
      <c r="G124" s="1392" t="s">
        <v>684</v>
      </c>
      <c r="H124" s="1392"/>
      <c r="I124" s="1392"/>
      <c r="J124" s="1446" t="s">
        <v>684</v>
      </c>
      <c r="K124" s="1446" t="s">
        <v>684</v>
      </c>
      <c r="L124" s="1446" t="s">
        <v>684</v>
      </c>
      <c r="M124" s="1446" t="s">
        <v>684</v>
      </c>
      <c r="N124" s="1446" t="s">
        <v>684</v>
      </c>
      <c r="O124" s="1446"/>
      <c r="P124" s="1446"/>
      <c r="Q124" s="1446" t="s">
        <v>684</v>
      </c>
      <c r="R124" s="1446" t="s">
        <v>684</v>
      </c>
      <c r="S124" s="1446" t="s">
        <v>684</v>
      </c>
      <c r="T124" s="1446" t="s">
        <v>684</v>
      </c>
      <c r="U124" s="1446" t="s">
        <v>684</v>
      </c>
      <c r="V124" s="1446"/>
      <c r="W124" s="1446"/>
      <c r="X124" s="1446" t="s">
        <v>684</v>
      </c>
      <c r="Y124" s="1446" t="s">
        <v>684</v>
      </c>
      <c r="Z124" s="1446" t="s">
        <v>684</v>
      </c>
      <c r="AA124" s="1446" t="s">
        <v>684</v>
      </c>
      <c r="AB124" s="1446" t="s">
        <v>684</v>
      </c>
      <c r="AC124" s="1446"/>
      <c r="AD124" s="1446"/>
      <c r="AE124" s="1446" t="s">
        <v>684</v>
      </c>
      <c r="AF124" s="1446" t="s">
        <v>684</v>
      </c>
      <c r="AG124" s="1446" t="s">
        <v>684</v>
      </c>
      <c r="AH124" s="504">
        <v>185</v>
      </c>
      <c r="AI124" s="505">
        <v>37</v>
      </c>
    </row>
    <row r="125" spans="1:35" ht="21.95" customHeight="1">
      <c r="A125" s="580"/>
      <c r="B125" s="1300" t="s">
        <v>719</v>
      </c>
      <c r="C125" s="1313" t="s">
        <v>539</v>
      </c>
      <c r="D125" s="1313" t="s">
        <v>539</v>
      </c>
      <c r="E125" s="1313" t="s">
        <v>539</v>
      </c>
      <c r="F125" s="1313" t="s">
        <v>539</v>
      </c>
      <c r="G125" s="1313" t="s">
        <v>539</v>
      </c>
      <c r="H125" s="1313"/>
      <c r="I125" s="1313"/>
      <c r="J125" s="1313" t="s">
        <v>539</v>
      </c>
      <c r="K125" s="1313" t="s">
        <v>539</v>
      </c>
      <c r="L125" s="1313" t="s">
        <v>539</v>
      </c>
      <c r="M125" s="1313" t="s">
        <v>539</v>
      </c>
      <c r="N125" s="1313" t="s">
        <v>539</v>
      </c>
      <c r="O125" s="1313"/>
      <c r="P125" s="1313"/>
      <c r="Q125" s="1313" t="s">
        <v>539</v>
      </c>
      <c r="R125" s="1313" t="s">
        <v>539</v>
      </c>
      <c r="S125" s="1313" t="s">
        <v>539</v>
      </c>
      <c r="T125" s="1313" t="s">
        <v>539</v>
      </c>
      <c r="U125" s="1313" t="s">
        <v>539</v>
      </c>
      <c r="V125" s="1313"/>
      <c r="W125" s="1313"/>
      <c r="X125" s="1313" t="s">
        <v>539</v>
      </c>
      <c r="Y125" s="1313" t="s">
        <v>539</v>
      </c>
      <c r="Z125" s="1313" t="s">
        <v>539</v>
      </c>
      <c r="AA125" s="1313" t="s">
        <v>539</v>
      </c>
      <c r="AB125" s="1313" t="s">
        <v>539</v>
      </c>
      <c r="AC125" s="1313"/>
      <c r="AD125" s="1313"/>
      <c r="AE125" s="1313" t="s">
        <v>539</v>
      </c>
      <c r="AF125" s="1313" t="s">
        <v>539</v>
      </c>
      <c r="AG125" s="1313" t="s">
        <v>539</v>
      </c>
      <c r="AH125" s="504">
        <v>185</v>
      </c>
      <c r="AI125" s="505">
        <v>37</v>
      </c>
    </row>
    <row r="126" spans="1:35" ht="21.95" customHeight="1">
      <c r="A126" s="580"/>
      <c r="B126" s="1299" t="s">
        <v>720</v>
      </c>
      <c r="C126" s="1313" t="s">
        <v>540</v>
      </c>
      <c r="D126" s="1313" t="s">
        <v>540</v>
      </c>
      <c r="E126" s="1313" t="s">
        <v>540</v>
      </c>
      <c r="F126" s="1313" t="s">
        <v>540</v>
      </c>
      <c r="G126" s="1313" t="s">
        <v>540</v>
      </c>
      <c r="H126" s="1313"/>
      <c r="I126" s="1313"/>
      <c r="J126" s="1313" t="s">
        <v>540</v>
      </c>
      <c r="K126" s="1313" t="s">
        <v>540</v>
      </c>
      <c r="L126" s="1313" t="s">
        <v>540</v>
      </c>
      <c r="M126" s="1313" t="s">
        <v>540</v>
      </c>
      <c r="N126" s="1313" t="s">
        <v>540</v>
      </c>
      <c r="O126" s="1313"/>
      <c r="P126" s="1313"/>
      <c r="Q126" s="1313" t="s">
        <v>540</v>
      </c>
      <c r="R126" s="1313" t="s">
        <v>540</v>
      </c>
      <c r="S126" s="1313" t="s">
        <v>540</v>
      </c>
      <c r="T126" s="1313" t="s">
        <v>540</v>
      </c>
      <c r="U126" s="1313" t="s">
        <v>540</v>
      </c>
      <c r="V126" s="1313"/>
      <c r="W126" s="1313"/>
      <c r="X126" s="1446" t="s">
        <v>731</v>
      </c>
      <c r="Y126" s="1384" t="s">
        <v>540</v>
      </c>
      <c r="Z126" s="1384" t="s">
        <v>540</v>
      </c>
      <c r="AA126" s="1384" t="s">
        <v>540</v>
      </c>
      <c r="AB126" s="1384" t="s">
        <v>540</v>
      </c>
      <c r="AC126" s="1313"/>
      <c r="AD126" s="1313"/>
      <c r="AE126" s="1313" t="s">
        <v>540</v>
      </c>
      <c r="AF126" s="1313" t="s">
        <v>540</v>
      </c>
      <c r="AG126" s="1313" t="s">
        <v>540</v>
      </c>
      <c r="AH126" s="504">
        <v>185</v>
      </c>
      <c r="AI126" s="505">
        <v>37</v>
      </c>
    </row>
    <row r="127" spans="1:35" ht="21.95" customHeight="1">
      <c r="A127" s="580"/>
      <c r="B127" s="1299" t="s">
        <v>721</v>
      </c>
      <c r="C127" s="1313" t="s">
        <v>708</v>
      </c>
      <c r="D127" s="1313" t="s">
        <v>708</v>
      </c>
      <c r="E127" s="1313" t="s">
        <v>708</v>
      </c>
      <c r="F127" s="1313" t="s">
        <v>708</v>
      </c>
      <c r="G127" s="1313" t="s">
        <v>708</v>
      </c>
      <c r="H127" s="1313"/>
      <c r="I127" s="1313"/>
      <c r="J127" s="1379" t="s">
        <v>708</v>
      </c>
      <c r="K127" s="1379" t="s">
        <v>708</v>
      </c>
      <c r="L127" s="1379" t="s">
        <v>708</v>
      </c>
      <c r="M127" s="1379" t="s">
        <v>708</v>
      </c>
      <c r="N127" s="1379" t="s">
        <v>708</v>
      </c>
      <c r="O127" s="1379"/>
      <c r="P127" s="1379"/>
      <c r="Q127" s="1379" t="s">
        <v>708</v>
      </c>
      <c r="R127" s="1379" t="s">
        <v>708</v>
      </c>
      <c r="S127" s="1379" t="s">
        <v>708</v>
      </c>
      <c r="T127" s="1379" t="s">
        <v>708</v>
      </c>
      <c r="U127" s="1379" t="s">
        <v>708</v>
      </c>
      <c r="V127" s="1379"/>
      <c r="W127" s="1379"/>
      <c r="X127" s="1379" t="s">
        <v>708</v>
      </c>
      <c r="Y127" s="1379" t="s">
        <v>708</v>
      </c>
      <c r="Z127" s="1379" t="s">
        <v>708</v>
      </c>
      <c r="AA127" s="1379" t="s">
        <v>708</v>
      </c>
      <c r="AB127" s="1379" t="s">
        <v>708</v>
      </c>
      <c r="AC127" s="1379"/>
      <c r="AD127" s="1379"/>
      <c r="AE127" s="1313" t="s">
        <v>708</v>
      </c>
      <c r="AF127" s="1313" t="s">
        <v>708</v>
      </c>
      <c r="AG127" s="1313" t="s">
        <v>708</v>
      </c>
      <c r="AH127" s="504">
        <v>133</v>
      </c>
      <c r="AI127" s="505">
        <v>37</v>
      </c>
    </row>
    <row r="128" spans="1:35" ht="21.95" customHeight="1">
      <c r="A128" s="580"/>
      <c r="B128" s="1299" t="s">
        <v>722</v>
      </c>
      <c r="C128" s="1446" t="s">
        <v>538</v>
      </c>
      <c r="D128" s="1446" t="s">
        <v>538</v>
      </c>
      <c r="E128" s="1446" t="s">
        <v>538</v>
      </c>
      <c r="F128" s="1446" t="s">
        <v>538</v>
      </c>
      <c r="G128" s="1446" t="s">
        <v>538</v>
      </c>
      <c r="H128" s="1446"/>
      <c r="I128" s="1446"/>
      <c r="J128" s="1446" t="s">
        <v>538</v>
      </c>
      <c r="K128" s="1446" t="s">
        <v>538</v>
      </c>
      <c r="L128" s="1446" t="s">
        <v>538</v>
      </c>
      <c r="M128" s="1446" t="s">
        <v>541</v>
      </c>
      <c r="N128" s="1313" t="s">
        <v>538</v>
      </c>
      <c r="O128" s="1313"/>
      <c r="P128" s="1313"/>
      <c r="Q128" s="1313" t="s">
        <v>538</v>
      </c>
      <c r="R128" s="1313" t="s">
        <v>538</v>
      </c>
      <c r="S128" s="1313" t="s">
        <v>538</v>
      </c>
      <c r="T128" s="1313" t="s">
        <v>538</v>
      </c>
      <c r="U128" s="1313" t="s">
        <v>538</v>
      </c>
      <c r="V128" s="1313"/>
      <c r="W128" s="1313"/>
      <c r="X128" s="1313" t="s">
        <v>538</v>
      </c>
      <c r="Y128" s="1313" t="s">
        <v>538</v>
      </c>
      <c r="Z128" s="1313" t="s">
        <v>538</v>
      </c>
      <c r="AA128" s="1313" t="s">
        <v>538</v>
      </c>
      <c r="AB128" s="1313" t="s">
        <v>538</v>
      </c>
      <c r="AC128" s="1313"/>
      <c r="AD128" s="1313"/>
      <c r="AE128" s="1379" t="s">
        <v>538</v>
      </c>
      <c r="AF128" s="1379" t="s">
        <v>538</v>
      </c>
      <c r="AG128" s="1379" t="s">
        <v>538</v>
      </c>
      <c r="AH128" s="504">
        <v>185</v>
      </c>
      <c r="AI128" s="505">
        <v>37</v>
      </c>
    </row>
    <row r="129" spans="1:35" ht="21.95" customHeight="1">
      <c r="A129" s="580"/>
      <c r="B129" s="1299" t="s">
        <v>723</v>
      </c>
      <c r="C129" s="1313" t="s">
        <v>711</v>
      </c>
      <c r="D129" s="1313" t="s">
        <v>711</v>
      </c>
      <c r="E129" s="1313" t="s">
        <v>711</v>
      </c>
      <c r="F129" s="1313" t="s">
        <v>711</v>
      </c>
      <c r="G129" s="1313" t="s">
        <v>711</v>
      </c>
      <c r="H129" s="1313"/>
      <c r="I129" s="1313"/>
      <c r="J129" s="1313" t="s">
        <v>711</v>
      </c>
      <c r="K129" s="1313" t="s">
        <v>711</v>
      </c>
      <c r="L129" s="1313" t="s">
        <v>711</v>
      </c>
      <c r="M129" s="1313" t="s">
        <v>711</v>
      </c>
      <c r="N129" s="1313" t="s">
        <v>711</v>
      </c>
      <c r="O129" s="1313"/>
      <c r="P129" s="1313"/>
      <c r="Q129" s="1313" t="s">
        <v>711</v>
      </c>
      <c r="R129" s="1313" t="s">
        <v>711</v>
      </c>
      <c r="S129" s="1313" t="s">
        <v>711</v>
      </c>
      <c r="T129" s="1313" t="s">
        <v>711</v>
      </c>
      <c r="U129" s="1313" t="s">
        <v>711</v>
      </c>
      <c r="V129" s="1313"/>
      <c r="W129" s="1313"/>
      <c r="X129" s="1313" t="s">
        <v>711</v>
      </c>
      <c r="Y129" s="1313" t="s">
        <v>711</v>
      </c>
      <c r="Z129" s="1313" t="s">
        <v>711</v>
      </c>
      <c r="AA129" s="1313" t="s">
        <v>711</v>
      </c>
      <c r="AB129" s="1313" t="s">
        <v>711</v>
      </c>
      <c r="AC129" s="1313"/>
      <c r="AD129" s="1313"/>
      <c r="AE129" s="1313" t="s">
        <v>711</v>
      </c>
      <c r="AF129" s="1313" t="s">
        <v>711</v>
      </c>
      <c r="AG129" s="1313" t="s">
        <v>711</v>
      </c>
      <c r="AH129" s="504">
        <v>185</v>
      </c>
      <c r="AI129" s="505">
        <v>37</v>
      </c>
    </row>
    <row r="130" spans="1:35" ht="21.95" customHeight="1">
      <c r="A130" s="580"/>
      <c r="B130" s="1299" t="s">
        <v>724</v>
      </c>
      <c r="C130" s="1313" t="s">
        <v>544</v>
      </c>
      <c r="D130" s="1313" t="s">
        <v>544</v>
      </c>
      <c r="E130" s="1313" t="s">
        <v>544</v>
      </c>
      <c r="F130" s="1313" t="s">
        <v>544</v>
      </c>
      <c r="G130" s="1313" t="s">
        <v>544</v>
      </c>
      <c r="H130" s="1313"/>
      <c r="I130" s="1313"/>
      <c r="J130" s="1338" t="s">
        <v>544</v>
      </c>
      <c r="K130" s="1338" t="s">
        <v>544</v>
      </c>
      <c r="L130" s="1338" t="s">
        <v>544</v>
      </c>
      <c r="M130" s="1338" t="s">
        <v>544</v>
      </c>
      <c r="N130" s="1338" t="s">
        <v>544</v>
      </c>
      <c r="O130" s="1338"/>
      <c r="P130" s="1338"/>
      <c r="Q130" s="1338" t="s">
        <v>544</v>
      </c>
      <c r="R130" s="1338" t="s">
        <v>544</v>
      </c>
      <c r="S130" s="1338" t="s">
        <v>544</v>
      </c>
      <c r="T130" s="1338" t="s">
        <v>544</v>
      </c>
      <c r="U130" s="1338" t="s">
        <v>544</v>
      </c>
      <c r="V130" s="1338"/>
      <c r="W130" s="1338"/>
      <c r="X130" s="1338" t="s">
        <v>544</v>
      </c>
      <c r="Y130" s="1338" t="s">
        <v>544</v>
      </c>
      <c r="Z130" s="1338" t="s">
        <v>544</v>
      </c>
      <c r="AA130" s="1338" t="s">
        <v>544</v>
      </c>
      <c r="AB130" s="1338" t="s">
        <v>544</v>
      </c>
      <c r="AC130" s="1338"/>
      <c r="AD130" s="1338"/>
      <c r="AE130" s="1313" t="s">
        <v>544</v>
      </c>
      <c r="AF130" s="1313" t="s">
        <v>544</v>
      </c>
      <c r="AG130" s="1313" t="s">
        <v>544</v>
      </c>
      <c r="AH130" s="504">
        <v>7.07</v>
      </c>
      <c r="AI130" s="505">
        <v>17.41</v>
      </c>
    </row>
    <row r="131" spans="1:35" ht="21.95" customHeight="1">
      <c r="A131" s="580"/>
      <c r="B131" s="1502"/>
      <c r="C131" s="559"/>
      <c r="D131" s="559"/>
      <c r="E131" s="559"/>
      <c r="F131" s="559"/>
      <c r="G131" s="559"/>
      <c r="H131" s="1504"/>
      <c r="I131" s="1504"/>
      <c r="J131" s="1225"/>
      <c r="K131" s="1225"/>
      <c r="L131" s="1225"/>
      <c r="M131" s="1225"/>
      <c r="N131" s="1225"/>
      <c r="O131" s="1225"/>
      <c r="P131" s="1225"/>
      <c r="Q131" s="1225"/>
      <c r="R131" s="1225"/>
      <c r="S131" s="1225"/>
      <c r="T131" s="1225"/>
      <c r="U131" s="1225"/>
      <c r="V131" s="1225"/>
      <c r="W131" s="1225"/>
      <c r="X131" s="1225"/>
      <c r="Y131" s="1225"/>
      <c r="Z131" s="1225"/>
      <c r="AA131" s="1225"/>
      <c r="AB131" s="1225"/>
      <c r="AC131" s="1225"/>
      <c r="AD131" s="1225"/>
      <c r="AE131" s="1504"/>
      <c r="AF131" s="559"/>
      <c r="AG131" s="559"/>
      <c r="AH131" s="560"/>
      <c r="AI131" s="560"/>
    </row>
    <row r="132" spans="1:35" ht="21.95" customHeight="1" thickBot="1">
      <c r="A132" s="1303" t="s">
        <v>744</v>
      </c>
      <c r="B132" s="1581" t="s">
        <v>745</v>
      </c>
      <c r="C132" s="559"/>
      <c r="D132" s="541"/>
      <c r="E132" s="541"/>
      <c r="F132" s="541"/>
      <c r="G132" s="541"/>
      <c r="H132" s="541"/>
      <c r="I132" s="559"/>
      <c r="J132" s="559"/>
      <c r="K132" s="541"/>
      <c r="L132" s="541"/>
      <c r="M132" s="541"/>
      <c r="N132" s="541"/>
      <c r="O132" s="541"/>
      <c r="P132" s="541"/>
      <c r="Q132" s="559"/>
      <c r="R132" s="541"/>
      <c r="S132" s="541"/>
      <c r="T132" s="541"/>
      <c r="U132" s="541"/>
      <c r="V132" s="541"/>
      <c r="W132" s="559"/>
      <c r="X132" s="559"/>
      <c r="Y132" s="541"/>
      <c r="Z132" s="541"/>
      <c r="AA132" s="541"/>
      <c r="AB132" s="541"/>
      <c r="AC132" s="541"/>
      <c r="AD132" s="541"/>
      <c r="AE132" s="559"/>
      <c r="AF132" s="541"/>
      <c r="AG132" s="541"/>
      <c r="AH132" s="560"/>
      <c r="AI132" s="560"/>
    </row>
    <row r="133" spans="1:35" ht="21.95" customHeight="1">
      <c r="A133" s="580"/>
      <c r="B133" s="1304" t="s">
        <v>696</v>
      </c>
      <c r="C133" s="1312"/>
      <c r="D133" s="1305" t="s">
        <v>2</v>
      </c>
      <c r="E133" s="1306"/>
      <c r="F133" s="1307"/>
      <c r="G133" s="1308"/>
      <c r="H133" s="1305" t="s">
        <v>3</v>
      </c>
      <c r="I133" s="1306"/>
      <c r="J133" s="1307"/>
      <c r="K133" s="1308"/>
      <c r="L133" s="1305" t="s">
        <v>4</v>
      </c>
      <c r="M133" s="1306"/>
      <c r="N133" s="1307"/>
      <c r="O133" s="1308"/>
      <c r="P133" s="1305" t="s">
        <v>5</v>
      </c>
      <c r="Q133" s="1306"/>
      <c r="R133" s="1307"/>
      <c r="S133" s="1308"/>
      <c r="T133" s="1305" t="s">
        <v>6</v>
      </c>
      <c r="U133" s="1306"/>
      <c r="V133" s="1307"/>
      <c r="W133" s="1308"/>
      <c r="X133" s="1305" t="s">
        <v>7</v>
      </c>
      <c r="Y133" s="1306"/>
      <c r="Z133" s="1307"/>
      <c r="AA133" s="1308"/>
      <c r="AB133" s="1305" t="s">
        <v>8</v>
      </c>
      <c r="AC133" s="1306"/>
      <c r="AD133" s="1306"/>
      <c r="AE133" s="1309" t="s">
        <v>10</v>
      </c>
      <c r="AF133" s="1306"/>
      <c r="AG133" s="1306"/>
      <c r="AH133" s="1306"/>
      <c r="AI133" s="1310"/>
    </row>
    <row r="134" spans="1:35" ht="21.95" customHeight="1">
      <c r="A134" s="580"/>
      <c r="B134" s="1332"/>
      <c r="C134" s="1313"/>
      <c r="D134" s="1331"/>
      <c r="E134" s="1314"/>
      <c r="F134" s="1311"/>
      <c r="G134" s="1313"/>
      <c r="H134" s="1331"/>
      <c r="I134" s="1314"/>
      <c r="J134" s="1311"/>
      <c r="K134" s="1313"/>
      <c r="L134" s="1331"/>
      <c r="M134" s="1314"/>
      <c r="N134" s="1311"/>
      <c r="O134" s="1313"/>
      <c r="P134" s="1331"/>
      <c r="Q134" s="1314"/>
      <c r="R134" s="1311"/>
      <c r="S134" s="1313"/>
      <c r="T134" s="1331"/>
      <c r="U134" s="1314"/>
      <c r="V134" s="1311"/>
      <c r="W134" s="1313"/>
      <c r="X134" s="1314"/>
      <c r="Y134" s="1314"/>
      <c r="Z134" s="1311"/>
      <c r="AA134" s="1313"/>
      <c r="AB134" s="1314"/>
      <c r="AC134" s="1314"/>
      <c r="AD134" s="1314"/>
      <c r="AE134" s="1313"/>
      <c r="AF134" s="1314"/>
      <c r="AG134" s="1314"/>
      <c r="AH134" s="1316"/>
      <c r="AI134" s="1317"/>
    </row>
    <row r="135" spans="1:35" ht="21.95" customHeight="1">
      <c r="A135" s="580"/>
      <c r="B135" s="1333"/>
      <c r="C135" s="1313"/>
      <c r="D135" s="1331"/>
      <c r="E135" s="1314"/>
      <c r="F135" s="1311"/>
      <c r="G135" s="1313"/>
      <c r="H135" s="1331"/>
      <c r="I135" s="1314"/>
      <c r="J135" s="1311"/>
      <c r="K135" s="1313"/>
      <c r="L135" s="1331"/>
      <c r="M135" s="1314"/>
      <c r="N135" s="1311"/>
      <c r="O135" s="1313"/>
      <c r="P135" s="1331"/>
      <c r="Q135" s="1314"/>
      <c r="R135" s="1311"/>
      <c r="S135" s="1313"/>
      <c r="T135" s="1331"/>
      <c r="U135" s="1314"/>
      <c r="V135" s="1311"/>
      <c r="W135" s="1313"/>
      <c r="X135" s="1314"/>
      <c r="Y135" s="1314"/>
      <c r="Z135" s="1311"/>
      <c r="AA135" s="1313"/>
      <c r="AB135" s="1314"/>
      <c r="AC135" s="1314"/>
      <c r="AD135" s="1314"/>
      <c r="AE135" s="1313"/>
      <c r="AF135" s="1314"/>
      <c r="AG135" s="1314"/>
      <c r="AH135" s="1316"/>
      <c r="AI135" s="1317"/>
    </row>
    <row r="136" spans="1:35" ht="21.95" customHeight="1">
      <c r="A136" s="580"/>
      <c r="B136" s="1333"/>
      <c r="C136" s="1313"/>
      <c r="D136" s="1331"/>
      <c r="E136" s="1314"/>
      <c r="F136" s="1311"/>
      <c r="G136" s="1313"/>
      <c r="H136" s="1331"/>
      <c r="I136" s="1314"/>
      <c r="J136" s="1311"/>
      <c r="K136" s="1313"/>
      <c r="L136" s="1331"/>
      <c r="M136" s="1314"/>
      <c r="N136" s="1311"/>
      <c r="O136" s="1313"/>
      <c r="P136" s="1331"/>
      <c r="Q136" s="1314"/>
      <c r="R136" s="1311"/>
      <c r="S136" s="1313"/>
      <c r="T136" s="1331"/>
      <c r="U136" s="1314"/>
      <c r="V136" s="1311"/>
      <c r="W136" s="1313"/>
      <c r="X136" s="1314"/>
      <c r="Y136" s="1314"/>
      <c r="Z136" s="1311"/>
      <c r="AA136" s="1313"/>
      <c r="AB136" s="1314"/>
      <c r="AC136" s="1314"/>
      <c r="AD136" s="1314"/>
      <c r="AE136" s="1313"/>
      <c r="AF136" s="1314"/>
      <c r="AG136" s="1314"/>
      <c r="AH136" s="1316"/>
      <c r="AI136" s="1317"/>
    </row>
    <row r="137" spans="1:35" ht="21.95" customHeight="1" thickBot="1">
      <c r="A137" s="580"/>
      <c r="B137" s="1506"/>
      <c r="C137" s="1504"/>
      <c r="D137" s="1504"/>
      <c r="E137" s="1504"/>
      <c r="F137" s="1504"/>
      <c r="G137" s="1504"/>
      <c r="H137" s="1504"/>
      <c r="I137" s="1504"/>
      <c r="J137" s="1225"/>
      <c r="K137" s="1225"/>
      <c r="L137" s="1225"/>
      <c r="M137" s="1225"/>
      <c r="N137" s="1225"/>
      <c r="O137" s="1225"/>
      <c r="P137" s="1225"/>
      <c r="Q137" s="1225"/>
      <c r="R137" s="1225"/>
      <c r="S137" s="1225"/>
      <c r="T137" s="1225"/>
      <c r="U137" s="1225"/>
      <c r="V137" s="1225"/>
      <c r="W137" s="1225"/>
      <c r="X137" s="1225"/>
      <c r="Y137" s="1225"/>
      <c r="Z137" s="1225"/>
      <c r="AA137" s="1225"/>
      <c r="AB137" s="1225"/>
      <c r="AC137" s="1225"/>
      <c r="AD137" s="1225"/>
      <c r="AE137" s="1504"/>
      <c r="AF137" s="1504"/>
      <c r="AG137" s="1504"/>
      <c r="AH137" s="560"/>
      <c r="AI137" s="560"/>
    </row>
    <row r="138" spans="1:35" ht="21.95" customHeight="1">
      <c r="A138" s="1232"/>
      <c r="B138" s="1507" t="s">
        <v>480</v>
      </c>
      <c r="C138" s="1234">
        <v>1</v>
      </c>
      <c r="D138" s="1234">
        <v>2</v>
      </c>
      <c r="E138" s="1234">
        <v>3</v>
      </c>
      <c r="F138" s="1234">
        <v>4</v>
      </c>
      <c r="G138" s="1234">
        <v>5</v>
      </c>
      <c r="H138" s="1235">
        <v>6</v>
      </c>
      <c r="I138" s="1330">
        <v>7</v>
      </c>
      <c r="J138" s="1213">
        <v>8</v>
      </c>
      <c r="K138" s="1234">
        <v>9</v>
      </c>
      <c r="L138" s="1234">
        <v>10</v>
      </c>
      <c r="M138" s="1234">
        <v>11</v>
      </c>
      <c r="N138" s="1234">
        <v>12</v>
      </c>
      <c r="O138" s="1235">
        <v>13</v>
      </c>
      <c r="P138" s="1330">
        <v>14</v>
      </c>
      <c r="Q138" s="1213">
        <v>15</v>
      </c>
      <c r="R138" s="1234">
        <v>16</v>
      </c>
      <c r="S138" s="1234">
        <v>17</v>
      </c>
      <c r="T138" s="1234">
        <v>18</v>
      </c>
      <c r="U138" s="1234">
        <v>19</v>
      </c>
      <c r="V138" s="1330">
        <v>20</v>
      </c>
      <c r="W138" s="1330">
        <v>21</v>
      </c>
      <c r="X138" s="1213">
        <v>22</v>
      </c>
      <c r="Y138" s="1234">
        <v>23</v>
      </c>
      <c r="Z138" s="1234">
        <v>24</v>
      </c>
      <c r="AA138" s="1234">
        <v>25</v>
      </c>
      <c r="AB138" s="1234">
        <v>26</v>
      </c>
      <c r="AC138" s="1235">
        <v>27</v>
      </c>
      <c r="AD138" s="1330">
        <v>28</v>
      </c>
      <c r="AE138" s="1213">
        <v>29</v>
      </c>
      <c r="AF138" s="1234">
        <v>30</v>
      </c>
      <c r="AG138" s="1234">
        <v>31</v>
      </c>
      <c r="AH138" s="1301" t="s">
        <v>481</v>
      </c>
      <c r="AI138" s="1302" t="s">
        <v>482</v>
      </c>
    </row>
    <row r="139" spans="1:35" ht="21.95" customHeight="1">
      <c r="A139" s="580"/>
      <c r="B139" s="1300" t="s">
        <v>746</v>
      </c>
      <c r="C139" s="1215" t="s">
        <v>535</v>
      </c>
      <c r="D139" s="1215" t="s">
        <v>535</v>
      </c>
      <c r="E139" s="1215" t="s">
        <v>535</v>
      </c>
      <c r="F139" s="1215" t="s">
        <v>535</v>
      </c>
      <c r="G139" s="1215" t="s">
        <v>535</v>
      </c>
      <c r="H139" s="1215"/>
      <c r="I139" s="1215"/>
      <c r="J139" s="1338" t="s">
        <v>535</v>
      </c>
      <c r="K139" s="1338" t="s">
        <v>535</v>
      </c>
      <c r="L139" s="1338" t="s">
        <v>535</v>
      </c>
      <c r="M139" s="1338" t="s">
        <v>535</v>
      </c>
      <c r="N139" s="1338" t="s">
        <v>535</v>
      </c>
      <c r="O139" s="1338"/>
      <c r="P139" s="1338"/>
      <c r="Q139" s="1338" t="s">
        <v>535</v>
      </c>
      <c r="R139" s="1338" t="s">
        <v>535</v>
      </c>
      <c r="S139" s="1338" t="s">
        <v>535</v>
      </c>
      <c r="T139" s="1338" t="s">
        <v>535</v>
      </c>
      <c r="U139" s="1338" t="s">
        <v>535</v>
      </c>
      <c r="V139" s="1338"/>
      <c r="W139" s="1338"/>
      <c r="X139" s="1338" t="s">
        <v>535</v>
      </c>
      <c r="Y139" s="1338" t="s">
        <v>535</v>
      </c>
      <c r="Z139" s="1338" t="s">
        <v>535</v>
      </c>
      <c r="AA139" s="1338" t="s">
        <v>535</v>
      </c>
      <c r="AB139" s="1338" t="s">
        <v>535</v>
      </c>
      <c r="AC139" s="1338"/>
      <c r="AD139" s="1338"/>
      <c r="AE139" s="1215" t="s">
        <v>535</v>
      </c>
      <c r="AF139" s="1215" t="s">
        <v>535</v>
      </c>
      <c r="AG139" s="1384" t="s">
        <v>535</v>
      </c>
      <c r="AH139" s="504">
        <v>104</v>
      </c>
      <c r="AI139" s="505">
        <v>37</v>
      </c>
    </row>
    <row r="140" spans="1:35" ht="21.95" customHeight="1">
      <c r="A140" s="580"/>
      <c r="B140" s="1300" t="s">
        <v>747</v>
      </c>
      <c r="C140" s="1358" t="s">
        <v>535</v>
      </c>
      <c r="D140" s="1358" t="s">
        <v>535</v>
      </c>
      <c r="E140" s="1358" t="s">
        <v>535</v>
      </c>
      <c r="F140" s="1358" t="s">
        <v>535</v>
      </c>
      <c r="G140" s="1358" t="s">
        <v>535</v>
      </c>
      <c r="H140" s="1358"/>
      <c r="I140" s="1358"/>
      <c r="J140" s="1215" t="s">
        <v>535</v>
      </c>
      <c r="K140" s="1215" t="s">
        <v>535</v>
      </c>
      <c r="L140" s="1215" t="s">
        <v>535</v>
      </c>
      <c r="M140" s="1215" t="s">
        <v>535</v>
      </c>
      <c r="N140" s="1215" t="s">
        <v>535</v>
      </c>
      <c r="O140" s="1215"/>
      <c r="P140" s="1215"/>
      <c r="Q140" s="1215" t="s">
        <v>535</v>
      </c>
      <c r="R140" s="1215" t="s">
        <v>535</v>
      </c>
      <c r="S140" s="1215" t="s">
        <v>535</v>
      </c>
      <c r="T140" s="1215" t="s">
        <v>535</v>
      </c>
      <c r="U140" s="1215" t="s">
        <v>535</v>
      </c>
      <c r="V140" s="1215"/>
      <c r="W140" s="1215"/>
      <c r="X140" s="1215" t="s">
        <v>535</v>
      </c>
      <c r="Y140" s="1215" t="s">
        <v>535</v>
      </c>
      <c r="Z140" s="1215" t="s">
        <v>535</v>
      </c>
      <c r="AA140" s="1215" t="s">
        <v>535</v>
      </c>
      <c r="AB140" s="1215" t="s">
        <v>535</v>
      </c>
      <c r="AC140" s="1215"/>
      <c r="AD140" s="1215"/>
      <c r="AE140" s="1215" t="s">
        <v>535</v>
      </c>
      <c r="AF140" s="1215" t="s">
        <v>535</v>
      </c>
      <c r="AG140" s="1384" t="s">
        <v>535</v>
      </c>
      <c r="AH140" s="504">
        <v>74</v>
      </c>
      <c r="AI140" s="505">
        <v>37</v>
      </c>
    </row>
    <row r="141" spans="1:35" ht="21.95" customHeight="1">
      <c r="A141" s="580"/>
      <c r="B141" s="1300" t="s">
        <v>748</v>
      </c>
      <c r="C141" s="1215" t="s">
        <v>535</v>
      </c>
      <c r="D141" s="1215" t="s">
        <v>535</v>
      </c>
      <c r="E141" s="1215" t="s">
        <v>535</v>
      </c>
      <c r="F141" s="1215" t="s">
        <v>535</v>
      </c>
      <c r="G141" s="1215" t="s">
        <v>535</v>
      </c>
      <c r="H141" s="1215"/>
      <c r="I141" s="1215"/>
      <c r="J141" s="1215" t="s">
        <v>535</v>
      </c>
      <c r="K141" s="1215" t="s">
        <v>535</v>
      </c>
      <c r="L141" s="1215" t="s">
        <v>535</v>
      </c>
      <c r="M141" s="1215" t="s">
        <v>535</v>
      </c>
      <c r="N141" s="1215" t="s">
        <v>535</v>
      </c>
      <c r="O141" s="1215"/>
      <c r="P141" s="1215"/>
      <c r="Q141" s="1215" t="s">
        <v>535</v>
      </c>
      <c r="R141" s="1215" t="s">
        <v>535</v>
      </c>
      <c r="S141" s="1215" t="s">
        <v>535</v>
      </c>
      <c r="T141" s="1392" t="s">
        <v>535</v>
      </c>
      <c r="U141" s="1392" t="s">
        <v>535</v>
      </c>
      <c r="V141" s="1215"/>
      <c r="W141" s="1215"/>
      <c r="X141" s="1392" t="s">
        <v>749</v>
      </c>
      <c r="Y141" s="1215" t="s">
        <v>535</v>
      </c>
      <c r="Z141" s="1215" t="s">
        <v>535</v>
      </c>
      <c r="AA141" s="1215" t="s">
        <v>535</v>
      </c>
      <c r="AB141" s="1215" t="s">
        <v>535</v>
      </c>
      <c r="AC141" s="1215"/>
      <c r="AD141" s="1215"/>
      <c r="AE141" s="1215" t="s">
        <v>535</v>
      </c>
      <c r="AF141" s="1215" t="s">
        <v>535</v>
      </c>
      <c r="AG141" s="1384" t="s">
        <v>535</v>
      </c>
      <c r="AH141" s="504">
        <v>185</v>
      </c>
      <c r="AI141" s="505">
        <v>37</v>
      </c>
    </row>
    <row r="142" spans="1:35" ht="21.95" customHeight="1">
      <c r="A142" s="580"/>
      <c r="B142" s="1509" t="s">
        <v>750</v>
      </c>
      <c r="C142" s="1226" t="s">
        <v>535</v>
      </c>
      <c r="D142" s="1215" t="s">
        <v>535</v>
      </c>
      <c r="E142" s="1215" t="s">
        <v>535</v>
      </c>
      <c r="F142" s="1215" t="s">
        <v>535</v>
      </c>
      <c r="G142" s="1215" t="s">
        <v>535</v>
      </c>
      <c r="H142" s="1215"/>
      <c r="I142" s="1215"/>
      <c r="J142" s="1338" t="s">
        <v>535</v>
      </c>
      <c r="K142" s="1338" t="s">
        <v>535</v>
      </c>
      <c r="L142" s="1338" t="s">
        <v>535</v>
      </c>
      <c r="M142" s="1338" t="s">
        <v>535</v>
      </c>
      <c r="N142" s="1338" t="s">
        <v>535</v>
      </c>
      <c r="O142" s="1338"/>
      <c r="P142" s="1338"/>
      <c r="Q142" s="1338" t="s">
        <v>535</v>
      </c>
      <c r="R142" s="1338" t="s">
        <v>535</v>
      </c>
      <c r="S142" s="1338" t="s">
        <v>535</v>
      </c>
      <c r="T142" s="1338" t="s">
        <v>535</v>
      </c>
      <c r="U142" s="1338" t="s">
        <v>535</v>
      </c>
      <c r="V142" s="1338"/>
      <c r="W142" s="1338"/>
      <c r="X142" s="1338" t="s">
        <v>535</v>
      </c>
      <c r="Y142" s="1338" t="s">
        <v>535</v>
      </c>
      <c r="Z142" s="1338" t="s">
        <v>535</v>
      </c>
      <c r="AA142" s="1338" t="s">
        <v>535</v>
      </c>
      <c r="AB142" s="1338" t="s">
        <v>535</v>
      </c>
      <c r="AC142" s="1338"/>
      <c r="AD142" s="1338"/>
      <c r="AE142" s="1215" t="s">
        <v>535</v>
      </c>
      <c r="AF142" s="1215" t="s">
        <v>535</v>
      </c>
      <c r="AG142" s="1384" t="s">
        <v>535</v>
      </c>
      <c r="AH142" s="504">
        <v>185</v>
      </c>
      <c r="AI142" s="505">
        <v>37</v>
      </c>
    </row>
    <row r="143" spans="1:35" ht="21.95" customHeight="1">
      <c r="A143" s="580"/>
      <c r="B143" s="1300"/>
      <c r="C143" s="1215" t="s">
        <v>535</v>
      </c>
      <c r="D143" s="1215" t="s">
        <v>535</v>
      </c>
      <c r="E143" s="1215" t="s">
        <v>535</v>
      </c>
      <c r="F143" s="1215" t="s">
        <v>535</v>
      </c>
      <c r="G143" s="1215" t="s">
        <v>535</v>
      </c>
      <c r="H143" s="1215"/>
      <c r="I143" s="1215"/>
      <c r="J143" s="1215" t="s">
        <v>535</v>
      </c>
      <c r="K143" s="1215" t="s">
        <v>535</v>
      </c>
      <c r="L143" s="1215" t="s">
        <v>535</v>
      </c>
      <c r="M143" s="1215" t="s">
        <v>535</v>
      </c>
      <c r="N143" s="1215" t="s">
        <v>535</v>
      </c>
      <c r="O143" s="1215"/>
      <c r="P143" s="1215"/>
      <c r="Q143" s="1215" t="s">
        <v>535</v>
      </c>
      <c r="R143" s="1215" t="s">
        <v>535</v>
      </c>
      <c r="S143" s="1215" t="s">
        <v>535</v>
      </c>
      <c r="T143" s="1215" t="s">
        <v>535</v>
      </c>
      <c r="U143" s="1215" t="s">
        <v>535</v>
      </c>
      <c r="V143" s="1215"/>
      <c r="W143" s="1215"/>
      <c r="X143" s="1215" t="s">
        <v>535</v>
      </c>
      <c r="Y143" s="1215" t="s">
        <v>535</v>
      </c>
      <c r="Z143" s="1215" t="s">
        <v>535</v>
      </c>
      <c r="AA143" s="1215" t="s">
        <v>535</v>
      </c>
      <c r="AB143" s="1215" t="s">
        <v>535</v>
      </c>
      <c r="AC143" s="1215"/>
      <c r="AD143" s="1215"/>
      <c r="AE143" s="1215" t="s">
        <v>535</v>
      </c>
      <c r="AF143" s="1215" t="s">
        <v>535</v>
      </c>
      <c r="AG143" s="1384" t="s">
        <v>535</v>
      </c>
      <c r="AH143" s="504">
        <v>185</v>
      </c>
      <c r="AI143" s="505">
        <v>37</v>
      </c>
    </row>
    <row r="144" spans="1:35" ht="21.95" customHeight="1">
      <c r="A144" s="580"/>
      <c r="B144" s="1300"/>
      <c r="C144" s="1215" t="s">
        <v>535</v>
      </c>
      <c r="D144" s="1215" t="s">
        <v>535</v>
      </c>
      <c r="E144" s="1215" t="s">
        <v>535</v>
      </c>
      <c r="F144" s="1215" t="s">
        <v>535</v>
      </c>
      <c r="G144" s="1215" t="s">
        <v>535</v>
      </c>
      <c r="H144" s="1215"/>
      <c r="I144" s="1215"/>
      <c r="J144" s="1215" t="s">
        <v>535</v>
      </c>
      <c r="K144" s="1215" t="s">
        <v>535</v>
      </c>
      <c r="L144" s="1215" t="s">
        <v>535</v>
      </c>
      <c r="M144" s="1215" t="s">
        <v>535</v>
      </c>
      <c r="N144" s="1215" t="s">
        <v>535</v>
      </c>
      <c r="O144" s="1215"/>
      <c r="P144" s="1215"/>
      <c r="Q144" s="1215" t="s">
        <v>535</v>
      </c>
      <c r="R144" s="1215" t="s">
        <v>535</v>
      </c>
      <c r="S144" s="1215" t="s">
        <v>535</v>
      </c>
      <c r="T144" s="1215" t="s">
        <v>535</v>
      </c>
      <c r="U144" s="1215" t="s">
        <v>535</v>
      </c>
      <c r="V144" s="1215"/>
      <c r="W144" s="1215"/>
      <c r="X144" s="1215" t="s">
        <v>535</v>
      </c>
      <c r="Y144" s="1215" t="s">
        <v>535</v>
      </c>
      <c r="Z144" s="1215" t="s">
        <v>535</v>
      </c>
      <c r="AA144" s="1215" t="s">
        <v>535</v>
      </c>
      <c r="AB144" s="1215" t="s">
        <v>535</v>
      </c>
      <c r="AC144" s="1215"/>
      <c r="AD144" s="1215"/>
      <c r="AE144" s="1215" t="s">
        <v>535</v>
      </c>
      <c r="AF144" s="1215" t="s">
        <v>535</v>
      </c>
      <c r="AG144" s="1384" t="s">
        <v>535</v>
      </c>
      <c r="AH144" s="504">
        <v>185</v>
      </c>
      <c r="AI144" s="505">
        <v>37</v>
      </c>
    </row>
    <row r="145" spans="1:38" ht="21.95" customHeight="1">
      <c r="A145" s="580"/>
      <c r="B145" s="1506"/>
      <c r="C145" s="1504"/>
      <c r="D145" s="1504"/>
      <c r="E145" s="1504"/>
      <c r="F145" s="1504"/>
      <c r="G145" s="1504"/>
      <c r="H145" s="1504"/>
      <c r="I145" s="1504"/>
      <c r="J145" s="1225"/>
      <c r="K145" s="1225"/>
      <c r="L145" s="1225"/>
      <c r="M145" s="1225"/>
      <c r="N145" s="1225"/>
      <c r="O145" s="1225"/>
      <c r="P145" s="1225"/>
      <c r="Q145" s="1225"/>
      <c r="R145" s="1225"/>
      <c r="S145" s="1225"/>
      <c r="T145" s="1225"/>
      <c r="U145" s="1225"/>
      <c r="V145" s="1225"/>
      <c r="W145" s="1225"/>
      <c r="X145" s="1225"/>
      <c r="Y145" s="1225"/>
      <c r="Z145" s="1225"/>
      <c r="AA145" s="1225"/>
      <c r="AB145" s="1225"/>
      <c r="AC145" s="1225"/>
      <c r="AD145" s="1225"/>
      <c r="AE145" s="1504"/>
      <c r="AF145" s="1504"/>
      <c r="AG145" s="1504"/>
      <c r="AH145" s="560"/>
      <c r="AI145" s="560"/>
    </row>
    <row r="146" spans="1:38" ht="21.95" customHeight="1" thickBot="1">
      <c r="A146" s="1303" t="s">
        <v>751</v>
      </c>
      <c r="B146" s="541"/>
      <c r="C146" s="559"/>
      <c r="D146" s="541"/>
      <c r="E146" s="541"/>
      <c r="F146" s="541"/>
      <c r="G146" s="541"/>
      <c r="H146" s="541"/>
      <c r="I146" s="559"/>
      <c r="J146" s="559"/>
      <c r="K146" s="541"/>
      <c r="L146" s="541"/>
      <c r="M146" s="541"/>
      <c r="N146" s="541"/>
      <c r="O146" s="541"/>
      <c r="P146" s="541"/>
      <c r="Q146" s="559"/>
      <c r="R146" s="541"/>
      <c r="S146" s="541"/>
      <c r="T146" s="541"/>
      <c r="U146" s="541"/>
      <c r="V146" s="541"/>
      <c r="W146" s="559"/>
      <c r="X146" s="559"/>
      <c r="Y146" s="541"/>
      <c r="Z146" s="541"/>
      <c r="AA146" s="541"/>
      <c r="AB146" s="541"/>
      <c r="AC146" s="541"/>
      <c r="AD146" s="541"/>
      <c r="AE146" s="559"/>
      <c r="AF146" s="541"/>
      <c r="AG146" s="541"/>
      <c r="AH146" s="560"/>
      <c r="AI146" s="560"/>
      <c r="AL146" s="1549"/>
    </row>
    <row r="147" spans="1:38" ht="21.95" customHeight="1">
      <c r="A147" s="580"/>
      <c r="B147" s="1304" t="s">
        <v>696</v>
      </c>
      <c r="C147" s="1312"/>
      <c r="D147" s="1305" t="s">
        <v>2</v>
      </c>
      <c r="E147" s="1306"/>
      <c r="F147" s="1307"/>
      <c r="G147" s="1308"/>
      <c r="H147" s="1305" t="s">
        <v>3</v>
      </c>
      <c r="I147" s="1306"/>
      <c r="J147" s="1307"/>
      <c r="K147" s="1308"/>
      <c r="L147" s="1305" t="s">
        <v>4</v>
      </c>
      <c r="M147" s="1306"/>
      <c r="N147" s="1307"/>
      <c r="O147" s="1308"/>
      <c r="P147" s="1305" t="s">
        <v>5</v>
      </c>
      <c r="Q147" s="1306"/>
      <c r="R147" s="1307"/>
      <c r="S147" s="1308"/>
      <c r="T147" s="1305" t="s">
        <v>6</v>
      </c>
      <c r="U147" s="1306"/>
      <c r="V147" s="1307"/>
      <c r="W147" s="1308"/>
      <c r="X147" s="1305" t="s">
        <v>7</v>
      </c>
      <c r="Y147" s="1306"/>
      <c r="Z147" s="1307"/>
      <c r="AA147" s="1308"/>
      <c r="AB147" s="1305" t="s">
        <v>8</v>
      </c>
      <c r="AC147" s="1306"/>
      <c r="AD147" s="1306"/>
      <c r="AE147" s="1309" t="s">
        <v>10</v>
      </c>
      <c r="AF147" s="1306"/>
      <c r="AG147" s="1306"/>
      <c r="AH147" s="1306"/>
      <c r="AI147" s="1310"/>
    </row>
    <row r="148" spans="1:38" ht="21.95" customHeight="1">
      <c r="A148" s="580"/>
      <c r="B148" s="1332"/>
      <c r="C148" s="1313"/>
      <c r="D148" s="1331"/>
      <c r="E148" s="1314"/>
      <c r="F148" s="1311"/>
      <c r="G148" s="1313"/>
      <c r="H148" s="1331"/>
      <c r="I148" s="1314"/>
      <c r="J148" s="1311"/>
      <c r="K148" s="1313"/>
      <c r="L148" s="1331"/>
      <c r="M148" s="1314"/>
      <c r="N148" s="1311"/>
      <c r="O148" s="1313"/>
      <c r="P148" s="1331"/>
      <c r="Q148" s="1314"/>
      <c r="R148" s="1311"/>
      <c r="S148" s="1313"/>
      <c r="T148" s="1331"/>
      <c r="U148" s="1314"/>
      <c r="V148" s="1311"/>
      <c r="W148" s="1313"/>
      <c r="X148" s="1314"/>
      <c r="Y148" s="1314"/>
      <c r="Z148" s="1311"/>
      <c r="AA148" s="1313"/>
      <c r="AB148" s="1314"/>
      <c r="AC148" s="1314"/>
      <c r="AD148" s="1314"/>
      <c r="AE148" s="1313"/>
      <c r="AF148" s="1314"/>
      <c r="AG148" s="1314"/>
      <c r="AH148" s="1316"/>
      <c r="AI148" s="1317"/>
    </row>
    <row r="149" spans="1:38" ht="21.95" customHeight="1">
      <c r="A149" s="580"/>
      <c r="B149" s="1333"/>
      <c r="C149" s="1313"/>
      <c r="D149" s="1331"/>
      <c r="E149" s="1314"/>
      <c r="F149" s="1311"/>
      <c r="G149" s="1313"/>
      <c r="H149" s="1331"/>
      <c r="I149" s="1314"/>
      <c r="J149" s="1311"/>
      <c r="K149" s="1313"/>
      <c r="L149" s="1331"/>
      <c r="M149" s="1314"/>
      <c r="N149" s="1311"/>
      <c r="O149" s="1313"/>
      <c r="P149" s="1331"/>
      <c r="Q149" s="1314"/>
      <c r="R149" s="1311"/>
      <c r="S149" s="1313"/>
      <c r="T149" s="1331"/>
      <c r="U149" s="1314"/>
      <c r="V149" s="1311"/>
      <c r="W149" s="1313"/>
      <c r="X149" s="1314"/>
      <c r="Y149" s="1314"/>
      <c r="Z149" s="1311"/>
      <c r="AA149" s="1313"/>
      <c r="AB149" s="1314"/>
      <c r="AC149" s="1314"/>
      <c r="AD149" s="1314"/>
      <c r="AE149" s="1313"/>
      <c r="AF149" s="1314"/>
      <c r="AG149" s="1314"/>
      <c r="AH149" s="1316"/>
      <c r="AI149" s="1317"/>
    </row>
    <row r="150" spans="1:38" ht="21.95" customHeight="1">
      <c r="A150" s="580"/>
      <c r="B150" s="1333"/>
      <c r="C150" s="1313"/>
      <c r="D150" s="1331"/>
      <c r="E150" s="1314"/>
      <c r="F150" s="1311"/>
      <c r="G150" s="1313"/>
      <c r="H150" s="1331"/>
      <c r="I150" s="1314"/>
      <c r="J150" s="1311"/>
      <c r="K150" s="1313"/>
      <c r="L150" s="1331"/>
      <c r="M150" s="1314"/>
      <c r="N150" s="1311"/>
      <c r="O150" s="1313"/>
      <c r="P150" s="1331"/>
      <c r="Q150" s="1314"/>
      <c r="R150" s="1311"/>
      <c r="S150" s="1313"/>
      <c r="T150" s="1331"/>
      <c r="U150" s="1314"/>
      <c r="V150" s="1311"/>
      <c r="W150" s="1313"/>
      <c r="X150" s="1314"/>
      <c r="Y150" s="1314"/>
      <c r="Z150" s="1311"/>
      <c r="AA150" s="1313"/>
      <c r="AB150" s="1314"/>
      <c r="AC150" s="1314"/>
      <c r="AD150" s="1314"/>
      <c r="AE150" s="1313"/>
      <c r="AF150" s="1314"/>
      <c r="AG150" s="1314"/>
      <c r="AH150" s="1316"/>
      <c r="AI150" s="1317"/>
    </row>
    <row r="151" spans="1:38" ht="21.95" customHeight="1" thickBot="1">
      <c r="A151" s="580"/>
      <c r="B151" s="1502"/>
      <c r="C151" s="1504"/>
      <c r="D151" s="1504"/>
      <c r="E151" s="1504"/>
      <c r="F151" s="1504"/>
      <c r="G151" s="1504"/>
      <c r="H151" s="1504"/>
      <c r="I151" s="1504"/>
      <c r="J151" s="1225"/>
      <c r="K151" s="1225"/>
      <c r="L151" s="1225"/>
      <c r="M151" s="1225"/>
      <c r="N151" s="1225"/>
      <c r="O151" s="1225"/>
      <c r="P151" s="1225"/>
      <c r="Q151" s="1225"/>
      <c r="R151" s="1225"/>
      <c r="S151" s="1225"/>
      <c r="T151" s="1225"/>
      <c r="U151" s="1225"/>
      <c r="V151" s="1225"/>
      <c r="W151" s="1225"/>
      <c r="X151" s="1225"/>
      <c r="Y151" s="1225"/>
      <c r="Z151" s="1225"/>
      <c r="AA151" s="1225"/>
      <c r="AB151" s="1225"/>
      <c r="AC151" s="1225"/>
      <c r="AD151" s="1225"/>
      <c r="AE151" s="1504"/>
      <c r="AF151" s="1504"/>
      <c r="AG151" s="1504"/>
      <c r="AH151" s="560"/>
      <c r="AI151" s="560"/>
    </row>
    <row r="152" spans="1:38" ht="21.95" customHeight="1">
      <c r="A152" s="1232"/>
      <c r="B152" s="1298" t="s">
        <v>480</v>
      </c>
      <c r="C152" s="1234">
        <v>1</v>
      </c>
      <c r="D152" s="1234">
        <v>2</v>
      </c>
      <c r="E152" s="1234">
        <v>3</v>
      </c>
      <c r="F152" s="1234">
        <v>4</v>
      </c>
      <c r="G152" s="1234">
        <v>5</v>
      </c>
      <c r="H152" s="1235">
        <v>6</v>
      </c>
      <c r="I152" s="1330">
        <v>7</v>
      </c>
      <c r="J152" s="1213">
        <v>8</v>
      </c>
      <c r="K152" s="1234">
        <v>9</v>
      </c>
      <c r="L152" s="1234">
        <v>10</v>
      </c>
      <c r="M152" s="1234">
        <v>11</v>
      </c>
      <c r="N152" s="1234">
        <v>12</v>
      </c>
      <c r="O152" s="1235">
        <v>13</v>
      </c>
      <c r="P152" s="1330">
        <v>14</v>
      </c>
      <c r="Q152" s="1213">
        <v>15</v>
      </c>
      <c r="R152" s="1234">
        <v>16</v>
      </c>
      <c r="S152" s="1234">
        <v>17</v>
      </c>
      <c r="T152" s="1234">
        <v>18</v>
      </c>
      <c r="U152" s="1234">
        <v>19</v>
      </c>
      <c r="V152" s="1330">
        <v>20</v>
      </c>
      <c r="W152" s="1330">
        <v>21</v>
      </c>
      <c r="X152" s="1213">
        <v>22</v>
      </c>
      <c r="Y152" s="1234">
        <v>23</v>
      </c>
      <c r="Z152" s="1234">
        <v>24</v>
      </c>
      <c r="AA152" s="1234">
        <v>25</v>
      </c>
      <c r="AB152" s="1234">
        <v>26</v>
      </c>
      <c r="AC152" s="1235">
        <v>27</v>
      </c>
      <c r="AD152" s="1330">
        <v>28</v>
      </c>
      <c r="AE152" s="1213">
        <v>29</v>
      </c>
      <c r="AF152" s="1234">
        <v>30</v>
      </c>
      <c r="AG152" s="1234">
        <v>31</v>
      </c>
      <c r="AH152" s="1301" t="s">
        <v>481</v>
      </c>
      <c r="AI152" s="1302" t="s">
        <v>482</v>
      </c>
    </row>
    <row r="153" spans="1:38" ht="21.95" customHeight="1">
      <c r="A153" s="580"/>
      <c r="B153" s="1319" t="s">
        <v>752</v>
      </c>
      <c r="C153" s="1215" t="s">
        <v>535</v>
      </c>
      <c r="D153" s="1215" t="s">
        <v>535</v>
      </c>
      <c r="E153" s="1215" t="s">
        <v>535</v>
      </c>
      <c r="F153" s="1215" t="s">
        <v>535</v>
      </c>
      <c r="G153" s="1215" t="s">
        <v>535</v>
      </c>
      <c r="H153" s="1215"/>
      <c r="I153" s="1215"/>
      <c r="J153" s="1215" t="s">
        <v>535</v>
      </c>
      <c r="K153" s="1215" t="s">
        <v>535</v>
      </c>
      <c r="L153" s="1215" t="s">
        <v>535</v>
      </c>
      <c r="M153" s="1215" t="s">
        <v>535</v>
      </c>
      <c r="N153" s="1392" t="s">
        <v>749</v>
      </c>
      <c r="O153" s="1215"/>
      <c r="P153" s="1215"/>
      <c r="Q153" s="1215" t="s">
        <v>535</v>
      </c>
      <c r="R153" s="1215" t="s">
        <v>535</v>
      </c>
      <c r="S153" s="1215" t="s">
        <v>535</v>
      </c>
      <c r="T153" s="1215" t="s">
        <v>535</v>
      </c>
      <c r="U153" s="1215" t="s">
        <v>535</v>
      </c>
      <c r="V153" s="1215"/>
      <c r="W153" s="1215"/>
      <c r="X153" s="1215" t="s">
        <v>535</v>
      </c>
      <c r="Y153" s="1215" t="s">
        <v>535</v>
      </c>
      <c r="Z153" s="1215" t="s">
        <v>535</v>
      </c>
      <c r="AA153" s="1215" t="s">
        <v>535</v>
      </c>
      <c r="AB153" s="1215" t="s">
        <v>535</v>
      </c>
      <c r="AC153" s="1215"/>
      <c r="AD153" s="1215"/>
      <c r="AE153" s="1215" t="s">
        <v>535</v>
      </c>
      <c r="AF153" s="1215" t="s">
        <v>535</v>
      </c>
      <c r="AG153" s="1384" t="s">
        <v>535</v>
      </c>
      <c r="AH153" s="504">
        <v>185</v>
      </c>
      <c r="AI153" s="505">
        <v>37</v>
      </c>
    </row>
    <row r="154" spans="1:38" ht="21.95" customHeight="1">
      <c r="A154" s="580"/>
      <c r="B154" s="1319" t="s">
        <v>753</v>
      </c>
      <c r="C154" s="1338" t="s">
        <v>535</v>
      </c>
      <c r="D154" s="1338" t="s">
        <v>535</v>
      </c>
      <c r="E154" s="1338" t="s">
        <v>535</v>
      </c>
      <c r="F154" s="1338" t="s">
        <v>535</v>
      </c>
      <c r="G154" s="1338" t="s">
        <v>535</v>
      </c>
      <c r="H154" s="1338"/>
      <c r="I154" s="1338"/>
      <c r="J154" s="1338" t="s">
        <v>535</v>
      </c>
      <c r="K154" s="1338" t="s">
        <v>535</v>
      </c>
      <c r="L154" s="1338" t="s">
        <v>535</v>
      </c>
      <c r="M154" s="1338" t="s">
        <v>535</v>
      </c>
      <c r="N154" s="1338" t="s">
        <v>535</v>
      </c>
      <c r="O154" s="1338"/>
      <c r="P154" s="1338"/>
      <c r="Q154" s="1338" t="s">
        <v>535</v>
      </c>
      <c r="R154" s="1338" t="s">
        <v>535</v>
      </c>
      <c r="S154" s="1338" t="s">
        <v>535</v>
      </c>
      <c r="T154" s="1338" t="s">
        <v>535</v>
      </c>
      <c r="U154" s="1338" t="s">
        <v>535</v>
      </c>
      <c r="V154" s="1338"/>
      <c r="W154" s="1338"/>
      <c r="X154" s="1338" t="s">
        <v>535</v>
      </c>
      <c r="Y154" s="1338" t="s">
        <v>535</v>
      </c>
      <c r="Z154" s="1338" t="s">
        <v>535</v>
      </c>
      <c r="AA154" s="1338" t="s">
        <v>535</v>
      </c>
      <c r="AB154" s="1338" t="s">
        <v>535</v>
      </c>
      <c r="AC154" s="1338"/>
      <c r="AD154" s="1338"/>
      <c r="AE154" s="1338" t="s">
        <v>535</v>
      </c>
      <c r="AF154" s="1215" t="s">
        <v>535</v>
      </c>
      <c r="AG154" s="1384" t="s">
        <v>535</v>
      </c>
      <c r="AH154" s="504">
        <v>185</v>
      </c>
      <c r="AI154" s="505">
        <v>37</v>
      </c>
    </row>
    <row r="155" spans="1:38" ht="21.95" customHeight="1">
      <c r="A155" s="580"/>
      <c r="B155" s="1510" t="s">
        <v>754</v>
      </c>
      <c r="C155" s="1215" t="s">
        <v>535</v>
      </c>
      <c r="D155" s="1215" t="s">
        <v>535</v>
      </c>
      <c r="E155" s="1215" t="s">
        <v>535</v>
      </c>
      <c r="F155" s="1215" t="s">
        <v>535</v>
      </c>
      <c r="G155" s="1215" t="s">
        <v>535</v>
      </c>
      <c r="H155" s="1215"/>
      <c r="I155" s="1215"/>
      <c r="J155" s="1215" t="s">
        <v>535</v>
      </c>
      <c r="K155" s="1215" t="s">
        <v>535</v>
      </c>
      <c r="L155" s="1215" t="s">
        <v>535</v>
      </c>
      <c r="M155" s="1215" t="s">
        <v>535</v>
      </c>
      <c r="N155" s="1215" t="s">
        <v>535</v>
      </c>
      <c r="O155" s="1215"/>
      <c r="P155" s="1215"/>
      <c r="Q155" s="1215" t="s">
        <v>535</v>
      </c>
      <c r="R155" s="1215" t="s">
        <v>535</v>
      </c>
      <c r="S155" s="1215" t="s">
        <v>535</v>
      </c>
      <c r="T155" s="1215" t="s">
        <v>535</v>
      </c>
      <c r="U155" s="1215" t="s">
        <v>535</v>
      </c>
      <c r="V155" s="1215"/>
      <c r="W155" s="1215"/>
      <c r="X155" s="1215" t="s">
        <v>535</v>
      </c>
      <c r="Y155" s="1215" t="s">
        <v>535</v>
      </c>
      <c r="Z155" s="1215" t="s">
        <v>535</v>
      </c>
      <c r="AA155" s="1215" t="s">
        <v>535</v>
      </c>
      <c r="AB155" s="1215" t="s">
        <v>535</v>
      </c>
      <c r="AC155" s="1215"/>
      <c r="AD155" s="1215"/>
      <c r="AE155" s="1338" t="s">
        <v>535</v>
      </c>
      <c r="AF155" s="1338" t="s">
        <v>535</v>
      </c>
      <c r="AG155" s="1379" t="s">
        <v>535</v>
      </c>
      <c r="AH155" s="504">
        <v>185</v>
      </c>
      <c r="AI155" s="505">
        <v>37</v>
      </c>
    </row>
    <row r="156" spans="1:38" ht="21.95" customHeight="1">
      <c r="A156" s="580"/>
      <c r="B156" s="1299" t="s">
        <v>755</v>
      </c>
      <c r="C156" s="1215" t="s">
        <v>535</v>
      </c>
      <c r="D156" s="1215" t="s">
        <v>535</v>
      </c>
      <c r="E156" s="1215" t="s">
        <v>535</v>
      </c>
      <c r="F156" s="1215" t="s">
        <v>535</v>
      </c>
      <c r="G156" s="1215" t="s">
        <v>535</v>
      </c>
      <c r="H156" s="1215"/>
      <c r="I156" s="1215"/>
      <c r="J156" s="1215" t="s">
        <v>535</v>
      </c>
      <c r="K156" s="1215" t="s">
        <v>535</v>
      </c>
      <c r="L156" s="1215" t="s">
        <v>535</v>
      </c>
      <c r="M156" s="1215" t="s">
        <v>535</v>
      </c>
      <c r="N156" s="1215" t="s">
        <v>535</v>
      </c>
      <c r="O156" s="1215"/>
      <c r="P156" s="1215"/>
      <c r="Q156" s="1215" t="s">
        <v>535</v>
      </c>
      <c r="R156" s="1215" t="s">
        <v>535</v>
      </c>
      <c r="S156" s="1215" t="s">
        <v>535</v>
      </c>
      <c r="T156" s="1215" t="s">
        <v>535</v>
      </c>
      <c r="U156" s="1215" t="s">
        <v>535</v>
      </c>
      <c r="V156" s="1215"/>
      <c r="W156" s="1215"/>
      <c r="X156" s="1392" t="s">
        <v>535</v>
      </c>
      <c r="Y156" s="1392" t="s">
        <v>535</v>
      </c>
      <c r="Z156" s="1392" t="s">
        <v>535</v>
      </c>
      <c r="AA156" s="1392" t="s">
        <v>535</v>
      </c>
      <c r="AB156" s="1392" t="s">
        <v>749</v>
      </c>
      <c r="AC156" s="1215"/>
      <c r="AD156" s="1215"/>
      <c r="AE156" s="1215" t="s">
        <v>535</v>
      </c>
      <c r="AF156" s="1215" t="s">
        <v>535</v>
      </c>
      <c r="AG156" s="1384" t="s">
        <v>535</v>
      </c>
      <c r="AH156" s="504">
        <v>185</v>
      </c>
      <c r="AI156" s="505">
        <v>37</v>
      </c>
    </row>
    <row r="157" spans="1:38" ht="21.95" customHeight="1">
      <c r="A157" s="580"/>
      <c r="B157" s="1300" t="s">
        <v>756</v>
      </c>
      <c r="C157" s="1338" t="s">
        <v>535</v>
      </c>
      <c r="D157" s="1338" t="s">
        <v>535</v>
      </c>
      <c r="E157" s="1338" t="s">
        <v>535</v>
      </c>
      <c r="F157" s="1338" t="s">
        <v>535</v>
      </c>
      <c r="G157" s="1338" t="s">
        <v>535</v>
      </c>
      <c r="H157" s="1338"/>
      <c r="I157" s="1338"/>
      <c r="J157" s="1338" t="s">
        <v>535</v>
      </c>
      <c r="K157" s="1338" t="s">
        <v>535</v>
      </c>
      <c r="L157" s="1338" t="s">
        <v>535</v>
      </c>
      <c r="M157" s="1338" t="s">
        <v>535</v>
      </c>
      <c r="N157" s="1338" t="s">
        <v>535</v>
      </c>
      <c r="O157" s="1338"/>
      <c r="P157" s="1338"/>
      <c r="Q157" s="1338" t="s">
        <v>535</v>
      </c>
      <c r="R157" s="1338" t="s">
        <v>535</v>
      </c>
      <c r="S157" s="1338" t="s">
        <v>535</v>
      </c>
      <c r="T157" s="1338" t="s">
        <v>535</v>
      </c>
      <c r="U157" s="1338" t="s">
        <v>535</v>
      </c>
      <c r="V157" s="1338"/>
      <c r="W157" s="1338"/>
      <c r="X157" s="1215" t="s">
        <v>535</v>
      </c>
      <c r="Y157" s="1215" t="s">
        <v>535</v>
      </c>
      <c r="Z157" s="1215" t="s">
        <v>535</v>
      </c>
      <c r="AA157" s="1215" t="s">
        <v>535</v>
      </c>
      <c r="AB157" s="1215" t="s">
        <v>535</v>
      </c>
      <c r="AC157" s="1215"/>
      <c r="AD157" s="1215"/>
      <c r="AE157" s="1215" t="s">
        <v>535</v>
      </c>
      <c r="AF157" s="1215" t="s">
        <v>535</v>
      </c>
      <c r="AG157" s="1384" t="s">
        <v>535</v>
      </c>
      <c r="AH157" s="504">
        <v>185</v>
      </c>
      <c r="AI157" s="505">
        <v>37</v>
      </c>
    </row>
    <row r="158" spans="1:38" ht="21.95" customHeight="1">
      <c r="A158" s="580"/>
      <c r="B158" s="1299"/>
      <c r="C158" s="1215" t="s">
        <v>535</v>
      </c>
      <c r="D158" s="1215" t="s">
        <v>535</v>
      </c>
      <c r="E158" s="1215" t="s">
        <v>535</v>
      </c>
      <c r="F158" s="1215" t="s">
        <v>535</v>
      </c>
      <c r="G158" s="1215" t="s">
        <v>535</v>
      </c>
      <c r="H158" s="1215"/>
      <c r="I158" s="1215"/>
      <c r="J158" s="1215" t="s">
        <v>535</v>
      </c>
      <c r="K158" s="1215" t="s">
        <v>535</v>
      </c>
      <c r="L158" s="1215" t="s">
        <v>535</v>
      </c>
      <c r="M158" s="1215" t="s">
        <v>535</v>
      </c>
      <c r="N158" s="1215" t="s">
        <v>535</v>
      </c>
      <c r="O158" s="1215"/>
      <c r="P158" s="1215"/>
      <c r="Q158" s="1215" t="s">
        <v>535</v>
      </c>
      <c r="R158" s="1215" t="s">
        <v>535</v>
      </c>
      <c r="S158" s="1215" t="s">
        <v>535</v>
      </c>
      <c r="T158" s="1215" t="s">
        <v>535</v>
      </c>
      <c r="U158" s="1215" t="s">
        <v>535</v>
      </c>
      <c r="V158" s="1215"/>
      <c r="W158" s="1215"/>
      <c r="X158" s="1215" t="s">
        <v>535</v>
      </c>
      <c r="Y158" s="1215" t="s">
        <v>535</v>
      </c>
      <c r="Z158" s="1215" t="s">
        <v>535</v>
      </c>
      <c r="AA158" s="1215" t="s">
        <v>535</v>
      </c>
      <c r="AB158" s="1215" t="s">
        <v>535</v>
      </c>
      <c r="AC158" s="1215"/>
      <c r="AD158" s="1215"/>
      <c r="AE158" s="1215" t="s">
        <v>535</v>
      </c>
      <c r="AF158" s="1215" t="s">
        <v>535</v>
      </c>
      <c r="AG158" s="1384" t="s">
        <v>535</v>
      </c>
      <c r="AH158" s="504">
        <v>185</v>
      </c>
      <c r="AI158" s="505">
        <v>37</v>
      </c>
    </row>
    <row r="159" spans="1:38" ht="21.95" customHeight="1">
      <c r="A159" s="580"/>
      <c r="B159" s="1502"/>
      <c r="C159" s="1225"/>
      <c r="D159" s="1225"/>
      <c r="E159" s="1225"/>
      <c r="F159" s="1225"/>
      <c r="G159" s="1225"/>
      <c r="H159" s="1225"/>
      <c r="I159" s="1225"/>
      <c r="J159" s="1504"/>
      <c r="K159" s="1504"/>
      <c r="L159" s="1504"/>
      <c r="M159" s="1504"/>
      <c r="N159" s="1504"/>
      <c r="O159" s="1504"/>
      <c r="P159" s="1504"/>
      <c r="Q159" s="1504"/>
      <c r="R159" s="1504"/>
      <c r="S159" s="1504"/>
      <c r="T159" s="1504"/>
      <c r="U159" s="1504"/>
      <c r="V159" s="1504"/>
      <c r="W159" s="1504"/>
      <c r="X159" s="1504"/>
      <c r="Y159" s="1504"/>
      <c r="Z159" s="1504"/>
      <c r="AA159" s="1504"/>
      <c r="AB159" s="1504"/>
      <c r="AC159" s="1504"/>
      <c r="AD159" s="1504"/>
      <c r="AE159" s="1504"/>
      <c r="AF159" s="1504"/>
      <c r="AG159" s="1504"/>
      <c r="AH159" s="560"/>
      <c r="AI159" s="560"/>
    </row>
    <row r="160" spans="1:38" ht="21.95" customHeight="1">
      <c r="A160" s="312" t="s">
        <v>527</v>
      </c>
      <c r="C160" s="559"/>
      <c r="D160" s="559"/>
      <c r="E160" s="559"/>
      <c r="F160" s="559"/>
      <c r="G160" s="559"/>
      <c r="H160" s="559"/>
      <c r="I160" s="559"/>
      <c r="J160" s="559"/>
      <c r="K160" s="559"/>
      <c r="L160" s="559"/>
      <c r="M160" s="559"/>
      <c r="N160" s="559"/>
      <c r="O160" s="559"/>
      <c r="P160" s="559"/>
      <c r="Q160" s="559"/>
      <c r="R160" s="559"/>
      <c r="S160" s="559"/>
      <c r="T160" s="559"/>
      <c r="U160" s="559"/>
      <c r="V160" s="559"/>
      <c r="W160" s="559"/>
      <c r="X160" s="559"/>
      <c r="Y160" s="559"/>
      <c r="Z160" s="559"/>
      <c r="AA160" s="559"/>
      <c r="AB160" s="559"/>
      <c r="AC160" s="559"/>
      <c r="AD160" s="559"/>
      <c r="AE160" s="559"/>
      <c r="AF160" s="559"/>
      <c r="AG160" s="559"/>
      <c r="AH160" s="560"/>
      <c r="AI160" s="560"/>
      <c r="AJ160" s="361"/>
    </row>
    <row r="161" spans="1:36" ht="21.95" customHeight="1">
      <c r="A161" s="299" t="s">
        <v>528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9" t="s">
        <v>10</v>
      </c>
      <c r="Y161" s="186"/>
      <c r="Z161" s="186"/>
      <c r="AA161" s="565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529</v>
      </c>
      <c r="C162" s="588" t="s">
        <v>124</v>
      </c>
      <c r="D162" s="585"/>
      <c r="E162" s="590"/>
      <c r="F162" s="588" t="s">
        <v>124</v>
      </c>
      <c r="G162" s="591"/>
      <c r="H162" s="590"/>
      <c r="I162" s="121" t="s">
        <v>124</v>
      </c>
      <c r="J162" s="569"/>
      <c r="K162" s="592"/>
      <c r="L162" s="121" t="s">
        <v>124</v>
      </c>
      <c r="M162" s="569"/>
      <c r="N162" s="592"/>
      <c r="O162" s="121" t="s">
        <v>125</v>
      </c>
      <c r="P162" s="569"/>
      <c r="Q162" s="477"/>
      <c r="R162" s="593" t="s">
        <v>28</v>
      </c>
      <c r="S162" s="569"/>
      <c r="T162" s="592"/>
      <c r="U162" s="569" t="s">
        <v>28</v>
      </c>
      <c r="V162" s="569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4"/>
      <c r="AH162" s="361"/>
      <c r="AI162" s="361"/>
      <c r="AJ162" s="361"/>
    </row>
    <row r="163" spans="1:36" ht="21.95" customHeight="1">
      <c r="A163" s="595">
        <v>8502</v>
      </c>
      <c r="B163" s="596" t="s">
        <v>530</v>
      </c>
      <c r="C163" s="121" t="s">
        <v>11</v>
      </c>
      <c r="D163" s="569"/>
      <c r="E163" s="477"/>
      <c r="F163" s="121" t="s">
        <v>11</v>
      </c>
      <c r="G163" s="569"/>
      <c r="H163" s="592"/>
      <c r="I163" s="121" t="s">
        <v>11</v>
      </c>
      <c r="J163" s="569"/>
      <c r="K163" s="592"/>
      <c r="L163" s="121" t="s">
        <v>11</v>
      </c>
      <c r="M163" s="569"/>
      <c r="N163" s="592"/>
      <c r="O163" s="121" t="s">
        <v>12</v>
      </c>
      <c r="P163" s="569"/>
      <c r="Q163" s="477"/>
      <c r="R163" s="597"/>
      <c r="S163" s="598"/>
      <c r="T163" s="592"/>
      <c r="U163" s="569"/>
      <c r="V163" s="569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9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9"/>
      <c r="B165" s="182" t="s">
        <v>480</v>
      </c>
      <c r="C165" s="1234">
        <v>1</v>
      </c>
      <c r="D165" s="1234">
        <v>2</v>
      </c>
      <c r="E165" s="1234">
        <v>3</v>
      </c>
      <c r="F165" s="1234">
        <v>4</v>
      </c>
      <c r="G165" s="1234">
        <v>5</v>
      </c>
      <c r="H165" s="1235">
        <v>6</v>
      </c>
      <c r="I165" s="1330">
        <v>7</v>
      </c>
      <c r="J165" s="1213">
        <v>8</v>
      </c>
      <c r="K165" s="1234">
        <v>9</v>
      </c>
      <c r="L165" s="1234">
        <v>10</v>
      </c>
      <c r="M165" s="1234">
        <v>11</v>
      </c>
      <c r="N165" s="1234">
        <v>12</v>
      </c>
      <c r="O165" s="1235">
        <v>13</v>
      </c>
      <c r="P165" s="1330">
        <v>14</v>
      </c>
      <c r="Q165" s="1213">
        <v>15</v>
      </c>
      <c r="R165" s="1234">
        <v>16</v>
      </c>
      <c r="S165" s="1234">
        <v>17</v>
      </c>
      <c r="T165" s="1234">
        <v>18</v>
      </c>
      <c r="U165" s="1234">
        <v>19</v>
      </c>
      <c r="V165" s="1330">
        <v>20</v>
      </c>
      <c r="W165" s="1330">
        <v>21</v>
      </c>
      <c r="X165" s="1213">
        <v>22</v>
      </c>
      <c r="Y165" s="1234">
        <v>23</v>
      </c>
      <c r="Z165" s="1234">
        <v>24</v>
      </c>
      <c r="AA165" s="1234">
        <v>25</v>
      </c>
      <c r="AB165" s="1234">
        <v>26</v>
      </c>
      <c r="AC165" s="1235">
        <v>27</v>
      </c>
      <c r="AD165" s="1330">
        <v>28</v>
      </c>
      <c r="AE165" s="1213">
        <v>29</v>
      </c>
      <c r="AF165" s="1234">
        <v>30</v>
      </c>
      <c r="AG165" s="1234">
        <v>31</v>
      </c>
      <c r="AH165" s="600" t="s">
        <v>481</v>
      </c>
      <c r="AI165" s="601" t="s">
        <v>482</v>
      </c>
    </row>
    <row r="166" spans="1:36" ht="21.95" customHeight="1">
      <c r="A166" s="602">
        <v>1</v>
      </c>
      <c r="B166" s="153" t="s">
        <v>531</v>
      </c>
      <c r="C166" s="1392" t="s">
        <v>535</v>
      </c>
      <c r="D166" s="1392" t="s">
        <v>535</v>
      </c>
      <c r="E166" s="1392" t="s">
        <v>535</v>
      </c>
      <c r="F166" s="1392" t="s">
        <v>535</v>
      </c>
      <c r="G166" s="1392" t="s">
        <v>535</v>
      </c>
      <c r="H166" s="1392"/>
      <c r="I166" s="1392"/>
      <c r="J166" s="1392" t="s">
        <v>535</v>
      </c>
      <c r="K166" s="1392" t="s">
        <v>535</v>
      </c>
      <c r="L166" s="1392" t="s">
        <v>535</v>
      </c>
      <c r="M166" s="1392" t="s">
        <v>535</v>
      </c>
      <c r="N166" s="1392" t="s">
        <v>535</v>
      </c>
      <c r="O166" s="1392"/>
      <c r="P166" s="1392"/>
      <c r="Q166" s="1392" t="s">
        <v>535</v>
      </c>
      <c r="R166" s="1392" t="s">
        <v>535</v>
      </c>
      <c r="S166" s="1392" t="s">
        <v>535</v>
      </c>
      <c r="T166" s="1392" t="s">
        <v>535</v>
      </c>
      <c r="U166" s="1392" t="s">
        <v>535</v>
      </c>
      <c r="V166" s="1392"/>
      <c r="W166" s="1392"/>
      <c r="X166" s="1392" t="s">
        <v>535</v>
      </c>
      <c r="Y166" s="1392" t="s">
        <v>535</v>
      </c>
      <c r="Z166" s="1392" t="s">
        <v>535</v>
      </c>
      <c r="AA166" s="1392" t="s">
        <v>535</v>
      </c>
      <c r="AB166" s="1392" t="s">
        <v>535</v>
      </c>
      <c r="AC166" s="1392"/>
      <c r="AD166" s="1392"/>
      <c r="AE166" s="1392" t="s">
        <v>535</v>
      </c>
      <c r="AF166" s="1392" t="s">
        <v>535</v>
      </c>
      <c r="AG166" s="1392" t="s">
        <v>535</v>
      </c>
      <c r="AH166" s="1320">
        <v>185</v>
      </c>
      <c r="AI166" s="1321">
        <v>37</v>
      </c>
    </row>
    <row r="167" spans="1:36" ht="21.95" customHeight="1">
      <c r="A167" s="602">
        <v>2</v>
      </c>
      <c r="B167" s="153" t="s">
        <v>534</v>
      </c>
      <c r="C167" s="1338" t="s">
        <v>535</v>
      </c>
      <c r="D167" s="1338" t="s">
        <v>535</v>
      </c>
      <c r="E167" s="1338" t="s">
        <v>535</v>
      </c>
      <c r="F167" s="1338" t="s">
        <v>535</v>
      </c>
      <c r="G167" s="1338" t="s">
        <v>535</v>
      </c>
      <c r="H167" s="1338"/>
      <c r="I167" s="1338"/>
      <c r="J167" s="1215" t="s">
        <v>484</v>
      </c>
      <c r="K167" s="1215" t="s">
        <v>484</v>
      </c>
      <c r="L167" s="1215" t="s">
        <v>484</v>
      </c>
      <c r="M167" s="1215" t="s">
        <v>485</v>
      </c>
      <c r="N167" s="1215" t="s">
        <v>485</v>
      </c>
      <c r="O167" s="1215" t="s">
        <v>486</v>
      </c>
      <c r="P167" s="1215" t="s">
        <v>486</v>
      </c>
      <c r="Q167" s="1215" t="s">
        <v>487</v>
      </c>
      <c r="R167" s="1215" t="s">
        <v>487</v>
      </c>
      <c r="S167" s="1215" t="s">
        <v>487</v>
      </c>
      <c r="T167" s="1215" t="s">
        <v>487</v>
      </c>
      <c r="U167" s="1215" t="s">
        <v>487</v>
      </c>
      <c r="V167" s="1215"/>
      <c r="W167" s="1215"/>
      <c r="X167" s="1215">
        <v>11</v>
      </c>
      <c r="Y167" s="1215">
        <v>11</v>
      </c>
      <c r="Z167" s="1215">
        <v>11</v>
      </c>
      <c r="AA167" s="1215">
        <v>11</v>
      </c>
      <c r="AB167" s="1215">
        <v>11</v>
      </c>
      <c r="AC167" s="1215" t="s">
        <v>657</v>
      </c>
      <c r="AD167" s="1215" t="s">
        <v>657</v>
      </c>
      <c r="AE167" s="1215" t="s">
        <v>487</v>
      </c>
      <c r="AF167" s="1215" t="s">
        <v>487</v>
      </c>
      <c r="AG167" s="1215">
        <v>3</v>
      </c>
      <c r="AH167" s="1322">
        <v>74</v>
      </c>
      <c r="AI167" s="1323">
        <v>37</v>
      </c>
    </row>
    <row r="168" spans="1:36" ht="21.95" customHeight="1">
      <c r="A168" s="602">
        <v>3</v>
      </c>
      <c r="B168" s="153" t="s">
        <v>536</v>
      </c>
      <c r="C168" s="1215">
        <v>3</v>
      </c>
      <c r="D168" s="1215">
        <v>3</v>
      </c>
      <c r="E168" s="1215">
        <v>3</v>
      </c>
      <c r="F168" s="1215">
        <v>3</v>
      </c>
      <c r="G168" s="1215">
        <v>3</v>
      </c>
      <c r="H168" s="1215"/>
      <c r="I168" s="1215"/>
      <c r="J168" s="1215">
        <v>11</v>
      </c>
      <c r="K168" s="1215">
        <v>11</v>
      </c>
      <c r="L168" s="1215">
        <v>11</v>
      </c>
      <c r="M168" s="1215">
        <v>11</v>
      </c>
      <c r="N168" s="1215">
        <v>11</v>
      </c>
      <c r="O168" s="1215" t="s">
        <v>657</v>
      </c>
      <c r="P168" s="1215" t="s">
        <v>657</v>
      </c>
      <c r="Q168" s="1215" t="s">
        <v>487</v>
      </c>
      <c r="R168" s="1215" t="s">
        <v>487</v>
      </c>
      <c r="S168" s="1215" t="s">
        <v>487</v>
      </c>
      <c r="T168" s="1215" t="s">
        <v>487</v>
      </c>
      <c r="U168" s="1215" t="s">
        <v>487</v>
      </c>
      <c r="V168" s="1215"/>
      <c r="W168" s="1215"/>
      <c r="X168" s="1215">
        <v>8</v>
      </c>
      <c r="Y168" s="1215">
        <v>8</v>
      </c>
      <c r="Z168" s="1215">
        <v>8</v>
      </c>
      <c r="AA168" s="1215">
        <v>8</v>
      </c>
      <c r="AB168" s="1215">
        <v>8</v>
      </c>
      <c r="AC168" s="1215" t="s">
        <v>533</v>
      </c>
      <c r="AD168" s="1215" t="s">
        <v>533</v>
      </c>
      <c r="AE168" s="1215" t="s">
        <v>487</v>
      </c>
      <c r="AF168" s="1215" t="s">
        <v>487</v>
      </c>
      <c r="AG168" s="1221" t="s">
        <v>487</v>
      </c>
      <c r="AH168" s="1322">
        <v>117</v>
      </c>
      <c r="AI168" s="1323">
        <v>37</v>
      </c>
    </row>
    <row r="169" spans="1:36" ht="21.95" customHeight="1">
      <c r="A169" s="602">
        <v>4</v>
      </c>
      <c r="B169" s="1241" t="s">
        <v>542</v>
      </c>
      <c r="C169" s="1215" t="s">
        <v>548</v>
      </c>
      <c r="D169" s="1215" t="s">
        <v>548</v>
      </c>
      <c r="E169" s="1215" t="s">
        <v>548</v>
      </c>
      <c r="F169" s="1215" t="s">
        <v>548</v>
      </c>
      <c r="G169" s="1215" t="s">
        <v>548</v>
      </c>
      <c r="H169" s="1215" t="s">
        <v>532</v>
      </c>
      <c r="I169" s="1215"/>
      <c r="J169" s="1215" t="s">
        <v>548</v>
      </c>
      <c r="K169" s="1215" t="s">
        <v>548</v>
      </c>
      <c r="L169" s="1215" t="s">
        <v>548</v>
      </c>
      <c r="M169" s="1215" t="s">
        <v>548</v>
      </c>
      <c r="N169" s="1215" t="s">
        <v>548</v>
      </c>
      <c r="O169" s="1215"/>
      <c r="P169" s="1215"/>
      <c r="Q169" s="1215" t="s">
        <v>544</v>
      </c>
      <c r="R169" s="1215" t="s">
        <v>544</v>
      </c>
      <c r="S169" s="1215" t="s">
        <v>544</v>
      </c>
      <c r="T169" s="1215" t="s">
        <v>544</v>
      </c>
      <c r="U169" s="1215" t="s">
        <v>544</v>
      </c>
      <c r="V169" s="1215"/>
      <c r="W169" s="1215"/>
      <c r="X169" s="1215" t="s">
        <v>484</v>
      </c>
      <c r="Y169" s="1215" t="s">
        <v>550</v>
      </c>
      <c r="Z169" s="1215" t="s">
        <v>550</v>
      </c>
      <c r="AA169" s="1215" t="s">
        <v>550</v>
      </c>
      <c r="AB169" s="1215" t="s">
        <v>550</v>
      </c>
      <c r="AC169" s="1215"/>
      <c r="AD169" s="1215"/>
      <c r="AE169" s="1215">
        <v>10</v>
      </c>
      <c r="AF169" s="1215">
        <v>10</v>
      </c>
      <c r="AG169" s="1215">
        <v>10</v>
      </c>
      <c r="AH169" s="1322">
        <v>185</v>
      </c>
      <c r="AI169" s="1323">
        <v>37</v>
      </c>
    </row>
    <row r="170" spans="1:36" ht="21.95" customHeight="1">
      <c r="A170" s="602">
        <v>5</v>
      </c>
      <c r="B170" s="319" t="s">
        <v>545</v>
      </c>
      <c r="C170" s="1338" t="s">
        <v>535</v>
      </c>
      <c r="D170" s="1338" t="s">
        <v>535</v>
      </c>
      <c r="E170" s="1338" t="s">
        <v>535</v>
      </c>
      <c r="F170" s="1338" t="s">
        <v>535</v>
      </c>
      <c r="G170" s="1338" t="s">
        <v>535</v>
      </c>
      <c r="H170" s="1338"/>
      <c r="I170" s="1338"/>
      <c r="J170" s="1215" t="s">
        <v>485</v>
      </c>
      <c r="K170" s="1215" t="s">
        <v>485</v>
      </c>
      <c r="L170" s="1215" t="s">
        <v>485</v>
      </c>
      <c r="M170" s="1215" t="s">
        <v>484</v>
      </c>
      <c r="N170" s="1215" t="s">
        <v>484</v>
      </c>
      <c r="O170" s="1215"/>
      <c r="P170" s="1215"/>
      <c r="Q170" s="1215">
        <v>3</v>
      </c>
      <c r="R170" s="1215">
        <v>3</v>
      </c>
      <c r="S170" s="1215" t="s">
        <v>537</v>
      </c>
      <c r="T170" s="1215" t="s">
        <v>537</v>
      </c>
      <c r="U170" s="1215" t="s">
        <v>537</v>
      </c>
      <c r="V170" s="1215"/>
      <c r="W170" s="1215"/>
      <c r="X170" s="1215">
        <v>9</v>
      </c>
      <c r="Y170" s="1215">
        <v>9</v>
      </c>
      <c r="Z170" s="1215">
        <v>9</v>
      </c>
      <c r="AA170" s="1215">
        <v>9</v>
      </c>
      <c r="AB170" s="1215">
        <v>9</v>
      </c>
      <c r="AC170" s="1215" t="s">
        <v>543</v>
      </c>
      <c r="AD170" s="1215" t="s">
        <v>543</v>
      </c>
      <c r="AE170" s="1215" t="s">
        <v>487</v>
      </c>
      <c r="AF170" s="1215" t="s">
        <v>487</v>
      </c>
      <c r="AG170" s="1215" t="s">
        <v>487</v>
      </c>
      <c r="AH170" s="1324">
        <v>0</v>
      </c>
      <c r="AI170" s="1325">
        <v>37</v>
      </c>
    </row>
    <row r="171" spans="1:36" ht="21.95" customHeight="1">
      <c r="A171" s="602">
        <v>6</v>
      </c>
      <c r="B171" s="153" t="s">
        <v>546</v>
      </c>
      <c r="C171" s="1215">
        <v>7</v>
      </c>
      <c r="D171" s="1215">
        <v>7</v>
      </c>
      <c r="E171" s="1215">
        <v>7</v>
      </c>
      <c r="F171" s="1215">
        <v>7</v>
      </c>
      <c r="G171" s="1215">
        <v>7</v>
      </c>
      <c r="H171" s="1215"/>
      <c r="I171" s="1215" t="s">
        <v>533</v>
      </c>
      <c r="J171" s="1215" t="s">
        <v>684</v>
      </c>
      <c r="K171" s="1215" t="s">
        <v>684</v>
      </c>
      <c r="L171" s="1215" t="s">
        <v>684</v>
      </c>
      <c r="M171" s="1215" t="s">
        <v>684</v>
      </c>
      <c r="N171" s="1215" t="s">
        <v>684</v>
      </c>
      <c r="O171" s="1215"/>
      <c r="P171" s="1215"/>
      <c r="Q171" s="1215" t="s">
        <v>487</v>
      </c>
      <c r="R171" s="1215" t="s">
        <v>487</v>
      </c>
      <c r="S171" s="1215">
        <v>3</v>
      </c>
      <c r="T171" s="1215">
        <v>3</v>
      </c>
      <c r="U171" s="1215">
        <v>3</v>
      </c>
      <c r="V171" s="1215" t="s">
        <v>486</v>
      </c>
      <c r="W171" s="1215"/>
      <c r="X171" s="557" t="s">
        <v>485</v>
      </c>
      <c r="Y171" s="557" t="s">
        <v>485</v>
      </c>
      <c r="Z171" s="557" t="s">
        <v>485</v>
      </c>
      <c r="AA171" s="557" t="s">
        <v>484</v>
      </c>
      <c r="AB171" s="557" t="s">
        <v>484</v>
      </c>
      <c r="AC171" s="1215"/>
      <c r="AD171" s="1215"/>
      <c r="AE171" s="1215">
        <v>6</v>
      </c>
      <c r="AF171" s="1215">
        <v>6</v>
      </c>
      <c r="AG171" s="1215">
        <v>6</v>
      </c>
      <c r="AH171" s="1326">
        <v>185</v>
      </c>
      <c r="AI171" s="1327">
        <v>37</v>
      </c>
    </row>
    <row r="172" spans="1:36" ht="21.95" customHeight="1">
      <c r="A172" s="602">
        <v>7</v>
      </c>
      <c r="B172" s="319" t="s">
        <v>549</v>
      </c>
      <c r="C172" s="1389" t="s">
        <v>535</v>
      </c>
      <c r="D172" s="1389" t="s">
        <v>535</v>
      </c>
      <c r="E172" s="1389" t="s">
        <v>535</v>
      </c>
      <c r="F172" s="1389" t="s">
        <v>535</v>
      </c>
      <c r="G172" s="1389" t="s">
        <v>570</v>
      </c>
      <c r="H172" s="1344"/>
      <c r="I172" s="1344"/>
      <c r="J172" s="1215"/>
      <c r="K172" s="1215"/>
      <c r="L172" s="1215"/>
      <c r="M172" s="1215"/>
      <c r="N172" s="1215"/>
      <c r="O172" s="1215"/>
      <c r="P172" s="1215"/>
      <c r="Q172" s="1215"/>
      <c r="R172" s="1215"/>
      <c r="S172" s="1215"/>
      <c r="T172" s="1215"/>
      <c r="U172" s="1215"/>
      <c r="V172" s="1215"/>
      <c r="W172" s="1215"/>
      <c r="X172" s="1215"/>
      <c r="Y172" s="1215"/>
      <c r="Z172" s="1215"/>
      <c r="AA172" s="1215"/>
      <c r="AB172" s="1215"/>
      <c r="AC172" s="1215"/>
      <c r="AD172" s="1215"/>
      <c r="AE172" s="1215"/>
      <c r="AF172" s="1215"/>
      <c r="AG172" s="1215"/>
      <c r="AH172" s="1326">
        <v>148</v>
      </c>
      <c r="AI172" s="1327">
        <v>37</v>
      </c>
    </row>
    <row r="173" spans="1:36" ht="21.95" customHeight="1">
      <c r="A173" s="602">
        <v>8</v>
      </c>
      <c r="B173" s="902"/>
      <c r="C173" s="1215"/>
      <c r="D173" s="1215"/>
      <c r="E173" s="1215"/>
      <c r="F173" s="1215"/>
      <c r="G173" s="1215"/>
      <c r="H173" s="1215"/>
      <c r="I173" s="1215"/>
      <c r="J173" s="1215"/>
      <c r="K173" s="1215"/>
      <c r="L173" s="1215"/>
      <c r="M173" s="1215"/>
      <c r="N173" s="1215"/>
      <c r="O173" s="1215"/>
      <c r="P173" s="1215"/>
      <c r="Q173" s="1215"/>
      <c r="R173" s="1215"/>
      <c r="S173" s="1215"/>
      <c r="T173" s="1215"/>
      <c r="U173" s="1215"/>
      <c r="V173" s="1215"/>
      <c r="W173" s="1215"/>
      <c r="X173" s="1215"/>
      <c r="Y173" s="1215"/>
      <c r="Z173" s="1215"/>
      <c r="AA173" s="1215"/>
      <c r="AB173" s="1215"/>
      <c r="AC173" s="1215"/>
      <c r="AD173" s="1215"/>
      <c r="AE173" s="1215"/>
      <c r="AF173" s="1215"/>
      <c r="AG173" s="1215"/>
      <c r="AH173" s="1326">
        <v>185</v>
      </c>
      <c r="AI173" s="1327">
        <v>37</v>
      </c>
    </row>
    <row r="174" spans="1:36" ht="21.95" customHeight="1">
      <c r="A174" s="602">
        <v>9</v>
      </c>
      <c r="B174" s="153"/>
      <c r="C174" s="1215"/>
      <c r="D174" s="1215"/>
      <c r="E174" s="1215"/>
      <c r="F174" s="1215"/>
      <c r="G174" s="1215"/>
      <c r="H174" s="1215"/>
      <c r="I174" s="1215"/>
      <c r="J174" s="1215"/>
      <c r="K174" s="1215"/>
      <c r="L174" s="1215"/>
      <c r="M174" s="1215"/>
      <c r="N174" s="1215"/>
      <c r="O174" s="1215"/>
      <c r="P174" s="1215"/>
      <c r="Q174" s="1215"/>
      <c r="R174" s="1215"/>
      <c r="S174" s="1215"/>
      <c r="T174" s="1215"/>
      <c r="U174" s="1215"/>
      <c r="V174" s="1215"/>
      <c r="W174" s="1215"/>
      <c r="X174" s="1215"/>
      <c r="Y174" s="1215"/>
      <c r="Z174" s="1215"/>
      <c r="AA174" s="1215"/>
      <c r="AB174" s="1215"/>
      <c r="AC174" s="1215"/>
      <c r="AD174" s="1215"/>
      <c r="AE174" s="1215"/>
      <c r="AF174" s="1215"/>
      <c r="AG174" s="1215"/>
      <c r="AH174" s="1326">
        <v>185</v>
      </c>
      <c r="AI174" s="1327">
        <v>37</v>
      </c>
    </row>
    <row r="175" spans="1:36" ht="21.95" customHeight="1">
      <c r="A175" s="602">
        <v>10</v>
      </c>
      <c r="B175" s="153"/>
      <c r="C175" s="1213"/>
      <c r="D175" s="1213"/>
      <c r="E175" s="1213"/>
      <c r="F175" s="1213"/>
      <c r="G175" s="1213"/>
      <c r="H175" s="1213"/>
      <c r="I175" s="1213"/>
      <c r="J175" s="1213"/>
      <c r="K175" s="1213"/>
      <c r="L175" s="1213"/>
      <c r="M175" s="1213"/>
      <c r="N175" s="1213"/>
      <c r="O175" s="1213"/>
      <c r="P175" s="1213"/>
      <c r="Q175" s="1213"/>
      <c r="R175" s="1213"/>
      <c r="S175" s="1213"/>
      <c r="T175" s="1213"/>
      <c r="U175" s="1213"/>
      <c r="V175" s="1213"/>
      <c r="W175" s="1215"/>
      <c r="X175" s="1213"/>
      <c r="Y175" s="1213"/>
      <c r="Z175" s="1213"/>
      <c r="AA175" s="1213"/>
      <c r="AB175" s="1213"/>
      <c r="AC175" s="1213"/>
      <c r="AD175" s="1213"/>
      <c r="AE175" s="1213"/>
      <c r="AF175" s="1213"/>
      <c r="AG175" s="1230"/>
      <c r="AH175" s="1326">
        <v>185</v>
      </c>
      <c r="AI175" s="1327">
        <v>37</v>
      </c>
    </row>
    <row r="176" spans="1:36" ht="21.95" customHeight="1">
      <c r="A176" s="602">
        <v>11</v>
      </c>
      <c r="B176" s="153"/>
      <c r="C176" s="1213"/>
      <c r="D176" s="1213"/>
      <c r="E176" s="1213"/>
      <c r="F176" s="1213"/>
      <c r="G176" s="1213"/>
      <c r="H176" s="1213"/>
      <c r="I176" s="1213"/>
      <c r="J176" s="1213"/>
      <c r="K176" s="1213"/>
      <c r="L176" s="1213"/>
      <c r="M176" s="1213"/>
      <c r="N176" s="1213"/>
      <c r="O176" s="1213"/>
      <c r="P176" s="1213"/>
      <c r="Q176" s="1213"/>
      <c r="R176" s="1213"/>
      <c r="S176" s="1213"/>
      <c r="T176" s="1213"/>
      <c r="U176" s="1213"/>
      <c r="V176" s="1213"/>
      <c r="W176" s="1215"/>
      <c r="X176" s="1213"/>
      <c r="Y176" s="1213"/>
      <c r="Z176" s="1213"/>
      <c r="AA176" s="1213"/>
      <c r="AB176" s="1213"/>
      <c r="AC176" s="1213"/>
      <c r="AD176" s="1213"/>
      <c r="AE176" s="1213"/>
      <c r="AF176" s="1213"/>
      <c r="AG176" s="1230"/>
      <c r="AH176" s="1326">
        <v>185</v>
      </c>
      <c r="AI176" s="1327">
        <v>37</v>
      </c>
    </row>
    <row r="177" spans="1:35" ht="21.95" customHeight="1" thickBot="1">
      <c r="A177" s="602">
        <v>12</v>
      </c>
      <c r="B177" s="153"/>
      <c r="C177" s="1213"/>
      <c r="D177" s="1213"/>
      <c r="E177" s="1213"/>
      <c r="F177" s="1213"/>
      <c r="G177" s="1213"/>
      <c r="H177" s="1213"/>
      <c r="I177" s="1213"/>
      <c r="J177" s="1213"/>
      <c r="K177" s="1213"/>
      <c r="L177" s="1213"/>
      <c r="M177" s="1213"/>
      <c r="N177" s="1213"/>
      <c r="O177" s="1213"/>
      <c r="P177" s="1213"/>
      <c r="Q177" s="1213"/>
      <c r="R177" s="1213"/>
      <c r="S177" s="1213"/>
      <c r="T177" s="1213"/>
      <c r="U177" s="1213"/>
      <c r="V177" s="1213"/>
      <c r="W177" s="1215"/>
      <c r="X177" s="1213"/>
      <c r="Y177" s="1213"/>
      <c r="Z177" s="1213"/>
      <c r="AA177" s="1213"/>
      <c r="AB177" s="1213"/>
      <c r="AC177" s="1213"/>
      <c r="AD177" s="1213"/>
      <c r="AE177" s="1213"/>
      <c r="AF177" s="1213"/>
      <c r="AG177" s="1230"/>
      <c r="AH177" s="1328">
        <v>185</v>
      </c>
      <c r="AI177" s="1329">
        <v>37</v>
      </c>
    </row>
    <row r="178" spans="1:35" ht="21" customHeight="1">
      <c r="A178" s="312" t="s">
        <v>551</v>
      </c>
    </row>
    <row r="179" spans="1:35" ht="21" customHeight="1">
      <c r="A179" s="556"/>
      <c r="B179" s="297" t="s">
        <v>480</v>
      </c>
      <c r="C179" s="1234">
        <v>1</v>
      </c>
      <c r="D179" s="1234">
        <v>2</v>
      </c>
      <c r="E179" s="1234">
        <v>3</v>
      </c>
      <c r="F179" s="1234">
        <v>4</v>
      </c>
      <c r="G179" s="1234">
        <v>5</v>
      </c>
      <c r="H179" s="1235">
        <v>6</v>
      </c>
      <c r="I179" s="1330">
        <v>7</v>
      </c>
      <c r="J179" s="1213">
        <v>8</v>
      </c>
      <c r="K179" s="1234">
        <v>9</v>
      </c>
      <c r="L179" s="1234">
        <v>10</v>
      </c>
      <c r="M179" s="1234">
        <v>11</v>
      </c>
      <c r="N179" s="1234">
        <v>12</v>
      </c>
      <c r="O179" s="1235">
        <v>13</v>
      </c>
      <c r="P179" s="1330">
        <v>14</v>
      </c>
      <c r="Q179" s="1213">
        <v>15</v>
      </c>
      <c r="R179" s="1234">
        <v>16</v>
      </c>
      <c r="S179" s="1234">
        <v>17</v>
      </c>
      <c r="T179" s="1234">
        <v>18</v>
      </c>
      <c r="U179" s="1234">
        <v>19</v>
      </c>
      <c r="V179" s="1330">
        <v>20</v>
      </c>
      <c r="W179" s="1330">
        <v>21</v>
      </c>
      <c r="X179" s="1213">
        <v>22</v>
      </c>
      <c r="Y179" s="1234">
        <v>23</v>
      </c>
      <c r="Z179" s="1234">
        <v>24</v>
      </c>
      <c r="AA179" s="1234">
        <v>25</v>
      </c>
      <c r="AB179" s="1234">
        <v>26</v>
      </c>
      <c r="AC179" s="1235">
        <v>27</v>
      </c>
      <c r="AD179" s="1330">
        <v>28</v>
      </c>
      <c r="AE179" s="1213">
        <v>29</v>
      </c>
      <c r="AF179" s="1234">
        <v>30</v>
      </c>
      <c r="AG179" s="1234">
        <v>31</v>
      </c>
      <c r="AH179" s="606"/>
    </row>
    <row r="180" spans="1:35" ht="21" customHeight="1">
      <c r="A180" s="556">
        <v>1</v>
      </c>
      <c r="B180" s="319" t="s">
        <v>552</v>
      </c>
      <c r="C180" s="1215" t="s">
        <v>535</v>
      </c>
      <c r="D180" s="1215" t="s">
        <v>535</v>
      </c>
      <c r="E180" s="1215" t="s">
        <v>535</v>
      </c>
      <c r="F180" s="1215" t="s">
        <v>535</v>
      </c>
      <c r="G180" s="1215" t="s">
        <v>535</v>
      </c>
      <c r="H180" s="1215"/>
      <c r="I180" s="1215"/>
      <c r="J180" s="1215" t="s">
        <v>535</v>
      </c>
      <c r="K180" s="1215" t="s">
        <v>535</v>
      </c>
      <c r="L180" s="1215" t="s">
        <v>535</v>
      </c>
      <c r="M180" s="1215" t="s">
        <v>535</v>
      </c>
      <c r="N180" s="1215" t="s">
        <v>535</v>
      </c>
      <c r="O180" s="1213"/>
      <c r="P180" s="1213"/>
      <c r="Q180" s="1215" t="s">
        <v>535</v>
      </c>
      <c r="R180" s="1215" t="s">
        <v>535</v>
      </c>
      <c r="S180" s="1215" t="s">
        <v>535</v>
      </c>
      <c r="T180" s="1215" t="s">
        <v>535</v>
      </c>
      <c r="U180" s="1215" t="s">
        <v>535</v>
      </c>
      <c r="V180" s="1213"/>
      <c r="W180" s="1213"/>
      <c r="X180" s="1215" t="s">
        <v>535</v>
      </c>
      <c r="Y180" s="1215" t="s">
        <v>535</v>
      </c>
      <c r="Z180" s="1215" t="s">
        <v>535</v>
      </c>
      <c r="AA180" s="1215" t="s">
        <v>535</v>
      </c>
      <c r="AB180" s="1215" t="s">
        <v>535</v>
      </c>
      <c r="AC180" s="1213"/>
      <c r="AD180" s="1213"/>
      <c r="AE180" s="1215" t="s">
        <v>535</v>
      </c>
      <c r="AF180" s="1215" t="s">
        <v>535</v>
      </c>
      <c r="AG180" s="1215" t="s">
        <v>535</v>
      </c>
      <c r="AH180" s="606"/>
    </row>
    <row r="181" spans="1:35" ht="21" customHeight="1">
      <c r="A181" s="556">
        <v>2</v>
      </c>
      <c r="B181" s="545" t="s">
        <v>553</v>
      </c>
      <c r="C181" s="1208" t="s">
        <v>485</v>
      </c>
      <c r="D181" s="1208" t="s">
        <v>485</v>
      </c>
      <c r="E181" s="1208" t="s">
        <v>485</v>
      </c>
      <c r="F181" s="1208" t="s">
        <v>484</v>
      </c>
      <c r="G181" s="1439" t="s">
        <v>570</v>
      </c>
      <c r="H181" s="172"/>
      <c r="I181" s="172"/>
      <c r="J181" s="172">
        <v>10</v>
      </c>
      <c r="K181" s="172">
        <v>10</v>
      </c>
      <c r="L181" s="172">
        <v>10</v>
      </c>
      <c r="M181" s="172">
        <v>10</v>
      </c>
      <c r="N181" s="172">
        <v>10</v>
      </c>
      <c r="O181" s="172" t="s">
        <v>555</v>
      </c>
      <c r="P181" s="172" t="s">
        <v>555</v>
      </c>
      <c r="Q181" s="172" t="s">
        <v>487</v>
      </c>
      <c r="R181" s="172" t="s">
        <v>487</v>
      </c>
      <c r="S181" s="172" t="s">
        <v>487</v>
      </c>
      <c r="T181" s="172" t="s">
        <v>487</v>
      </c>
      <c r="U181" s="172" t="s">
        <v>487</v>
      </c>
      <c r="V181" s="172" t="s">
        <v>660</v>
      </c>
      <c r="W181" s="172" t="s">
        <v>660</v>
      </c>
      <c r="X181" s="172">
        <v>7</v>
      </c>
      <c r="Y181" s="172">
        <v>7</v>
      </c>
      <c r="Z181" s="172">
        <v>7</v>
      </c>
      <c r="AA181" s="172">
        <v>7</v>
      </c>
      <c r="AB181" s="172">
        <v>7</v>
      </c>
      <c r="AC181" s="172"/>
      <c r="AD181" s="172"/>
      <c r="AE181" s="172">
        <v>3</v>
      </c>
      <c r="AF181" s="172">
        <v>3</v>
      </c>
      <c r="AG181" s="172">
        <v>3</v>
      </c>
      <c r="AH181" s="606"/>
    </row>
    <row r="182" spans="1:35" ht="21" customHeight="1">
      <c r="A182" s="556">
        <v>3</v>
      </c>
      <c r="B182" s="545" t="s">
        <v>554</v>
      </c>
      <c r="C182" s="1213">
        <v>9</v>
      </c>
      <c r="D182" s="1213">
        <v>9</v>
      </c>
      <c r="E182" s="1213">
        <v>9</v>
      </c>
      <c r="F182" s="1213">
        <v>9</v>
      </c>
      <c r="G182" s="1213">
        <v>9</v>
      </c>
      <c r="H182" s="1213" t="s">
        <v>543</v>
      </c>
      <c r="I182" s="1213" t="s">
        <v>543</v>
      </c>
      <c r="J182" s="1213" t="s">
        <v>487</v>
      </c>
      <c r="K182" s="1213" t="s">
        <v>487</v>
      </c>
      <c r="L182" s="1213" t="s">
        <v>487</v>
      </c>
      <c r="M182" s="1213" t="s">
        <v>487</v>
      </c>
      <c r="N182" s="1213" t="s">
        <v>487</v>
      </c>
      <c r="O182" s="172"/>
      <c r="P182" s="172"/>
      <c r="Q182" s="172">
        <v>6</v>
      </c>
      <c r="R182" s="172">
        <v>6</v>
      </c>
      <c r="S182" s="172">
        <v>6</v>
      </c>
      <c r="T182" s="172">
        <v>6</v>
      </c>
      <c r="U182" s="172">
        <v>6</v>
      </c>
      <c r="V182" s="172" t="s">
        <v>532</v>
      </c>
      <c r="W182" s="172" t="s">
        <v>533</v>
      </c>
      <c r="X182" s="172" t="s">
        <v>487</v>
      </c>
      <c r="Y182" s="172" t="s">
        <v>487</v>
      </c>
      <c r="Z182" s="172" t="s">
        <v>487</v>
      </c>
      <c r="AA182" s="1455" t="s">
        <v>537</v>
      </c>
      <c r="AB182" s="1455" t="s">
        <v>537</v>
      </c>
      <c r="AC182" s="172"/>
      <c r="AD182" s="172"/>
      <c r="AE182" s="172">
        <v>7</v>
      </c>
      <c r="AF182" s="172">
        <v>7</v>
      </c>
      <c r="AG182" s="172">
        <v>7</v>
      </c>
      <c r="AH182" s="606"/>
    </row>
    <row r="183" spans="1:35" ht="21" customHeight="1">
      <c r="A183" s="556">
        <v>4</v>
      </c>
      <c r="B183" s="545" t="s">
        <v>733</v>
      </c>
      <c r="C183" s="1344"/>
      <c r="D183" s="1344" t="s">
        <v>550</v>
      </c>
      <c r="E183" s="1344" t="s">
        <v>550</v>
      </c>
      <c r="F183" s="1344" t="s">
        <v>550</v>
      </c>
      <c r="G183" s="1344"/>
      <c r="H183" s="1344"/>
      <c r="I183" s="1344"/>
      <c r="J183" s="1215" t="s">
        <v>535</v>
      </c>
      <c r="K183" s="1344" t="s">
        <v>550</v>
      </c>
      <c r="L183" s="1344" t="s">
        <v>550</v>
      </c>
      <c r="M183" s="1344" t="s">
        <v>550</v>
      </c>
      <c r="N183" s="1215" t="s">
        <v>535</v>
      </c>
      <c r="O183" s="1215"/>
      <c r="P183" s="1215"/>
      <c r="Q183" s="1215" t="s">
        <v>535</v>
      </c>
      <c r="R183" s="1344" t="s">
        <v>550</v>
      </c>
      <c r="S183" s="1344" t="s">
        <v>550</v>
      </c>
      <c r="T183" s="1344" t="s">
        <v>550</v>
      </c>
      <c r="U183" s="1215" t="s">
        <v>535</v>
      </c>
      <c r="V183" s="1215"/>
      <c r="W183" s="1215"/>
      <c r="X183" s="1215" t="s">
        <v>535</v>
      </c>
      <c r="Y183" s="1344" t="s">
        <v>550</v>
      </c>
      <c r="Z183" s="1344" t="s">
        <v>550</v>
      </c>
      <c r="AA183" s="1344" t="s">
        <v>550</v>
      </c>
      <c r="AB183" s="1215" t="s">
        <v>535</v>
      </c>
      <c r="AC183" s="1215"/>
      <c r="AD183" s="1215"/>
      <c r="AE183" s="1215" t="s">
        <v>535</v>
      </c>
      <c r="AF183" s="1215" t="s">
        <v>550</v>
      </c>
      <c r="AG183" s="1215" t="s">
        <v>550</v>
      </c>
      <c r="AH183" s="606"/>
    </row>
    <row r="184" spans="1:35" ht="21" customHeight="1">
      <c r="A184" s="556">
        <v>5</v>
      </c>
      <c r="B184" s="545" t="s">
        <v>757</v>
      </c>
      <c r="C184" s="172" t="s">
        <v>514</v>
      </c>
      <c r="D184" s="172" t="s">
        <v>514</v>
      </c>
      <c r="E184" s="172" t="s">
        <v>514</v>
      </c>
      <c r="F184" s="172" t="s">
        <v>514</v>
      </c>
      <c r="G184" s="172" t="s">
        <v>514</v>
      </c>
      <c r="H184" s="172"/>
      <c r="I184" s="172"/>
      <c r="J184" s="172" t="s">
        <v>514</v>
      </c>
      <c r="K184" s="172" t="s">
        <v>514</v>
      </c>
      <c r="L184" s="172" t="s">
        <v>514</v>
      </c>
      <c r="M184" s="172" t="s">
        <v>514</v>
      </c>
      <c r="N184" s="172" t="s">
        <v>514</v>
      </c>
      <c r="O184" s="172"/>
      <c r="P184" s="172"/>
      <c r="Q184" s="172" t="s">
        <v>514</v>
      </c>
      <c r="R184" s="172" t="s">
        <v>514</v>
      </c>
      <c r="S184" s="172" t="s">
        <v>514</v>
      </c>
      <c r="T184" s="172" t="s">
        <v>514</v>
      </c>
      <c r="U184" s="172" t="s">
        <v>514</v>
      </c>
      <c r="V184" s="172"/>
      <c r="W184" s="172"/>
      <c r="X184" s="172" t="s">
        <v>514</v>
      </c>
      <c r="Y184" s="172" t="s">
        <v>514</v>
      </c>
      <c r="Z184" s="172" t="s">
        <v>514</v>
      </c>
      <c r="AA184" s="172" t="s">
        <v>514</v>
      </c>
      <c r="AB184" s="172" t="s">
        <v>514</v>
      </c>
      <c r="AC184" s="172"/>
      <c r="AD184" s="172"/>
      <c r="AE184" s="172" t="s">
        <v>514</v>
      </c>
      <c r="AF184" s="172" t="s">
        <v>514</v>
      </c>
      <c r="AG184" s="172" t="s">
        <v>514</v>
      </c>
      <c r="AH184" s="606"/>
    </row>
    <row r="185" spans="1:35" ht="21" customHeight="1">
      <c r="A185" s="1232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1233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6"/>
    </row>
    <row r="186" spans="1:35" ht="21.95" customHeight="1" thickBot="1">
      <c r="A186" s="1" t="s">
        <v>560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1290" t="s">
        <v>516</v>
      </c>
      <c r="C187" s="51" t="s">
        <v>2</v>
      </c>
      <c r="D187" s="51"/>
      <c r="E187" s="51"/>
      <c r="F187" s="51"/>
      <c r="G187" s="1292" t="s">
        <v>3</v>
      </c>
      <c r="H187" s="51"/>
      <c r="I187" s="51"/>
      <c r="J187" s="51"/>
      <c r="K187" s="1292" t="s">
        <v>4</v>
      </c>
      <c r="L187" s="51"/>
      <c r="M187" s="51"/>
      <c r="N187" s="51"/>
      <c r="O187" s="1292" t="s">
        <v>5</v>
      </c>
      <c r="P187" s="51"/>
      <c r="Q187" s="51"/>
      <c r="R187" s="51"/>
      <c r="S187" s="1292" t="s">
        <v>6</v>
      </c>
      <c r="T187" s="51"/>
      <c r="U187" s="51"/>
      <c r="V187" s="51"/>
      <c r="W187" s="51"/>
      <c r="X187" s="1296" t="s">
        <v>7</v>
      </c>
      <c r="Y187" s="51"/>
      <c r="Z187" s="551"/>
      <c r="AA187" s="7"/>
      <c r="AB187" s="525" t="s">
        <v>8</v>
      </c>
      <c r="AC187" s="51"/>
      <c r="AD187" s="51"/>
      <c r="AE187" s="425" t="s">
        <v>10</v>
      </c>
      <c r="AF187" s="51"/>
      <c r="AG187" s="51"/>
      <c r="AH187" s="51"/>
      <c r="AI187" s="526"/>
    </row>
    <row r="188" spans="1:35" ht="21.95" customHeight="1">
      <c r="A188" s="1"/>
      <c r="B188" s="1290">
        <v>3701</v>
      </c>
      <c r="C188" s="55" t="s">
        <v>561</v>
      </c>
      <c r="D188" s="55"/>
      <c r="E188" s="55"/>
      <c r="F188" s="55"/>
      <c r="G188" s="1293" t="s">
        <v>124</v>
      </c>
      <c r="H188" s="55"/>
      <c r="I188" s="55"/>
      <c r="J188" s="55"/>
      <c r="K188" s="1293" t="s">
        <v>124</v>
      </c>
      <c r="L188" s="55"/>
      <c r="M188" s="55"/>
      <c r="N188" s="55"/>
      <c r="O188" s="1293" t="s">
        <v>124</v>
      </c>
      <c r="P188" s="55"/>
      <c r="Q188" s="55"/>
      <c r="R188" s="55"/>
      <c r="S188" s="1293" t="s">
        <v>125</v>
      </c>
      <c r="T188" s="55"/>
      <c r="U188" s="55"/>
      <c r="V188" s="55"/>
      <c r="W188" s="55"/>
      <c r="X188" s="1297"/>
      <c r="Y188" s="55"/>
      <c r="Z188" s="608"/>
      <c r="AA188" s="14"/>
      <c r="AB188" s="609"/>
      <c r="AC188" s="55"/>
      <c r="AD188" s="55"/>
      <c r="AE188" s="610"/>
      <c r="AF188" s="55"/>
      <c r="AG188" s="55"/>
      <c r="AH188" s="55"/>
      <c r="AI188" s="611"/>
    </row>
    <row r="189" spans="1:35" ht="21.95" customHeight="1">
      <c r="B189" s="1290">
        <v>3700</v>
      </c>
      <c r="C189" s="157" t="s">
        <v>512</v>
      </c>
      <c r="D189" s="157"/>
      <c r="E189" s="157"/>
      <c r="F189" s="157"/>
      <c r="G189" s="897" t="s">
        <v>512</v>
      </c>
      <c r="H189" s="157"/>
      <c r="I189" s="157"/>
      <c r="J189" s="157"/>
      <c r="K189" s="897" t="s">
        <v>512</v>
      </c>
      <c r="L189" s="157"/>
      <c r="M189" s="157"/>
      <c r="N189" s="157"/>
      <c r="O189" s="897" t="s">
        <v>512</v>
      </c>
      <c r="P189" s="157"/>
      <c r="Q189" s="157"/>
      <c r="R189" s="157"/>
      <c r="S189" s="897" t="s">
        <v>116</v>
      </c>
      <c r="T189" s="157"/>
      <c r="U189" s="157"/>
      <c r="V189" s="157"/>
      <c r="W189" s="157"/>
      <c r="X189" s="897"/>
      <c r="Y189" s="157"/>
      <c r="Z189" s="568"/>
      <c r="AA189" s="567"/>
      <c r="AB189" s="157"/>
      <c r="AC189" s="157"/>
      <c r="AD189" s="569"/>
      <c r="AE189" s="613"/>
      <c r="AF189" s="157"/>
      <c r="AG189" s="157" t="s">
        <v>28</v>
      </c>
      <c r="AH189" s="569"/>
      <c r="AI189" s="490"/>
    </row>
    <row r="190" spans="1:35" ht="21.95" customHeight="1">
      <c r="A190" s="1"/>
      <c r="B190" s="1290">
        <v>8514</v>
      </c>
      <c r="C190" s="157" t="s">
        <v>124</v>
      </c>
      <c r="D190" s="157"/>
      <c r="E190" s="157"/>
      <c r="F190" s="157"/>
      <c r="G190" s="897" t="s">
        <v>124</v>
      </c>
      <c r="H190" s="157"/>
      <c r="I190" s="157"/>
      <c r="J190" s="157"/>
      <c r="K190" s="897" t="s">
        <v>124</v>
      </c>
      <c r="L190" s="157"/>
      <c r="M190" s="157"/>
      <c r="N190" s="157"/>
      <c r="O190" s="897" t="s">
        <v>124</v>
      </c>
      <c r="P190" s="157"/>
      <c r="Q190" s="157"/>
      <c r="R190" s="157"/>
      <c r="S190" s="897" t="s">
        <v>562</v>
      </c>
      <c r="T190" s="157"/>
      <c r="U190" s="157"/>
      <c r="V190" s="157"/>
      <c r="W190" s="157"/>
      <c r="X190" s="897"/>
      <c r="Y190" s="157"/>
      <c r="Z190" s="568"/>
      <c r="AA190" s="121"/>
      <c r="AB190" s="157"/>
      <c r="AC190" s="157"/>
      <c r="AD190" s="569"/>
      <c r="AE190" s="121"/>
      <c r="AF190" s="157"/>
      <c r="AG190" s="157"/>
      <c r="AH190" s="569"/>
      <c r="AI190" s="490"/>
    </row>
    <row r="191" spans="1:35" ht="21.95" customHeight="1">
      <c r="A191" s="1"/>
      <c r="B191" s="1290">
        <v>8500</v>
      </c>
      <c r="C191" s="55" t="s">
        <v>11</v>
      </c>
      <c r="D191" s="55"/>
      <c r="E191" s="55"/>
      <c r="F191" s="55"/>
      <c r="G191" s="1293" t="s">
        <v>11</v>
      </c>
      <c r="H191" s="55"/>
      <c r="I191" s="55"/>
      <c r="J191" s="55"/>
      <c r="K191" s="1293" t="s">
        <v>11</v>
      </c>
      <c r="L191" s="55"/>
      <c r="M191" s="55"/>
      <c r="N191" s="55"/>
      <c r="O191" s="1293" t="s">
        <v>11</v>
      </c>
      <c r="P191" s="55"/>
      <c r="Q191" s="55"/>
      <c r="R191" s="55"/>
      <c r="S191" s="1293" t="s">
        <v>12</v>
      </c>
      <c r="T191" s="55"/>
      <c r="U191" s="55"/>
      <c r="V191" s="55"/>
      <c r="W191" s="55"/>
      <c r="X191" s="1293"/>
      <c r="Y191" s="55"/>
      <c r="Z191" s="615"/>
      <c r="AA191" s="614"/>
      <c r="AB191" s="55"/>
      <c r="AC191" s="55"/>
      <c r="AD191" s="615"/>
      <c r="AE191" s="614"/>
      <c r="AF191" s="55"/>
      <c r="AG191" s="55"/>
      <c r="AH191" s="598"/>
      <c r="AI191" s="611"/>
    </row>
    <row r="192" spans="1:35" ht="21.95" customHeight="1">
      <c r="A192" s="1"/>
      <c r="B192" s="1290">
        <v>8514</v>
      </c>
      <c r="C192" s="616" t="s">
        <v>124</v>
      </c>
      <c r="D192" s="616"/>
      <c r="E192" s="616"/>
      <c r="F192" s="616"/>
      <c r="G192" s="1294" t="s">
        <v>124</v>
      </c>
      <c r="H192" s="616"/>
      <c r="I192" s="616"/>
      <c r="J192" s="616"/>
      <c r="K192" s="1294" t="s">
        <v>124</v>
      </c>
      <c r="L192" s="616"/>
      <c r="M192" s="616"/>
      <c r="N192" s="616"/>
      <c r="O192" s="1294" t="s">
        <v>124</v>
      </c>
      <c r="P192" s="616"/>
      <c r="Q192" s="616"/>
      <c r="R192" s="616"/>
      <c r="S192" s="1294" t="s">
        <v>562</v>
      </c>
      <c r="T192" s="616"/>
      <c r="U192" s="616"/>
      <c r="V192" s="616"/>
      <c r="W192" s="616"/>
      <c r="X192" s="1297"/>
      <c r="Y192" s="55"/>
      <c r="Z192" s="608"/>
      <c r="AA192" s="14"/>
      <c r="AB192" s="609"/>
      <c r="AC192" s="55"/>
      <c r="AD192" s="55"/>
      <c r="AE192" s="610"/>
      <c r="AF192" s="55"/>
      <c r="AG192" s="55"/>
      <c r="AH192" s="55"/>
      <c r="AI192" s="611"/>
    </row>
    <row r="193" spans="1:35" ht="21.95" customHeight="1" thickBot="1">
      <c r="A193" s="1"/>
      <c r="B193" s="1291" t="s">
        <v>563</v>
      </c>
      <c r="C193" s="53" t="s">
        <v>564</v>
      </c>
      <c r="D193" s="53"/>
      <c r="E193" s="53"/>
      <c r="F193" s="53"/>
      <c r="G193" s="1295" t="s">
        <v>564</v>
      </c>
      <c r="H193" s="53"/>
      <c r="I193" s="53"/>
      <c r="J193" s="53"/>
      <c r="K193" s="53" t="s">
        <v>564</v>
      </c>
      <c r="L193" s="53"/>
      <c r="M193" s="53"/>
      <c r="N193" s="53"/>
      <c r="O193" s="1295" t="s">
        <v>564</v>
      </c>
      <c r="P193" s="53"/>
      <c r="Q193" s="53"/>
      <c r="R193" s="53"/>
      <c r="S193" s="1295" t="s">
        <v>565</v>
      </c>
      <c r="T193" s="53"/>
      <c r="U193" s="53"/>
      <c r="V193" s="53"/>
      <c r="W193" s="53"/>
      <c r="X193" s="1295"/>
      <c r="Y193" s="53"/>
      <c r="Z193" s="575"/>
      <c r="AA193" s="574"/>
      <c r="AB193" s="53"/>
      <c r="AC193" s="53"/>
      <c r="AD193" s="577"/>
      <c r="AE193" s="618"/>
      <c r="AF193" s="53"/>
      <c r="AG193" s="53" t="s">
        <v>28</v>
      </c>
      <c r="AH193" s="577"/>
      <c r="AI193" s="539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509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>
      <c r="A196" s="556"/>
      <c r="B196" s="297" t="s">
        <v>480</v>
      </c>
      <c r="C196" s="1234">
        <v>1</v>
      </c>
      <c r="D196" s="1234">
        <v>2</v>
      </c>
      <c r="E196" s="1234">
        <v>3</v>
      </c>
      <c r="F196" s="1234">
        <v>4</v>
      </c>
      <c r="G196" s="1234">
        <v>5</v>
      </c>
      <c r="H196" s="1235">
        <v>6</v>
      </c>
      <c r="I196" s="1330">
        <v>7</v>
      </c>
      <c r="J196" s="1213">
        <v>8</v>
      </c>
      <c r="K196" s="1234">
        <v>9</v>
      </c>
      <c r="L196" s="1234">
        <v>10</v>
      </c>
      <c r="M196" s="1234">
        <v>11</v>
      </c>
      <c r="N196" s="1234">
        <v>12</v>
      </c>
      <c r="O196" s="1235">
        <v>13</v>
      </c>
      <c r="P196" s="1330">
        <v>14</v>
      </c>
      <c r="Q196" s="1213">
        <v>15</v>
      </c>
      <c r="R196" s="1234">
        <v>16</v>
      </c>
      <c r="S196" s="1234">
        <v>17</v>
      </c>
      <c r="T196" s="1234">
        <v>18</v>
      </c>
      <c r="U196" s="1234">
        <v>19</v>
      </c>
      <c r="V196" s="1330">
        <v>20</v>
      </c>
      <c r="W196" s="1330">
        <v>21</v>
      </c>
      <c r="X196" s="1213">
        <v>22</v>
      </c>
      <c r="Y196" s="1234">
        <v>23</v>
      </c>
      <c r="Z196" s="1234">
        <v>24</v>
      </c>
      <c r="AA196" s="1234">
        <v>25</v>
      </c>
      <c r="AB196" s="1234">
        <v>26</v>
      </c>
      <c r="AC196" s="1235">
        <v>27</v>
      </c>
      <c r="AD196" s="1330">
        <v>28</v>
      </c>
      <c r="AE196" s="1213">
        <v>29</v>
      </c>
      <c r="AF196" s="1234">
        <v>30</v>
      </c>
      <c r="AG196" s="1234">
        <v>31</v>
      </c>
      <c r="AH196" s="498" t="s">
        <v>481</v>
      </c>
      <c r="AI196" s="499" t="s">
        <v>482</v>
      </c>
    </row>
    <row r="197" spans="1:35" ht="21.95" customHeight="1">
      <c r="A197" s="556"/>
      <c r="B197" s="1236" t="s">
        <v>566</v>
      </c>
      <c r="C197" s="1215" t="s">
        <v>535</v>
      </c>
      <c r="D197" s="1215" t="s">
        <v>535</v>
      </c>
      <c r="E197" s="1215" t="s">
        <v>535</v>
      </c>
      <c r="F197" s="1215" t="s">
        <v>535</v>
      </c>
      <c r="G197" s="1215" t="s">
        <v>535</v>
      </c>
      <c r="H197" s="1215"/>
      <c r="I197" s="1215"/>
      <c r="J197" s="1215" t="s">
        <v>535</v>
      </c>
      <c r="K197" s="1215" t="s">
        <v>535</v>
      </c>
      <c r="L197" s="1215" t="s">
        <v>535</v>
      </c>
      <c r="M197" s="1215" t="s">
        <v>535</v>
      </c>
      <c r="N197" s="1215" t="s">
        <v>535</v>
      </c>
      <c r="O197" s="1215"/>
      <c r="P197" s="1215"/>
      <c r="Q197" s="1215" t="s">
        <v>535</v>
      </c>
      <c r="R197" s="1215" t="s">
        <v>535</v>
      </c>
      <c r="S197" s="1215" t="s">
        <v>535</v>
      </c>
      <c r="T197" s="1215" t="s">
        <v>535</v>
      </c>
      <c r="U197" s="1215" t="s">
        <v>535</v>
      </c>
      <c r="V197" s="1215"/>
      <c r="W197" s="1215"/>
      <c r="X197" s="1215" t="s">
        <v>535</v>
      </c>
      <c r="Y197" s="1215" t="s">
        <v>535</v>
      </c>
      <c r="Z197" s="1215" t="s">
        <v>535</v>
      </c>
      <c r="AA197" s="1215" t="s">
        <v>535</v>
      </c>
      <c r="AB197" s="1215" t="s">
        <v>535</v>
      </c>
      <c r="AC197" s="1215"/>
      <c r="AD197" s="1215"/>
      <c r="AE197" s="1215" t="s">
        <v>535</v>
      </c>
      <c r="AF197" s="1215" t="s">
        <v>535</v>
      </c>
      <c r="AG197" s="1215" t="s">
        <v>535</v>
      </c>
      <c r="AH197" s="603">
        <v>185</v>
      </c>
      <c r="AI197" s="604">
        <v>37</v>
      </c>
    </row>
    <row r="198" spans="1:35" ht="21.95" customHeight="1">
      <c r="A198" s="620">
        <v>8500</v>
      </c>
      <c r="B198" s="1237" t="s">
        <v>151</v>
      </c>
      <c r="C198" s="1338" t="s">
        <v>535</v>
      </c>
      <c r="D198" s="1338" t="s">
        <v>535</v>
      </c>
      <c r="E198" s="1338" t="s">
        <v>535</v>
      </c>
      <c r="F198" s="1338" t="s">
        <v>535</v>
      </c>
      <c r="G198" s="1338" t="s">
        <v>535</v>
      </c>
      <c r="H198" s="1338"/>
      <c r="I198" s="1338"/>
      <c r="J198" s="1338" t="s">
        <v>535</v>
      </c>
      <c r="K198" s="1338" t="s">
        <v>535</v>
      </c>
      <c r="L198" s="1338" t="s">
        <v>535</v>
      </c>
      <c r="M198" s="1338" t="s">
        <v>535</v>
      </c>
      <c r="N198" s="1338" t="s">
        <v>535</v>
      </c>
      <c r="O198" s="1338"/>
      <c r="P198" s="1338"/>
      <c r="Q198" s="1338" t="s">
        <v>535</v>
      </c>
      <c r="R198" s="1338" t="s">
        <v>535</v>
      </c>
      <c r="S198" s="1338" t="s">
        <v>535</v>
      </c>
      <c r="T198" s="1338" t="s">
        <v>535</v>
      </c>
      <c r="U198" s="1338" t="s">
        <v>535</v>
      </c>
      <c r="V198" s="1215"/>
      <c r="W198" s="1215"/>
      <c r="X198" s="1335" t="s">
        <v>535</v>
      </c>
      <c r="Y198" s="1335" t="s">
        <v>535</v>
      </c>
      <c r="Z198" s="1335" t="s">
        <v>535</v>
      </c>
      <c r="AA198" s="1335" t="s">
        <v>535</v>
      </c>
      <c r="AB198" s="1335" t="s">
        <v>535</v>
      </c>
      <c r="AC198" s="1215"/>
      <c r="AD198" s="1215"/>
      <c r="AE198" s="1215" t="s">
        <v>535</v>
      </c>
      <c r="AF198" s="1215" t="s">
        <v>535</v>
      </c>
      <c r="AG198" s="1215" t="s">
        <v>535</v>
      </c>
      <c r="AH198" s="603">
        <v>74</v>
      </c>
      <c r="AI198" s="604">
        <v>37</v>
      </c>
    </row>
    <row r="199" spans="1:35" ht="21" customHeight="1">
      <c r="A199" s="442"/>
      <c r="B199" s="1236" t="s">
        <v>567</v>
      </c>
      <c r="C199" s="1215" t="s">
        <v>535</v>
      </c>
      <c r="D199" s="1215" t="s">
        <v>535</v>
      </c>
      <c r="E199" s="1215" t="s">
        <v>535</v>
      </c>
      <c r="F199" s="1215" t="s">
        <v>535</v>
      </c>
      <c r="G199" s="1215" t="s">
        <v>535</v>
      </c>
      <c r="H199" s="1215"/>
      <c r="I199" s="1215"/>
      <c r="J199" s="1215" t="s">
        <v>535</v>
      </c>
      <c r="K199" s="1215" t="s">
        <v>535</v>
      </c>
      <c r="L199" s="1215" t="s">
        <v>535</v>
      </c>
      <c r="M199" s="1215" t="s">
        <v>535</v>
      </c>
      <c r="N199" s="1215" t="s">
        <v>535</v>
      </c>
      <c r="O199" s="1215"/>
      <c r="P199" s="1215"/>
      <c r="Q199" s="1215" t="s">
        <v>535</v>
      </c>
      <c r="R199" s="1215" t="s">
        <v>535</v>
      </c>
      <c r="S199" s="1215" t="s">
        <v>535</v>
      </c>
      <c r="T199" s="1215" t="s">
        <v>535</v>
      </c>
      <c r="U199" s="1215" t="s">
        <v>535</v>
      </c>
      <c r="V199" s="1215"/>
      <c r="W199" s="1215"/>
      <c r="X199" s="1338" t="s">
        <v>535</v>
      </c>
      <c r="Y199" s="1338" t="s">
        <v>535</v>
      </c>
      <c r="Z199" s="1338" t="s">
        <v>535</v>
      </c>
      <c r="AA199" s="1338" t="s">
        <v>535</v>
      </c>
      <c r="AB199" s="1338" t="s">
        <v>535</v>
      </c>
      <c r="AC199" s="1338"/>
      <c r="AD199" s="1338"/>
      <c r="AE199" s="1338" t="s">
        <v>535</v>
      </c>
      <c r="AF199" s="1338" t="s">
        <v>535</v>
      </c>
      <c r="AG199" s="1338" t="s">
        <v>535</v>
      </c>
      <c r="AH199" s="603">
        <v>185</v>
      </c>
      <c r="AI199" s="604">
        <v>37</v>
      </c>
    </row>
    <row r="200" spans="1:35" ht="21" customHeight="1">
      <c r="A200" s="442">
        <v>8521</v>
      </c>
      <c r="B200" s="1236" t="s">
        <v>568</v>
      </c>
      <c r="C200" s="1338" t="s">
        <v>535</v>
      </c>
      <c r="D200" s="1338" t="s">
        <v>535</v>
      </c>
      <c r="E200" s="1338" t="s">
        <v>535</v>
      </c>
      <c r="F200" s="1338" t="s">
        <v>535</v>
      </c>
      <c r="G200" s="1338" t="s">
        <v>535</v>
      </c>
      <c r="H200" s="1338"/>
      <c r="I200" s="1338"/>
      <c r="J200" s="1338" t="s">
        <v>535</v>
      </c>
      <c r="K200" s="1338" t="s">
        <v>535</v>
      </c>
      <c r="L200" s="1338" t="s">
        <v>535</v>
      </c>
      <c r="M200" s="1338" t="s">
        <v>535</v>
      </c>
      <c r="N200" s="1338" t="s">
        <v>535</v>
      </c>
      <c r="O200" s="1338"/>
      <c r="P200" s="1338"/>
      <c r="Q200" s="1338" t="s">
        <v>535</v>
      </c>
      <c r="R200" s="1338" t="s">
        <v>535</v>
      </c>
      <c r="S200" s="1338" t="s">
        <v>535</v>
      </c>
      <c r="T200" s="1338" t="s">
        <v>535</v>
      </c>
      <c r="U200" s="1338" t="s">
        <v>535</v>
      </c>
      <c r="V200" s="1338"/>
      <c r="W200" s="1338"/>
      <c r="X200" s="1215" t="s">
        <v>535</v>
      </c>
      <c r="Y200" s="1215" t="s">
        <v>535</v>
      </c>
      <c r="Z200" s="1215" t="s">
        <v>535</v>
      </c>
      <c r="AA200" s="1215" t="s">
        <v>535</v>
      </c>
      <c r="AB200" s="1215" t="s">
        <v>535</v>
      </c>
      <c r="AC200" s="1215"/>
      <c r="AD200" s="1215"/>
      <c r="AE200" s="1215" t="s">
        <v>535</v>
      </c>
      <c r="AF200" s="1215" t="s">
        <v>535</v>
      </c>
      <c r="AG200" s="1215" t="s">
        <v>535</v>
      </c>
      <c r="AH200" s="603">
        <v>111</v>
      </c>
      <c r="AI200" s="604">
        <v>37</v>
      </c>
    </row>
    <row r="201" spans="1:35" ht="21" customHeight="1">
      <c r="A201" s="442"/>
      <c r="B201" s="1236" t="s">
        <v>758</v>
      </c>
      <c r="C201" s="1215" t="s">
        <v>535</v>
      </c>
      <c r="D201" s="1215" t="s">
        <v>535</v>
      </c>
      <c r="E201" s="1215" t="s">
        <v>535</v>
      </c>
      <c r="F201" s="1215" t="s">
        <v>535</v>
      </c>
      <c r="G201" s="1215" t="s">
        <v>535</v>
      </c>
      <c r="H201" s="1215"/>
      <c r="I201" s="1215"/>
      <c r="J201" s="1215" t="s">
        <v>535</v>
      </c>
      <c r="K201" s="1215" t="s">
        <v>535</v>
      </c>
      <c r="L201" s="1215" t="s">
        <v>535</v>
      </c>
      <c r="M201" s="1215" t="s">
        <v>535</v>
      </c>
      <c r="N201" s="1215" t="s">
        <v>535</v>
      </c>
      <c r="O201" s="1215"/>
      <c r="P201" s="1215"/>
      <c r="Q201" s="1215" t="s">
        <v>535</v>
      </c>
      <c r="R201" s="1215" t="s">
        <v>535</v>
      </c>
      <c r="S201" s="1215" t="s">
        <v>535</v>
      </c>
      <c r="T201" s="1215" t="s">
        <v>535</v>
      </c>
      <c r="U201" s="1215" t="s">
        <v>535</v>
      </c>
      <c r="V201" s="1215"/>
      <c r="W201" s="1215"/>
      <c r="X201" s="1215" t="s">
        <v>535</v>
      </c>
      <c r="Y201" s="1215" t="s">
        <v>535</v>
      </c>
      <c r="Z201" s="1215" t="s">
        <v>535</v>
      </c>
      <c r="AA201" s="1215" t="s">
        <v>535</v>
      </c>
      <c r="AB201" s="1215" t="s">
        <v>535</v>
      </c>
      <c r="AC201" s="1215"/>
      <c r="AD201" s="1215"/>
      <c r="AE201" s="1215" t="s">
        <v>535</v>
      </c>
      <c r="AF201" s="1215" t="s">
        <v>535</v>
      </c>
      <c r="AG201" s="1215" t="s">
        <v>535</v>
      </c>
      <c r="AH201" s="603">
        <v>185</v>
      </c>
      <c r="AI201" s="604">
        <v>37</v>
      </c>
    </row>
    <row r="202" spans="1:35" ht="21" customHeight="1">
      <c r="A202" s="442">
        <v>8514</v>
      </c>
      <c r="B202" s="1238" t="s">
        <v>569</v>
      </c>
      <c r="C202" s="1215" t="s">
        <v>535</v>
      </c>
      <c r="D202" s="1215" t="s">
        <v>535</v>
      </c>
      <c r="E202" s="1215" t="s">
        <v>535</v>
      </c>
      <c r="F202" s="1215" t="s">
        <v>535</v>
      </c>
      <c r="G202" s="1215" t="s">
        <v>535</v>
      </c>
      <c r="H202" s="1215"/>
      <c r="I202" s="1215"/>
      <c r="J202" s="1215" t="s">
        <v>535</v>
      </c>
      <c r="K202" s="1215" t="s">
        <v>535</v>
      </c>
      <c r="L202" s="1215" t="s">
        <v>535</v>
      </c>
      <c r="M202" s="1215" t="s">
        <v>535</v>
      </c>
      <c r="N202" s="1215" t="s">
        <v>535</v>
      </c>
      <c r="O202" s="1215"/>
      <c r="P202" s="1215"/>
      <c r="Q202" s="1344" t="s">
        <v>535</v>
      </c>
      <c r="R202" s="1344" t="s">
        <v>535</v>
      </c>
      <c r="S202" s="1344" t="s">
        <v>535</v>
      </c>
      <c r="T202" s="1344" t="s">
        <v>535</v>
      </c>
      <c r="U202" s="1346" t="s">
        <v>535</v>
      </c>
      <c r="V202" s="1344"/>
      <c r="W202" s="1344"/>
      <c r="X202" s="1338" t="s">
        <v>535</v>
      </c>
      <c r="Y202" s="1338" t="s">
        <v>535</v>
      </c>
      <c r="Z202" s="1338" t="s">
        <v>535</v>
      </c>
      <c r="AA202" s="1338" t="s">
        <v>535</v>
      </c>
      <c r="AB202" s="1338" t="s">
        <v>535</v>
      </c>
      <c r="AC202" s="1338"/>
      <c r="AD202" s="1338"/>
      <c r="AE202" s="1338" t="s">
        <v>535</v>
      </c>
      <c r="AF202" s="1338" t="s">
        <v>535</v>
      </c>
      <c r="AG202" s="1338" t="s">
        <v>535</v>
      </c>
      <c r="AH202" s="603">
        <v>185</v>
      </c>
      <c r="AI202" s="604">
        <v>37</v>
      </c>
    </row>
    <row r="203" spans="1:35" ht="21.95" customHeight="1">
      <c r="A203" s="442">
        <v>3701</v>
      </c>
      <c r="B203" s="1236"/>
      <c r="C203" s="1215"/>
      <c r="D203" s="1215"/>
      <c r="E203" s="1215"/>
      <c r="F203" s="1215"/>
      <c r="G203" s="1215"/>
      <c r="H203" s="1215"/>
      <c r="I203" s="1215"/>
      <c r="J203" s="1215"/>
      <c r="K203" s="1215"/>
      <c r="L203" s="1215"/>
      <c r="M203" s="1215"/>
      <c r="N203" s="1215"/>
      <c r="O203" s="1215"/>
      <c r="P203" s="1215"/>
      <c r="Q203" s="1215"/>
      <c r="R203" s="1215"/>
      <c r="S203" s="1215"/>
      <c r="T203" s="1215"/>
      <c r="U203" s="1215"/>
      <c r="V203" s="1215"/>
      <c r="W203" s="1215"/>
      <c r="X203" s="1215"/>
      <c r="Y203" s="1215"/>
      <c r="Z203" s="1215"/>
      <c r="AA203" s="1215"/>
      <c r="AB203" s="1215"/>
      <c r="AC203" s="1215"/>
      <c r="AD203" s="1215"/>
      <c r="AE203" s="1215"/>
      <c r="AF203" s="1215"/>
      <c r="AG203" s="1215"/>
      <c r="AH203" s="603">
        <v>185</v>
      </c>
      <c r="AI203" s="604">
        <v>37</v>
      </c>
    </row>
    <row r="204" spans="1:35" ht="21.95" customHeight="1">
      <c r="A204" s="442">
        <v>3701</v>
      </c>
      <c r="B204" s="1236" t="s">
        <v>345</v>
      </c>
      <c r="C204" s="1215" t="s">
        <v>535</v>
      </c>
      <c r="D204" s="1215" t="s">
        <v>535</v>
      </c>
      <c r="E204" s="1215" t="s">
        <v>535</v>
      </c>
      <c r="F204" s="1215" t="s">
        <v>535</v>
      </c>
      <c r="G204" s="1215" t="s">
        <v>535</v>
      </c>
      <c r="H204" s="1215"/>
      <c r="I204" s="1215"/>
      <c r="J204" s="1215" t="s">
        <v>535</v>
      </c>
      <c r="K204" s="1215" t="s">
        <v>535</v>
      </c>
      <c r="L204" s="1215" t="s">
        <v>535</v>
      </c>
      <c r="M204" s="1215" t="s">
        <v>535</v>
      </c>
      <c r="N204" s="1215" t="s">
        <v>535</v>
      </c>
      <c r="O204" s="1215"/>
      <c r="P204" s="1215"/>
      <c r="Q204" s="1215" t="s">
        <v>535</v>
      </c>
      <c r="R204" s="1215" t="s">
        <v>535</v>
      </c>
      <c r="S204" s="1215" t="s">
        <v>535</v>
      </c>
      <c r="T204" s="1215" t="s">
        <v>535</v>
      </c>
      <c r="U204" s="1215" t="s">
        <v>535</v>
      </c>
      <c r="V204" s="1215"/>
      <c r="W204" s="1215"/>
      <c r="X204" s="1338" t="s">
        <v>535</v>
      </c>
      <c r="Y204" s="1338" t="s">
        <v>535</v>
      </c>
      <c r="Z204" s="1338" t="s">
        <v>535</v>
      </c>
      <c r="AA204" s="1338" t="s">
        <v>535</v>
      </c>
      <c r="AB204" s="1338" t="s">
        <v>535</v>
      </c>
      <c r="AC204" s="1338"/>
      <c r="AD204" s="1338"/>
      <c r="AE204" s="1338" t="s">
        <v>535</v>
      </c>
      <c r="AF204" s="1338" t="s">
        <v>535</v>
      </c>
      <c r="AG204" s="1338" t="s">
        <v>535</v>
      </c>
      <c r="AH204" s="603">
        <v>185</v>
      </c>
      <c r="AI204" s="604">
        <v>37</v>
      </c>
    </row>
    <row r="205" spans="1:35" ht="21.95" customHeight="1">
      <c r="A205" s="442">
        <v>3701</v>
      </c>
      <c r="B205" s="1236" t="s">
        <v>348</v>
      </c>
      <c r="C205" s="1338" t="s">
        <v>535</v>
      </c>
      <c r="D205" s="1338" t="s">
        <v>535</v>
      </c>
      <c r="E205" s="1338" t="s">
        <v>535</v>
      </c>
      <c r="F205" s="1338" t="s">
        <v>535</v>
      </c>
      <c r="G205" s="1338" t="s">
        <v>535</v>
      </c>
      <c r="H205" s="1338"/>
      <c r="I205" s="1338"/>
      <c r="J205" s="1338" t="s">
        <v>535</v>
      </c>
      <c r="K205" s="1338" t="s">
        <v>535</v>
      </c>
      <c r="L205" s="1338" t="s">
        <v>535</v>
      </c>
      <c r="M205" s="1338" t="s">
        <v>535</v>
      </c>
      <c r="N205" s="1344" t="s">
        <v>535</v>
      </c>
      <c r="O205" s="1338"/>
      <c r="P205" s="1338"/>
      <c r="Q205" s="1338" t="s">
        <v>535</v>
      </c>
      <c r="R205" s="1338" t="s">
        <v>535</v>
      </c>
      <c r="S205" s="1338" t="s">
        <v>535</v>
      </c>
      <c r="T205" s="1338" t="s">
        <v>535</v>
      </c>
      <c r="U205" s="1338" t="s">
        <v>535</v>
      </c>
      <c r="V205" s="1338"/>
      <c r="W205" s="1338"/>
      <c r="X205" s="1335" t="s">
        <v>535</v>
      </c>
      <c r="Y205" s="1335" t="s">
        <v>535</v>
      </c>
      <c r="Z205" s="1335" t="s">
        <v>535</v>
      </c>
      <c r="AA205" s="1335" t="s">
        <v>535</v>
      </c>
      <c r="AB205" s="1335" t="s">
        <v>535</v>
      </c>
      <c r="AC205" s="1215"/>
      <c r="AD205" s="1215"/>
      <c r="AE205" s="1215" t="s">
        <v>535</v>
      </c>
      <c r="AF205" s="1215" t="s">
        <v>535</v>
      </c>
      <c r="AG205" s="1215" t="s">
        <v>535</v>
      </c>
      <c r="AH205" s="603">
        <v>82.5</v>
      </c>
      <c r="AI205" s="604">
        <v>37</v>
      </c>
    </row>
    <row r="206" spans="1:35" ht="21.95" customHeight="1">
      <c r="A206" s="442">
        <v>3701</v>
      </c>
      <c r="B206" s="1236" t="s">
        <v>350</v>
      </c>
      <c r="C206" s="1215" t="s">
        <v>535</v>
      </c>
      <c r="D206" s="1215" t="s">
        <v>535</v>
      </c>
      <c r="E206" s="1215" t="s">
        <v>535</v>
      </c>
      <c r="F206" s="1215" t="s">
        <v>535</v>
      </c>
      <c r="G206" s="1215" t="s">
        <v>535</v>
      </c>
      <c r="H206" s="1215"/>
      <c r="I206" s="1215"/>
      <c r="J206" s="1338" t="s">
        <v>535</v>
      </c>
      <c r="K206" s="1338" t="s">
        <v>535</v>
      </c>
      <c r="L206" s="1338" t="s">
        <v>535</v>
      </c>
      <c r="M206" s="1338" t="s">
        <v>535</v>
      </c>
      <c r="N206" s="1338" t="s">
        <v>535</v>
      </c>
      <c r="O206" s="1338"/>
      <c r="P206" s="1338"/>
      <c r="Q206" s="1338">
        <v>19</v>
      </c>
      <c r="R206" s="1338">
        <v>19</v>
      </c>
      <c r="S206" s="1338">
        <v>19</v>
      </c>
      <c r="T206" s="1338">
        <v>19</v>
      </c>
      <c r="U206" s="1338">
        <v>19</v>
      </c>
      <c r="V206" s="1338"/>
      <c r="W206" s="1338"/>
      <c r="X206" s="1338" t="s">
        <v>535</v>
      </c>
      <c r="Y206" s="1338" t="s">
        <v>535</v>
      </c>
      <c r="Z206" s="1338" t="s">
        <v>535</v>
      </c>
      <c r="AA206" s="1338" t="s">
        <v>535</v>
      </c>
      <c r="AB206" s="1338" t="s">
        <v>535</v>
      </c>
      <c r="AC206" s="1215"/>
      <c r="AD206" s="1215"/>
      <c r="AE206" s="1346" t="s">
        <v>535</v>
      </c>
      <c r="AF206" s="1346" t="s">
        <v>535</v>
      </c>
      <c r="AG206" s="1346" t="s">
        <v>535</v>
      </c>
      <c r="AH206" s="603">
        <v>82.3</v>
      </c>
      <c r="AI206" s="604">
        <v>37</v>
      </c>
    </row>
    <row r="207" spans="1:35" ht="21.95" customHeight="1">
      <c r="A207" s="442">
        <v>3701</v>
      </c>
      <c r="B207" s="1236" t="s">
        <v>351</v>
      </c>
      <c r="C207" s="1338" t="s">
        <v>535</v>
      </c>
      <c r="D207" s="1338" t="s">
        <v>535</v>
      </c>
      <c r="E207" s="1338" t="s">
        <v>535</v>
      </c>
      <c r="F207" s="1338" t="s">
        <v>535</v>
      </c>
      <c r="G207" s="1338" t="s">
        <v>535</v>
      </c>
      <c r="H207" s="1338"/>
      <c r="I207" s="1338"/>
      <c r="J207" s="1338" t="s">
        <v>535</v>
      </c>
      <c r="K207" s="1338" t="s">
        <v>535</v>
      </c>
      <c r="L207" s="1338" t="s">
        <v>535</v>
      </c>
      <c r="M207" s="1338" t="s">
        <v>535</v>
      </c>
      <c r="N207" s="1338" t="s">
        <v>535</v>
      </c>
      <c r="O207" s="1338"/>
      <c r="P207" s="1338"/>
      <c r="Q207" s="1338" t="s">
        <v>535</v>
      </c>
      <c r="R207" s="1338" t="s">
        <v>535</v>
      </c>
      <c r="S207" s="1338" t="s">
        <v>535</v>
      </c>
      <c r="T207" s="1338" t="s">
        <v>535</v>
      </c>
      <c r="U207" s="1338" t="s">
        <v>535</v>
      </c>
      <c r="V207" s="1338"/>
      <c r="W207" s="1338"/>
      <c r="X207" s="1215" t="s">
        <v>535</v>
      </c>
      <c r="Y207" s="1215" t="s">
        <v>535</v>
      </c>
      <c r="Z207" s="1215" t="s">
        <v>535</v>
      </c>
      <c r="AA207" s="1215" t="s">
        <v>535</v>
      </c>
      <c r="AB207" s="1215" t="s">
        <v>535</v>
      </c>
      <c r="AC207" s="1215"/>
      <c r="AD207" s="1215"/>
      <c r="AE207" s="1215">
        <v>19</v>
      </c>
      <c r="AF207" s="1215">
        <v>19</v>
      </c>
      <c r="AG207" s="1215">
        <v>19</v>
      </c>
      <c r="AH207" s="603">
        <v>39.299999999999997</v>
      </c>
      <c r="AI207" s="604">
        <v>37</v>
      </c>
    </row>
    <row r="208" spans="1:35" ht="21.95" customHeight="1">
      <c r="A208" s="442">
        <v>3701</v>
      </c>
      <c r="B208" s="1236" t="s">
        <v>571</v>
      </c>
      <c r="C208" s="1338">
        <v>19</v>
      </c>
      <c r="D208" s="1338">
        <v>19</v>
      </c>
      <c r="E208" s="1338">
        <v>19</v>
      </c>
      <c r="F208" s="1338">
        <v>19</v>
      </c>
      <c r="G208" s="1338">
        <v>19</v>
      </c>
      <c r="H208" s="1338"/>
      <c r="I208" s="1338"/>
      <c r="J208" s="1338" t="s">
        <v>535</v>
      </c>
      <c r="K208" s="1338" t="s">
        <v>535</v>
      </c>
      <c r="L208" s="1338" t="s">
        <v>535</v>
      </c>
      <c r="M208" s="1338" t="s">
        <v>535</v>
      </c>
      <c r="N208" s="1344" t="s">
        <v>535</v>
      </c>
      <c r="O208" s="1338"/>
      <c r="P208" s="1338"/>
      <c r="Q208" s="1338" t="s">
        <v>535</v>
      </c>
      <c r="R208" s="1338" t="s">
        <v>535</v>
      </c>
      <c r="S208" s="1338" t="s">
        <v>535</v>
      </c>
      <c r="T208" s="1338" t="s">
        <v>535</v>
      </c>
      <c r="U208" s="1338" t="s">
        <v>535</v>
      </c>
      <c r="V208" s="1338"/>
      <c r="W208" s="1338"/>
      <c r="X208" s="1338" t="s">
        <v>535</v>
      </c>
      <c r="Y208" s="1338" t="s">
        <v>535</v>
      </c>
      <c r="Z208" s="1338" t="s">
        <v>535</v>
      </c>
      <c r="AA208" s="1338" t="s">
        <v>535</v>
      </c>
      <c r="AB208" s="1338" t="s">
        <v>535</v>
      </c>
      <c r="AC208" s="1215"/>
      <c r="AD208" s="1215"/>
      <c r="AE208" s="1215" t="s">
        <v>535</v>
      </c>
      <c r="AF208" s="1215" t="s">
        <v>535</v>
      </c>
      <c r="AG208" s="1215" t="s">
        <v>535</v>
      </c>
      <c r="AH208" s="603">
        <v>45.3</v>
      </c>
      <c r="AI208" s="604">
        <v>37</v>
      </c>
    </row>
    <row r="209" spans="1:35" ht="21.95" customHeight="1">
      <c r="A209" s="442">
        <v>3701</v>
      </c>
      <c r="B209" s="545" t="s">
        <v>572</v>
      </c>
      <c r="C209" s="1338" t="s">
        <v>535</v>
      </c>
      <c r="D209" s="1338" t="s">
        <v>535</v>
      </c>
      <c r="E209" s="1338" t="s">
        <v>535</v>
      </c>
      <c r="F209" s="1338" t="s">
        <v>535</v>
      </c>
      <c r="G209" s="1338" t="s">
        <v>535</v>
      </c>
      <c r="H209" s="1338"/>
      <c r="I209" s="1338"/>
      <c r="J209" s="1215" t="s">
        <v>535</v>
      </c>
      <c r="K209" s="1215" t="s">
        <v>535</v>
      </c>
      <c r="L209" s="1215" t="s">
        <v>535</v>
      </c>
      <c r="M209" s="1215" t="s">
        <v>535</v>
      </c>
      <c r="N209" s="1215" t="s">
        <v>535</v>
      </c>
      <c r="O209" s="1215"/>
      <c r="P209" s="1215"/>
      <c r="Q209" s="1215" t="s">
        <v>535</v>
      </c>
      <c r="R209" s="1215" t="s">
        <v>535</v>
      </c>
      <c r="S209" s="1215" t="s">
        <v>535</v>
      </c>
      <c r="T209" s="1215" t="s">
        <v>535</v>
      </c>
      <c r="U209" s="1215" t="s">
        <v>535</v>
      </c>
      <c r="V209" s="1215"/>
      <c r="W209" s="1215"/>
      <c r="X209" s="1215">
        <v>19</v>
      </c>
      <c r="Y209" s="1215">
        <v>19</v>
      </c>
      <c r="Z209" s="1215">
        <v>19</v>
      </c>
      <c r="AA209" s="1215">
        <v>19</v>
      </c>
      <c r="AB209" s="1215">
        <v>19</v>
      </c>
      <c r="AC209" s="1215"/>
      <c r="AD209" s="1215"/>
      <c r="AE209" s="1215" t="s">
        <v>535</v>
      </c>
      <c r="AF209" s="1392" t="s">
        <v>570</v>
      </c>
      <c r="AG209" s="1344" t="s">
        <v>535</v>
      </c>
      <c r="AH209" s="603">
        <v>148</v>
      </c>
      <c r="AI209" s="604">
        <v>37</v>
      </c>
    </row>
    <row r="210" spans="1:35" ht="21.95" customHeight="1">
      <c r="A210" s="1318">
        <v>3701</v>
      </c>
      <c r="B210" s="1319" t="s">
        <v>573</v>
      </c>
      <c r="C210" s="1215" t="s">
        <v>535</v>
      </c>
      <c r="D210" s="1215" t="s">
        <v>535</v>
      </c>
      <c r="E210" s="1215" t="s">
        <v>535</v>
      </c>
      <c r="F210" s="1215" t="s">
        <v>535</v>
      </c>
      <c r="G210" s="1215" t="s">
        <v>535</v>
      </c>
      <c r="H210" s="1215"/>
      <c r="I210" s="1215"/>
      <c r="J210" s="1338">
        <v>19</v>
      </c>
      <c r="K210" s="1338">
        <v>19</v>
      </c>
      <c r="L210" s="1338">
        <v>19</v>
      </c>
      <c r="M210" s="1338">
        <v>19</v>
      </c>
      <c r="N210" s="1338">
        <v>19</v>
      </c>
      <c r="O210" s="1338"/>
      <c r="P210" s="1338"/>
      <c r="Q210" s="1338" t="s">
        <v>535</v>
      </c>
      <c r="R210" s="1338" t="s">
        <v>535</v>
      </c>
      <c r="S210" s="1338" t="s">
        <v>535</v>
      </c>
      <c r="T210" s="1338" t="s">
        <v>535</v>
      </c>
      <c r="U210" s="1338" t="s">
        <v>535</v>
      </c>
      <c r="V210" s="1338"/>
      <c r="W210" s="1338"/>
      <c r="X210" s="1338" t="s">
        <v>535</v>
      </c>
      <c r="Y210" s="1338" t="s">
        <v>535</v>
      </c>
      <c r="Z210" s="1338" t="s">
        <v>535</v>
      </c>
      <c r="AA210" s="1338" t="s">
        <v>535</v>
      </c>
      <c r="AB210" s="1338" t="s">
        <v>535</v>
      </c>
      <c r="AC210" s="1215"/>
      <c r="AD210" s="1215"/>
      <c r="AE210" s="1346" t="s">
        <v>535</v>
      </c>
      <c r="AF210" s="1346" t="s">
        <v>535</v>
      </c>
      <c r="AG210" s="1346" t="s">
        <v>535</v>
      </c>
      <c r="AH210" s="603">
        <v>87.3</v>
      </c>
      <c r="AI210" s="604">
        <v>37</v>
      </c>
    </row>
    <row r="211" spans="1:35" ht="21.95" customHeight="1">
      <c r="A211" s="442">
        <v>3701</v>
      </c>
      <c r="B211" s="545" t="s">
        <v>513</v>
      </c>
      <c r="C211" s="1215" t="s">
        <v>535</v>
      </c>
      <c r="D211" s="1215" t="s">
        <v>535</v>
      </c>
      <c r="E211" s="1215" t="s">
        <v>535</v>
      </c>
      <c r="F211" s="1215" t="s">
        <v>535</v>
      </c>
      <c r="G211" s="1215" t="s">
        <v>535</v>
      </c>
      <c r="H211" s="1215"/>
      <c r="I211" s="1215"/>
      <c r="J211" s="1338" t="s">
        <v>535</v>
      </c>
      <c r="K211" s="1338" t="s">
        <v>535</v>
      </c>
      <c r="L211" s="1338" t="s">
        <v>535</v>
      </c>
      <c r="M211" s="1338" t="s">
        <v>535</v>
      </c>
      <c r="N211" s="1338" t="s">
        <v>535</v>
      </c>
      <c r="O211" s="1338"/>
      <c r="P211" s="1338"/>
      <c r="Q211" s="1338" t="s">
        <v>535</v>
      </c>
      <c r="R211" s="1338" t="s">
        <v>535</v>
      </c>
      <c r="S211" s="1338" t="s">
        <v>535</v>
      </c>
      <c r="T211" s="1338" t="s">
        <v>535</v>
      </c>
      <c r="U211" s="1338" t="s">
        <v>535</v>
      </c>
      <c r="V211" s="1338"/>
      <c r="W211" s="1338"/>
      <c r="X211" s="1338" t="s">
        <v>535</v>
      </c>
      <c r="Y211" s="1338" t="s">
        <v>535</v>
      </c>
      <c r="Z211" s="1338" t="s">
        <v>535</v>
      </c>
      <c r="AA211" s="1338" t="s">
        <v>535</v>
      </c>
      <c r="AB211" s="1338" t="s">
        <v>535</v>
      </c>
      <c r="AC211" s="1338"/>
      <c r="AD211" s="1338"/>
      <c r="AE211" s="1338" t="s">
        <v>535</v>
      </c>
      <c r="AF211" s="1338" t="s">
        <v>535</v>
      </c>
      <c r="AG211" s="1338" t="s">
        <v>535</v>
      </c>
      <c r="AH211" s="603">
        <v>37</v>
      </c>
      <c r="AI211" s="604">
        <v>37</v>
      </c>
    </row>
    <row r="212" spans="1:35" ht="21.95" customHeight="1">
      <c r="A212" s="442">
        <v>3701</v>
      </c>
      <c r="B212" s="1236" t="s">
        <v>574</v>
      </c>
      <c r="C212" s="1215" t="s">
        <v>535</v>
      </c>
      <c r="D212" s="1215" t="s">
        <v>535</v>
      </c>
      <c r="E212" s="1215" t="s">
        <v>535</v>
      </c>
      <c r="F212" s="1215" t="s">
        <v>535</v>
      </c>
      <c r="G212" s="1215" t="s">
        <v>535</v>
      </c>
      <c r="H212" s="1215"/>
      <c r="I212" s="1215"/>
      <c r="J212" s="1215" t="s">
        <v>535</v>
      </c>
      <c r="K212" s="1215" t="s">
        <v>535</v>
      </c>
      <c r="L212" s="1215" t="s">
        <v>535</v>
      </c>
      <c r="M212" s="1215" t="s">
        <v>535</v>
      </c>
      <c r="N212" s="1215" t="s">
        <v>535</v>
      </c>
      <c r="O212" s="1215"/>
      <c r="P212" s="1215"/>
      <c r="Q212" s="1338" t="s">
        <v>535</v>
      </c>
      <c r="R212" s="1338" t="s">
        <v>535</v>
      </c>
      <c r="S212" s="1338" t="s">
        <v>535</v>
      </c>
      <c r="T212" s="1338" t="s">
        <v>535</v>
      </c>
      <c r="U212" s="1338" t="s">
        <v>535</v>
      </c>
      <c r="V212" s="1338"/>
      <c r="W212" s="1338"/>
      <c r="X212" s="1338" t="s">
        <v>535</v>
      </c>
      <c r="Y212" s="1338" t="s">
        <v>535</v>
      </c>
      <c r="Z212" s="1338" t="s">
        <v>535</v>
      </c>
      <c r="AA212" s="1338" t="s">
        <v>535</v>
      </c>
      <c r="AB212" s="1338" t="s">
        <v>535</v>
      </c>
      <c r="AC212" s="1338"/>
      <c r="AD212" s="1338"/>
      <c r="AE212" s="1338" t="s">
        <v>535</v>
      </c>
      <c r="AF212" s="1338" t="s">
        <v>535</v>
      </c>
      <c r="AG212" s="1338" t="s">
        <v>535</v>
      </c>
      <c r="AH212" s="603">
        <v>185</v>
      </c>
      <c r="AI212" s="604">
        <v>37</v>
      </c>
    </row>
    <row r="213" spans="1:35" ht="21.95" customHeight="1">
      <c r="A213" s="442">
        <v>3701</v>
      </c>
      <c r="B213" s="1239" t="s">
        <v>575</v>
      </c>
      <c r="C213" s="1338" t="s">
        <v>535</v>
      </c>
      <c r="D213" s="1338" t="s">
        <v>535</v>
      </c>
      <c r="E213" s="1338" t="s">
        <v>535</v>
      </c>
      <c r="F213" s="1338" t="s">
        <v>535</v>
      </c>
      <c r="G213" s="1338" t="s">
        <v>535</v>
      </c>
      <c r="H213" s="1338"/>
      <c r="I213" s="1338"/>
      <c r="J213" s="1338" t="s">
        <v>535</v>
      </c>
      <c r="K213" s="1338" t="s">
        <v>535</v>
      </c>
      <c r="L213" s="1338" t="s">
        <v>535</v>
      </c>
      <c r="M213" s="1338" t="s">
        <v>535</v>
      </c>
      <c r="N213" s="1338" t="s">
        <v>535</v>
      </c>
      <c r="O213" s="1338"/>
      <c r="P213" s="1338"/>
      <c r="Q213" s="1215" t="s">
        <v>535</v>
      </c>
      <c r="R213" s="1215" t="s">
        <v>535</v>
      </c>
      <c r="S213" s="1215" t="s">
        <v>535</v>
      </c>
      <c r="T213" s="1215" t="s">
        <v>535</v>
      </c>
      <c r="U213" s="1215" t="s">
        <v>535</v>
      </c>
      <c r="V213" s="1215"/>
      <c r="W213" s="1215"/>
      <c r="X213" s="1215" t="s">
        <v>535</v>
      </c>
      <c r="Y213" s="1215" t="s">
        <v>535</v>
      </c>
      <c r="Z213" s="1215" t="s">
        <v>535</v>
      </c>
      <c r="AA213" s="1215" t="s">
        <v>535</v>
      </c>
      <c r="AB213" s="1215" t="s">
        <v>535</v>
      </c>
      <c r="AC213" s="1215"/>
      <c r="AD213" s="1215"/>
      <c r="AE213" s="1215" t="s">
        <v>535</v>
      </c>
      <c r="AF213" s="1215" t="s">
        <v>535</v>
      </c>
      <c r="AG213" s="1215" t="s">
        <v>535</v>
      </c>
      <c r="AH213" s="603">
        <v>74</v>
      </c>
      <c r="AI213" s="604">
        <v>37</v>
      </c>
    </row>
    <row r="214" spans="1:35" ht="21.95" customHeight="1">
      <c r="A214" s="903">
        <v>3701</v>
      </c>
      <c r="B214" s="1240" t="s">
        <v>576</v>
      </c>
      <c r="C214" s="1229"/>
      <c r="D214" s="1229"/>
      <c r="E214" s="1229"/>
      <c r="F214" s="1229"/>
      <c r="G214" s="1229"/>
      <c r="H214" s="1229"/>
      <c r="I214" s="1229"/>
      <c r="J214" s="1229"/>
      <c r="K214" s="1229"/>
      <c r="L214" s="1229"/>
      <c r="M214" s="1229"/>
      <c r="N214" s="1229"/>
      <c r="O214" s="1229"/>
      <c r="P214" s="1229"/>
      <c r="Q214" s="1229"/>
      <c r="R214" s="1229"/>
      <c r="S214" s="1229"/>
      <c r="T214" s="1229"/>
      <c r="U214" s="1229"/>
      <c r="V214" s="1229"/>
      <c r="W214" s="1229"/>
      <c r="X214" s="1229"/>
      <c r="Y214" s="1229"/>
      <c r="Z214" s="1229"/>
      <c r="AA214" s="1229"/>
      <c r="AB214" s="1229"/>
      <c r="AC214" s="1229"/>
      <c r="AD214" s="1229"/>
      <c r="AE214" s="1229"/>
      <c r="AF214" s="1229"/>
      <c r="AG214" s="1229"/>
      <c r="AH214" s="904"/>
      <c r="AI214" s="904"/>
    </row>
    <row r="215" spans="1:35" ht="21.95" customHeight="1">
      <c r="A215" s="578"/>
      <c r="B215" s="621"/>
      <c r="C215" s="559"/>
      <c r="D215" s="559"/>
      <c r="E215" s="559"/>
      <c r="F215" s="559"/>
      <c r="G215" s="559"/>
      <c r="H215" s="559"/>
      <c r="I215" s="559"/>
      <c r="J215" s="559"/>
      <c r="K215" s="520"/>
      <c r="L215" s="559"/>
      <c r="M215" s="559"/>
      <c r="N215" s="559"/>
      <c r="O215" s="559"/>
      <c r="P215" s="541"/>
      <c r="Q215" s="541"/>
      <c r="R215" s="541"/>
      <c r="S215" s="559"/>
      <c r="T215" s="559"/>
      <c r="U215" s="559"/>
      <c r="V215" s="559"/>
      <c r="W215" s="559"/>
      <c r="X215" s="559"/>
      <c r="Y215" s="559"/>
      <c r="Z215" s="559"/>
      <c r="AA215" s="559"/>
      <c r="AB215" s="559"/>
      <c r="AC215" s="559"/>
      <c r="AD215" s="559"/>
      <c r="AE215" s="559"/>
      <c r="AF215" s="559"/>
      <c r="AG215" s="559"/>
      <c r="AH215" s="560"/>
      <c r="AI215" s="560"/>
    </row>
    <row r="216" spans="1:35" ht="21" customHeight="1" thickBot="1">
      <c r="A216" s="1" t="s">
        <v>577</v>
      </c>
    </row>
    <row r="217" spans="1:35" ht="21" customHeight="1">
      <c r="B217" s="201" t="s">
        <v>516</v>
      </c>
      <c r="C217" s="7"/>
      <c r="D217" s="525" t="s">
        <v>2</v>
      </c>
      <c r="E217" s="51"/>
      <c r="F217" s="551"/>
      <c r="G217" s="7"/>
      <c r="H217" s="525" t="s">
        <v>3</v>
      </c>
      <c r="I217" s="51"/>
      <c r="J217" s="551"/>
      <c r="K217" s="7"/>
      <c r="L217" s="525" t="s">
        <v>4</v>
      </c>
      <c r="M217" s="51"/>
      <c r="N217" s="551"/>
      <c r="O217" s="7"/>
      <c r="P217" s="525" t="s">
        <v>5</v>
      </c>
      <c r="Q217" s="51"/>
      <c r="R217" s="551"/>
      <c r="S217" s="7"/>
      <c r="T217" s="525" t="s">
        <v>6</v>
      </c>
      <c r="U217" s="51"/>
      <c r="V217" s="551"/>
      <c r="W217" s="7"/>
      <c r="X217" s="525" t="s">
        <v>7</v>
      </c>
      <c r="Y217" s="51"/>
      <c r="Z217" s="551"/>
      <c r="AA217" s="7"/>
      <c r="AB217" s="525" t="s">
        <v>8</v>
      </c>
      <c r="AC217" s="51"/>
      <c r="AD217" s="51"/>
      <c r="AE217" s="425" t="s">
        <v>10</v>
      </c>
      <c r="AF217" s="51"/>
      <c r="AG217" s="51"/>
      <c r="AH217" s="51"/>
      <c r="AI217" s="526"/>
    </row>
    <row r="218" spans="1:35" ht="21" customHeight="1">
      <c r="B218" s="9">
        <v>8502</v>
      </c>
      <c r="C218" s="14" t="s">
        <v>11</v>
      </c>
      <c r="D218" s="609"/>
      <c r="E218" s="55"/>
      <c r="F218" s="608"/>
      <c r="G218" s="14" t="s">
        <v>11</v>
      </c>
      <c r="H218" s="609"/>
      <c r="I218" s="55"/>
      <c r="J218" s="608"/>
      <c r="K218" s="14" t="s">
        <v>11</v>
      </c>
      <c r="L218" s="609"/>
      <c r="M218" s="55"/>
      <c r="N218" s="608"/>
      <c r="O218" s="14" t="s">
        <v>11</v>
      </c>
      <c r="P218" s="609"/>
      <c r="Q218" s="55"/>
      <c r="R218" s="608"/>
      <c r="S218" s="14" t="s">
        <v>12</v>
      </c>
      <c r="T218" s="609"/>
      <c r="U218" s="55"/>
      <c r="V218" s="608"/>
      <c r="W218" s="14"/>
      <c r="X218" s="609"/>
      <c r="Y218" s="55"/>
      <c r="Z218" s="608"/>
      <c r="AA218" s="14"/>
      <c r="AB218" s="609"/>
      <c r="AC218" s="55"/>
      <c r="AD218" s="55"/>
      <c r="AE218" s="610"/>
      <c r="AF218" s="55"/>
      <c r="AG218" s="55"/>
      <c r="AH218" s="55"/>
      <c r="AI218" s="611"/>
    </row>
    <row r="219" spans="1:35" ht="21" customHeight="1">
      <c r="B219" s="612">
        <v>3701</v>
      </c>
      <c r="C219" s="121" t="s">
        <v>11</v>
      </c>
      <c r="D219" s="131"/>
      <c r="E219" s="55"/>
      <c r="F219" s="608"/>
      <c r="G219" s="121" t="s">
        <v>11</v>
      </c>
      <c r="H219" s="609"/>
      <c r="I219" s="55"/>
      <c r="J219" s="608"/>
      <c r="K219" s="121" t="s">
        <v>11</v>
      </c>
      <c r="L219" s="609"/>
      <c r="M219" s="55"/>
      <c r="N219" s="608"/>
      <c r="O219" s="121" t="s">
        <v>11</v>
      </c>
      <c r="P219" s="609"/>
      <c r="Q219" s="55"/>
      <c r="R219" s="608"/>
      <c r="S219" s="14" t="s">
        <v>12</v>
      </c>
      <c r="T219" s="609"/>
      <c r="U219" s="55"/>
      <c r="V219" s="608"/>
      <c r="W219" s="14"/>
      <c r="X219" s="609"/>
      <c r="Y219" s="55"/>
      <c r="Z219" s="608"/>
      <c r="AA219" s="14"/>
      <c r="AB219" s="609"/>
      <c r="AC219" s="55"/>
      <c r="AD219" s="55"/>
      <c r="AE219" s="610"/>
      <c r="AF219" s="55"/>
      <c r="AG219" s="55"/>
      <c r="AH219" s="55"/>
      <c r="AI219" s="611"/>
    </row>
    <row r="220" spans="1:35" ht="21" customHeight="1">
      <c r="B220" s="612">
        <v>3705</v>
      </c>
      <c r="C220" s="121" t="s">
        <v>147</v>
      </c>
      <c r="D220" s="131"/>
      <c r="E220" s="55"/>
      <c r="F220" s="608"/>
      <c r="G220" s="121" t="s">
        <v>147</v>
      </c>
      <c r="H220" s="609"/>
      <c r="I220" s="55"/>
      <c r="J220" s="608"/>
      <c r="K220" s="121" t="s">
        <v>147</v>
      </c>
      <c r="L220" s="609"/>
      <c r="M220" s="55"/>
      <c r="N220" s="608"/>
      <c r="O220" s="121" t="s">
        <v>147</v>
      </c>
      <c r="P220" s="609"/>
      <c r="Q220" s="55"/>
      <c r="R220" s="608"/>
      <c r="S220" s="121" t="s">
        <v>578</v>
      </c>
      <c r="T220" s="609"/>
      <c r="U220" s="55"/>
      <c r="V220" s="608"/>
      <c r="W220" s="14"/>
      <c r="X220" s="609"/>
      <c r="Y220" s="55"/>
      <c r="Z220" s="608"/>
      <c r="AA220" s="14"/>
      <c r="AB220" s="609"/>
      <c r="AC220" s="55"/>
      <c r="AD220" s="55"/>
      <c r="AE220" s="610"/>
      <c r="AF220" s="55"/>
      <c r="AG220" s="55"/>
      <c r="AH220" s="55"/>
      <c r="AI220" s="611"/>
    </row>
    <row r="221" spans="1:35" ht="21" customHeight="1">
      <c r="B221" s="612" t="s">
        <v>579</v>
      </c>
      <c r="C221" s="567" t="s">
        <v>580</v>
      </c>
      <c r="D221" s="131"/>
      <c r="E221" s="55"/>
      <c r="F221" s="608"/>
      <c r="G221" s="567" t="s">
        <v>580</v>
      </c>
      <c r="H221" s="609"/>
      <c r="I221" s="55"/>
      <c r="J221" s="608"/>
      <c r="K221" s="567" t="s">
        <v>580</v>
      </c>
      <c r="L221" s="609"/>
      <c r="M221" s="55"/>
      <c r="N221" s="608"/>
      <c r="O221" s="567" t="s">
        <v>580</v>
      </c>
      <c r="P221" s="609"/>
      <c r="Q221" s="55"/>
      <c r="R221" s="608"/>
      <c r="S221" s="567" t="s">
        <v>580</v>
      </c>
      <c r="T221" s="609"/>
      <c r="U221" s="55"/>
      <c r="V221" s="608"/>
      <c r="W221" s="14"/>
      <c r="X221" s="609"/>
      <c r="Y221" s="55"/>
      <c r="Z221" s="608"/>
      <c r="AA221" s="14"/>
      <c r="AB221" s="609"/>
      <c r="AC221" s="55"/>
      <c r="AD221" s="55"/>
      <c r="AE221" s="610"/>
      <c r="AF221" s="55"/>
      <c r="AG221" s="55"/>
      <c r="AH221" s="55"/>
      <c r="AI221" s="611"/>
    </row>
    <row r="222" spans="1:35" ht="21" customHeight="1">
      <c r="B222" s="612" t="s">
        <v>581</v>
      </c>
      <c r="C222" s="567" t="s">
        <v>582</v>
      </c>
      <c r="D222" s="131"/>
      <c r="E222" s="55"/>
      <c r="F222" s="608"/>
      <c r="G222" s="609" t="s">
        <v>583</v>
      </c>
      <c r="H222" s="609"/>
      <c r="I222" s="55"/>
      <c r="J222" s="608"/>
      <c r="K222" s="609" t="s">
        <v>584</v>
      </c>
      <c r="L222" s="609"/>
      <c r="M222" s="55"/>
      <c r="N222" s="608"/>
      <c r="O222" s="609" t="s">
        <v>584</v>
      </c>
      <c r="P222" s="609"/>
      <c r="Q222" s="55"/>
      <c r="R222" s="608"/>
      <c r="S222" s="609" t="s">
        <v>585</v>
      </c>
      <c r="T222" s="609"/>
      <c r="U222" s="55"/>
      <c r="V222" s="608"/>
      <c r="W222" s="14"/>
      <c r="X222" s="609"/>
      <c r="Y222" s="55"/>
      <c r="Z222" s="608"/>
      <c r="AA222" s="14"/>
      <c r="AB222" s="609"/>
      <c r="AC222" s="55"/>
      <c r="AD222" s="55"/>
      <c r="AE222" s="610"/>
      <c r="AF222" s="55"/>
      <c r="AG222" s="55"/>
      <c r="AH222" s="55"/>
      <c r="AI222" s="611"/>
    </row>
    <row r="223" spans="1:35" ht="21" customHeight="1">
      <c r="B223" s="612" t="s">
        <v>164</v>
      </c>
      <c r="C223" s="567" t="s">
        <v>518</v>
      </c>
      <c r="D223" s="131"/>
      <c r="E223" s="55"/>
      <c r="F223" s="608"/>
      <c r="G223" s="567" t="s">
        <v>518</v>
      </c>
      <c r="H223" s="131"/>
      <c r="I223" s="55"/>
      <c r="J223" s="608"/>
      <c r="K223" s="567" t="s">
        <v>518</v>
      </c>
      <c r="L223" s="131"/>
      <c r="M223" s="55"/>
      <c r="N223" s="608"/>
      <c r="O223" s="567" t="s">
        <v>518</v>
      </c>
      <c r="P223" s="131"/>
      <c r="Q223" s="55"/>
      <c r="R223" s="608"/>
      <c r="S223" s="609" t="s">
        <v>519</v>
      </c>
      <c r="T223" s="609"/>
      <c r="U223" s="55"/>
      <c r="V223" s="608"/>
      <c r="W223" s="14"/>
      <c r="X223" s="609"/>
      <c r="Y223" s="55"/>
      <c r="Z223" s="608"/>
      <c r="AA223" s="14"/>
      <c r="AB223" s="609"/>
      <c r="AC223" s="55"/>
      <c r="AD223" s="55"/>
      <c r="AE223" s="610"/>
      <c r="AF223" s="55"/>
      <c r="AG223" s="55"/>
      <c r="AH223" s="55"/>
      <c r="AI223" s="611"/>
    </row>
    <row r="224" spans="1:35" ht="21" customHeight="1">
      <c r="B224" s="612" t="s">
        <v>167</v>
      </c>
      <c r="C224" s="567" t="s">
        <v>521</v>
      </c>
      <c r="D224" s="131"/>
      <c r="E224" s="55"/>
      <c r="F224" s="608"/>
      <c r="G224" s="567" t="s">
        <v>521</v>
      </c>
      <c r="H224" s="131"/>
      <c r="I224" s="55"/>
      <c r="J224" s="608"/>
      <c r="K224" s="567" t="s">
        <v>521</v>
      </c>
      <c r="L224" s="131"/>
      <c r="M224" s="55"/>
      <c r="N224" s="608"/>
      <c r="O224" s="567" t="s">
        <v>521</v>
      </c>
      <c r="P224" s="131"/>
      <c r="Q224" s="55"/>
      <c r="R224" s="608"/>
      <c r="S224" s="609" t="s">
        <v>522</v>
      </c>
      <c r="T224" s="609"/>
      <c r="U224" s="55"/>
      <c r="V224" s="608"/>
      <c r="W224" s="14"/>
      <c r="X224" s="609"/>
      <c r="Y224" s="55"/>
      <c r="Z224" s="608"/>
      <c r="AA224" s="14"/>
      <c r="AB224" s="609"/>
      <c r="AC224" s="55"/>
      <c r="AD224" s="55"/>
      <c r="AE224" s="610"/>
      <c r="AF224" s="55"/>
      <c r="AG224" s="55"/>
      <c r="AH224" s="55"/>
      <c r="AI224" s="611"/>
    </row>
    <row r="225" spans="1:35" ht="21" customHeight="1" thickBot="1">
      <c r="B225" s="617" t="s">
        <v>170</v>
      </c>
      <c r="C225" s="574" t="s">
        <v>524</v>
      </c>
      <c r="D225" s="48"/>
      <c r="E225" s="622"/>
      <c r="F225" s="240"/>
      <c r="G225" s="574" t="s">
        <v>524</v>
      </c>
      <c r="H225" s="48"/>
      <c r="I225" s="622"/>
      <c r="J225" s="240"/>
      <c r="K225" s="574" t="s">
        <v>524</v>
      </c>
      <c r="L225" s="48"/>
      <c r="M225" s="622"/>
      <c r="N225" s="240"/>
      <c r="O225" s="574" t="s">
        <v>524</v>
      </c>
      <c r="P225" s="48"/>
      <c r="Q225" s="622"/>
      <c r="R225" s="240"/>
      <c r="S225" s="149" t="s">
        <v>525</v>
      </c>
      <c r="T225" s="149"/>
      <c r="U225" s="622"/>
      <c r="V225" s="240"/>
      <c r="W225" s="623"/>
      <c r="X225" s="149"/>
      <c r="Y225" s="622"/>
      <c r="Z225" s="240"/>
      <c r="AA225" s="623"/>
      <c r="AB225" s="149"/>
      <c r="AC225" s="622"/>
      <c r="AD225" s="622"/>
      <c r="AE225" s="624"/>
      <c r="AF225" s="622"/>
      <c r="AG225" s="622"/>
      <c r="AH225" s="622"/>
      <c r="AI225" s="625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6" t="s">
        <v>586</v>
      </c>
    </row>
    <row r="228" spans="1:35" ht="21" customHeight="1">
      <c r="A228" s="556"/>
      <c r="B228" s="297" t="s">
        <v>480</v>
      </c>
      <c r="C228" s="1234">
        <v>1</v>
      </c>
      <c r="D228" s="1234">
        <v>2</v>
      </c>
      <c r="E228" s="1234">
        <v>3</v>
      </c>
      <c r="F228" s="1234">
        <v>4</v>
      </c>
      <c r="G228" s="1234">
        <v>5</v>
      </c>
      <c r="H228" s="1235">
        <v>6</v>
      </c>
      <c r="I228" s="1330">
        <v>7</v>
      </c>
      <c r="J228" s="1213">
        <v>8</v>
      </c>
      <c r="K228" s="1234">
        <v>9</v>
      </c>
      <c r="L228" s="1234">
        <v>10</v>
      </c>
      <c r="M228" s="1234">
        <v>11</v>
      </c>
      <c r="N228" s="1234">
        <v>12</v>
      </c>
      <c r="O228" s="1235">
        <v>13</v>
      </c>
      <c r="P228" s="1330">
        <v>14</v>
      </c>
      <c r="Q228" s="1213">
        <v>15</v>
      </c>
      <c r="R228" s="1234">
        <v>16</v>
      </c>
      <c r="S228" s="1234">
        <v>17</v>
      </c>
      <c r="T228" s="1234">
        <v>18</v>
      </c>
      <c r="U228" s="1234">
        <v>19</v>
      </c>
      <c r="V228" s="1330">
        <v>20</v>
      </c>
      <c r="W228" s="1330">
        <v>21</v>
      </c>
      <c r="X228" s="1213">
        <v>22</v>
      </c>
      <c r="Y228" s="1234">
        <v>23</v>
      </c>
      <c r="Z228" s="1234">
        <v>24</v>
      </c>
      <c r="AA228" s="1234">
        <v>25</v>
      </c>
      <c r="AB228" s="1234">
        <v>26</v>
      </c>
      <c r="AC228" s="1235">
        <v>27</v>
      </c>
      <c r="AD228" s="1330">
        <v>28</v>
      </c>
      <c r="AE228" s="1213">
        <v>29</v>
      </c>
      <c r="AF228" s="1234">
        <v>30</v>
      </c>
      <c r="AG228" s="1234">
        <v>31</v>
      </c>
      <c r="AH228" s="498" t="s">
        <v>481</v>
      </c>
      <c r="AI228" s="499" t="s">
        <v>482</v>
      </c>
    </row>
    <row r="229" spans="1:35" ht="21" customHeight="1">
      <c r="A229" s="442">
        <v>3702</v>
      </c>
      <c r="B229" s="153" t="s">
        <v>587</v>
      </c>
      <c r="C229" s="557">
        <v>2</v>
      </c>
      <c r="D229" s="1439" t="s">
        <v>759</v>
      </c>
      <c r="E229" s="1208">
        <v>2</v>
      </c>
      <c r="F229" s="1208">
        <v>2</v>
      </c>
      <c r="G229" s="1208">
        <v>2</v>
      </c>
      <c r="H229" s="1215"/>
      <c r="I229" s="1215"/>
      <c r="J229" s="557">
        <v>1</v>
      </c>
      <c r="K229" s="557">
        <v>1</v>
      </c>
      <c r="L229" s="557">
        <v>1</v>
      </c>
      <c r="M229" s="557">
        <v>1</v>
      </c>
      <c r="N229" s="557">
        <v>1</v>
      </c>
      <c r="O229" s="1215"/>
      <c r="P229" s="557"/>
      <c r="Q229" s="1365">
        <v>2</v>
      </c>
      <c r="R229" s="1365">
        <v>2</v>
      </c>
      <c r="S229" s="1365">
        <v>2</v>
      </c>
      <c r="T229" s="1365">
        <v>2</v>
      </c>
      <c r="U229" s="1365">
        <v>2</v>
      </c>
      <c r="V229" s="1338"/>
      <c r="W229" s="1338"/>
      <c r="X229" s="1365">
        <v>1</v>
      </c>
      <c r="Y229" s="1365">
        <v>1</v>
      </c>
      <c r="Z229" s="1365">
        <v>1</v>
      </c>
      <c r="AA229" s="1365">
        <v>1</v>
      </c>
      <c r="AB229" s="1365">
        <v>1</v>
      </c>
      <c r="AC229" s="1365"/>
      <c r="AD229" s="1365"/>
      <c r="AE229" s="1365">
        <v>2</v>
      </c>
      <c r="AF229" s="1365">
        <v>2</v>
      </c>
      <c r="AG229" s="1365">
        <v>2</v>
      </c>
      <c r="AH229" s="504">
        <v>185</v>
      </c>
      <c r="AI229" s="505">
        <v>37</v>
      </c>
    </row>
    <row r="230" spans="1:35" ht="21" customHeight="1">
      <c r="A230" s="442">
        <v>3701</v>
      </c>
      <c r="B230" s="153" t="s">
        <v>588</v>
      </c>
      <c r="C230" s="557" t="s">
        <v>535</v>
      </c>
      <c r="D230" s="557" t="s">
        <v>535</v>
      </c>
      <c r="E230" s="557" t="s">
        <v>535</v>
      </c>
      <c r="F230" s="557" t="s">
        <v>535</v>
      </c>
      <c r="G230" s="557" t="s">
        <v>535</v>
      </c>
      <c r="H230" s="1215"/>
      <c r="I230" s="1215"/>
      <c r="J230" s="557" t="s">
        <v>535</v>
      </c>
      <c r="K230" s="557" t="s">
        <v>535</v>
      </c>
      <c r="L230" s="557" t="s">
        <v>535</v>
      </c>
      <c r="M230" s="557" t="s">
        <v>535</v>
      </c>
      <c r="N230" s="557" t="s">
        <v>535</v>
      </c>
      <c r="O230" s="1215"/>
      <c r="P230" s="557"/>
      <c r="Q230" s="557" t="s">
        <v>535</v>
      </c>
      <c r="R230" s="557" t="s">
        <v>535</v>
      </c>
      <c r="S230" s="557" t="s">
        <v>535</v>
      </c>
      <c r="T230" s="557" t="s">
        <v>535</v>
      </c>
      <c r="U230" s="557" t="s">
        <v>535</v>
      </c>
      <c r="V230" s="1215"/>
      <c r="W230" s="1215"/>
      <c r="X230" s="557" t="s">
        <v>535</v>
      </c>
      <c r="Y230" s="1439" t="s">
        <v>749</v>
      </c>
      <c r="Z230" s="1208" t="s">
        <v>535</v>
      </c>
      <c r="AA230" s="1208" t="s">
        <v>535</v>
      </c>
      <c r="AB230" s="1208" t="s">
        <v>535</v>
      </c>
      <c r="AC230" s="1208"/>
      <c r="AD230" s="1208"/>
      <c r="AE230" s="1208" t="s">
        <v>535</v>
      </c>
      <c r="AF230" s="1208" t="s">
        <v>535</v>
      </c>
      <c r="AG230" s="1208" t="s">
        <v>535</v>
      </c>
      <c r="AH230" s="504">
        <v>185</v>
      </c>
      <c r="AI230" s="505">
        <v>37</v>
      </c>
    </row>
    <row r="231" spans="1:35" ht="21" customHeight="1">
      <c r="A231" s="442">
        <v>3702</v>
      </c>
      <c r="B231" s="153" t="s">
        <v>589</v>
      </c>
      <c r="C231" s="557">
        <v>1</v>
      </c>
      <c r="D231" s="557">
        <v>1</v>
      </c>
      <c r="E231" s="557">
        <v>1</v>
      </c>
      <c r="F231" s="557">
        <v>1</v>
      </c>
      <c r="G231" s="557">
        <v>1</v>
      </c>
      <c r="H231" s="1215"/>
      <c r="I231" s="1215"/>
      <c r="J231" s="557">
        <v>2</v>
      </c>
      <c r="K231" s="557">
        <v>2</v>
      </c>
      <c r="L231" s="557">
        <v>2</v>
      </c>
      <c r="M231" s="557">
        <v>2</v>
      </c>
      <c r="N231" s="557">
        <v>2</v>
      </c>
      <c r="O231" s="1215"/>
      <c r="P231" s="557"/>
      <c r="Q231" s="557">
        <v>1</v>
      </c>
      <c r="R231" s="557">
        <v>1</v>
      </c>
      <c r="S231" s="557">
        <v>1</v>
      </c>
      <c r="T231" s="557">
        <v>1</v>
      </c>
      <c r="U231" s="557">
        <v>1</v>
      </c>
      <c r="V231" s="1215"/>
      <c r="W231" s="1215"/>
      <c r="X231" s="557">
        <v>2</v>
      </c>
      <c r="Y231" s="557">
        <v>2</v>
      </c>
      <c r="Z231" s="557">
        <v>2</v>
      </c>
      <c r="AA231" s="557">
        <v>2</v>
      </c>
      <c r="AB231" s="557">
        <v>2</v>
      </c>
      <c r="AC231" s="1208"/>
      <c r="AD231" s="1208"/>
      <c r="AE231" s="1208">
        <v>1</v>
      </c>
      <c r="AF231" s="1208">
        <v>1</v>
      </c>
      <c r="AG231" s="1208">
        <v>1</v>
      </c>
      <c r="AH231" s="504">
        <v>185</v>
      </c>
      <c r="AI231" s="505">
        <v>37</v>
      </c>
    </row>
    <row r="232" spans="1:35" ht="21" customHeight="1">
      <c r="A232" s="627">
        <v>3706</v>
      </c>
      <c r="B232" s="545"/>
      <c r="C232" s="1215"/>
      <c r="D232" s="1215"/>
      <c r="E232" s="1215"/>
      <c r="F232" s="1215"/>
      <c r="G232" s="1215"/>
      <c r="H232" s="1215"/>
      <c r="I232" s="1215"/>
      <c r="J232" s="1215"/>
      <c r="K232" s="1215"/>
      <c r="L232" s="1215"/>
      <c r="M232" s="1215"/>
      <c r="N232" s="1215"/>
      <c r="O232" s="1215"/>
      <c r="P232" s="1215"/>
      <c r="Q232" s="1215"/>
      <c r="R232" s="1215"/>
      <c r="S232" s="1215"/>
      <c r="T232" s="1215"/>
      <c r="U232" s="1215"/>
      <c r="V232" s="1215"/>
      <c r="W232" s="1215"/>
      <c r="X232" s="1215"/>
      <c r="Y232" s="1215"/>
      <c r="Z232" s="1215"/>
      <c r="AA232" s="1215"/>
      <c r="AB232" s="1215"/>
      <c r="AC232" s="1215"/>
      <c r="AD232" s="1215"/>
      <c r="AE232" s="1215"/>
      <c r="AF232" s="1215"/>
      <c r="AG232" s="1215"/>
      <c r="AH232" s="504">
        <v>185</v>
      </c>
      <c r="AI232" s="505">
        <v>37</v>
      </c>
    </row>
    <row r="233" spans="1:35" ht="21" customHeight="1">
      <c r="A233" s="628"/>
      <c r="B233" s="629" t="s">
        <v>590</v>
      </c>
      <c r="C233" s="630"/>
      <c r="D233" s="630"/>
      <c r="E233" s="630"/>
      <c r="F233" s="630"/>
      <c r="G233" s="630"/>
      <c r="H233" s="630"/>
      <c r="I233" s="630"/>
      <c r="J233" s="630"/>
      <c r="K233" s="630"/>
      <c r="L233" s="630"/>
      <c r="M233" s="630"/>
      <c r="N233" s="630"/>
      <c r="O233" s="630"/>
      <c r="P233" s="630"/>
      <c r="Q233" s="630"/>
      <c r="R233" s="630"/>
      <c r="S233" s="630"/>
      <c r="T233" s="630"/>
      <c r="U233" s="630"/>
      <c r="V233" s="630"/>
      <c r="W233" s="630"/>
      <c r="X233" s="630"/>
      <c r="Y233" s="630"/>
      <c r="Z233" s="630"/>
      <c r="AA233" s="630"/>
      <c r="AB233" s="630"/>
      <c r="AC233" s="630"/>
      <c r="AD233" s="630"/>
      <c r="AE233" s="630"/>
      <c r="AF233" s="630"/>
      <c r="AG233" s="631"/>
      <c r="AH233" s="632"/>
      <c r="AI233" s="633"/>
    </row>
    <row r="234" spans="1:35" ht="21" customHeight="1">
      <c r="A234" s="442">
        <v>3702</v>
      </c>
      <c r="B234" s="902" t="s">
        <v>520</v>
      </c>
      <c r="C234" s="1365" t="s">
        <v>591</v>
      </c>
      <c r="D234" s="1365" t="s">
        <v>591</v>
      </c>
      <c r="E234" s="1365" t="s">
        <v>591</v>
      </c>
      <c r="F234" s="1365" t="s">
        <v>591</v>
      </c>
      <c r="G234" s="1365" t="s">
        <v>591</v>
      </c>
      <c r="H234" s="1545"/>
      <c r="I234" s="1545"/>
      <c r="J234" s="1365" t="s">
        <v>591</v>
      </c>
      <c r="K234" s="1365" t="s">
        <v>591</v>
      </c>
      <c r="L234" s="1365" t="s">
        <v>591</v>
      </c>
      <c r="M234" s="1365" t="s">
        <v>591</v>
      </c>
      <c r="N234" s="1365" t="s">
        <v>591</v>
      </c>
      <c r="O234" s="1365"/>
      <c r="P234" s="1365"/>
      <c r="Q234" s="557" t="s">
        <v>591</v>
      </c>
      <c r="R234" s="557" t="s">
        <v>591</v>
      </c>
      <c r="S234" s="557" t="s">
        <v>591</v>
      </c>
      <c r="T234" s="557" t="s">
        <v>591</v>
      </c>
      <c r="U234" s="557" t="s">
        <v>591</v>
      </c>
      <c r="V234" s="1215"/>
      <c r="W234" s="1215"/>
      <c r="X234" s="557" t="s">
        <v>591</v>
      </c>
      <c r="Y234" s="557" t="s">
        <v>591</v>
      </c>
      <c r="Z234" s="557" t="s">
        <v>591</v>
      </c>
      <c r="AA234" s="557" t="s">
        <v>591</v>
      </c>
      <c r="AB234" s="557" t="s">
        <v>591</v>
      </c>
      <c r="AC234" s="502"/>
      <c r="AD234" s="502"/>
      <c r="AE234" s="557" t="s">
        <v>591</v>
      </c>
      <c r="AF234" s="557" t="s">
        <v>591</v>
      </c>
      <c r="AG234" s="557" t="s">
        <v>591</v>
      </c>
      <c r="AH234" s="504">
        <v>98.5</v>
      </c>
      <c r="AI234" s="505">
        <v>37</v>
      </c>
    </row>
    <row r="235" spans="1:35" ht="21" customHeight="1">
      <c r="A235" s="442"/>
      <c r="B235" s="153" t="s">
        <v>517</v>
      </c>
      <c r="C235" s="557" t="s">
        <v>592</v>
      </c>
      <c r="D235" s="557" t="s">
        <v>592</v>
      </c>
      <c r="E235" s="557" t="s">
        <v>592</v>
      </c>
      <c r="F235" s="557" t="s">
        <v>592</v>
      </c>
      <c r="G235" s="557" t="s">
        <v>592</v>
      </c>
      <c r="H235" s="502"/>
      <c r="I235" s="502"/>
      <c r="J235" s="1365" t="s">
        <v>592</v>
      </c>
      <c r="K235" s="1365" t="s">
        <v>592</v>
      </c>
      <c r="L235" s="1365" t="s">
        <v>592</v>
      </c>
      <c r="M235" s="1365" t="s">
        <v>592</v>
      </c>
      <c r="N235" s="1365" t="s">
        <v>592</v>
      </c>
      <c r="O235" s="1365"/>
      <c r="P235" s="1365"/>
      <c r="Q235" s="1365" t="s">
        <v>592</v>
      </c>
      <c r="R235" s="1365" t="s">
        <v>592</v>
      </c>
      <c r="S235" s="1365" t="s">
        <v>592</v>
      </c>
      <c r="T235" s="1365" t="s">
        <v>592</v>
      </c>
      <c r="U235" s="1365" t="s">
        <v>592</v>
      </c>
      <c r="V235" s="1338"/>
      <c r="W235" s="1338"/>
      <c r="X235" s="1365" t="s">
        <v>592</v>
      </c>
      <c r="Y235" s="1365" t="s">
        <v>592</v>
      </c>
      <c r="Z235" s="1365" t="s">
        <v>592</v>
      </c>
      <c r="AA235" s="1365" t="s">
        <v>592</v>
      </c>
      <c r="AB235" s="1365" t="s">
        <v>592</v>
      </c>
      <c r="AC235" s="1545"/>
      <c r="AD235" s="1545"/>
      <c r="AE235" s="557" t="s">
        <v>592</v>
      </c>
      <c r="AF235" s="557" t="s">
        <v>592</v>
      </c>
      <c r="AG235" s="557" t="s">
        <v>592</v>
      </c>
      <c r="AH235" s="504">
        <v>109.15</v>
      </c>
      <c r="AI235" s="505">
        <v>37</v>
      </c>
    </row>
    <row r="236" spans="1:35" ht="21" customHeight="1">
      <c r="A236" s="442"/>
      <c r="B236" s="153" t="s">
        <v>523</v>
      </c>
      <c r="C236" s="557" t="s">
        <v>556</v>
      </c>
      <c r="D236" s="557" t="s">
        <v>556</v>
      </c>
      <c r="E236" s="557" t="s">
        <v>556</v>
      </c>
      <c r="F236" s="557" t="s">
        <v>556</v>
      </c>
      <c r="G236" s="557" t="s">
        <v>556</v>
      </c>
      <c r="H236" s="502"/>
      <c r="I236" s="502"/>
      <c r="J236" s="557" t="s">
        <v>556</v>
      </c>
      <c r="K236" s="557" t="s">
        <v>556</v>
      </c>
      <c r="L236" s="557" t="s">
        <v>556</v>
      </c>
      <c r="M236" s="557" t="s">
        <v>556</v>
      </c>
      <c r="N236" s="557" t="s">
        <v>556</v>
      </c>
      <c r="O236" s="557"/>
      <c r="P236" s="557"/>
      <c r="Q236" s="557" t="s">
        <v>556</v>
      </c>
      <c r="R236" s="557" t="s">
        <v>556</v>
      </c>
      <c r="S236" s="557" t="s">
        <v>556</v>
      </c>
      <c r="T236" s="557" t="s">
        <v>556</v>
      </c>
      <c r="U236" s="557" t="s">
        <v>556</v>
      </c>
      <c r="V236" s="1215"/>
      <c r="W236" s="1215"/>
      <c r="X236" s="557" t="s">
        <v>556</v>
      </c>
      <c r="Y236" s="557" t="s">
        <v>556</v>
      </c>
      <c r="Z236" s="557" t="s">
        <v>556</v>
      </c>
      <c r="AA236" s="557" t="s">
        <v>556</v>
      </c>
      <c r="AB236" s="557" t="s">
        <v>556</v>
      </c>
      <c r="AC236" s="502"/>
      <c r="AD236" s="502"/>
      <c r="AE236" s="1365" t="s">
        <v>556</v>
      </c>
      <c r="AF236" s="1365" t="s">
        <v>556</v>
      </c>
      <c r="AG236" s="1365" t="s">
        <v>556</v>
      </c>
      <c r="AH236" s="504">
        <v>185</v>
      </c>
      <c r="AI236" s="505">
        <v>37</v>
      </c>
    </row>
    <row r="237" spans="1:35" ht="21" customHeight="1"/>
    <row r="238" spans="1:35" ht="21" customHeight="1"/>
    <row r="239" spans="1:35" ht="21" customHeight="1" thickBot="1">
      <c r="A239" s="1" t="s">
        <v>593</v>
      </c>
    </row>
    <row r="240" spans="1:35" ht="21" customHeight="1">
      <c r="B240" s="201" t="s">
        <v>516</v>
      </c>
      <c r="C240" s="7"/>
      <c r="D240" s="525" t="s">
        <v>2</v>
      </c>
      <c r="E240" s="51"/>
      <c r="F240" s="551"/>
      <c r="G240" s="7"/>
      <c r="H240" s="525" t="s">
        <v>3</v>
      </c>
      <c r="I240" s="51"/>
      <c r="J240" s="551"/>
      <c r="K240" s="7"/>
      <c r="L240" s="525" t="s">
        <v>4</v>
      </c>
      <c r="M240" s="51"/>
      <c r="N240" s="551"/>
      <c r="O240" s="7"/>
      <c r="P240" s="525" t="s">
        <v>5</v>
      </c>
      <c r="Q240" s="51"/>
      <c r="R240" s="551"/>
      <c r="S240" s="7"/>
      <c r="T240" s="525" t="s">
        <v>6</v>
      </c>
      <c r="U240" s="51"/>
      <c r="V240" s="551"/>
      <c r="W240" s="7"/>
      <c r="X240" s="525" t="s">
        <v>7</v>
      </c>
      <c r="Y240" s="51"/>
      <c r="Z240" s="551"/>
      <c r="AA240" s="7"/>
      <c r="AB240" s="525" t="s">
        <v>8</v>
      </c>
      <c r="AC240" s="51"/>
      <c r="AD240" s="51"/>
      <c r="AE240" s="425" t="s">
        <v>10</v>
      </c>
      <c r="AF240" s="51"/>
      <c r="AG240" s="51"/>
      <c r="AH240" s="51"/>
      <c r="AI240" s="526"/>
    </row>
    <row r="241" spans="1:35" ht="21" customHeight="1">
      <c r="B241" s="9">
        <v>8500</v>
      </c>
      <c r="C241" s="121" t="s">
        <v>33</v>
      </c>
      <c r="D241" s="609"/>
      <c r="E241" s="55"/>
      <c r="F241" s="608"/>
      <c r="G241" s="121" t="s">
        <v>33</v>
      </c>
      <c r="H241" s="609"/>
      <c r="I241" s="55"/>
      <c r="J241" s="608"/>
      <c r="K241" s="121" t="s">
        <v>33</v>
      </c>
      <c r="L241" s="609"/>
      <c r="M241" s="55"/>
      <c r="N241" s="608"/>
      <c r="O241" s="121" t="s">
        <v>33</v>
      </c>
      <c r="P241" s="609"/>
      <c r="Q241" s="55"/>
      <c r="R241" s="608"/>
      <c r="S241" s="121" t="s">
        <v>34</v>
      </c>
      <c r="T241" s="609"/>
      <c r="U241" s="55"/>
      <c r="V241" s="608"/>
      <c r="W241" s="14"/>
      <c r="X241" s="609"/>
      <c r="Y241" s="55"/>
      <c r="Z241" s="608"/>
      <c r="AA241" s="14"/>
      <c r="AB241" s="609"/>
      <c r="AC241" s="55"/>
      <c r="AD241" s="55"/>
      <c r="AE241" s="610"/>
      <c r="AF241" s="55"/>
      <c r="AG241" s="55"/>
      <c r="AH241" s="55"/>
      <c r="AI241" s="611"/>
    </row>
    <row r="242" spans="1:35" ht="21" customHeight="1" thickBot="1">
      <c r="B242" s="163" t="s">
        <v>594</v>
      </c>
      <c r="C242" s="634" t="s">
        <v>595</v>
      </c>
      <c r="D242" s="635"/>
      <c r="E242" s="622"/>
      <c r="F242" s="240"/>
      <c r="G242" s="634" t="s">
        <v>595</v>
      </c>
      <c r="H242" s="149"/>
      <c r="I242" s="622"/>
      <c r="J242" s="240"/>
      <c r="K242" s="634" t="s">
        <v>595</v>
      </c>
      <c r="L242" s="149"/>
      <c r="M242" s="622"/>
      <c r="N242" s="240"/>
      <c r="O242" s="634" t="s">
        <v>596</v>
      </c>
      <c r="P242" s="149"/>
      <c r="Q242" s="622"/>
      <c r="R242" s="240"/>
      <c r="S242" s="634" t="s">
        <v>16</v>
      </c>
      <c r="T242" s="149"/>
      <c r="U242" s="622"/>
      <c r="V242" s="240"/>
      <c r="W242" s="623"/>
      <c r="X242" s="149"/>
      <c r="Y242" s="622"/>
      <c r="Z242" s="240"/>
      <c r="AA242" s="623"/>
      <c r="AB242" s="149"/>
      <c r="AC242" s="622"/>
      <c r="AD242" s="622"/>
      <c r="AE242" s="624"/>
      <c r="AF242" s="622"/>
      <c r="AG242" s="622"/>
      <c r="AH242" s="622"/>
      <c r="AI242" s="625"/>
    </row>
    <row r="243" spans="1:35" ht="21" customHeight="1" thickBot="1">
      <c r="A243" s="60" t="s">
        <v>597</v>
      </c>
    </row>
    <row r="244" spans="1:35" ht="21" customHeight="1">
      <c r="A244" s="636"/>
      <c r="B244" s="297" t="s">
        <v>480</v>
      </c>
      <c r="C244" s="1234">
        <v>1</v>
      </c>
      <c r="D244" s="1234">
        <v>2</v>
      </c>
      <c r="E244" s="1234">
        <v>3</v>
      </c>
      <c r="F244" s="1234">
        <v>4</v>
      </c>
      <c r="G244" s="1234">
        <v>5</v>
      </c>
      <c r="H244" s="1235">
        <v>6</v>
      </c>
      <c r="I244" s="1330">
        <v>7</v>
      </c>
      <c r="J244" s="1213">
        <v>8</v>
      </c>
      <c r="K244" s="1234">
        <v>9</v>
      </c>
      <c r="L244" s="1234">
        <v>10</v>
      </c>
      <c r="M244" s="1234">
        <v>11</v>
      </c>
      <c r="N244" s="1234">
        <v>12</v>
      </c>
      <c r="O244" s="1235">
        <v>13</v>
      </c>
      <c r="P244" s="1330">
        <v>14</v>
      </c>
      <c r="Q244" s="1213">
        <v>15</v>
      </c>
      <c r="R244" s="1234">
        <v>16</v>
      </c>
      <c r="S244" s="1234">
        <v>17</v>
      </c>
      <c r="T244" s="1234">
        <v>18</v>
      </c>
      <c r="U244" s="1234">
        <v>19</v>
      </c>
      <c r="V244" s="1330">
        <v>20</v>
      </c>
      <c r="W244" s="1330">
        <v>21</v>
      </c>
      <c r="X244" s="1213">
        <v>22</v>
      </c>
      <c r="Y244" s="1234">
        <v>23</v>
      </c>
      <c r="Z244" s="1234">
        <v>24</v>
      </c>
      <c r="AA244" s="1234">
        <v>25</v>
      </c>
      <c r="AB244" s="1234">
        <v>26</v>
      </c>
      <c r="AC244" s="1235">
        <v>27</v>
      </c>
      <c r="AD244" s="1330">
        <v>28</v>
      </c>
      <c r="AE244" s="1213">
        <v>29</v>
      </c>
      <c r="AF244" s="1234">
        <v>30</v>
      </c>
      <c r="AG244" s="1234">
        <v>31</v>
      </c>
      <c r="AH244" s="498" t="s">
        <v>481</v>
      </c>
      <c r="AI244" s="499" t="s">
        <v>482</v>
      </c>
    </row>
    <row r="245" spans="1:35" ht="21" customHeight="1">
      <c r="A245" s="155">
        <v>8500</v>
      </c>
      <c r="B245" s="637" t="s">
        <v>598</v>
      </c>
      <c r="C245" s="557" t="s">
        <v>535</v>
      </c>
      <c r="D245" s="557" t="s">
        <v>535</v>
      </c>
      <c r="E245" s="557" t="s">
        <v>535</v>
      </c>
      <c r="F245" s="557" t="s">
        <v>535</v>
      </c>
      <c r="G245" s="1365" t="s">
        <v>535</v>
      </c>
      <c r="H245" s="1215"/>
      <c r="I245" s="1215"/>
      <c r="J245" s="1365" t="s">
        <v>535</v>
      </c>
      <c r="K245" s="557" t="s">
        <v>535</v>
      </c>
      <c r="L245" s="557" t="s">
        <v>535</v>
      </c>
      <c r="M245" s="557" t="s">
        <v>535</v>
      </c>
      <c r="N245" s="557" t="s">
        <v>535</v>
      </c>
      <c r="O245" s="1215"/>
      <c r="P245" s="557"/>
      <c r="Q245" s="557" t="s">
        <v>535</v>
      </c>
      <c r="R245" s="557" t="s">
        <v>535</v>
      </c>
      <c r="S245" s="557" t="s">
        <v>535</v>
      </c>
      <c r="T245" s="557" t="s">
        <v>535</v>
      </c>
      <c r="U245" s="557" t="s">
        <v>535</v>
      </c>
      <c r="V245" s="1215"/>
      <c r="W245" s="1215"/>
      <c r="X245" s="557" t="s">
        <v>535</v>
      </c>
      <c r="Y245" s="557" t="s">
        <v>535</v>
      </c>
      <c r="Z245" s="557" t="s">
        <v>535</v>
      </c>
      <c r="AA245" s="557" t="s">
        <v>535</v>
      </c>
      <c r="AB245" s="557" t="s">
        <v>535</v>
      </c>
      <c r="AC245" s="1208"/>
      <c r="AD245" s="1208"/>
      <c r="AE245" s="1208" t="s">
        <v>535</v>
      </c>
      <c r="AF245" s="1208" t="s">
        <v>535</v>
      </c>
      <c r="AG245" s="1208" t="s">
        <v>535</v>
      </c>
      <c r="AH245" s="638">
        <v>185</v>
      </c>
      <c r="AI245" s="639">
        <v>37</v>
      </c>
    </row>
    <row r="246" spans="1:35" ht="21" customHeight="1">
      <c r="A246" s="500" t="s">
        <v>599</v>
      </c>
      <c r="B246" s="153" t="s">
        <v>600</v>
      </c>
      <c r="C246" s="1439" t="s">
        <v>535</v>
      </c>
      <c r="D246" s="1439" t="s">
        <v>535</v>
      </c>
      <c r="E246" s="1439" t="s">
        <v>535</v>
      </c>
      <c r="F246" s="1439" t="s">
        <v>535</v>
      </c>
      <c r="G246" s="1439" t="s">
        <v>749</v>
      </c>
      <c r="H246" s="1215"/>
      <c r="I246" s="1215"/>
      <c r="J246" s="557" t="s">
        <v>535</v>
      </c>
      <c r="K246" s="557" t="s">
        <v>535</v>
      </c>
      <c r="L246" s="557" t="s">
        <v>535</v>
      </c>
      <c r="M246" s="557" t="s">
        <v>535</v>
      </c>
      <c r="N246" s="557" t="s">
        <v>535</v>
      </c>
      <c r="O246" s="1215"/>
      <c r="P246" s="557"/>
      <c r="Q246" s="557" t="s">
        <v>535</v>
      </c>
      <c r="R246" s="557" t="s">
        <v>535</v>
      </c>
      <c r="S246" s="557" t="s">
        <v>535</v>
      </c>
      <c r="T246" s="557" t="s">
        <v>535</v>
      </c>
      <c r="U246" s="557" t="s">
        <v>535</v>
      </c>
      <c r="V246" s="1215"/>
      <c r="W246" s="1215"/>
      <c r="X246" s="557" t="s">
        <v>535</v>
      </c>
      <c r="Y246" s="557" t="s">
        <v>535</v>
      </c>
      <c r="Z246" s="557" t="s">
        <v>535</v>
      </c>
      <c r="AA246" s="557" t="s">
        <v>535</v>
      </c>
      <c r="AB246" s="557" t="s">
        <v>535</v>
      </c>
      <c r="AC246" s="1208"/>
      <c r="AD246" s="1208"/>
      <c r="AE246" s="1208" t="s">
        <v>535</v>
      </c>
      <c r="AF246" s="1208" t="s">
        <v>535</v>
      </c>
      <c r="AG246" s="1208" t="s">
        <v>535</v>
      </c>
      <c r="AH246" s="638">
        <v>185</v>
      </c>
      <c r="AI246" s="639">
        <v>37</v>
      </c>
    </row>
    <row r="247" spans="1:35" ht="21" customHeight="1">
      <c r="A247" s="153">
        <v>8500</v>
      </c>
      <c r="B247" s="153" t="s">
        <v>737</v>
      </c>
      <c r="C247" s="557" t="s">
        <v>535</v>
      </c>
      <c r="D247" s="557" t="s">
        <v>535</v>
      </c>
      <c r="E247" s="557" t="s">
        <v>535</v>
      </c>
      <c r="F247" s="557" t="s">
        <v>535</v>
      </c>
      <c r="G247" s="557" t="s">
        <v>535</v>
      </c>
      <c r="H247" s="1215"/>
      <c r="I247" s="1215"/>
      <c r="J247" s="557" t="s">
        <v>535</v>
      </c>
      <c r="K247" s="557" t="s">
        <v>535</v>
      </c>
      <c r="L247" s="557" t="s">
        <v>535</v>
      </c>
      <c r="M247" s="557" t="s">
        <v>535</v>
      </c>
      <c r="N247" s="557" t="s">
        <v>535</v>
      </c>
      <c r="O247" s="1215"/>
      <c r="P247" s="557"/>
      <c r="Q247" s="557" t="s">
        <v>535</v>
      </c>
      <c r="R247" s="557" t="s">
        <v>535</v>
      </c>
      <c r="S247" s="557" t="s">
        <v>535</v>
      </c>
      <c r="T247" s="557" t="s">
        <v>535</v>
      </c>
      <c r="U247" s="557" t="s">
        <v>535</v>
      </c>
      <c r="V247" s="1215"/>
      <c r="W247" s="1215"/>
      <c r="X247" s="557" t="s">
        <v>535</v>
      </c>
      <c r="Y247" s="557" t="s">
        <v>535</v>
      </c>
      <c r="Z247" s="557" t="s">
        <v>535</v>
      </c>
      <c r="AA247" s="557" t="s">
        <v>535</v>
      </c>
      <c r="AB247" s="557" t="s">
        <v>535</v>
      </c>
      <c r="AC247" s="1208"/>
      <c r="AD247" s="1208"/>
      <c r="AE247" s="1208" t="s">
        <v>535</v>
      </c>
      <c r="AF247" s="1208" t="s">
        <v>535</v>
      </c>
      <c r="AG247" s="1208" t="s">
        <v>535</v>
      </c>
      <c r="AH247" s="638">
        <v>185</v>
      </c>
      <c r="AI247" s="639">
        <v>37</v>
      </c>
    </row>
    <row r="248" spans="1:35" ht="21.95" customHeight="1">
      <c r="A248" s="442"/>
      <c r="B248" s="153" t="s">
        <v>601</v>
      </c>
      <c r="C248" s="557" t="s">
        <v>535</v>
      </c>
      <c r="D248" s="557" t="s">
        <v>535</v>
      </c>
      <c r="E248" s="557" t="s">
        <v>535</v>
      </c>
      <c r="F248" s="557" t="s">
        <v>535</v>
      </c>
      <c r="G248" s="557" t="s">
        <v>535</v>
      </c>
      <c r="H248" s="1215"/>
      <c r="I248" s="1215"/>
      <c r="J248" s="557" t="s">
        <v>535</v>
      </c>
      <c r="K248" s="557" t="s">
        <v>535</v>
      </c>
      <c r="L248" s="557" t="s">
        <v>535</v>
      </c>
      <c r="M248" s="557" t="s">
        <v>535</v>
      </c>
      <c r="N248" s="557" t="s">
        <v>535</v>
      </c>
      <c r="O248" s="1215"/>
      <c r="P248" s="557"/>
      <c r="Q248" s="557" t="s">
        <v>535</v>
      </c>
      <c r="R248" s="557" t="s">
        <v>535</v>
      </c>
      <c r="S248" s="557" t="s">
        <v>535</v>
      </c>
      <c r="T248" s="557" t="s">
        <v>535</v>
      </c>
      <c r="U248" s="557" t="s">
        <v>535</v>
      </c>
      <c r="V248" s="1215"/>
      <c r="W248" s="1215"/>
      <c r="X248" s="557" t="s">
        <v>535</v>
      </c>
      <c r="Y248" s="557" t="s">
        <v>535</v>
      </c>
      <c r="Z248" s="557" t="s">
        <v>535</v>
      </c>
      <c r="AA248" s="557" t="s">
        <v>535</v>
      </c>
      <c r="AB248" s="557" t="s">
        <v>535</v>
      </c>
      <c r="AC248" s="1208"/>
      <c r="AD248" s="1208"/>
      <c r="AE248" s="1208" t="s">
        <v>535</v>
      </c>
      <c r="AF248" s="1208" t="s">
        <v>535</v>
      </c>
      <c r="AG248" s="1208" t="s">
        <v>535</v>
      </c>
      <c r="AH248" s="638">
        <v>185</v>
      </c>
      <c r="AI248" s="639">
        <v>37</v>
      </c>
    </row>
    <row r="249" spans="1:35" ht="21.95" customHeight="1">
      <c r="A249" s="511">
        <v>3350</v>
      </c>
      <c r="B249" s="54" t="s">
        <v>602</v>
      </c>
      <c r="C249" s="1365" t="s">
        <v>535</v>
      </c>
      <c r="D249" s="1365" t="s">
        <v>535</v>
      </c>
      <c r="E249" s="1365" t="s">
        <v>535</v>
      </c>
      <c r="F249" s="1365" t="s">
        <v>535</v>
      </c>
      <c r="G249" s="1365" t="s">
        <v>535</v>
      </c>
      <c r="H249" s="1338"/>
      <c r="I249" s="1338"/>
      <c r="J249" s="1439" t="s">
        <v>535</v>
      </c>
      <c r="K249" s="1439" t="s">
        <v>535</v>
      </c>
      <c r="L249" s="1439" t="s">
        <v>535</v>
      </c>
      <c r="M249" s="1439" t="s">
        <v>535</v>
      </c>
      <c r="N249" s="1439" t="s">
        <v>535</v>
      </c>
      <c r="O249" s="1215"/>
      <c r="P249" s="557"/>
      <c r="Q249" s="1439" t="s">
        <v>535</v>
      </c>
      <c r="R249" s="1439" t="s">
        <v>535</v>
      </c>
      <c r="S249" s="1439" t="s">
        <v>535</v>
      </c>
      <c r="T249" s="1439" t="s">
        <v>535</v>
      </c>
      <c r="U249" s="1439" t="s">
        <v>535</v>
      </c>
      <c r="V249" s="1215"/>
      <c r="W249" s="1215"/>
      <c r="X249" s="1439" t="s">
        <v>535</v>
      </c>
      <c r="Y249" s="1439" t="s">
        <v>535</v>
      </c>
      <c r="Z249" s="1439" t="s">
        <v>535</v>
      </c>
      <c r="AA249" s="1439" t="s">
        <v>535</v>
      </c>
      <c r="AB249" s="1439" t="s">
        <v>535</v>
      </c>
      <c r="AC249" s="1208"/>
      <c r="AD249" s="1208"/>
      <c r="AE249" s="1439" t="s">
        <v>535</v>
      </c>
      <c r="AF249" s="1439" t="s">
        <v>535</v>
      </c>
      <c r="AG249" s="1439" t="s">
        <v>535</v>
      </c>
      <c r="AH249" s="638">
        <v>37</v>
      </c>
      <c r="AI249" s="639">
        <v>37</v>
      </c>
    </row>
    <row r="250" spans="1:35" ht="21.95" customHeight="1">
      <c r="A250" s="519">
        <v>3701</v>
      </c>
      <c r="B250" s="153" t="s">
        <v>603</v>
      </c>
      <c r="C250" s="557" t="s">
        <v>535</v>
      </c>
      <c r="D250" s="557" t="s">
        <v>535</v>
      </c>
      <c r="E250" s="557" t="s">
        <v>535</v>
      </c>
      <c r="F250" s="557" t="s">
        <v>535</v>
      </c>
      <c r="G250" s="557" t="s">
        <v>535</v>
      </c>
      <c r="H250" s="1215"/>
      <c r="I250" s="1215"/>
      <c r="J250" s="1347" t="s">
        <v>535</v>
      </c>
      <c r="K250" s="1347" t="s">
        <v>535</v>
      </c>
      <c r="L250" s="557" t="s">
        <v>535</v>
      </c>
      <c r="M250" s="557" t="s">
        <v>535</v>
      </c>
      <c r="N250" s="557" t="s">
        <v>535</v>
      </c>
      <c r="O250" s="1215"/>
      <c r="P250" s="557"/>
      <c r="Q250" s="557" t="s">
        <v>535</v>
      </c>
      <c r="R250" s="557" t="s">
        <v>535</v>
      </c>
      <c r="S250" s="557" t="s">
        <v>535</v>
      </c>
      <c r="T250" s="557" t="s">
        <v>535</v>
      </c>
      <c r="U250" s="557" t="s">
        <v>535</v>
      </c>
      <c r="V250" s="1215"/>
      <c r="W250" s="1215"/>
      <c r="X250" s="557" t="s">
        <v>535</v>
      </c>
      <c r="Y250" s="557" t="s">
        <v>535</v>
      </c>
      <c r="Z250" s="557" t="s">
        <v>535</v>
      </c>
      <c r="AA250" s="557" t="s">
        <v>535</v>
      </c>
      <c r="AB250" s="557" t="s">
        <v>535</v>
      </c>
      <c r="AC250" s="1208"/>
      <c r="AD250" s="1208"/>
      <c r="AE250" s="1208" t="s">
        <v>535</v>
      </c>
      <c r="AF250" s="1208" t="s">
        <v>535</v>
      </c>
      <c r="AG250" s="1208" t="s">
        <v>535</v>
      </c>
      <c r="AH250" s="638">
        <v>185</v>
      </c>
      <c r="AI250" s="639">
        <v>37</v>
      </c>
    </row>
    <row r="251" spans="1:35" ht="25.5" customHeight="1" thickBot="1">
      <c r="A251" s="1" t="s">
        <v>604</v>
      </c>
    </row>
    <row r="252" spans="1:35" ht="21" customHeight="1">
      <c r="A252" s="1"/>
      <c r="B252" s="201" t="s">
        <v>516</v>
      </c>
      <c r="C252" s="7"/>
      <c r="D252" s="525" t="s">
        <v>2</v>
      </c>
      <c r="E252" s="51"/>
      <c r="F252" s="551"/>
      <c r="G252" s="7"/>
      <c r="H252" s="525" t="s">
        <v>3</v>
      </c>
      <c r="I252" s="51"/>
      <c r="J252" s="551"/>
      <c r="K252" s="7"/>
      <c r="L252" s="525" t="s">
        <v>4</v>
      </c>
      <c r="M252" s="51"/>
      <c r="N252" s="551"/>
      <c r="O252" s="7"/>
      <c r="P252" s="525" t="s">
        <v>5</v>
      </c>
      <c r="Q252" s="51"/>
      <c r="R252" s="551"/>
      <c r="S252" s="7"/>
      <c r="T252" s="525" t="s">
        <v>6</v>
      </c>
      <c r="U252" s="51"/>
      <c r="V252" s="551"/>
      <c r="W252" s="7"/>
      <c r="X252" s="525" t="s">
        <v>7</v>
      </c>
      <c r="Y252" s="51"/>
      <c r="Z252" s="551"/>
      <c r="AA252" s="7"/>
      <c r="AB252" s="525" t="s">
        <v>8</v>
      </c>
      <c r="AC252" s="51"/>
      <c r="AD252" s="51"/>
      <c r="AE252" s="425" t="s">
        <v>10</v>
      </c>
      <c r="AF252" s="51"/>
      <c r="AG252" s="51"/>
      <c r="AH252" s="51"/>
      <c r="AI252" s="526"/>
    </row>
    <row r="253" spans="1:35" ht="21" customHeight="1">
      <c r="A253" s="1"/>
      <c r="B253" s="9"/>
      <c r="C253" s="14"/>
      <c r="D253" s="609"/>
      <c r="E253" s="55"/>
      <c r="F253" s="608"/>
      <c r="G253" s="14"/>
      <c r="H253" s="609"/>
      <c r="I253" s="55"/>
      <c r="J253" s="608"/>
      <c r="K253" s="14"/>
      <c r="L253" s="609"/>
      <c r="M253" s="55"/>
      <c r="N253" s="608"/>
      <c r="O253" s="14"/>
      <c r="P253" s="609"/>
      <c r="Q253" s="55"/>
      <c r="R253" s="608"/>
      <c r="S253" s="14"/>
      <c r="T253" s="609"/>
      <c r="U253" s="55"/>
      <c r="V253" s="608"/>
      <c r="W253" s="14"/>
      <c r="X253" s="609"/>
      <c r="Y253" s="55"/>
      <c r="Z253" s="608"/>
      <c r="AA253" s="14"/>
      <c r="AB253" s="609"/>
      <c r="AC253" s="55"/>
      <c r="AD253" s="55"/>
      <c r="AE253" s="610"/>
      <c r="AF253" s="55"/>
      <c r="AG253" s="55"/>
      <c r="AH253" s="55"/>
      <c r="AI253" s="611"/>
    </row>
    <row r="254" spans="1:35" ht="21" customHeight="1">
      <c r="B254" s="612"/>
      <c r="C254" s="121"/>
      <c r="D254" s="157"/>
      <c r="E254" s="157"/>
      <c r="F254" s="568"/>
      <c r="G254" s="121"/>
      <c r="H254" s="157"/>
      <c r="I254" s="157"/>
      <c r="J254" s="568"/>
      <c r="K254" s="121"/>
      <c r="L254" s="157"/>
      <c r="M254" s="157"/>
      <c r="N254" s="568"/>
      <c r="O254" s="121"/>
      <c r="P254" s="157"/>
      <c r="Q254" s="157"/>
      <c r="R254" s="568"/>
      <c r="S254" s="121"/>
      <c r="T254" s="157"/>
      <c r="U254" s="157"/>
      <c r="V254" s="568"/>
      <c r="W254" s="121"/>
      <c r="X254" s="157"/>
      <c r="Y254" s="157"/>
      <c r="Z254" s="568"/>
      <c r="AA254" s="567"/>
      <c r="AB254" s="157"/>
      <c r="AC254" s="157"/>
      <c r="AD254" s="569"/>
      <c r="AE254" s="613"/>
      <c r="AF254" s="157"/>
      <c r="AG254" s="157" t="s">
        <v>28</v>
      </c>
      <c r="AH254" s="569"/>
      <c r="AI254" s="490"/>
    </row>
    <row r="255" spans="1:35" ht="21" customHeight="1" thickBot="1">
      <c r="A255" s="1"/>
      <c r="B255" s="47"/>
      <c r="C255" s="574"/>
      <c r="D255" s="53"/>
      <c r="E255" s="53"/>
      <c r="F255" s="575"/>
      <c r="G255" s="574"/>
      <c r="H255" s="53"/>
      <c r="I255" s="53"/>
      <c r="J255" s="575"/>
      <c r="K255" s="574"/>
      <c r="L255" s="53"/>
      <c r="M255" s="53"/>
      <c r="N255" s="575"/>
      <c r="O255" s="574"/>
      <c r="P255" s="53"/>
      <c r="Q255" s="53"/>
      <c r="R255" s="575"/>
      <c r="S255" s="574"/>
      <c r="T255" s="53"/>
      <c r="U255" s="53"/>
      <c r="V255" s="575"/>
      <c r="W255" s="57"/>
      <c r="X255" s="53"/>
      <c r="Y255" s="53"/>
      <c r="Z255" s="575"/>
      <c r="AA255" s="57"/>
      <c r="AB255" s="53"/>
      <c r="AC255" s="53"/>
      <c r="AD255" s="577"/>
      <c r="AE255" s="57"/>
      <c r="AF255" s="53"/>
      <c r="AG255" s="53"/>
      <c r="AH255" s="577"/>
      <c r="AI255" s="539"/>
    </row>
    <row r="256" spans="1:35" ht="33" customHeight="1" thickBot="1">
      <c r="A256" s="1" t="s">
        <v>605</v>
      </c>
      <c r="B256" s="72"/>
      <c r="C256" s="312"/>
      <c r="F256" s="354"/>
      <c r="G256" s="312"/>
      <c r="J256" s="354"/>
      <c r="K256" s="312"/>
      <c r="N256" s="354"/>
      <c r="O256" s="312"/>
      <c r="R256" s="354"/>
      <c r="S256" s="312"/>
      <c r="V256" s="354"/>
      <c r="W256" s="354"/>
      <c r="Z256" s="354"/>
      <c r="AA256" s="354"/>
      <c r="AD256" s="354"/>
      <c r="AE256" s="354"/>
      <c r="AH256" s="354"/>
    </row>
    <row r="257" spans="1:35" ht="21" customHeight="1">
      <c r="A257" s="556" t="s">
        <v>528</v>
      </c>
      <c r="B257" s="297" t="s">
        <v>480</v>
      </c>
      <c r="C257" s="1234">
        <v>1</v>
      </c>
      <c r="D257" s="1234">
        <v>2</v>
      </c>
      <c r="E257" s="1234">
        <v>3</v>
      </c>
      <c r="F257" s="1234">
        <v>4</v>
      </c>
      <c r="G257" s="1234">
        <v>5</v>
      </c>
      <c r="H257" s="1235">
        <v>6</v>
      </c>
      <c r="I257" s="1330">
        <v>7</v>
      </c>
      <c r="J257" s="1213">
        <v>8</v>
      </c>
      <c r="K257" s="1234">
        <v>9</v>
      </c>
      <c r="L257" s="1234">
        <v>10</v>
      </c>
      <c r="M257" s="1234">
        <v>11</v>
      </c>
      <c r="N257" s="1234">
        <v>12</v>
      </c>
      <c r="O257" s="1235">
        <v>13</v>
      </c>
      <c r="P257" s="1330">
        <v>14</v>
      </c>
      <c r="Q257" s="1213">
        <v>15</v>
      </c>
      <c r="R257" s="1234">
        <v>16</v>
      </c>
      <c r="S257" s="1234">
        <v>17</v>
      </c>
      <c r="T257" s="1234">
        <v>18</v>
      </c>
      <c r="U257" s="1234">
        <v>19</v>
      </c>
      <c r="V257" s="1330">
        <v>20</v>
      </c>
      <c r="W257" s="1330">
        <v>21</v>
      </c>
      <c r="X257" s="1213">
        <v>22</v>
      </c>
      <c r="Y257" s="1234">
        <v>23</v>
      </c>
      <c r="Z257" s="1234">
        <v>24</v>
      </c>
      <c r="AA257" s="1234">
        <v>25</v>
      </c>
      <c r="AB257" s="1234">
        <v>26</v>
      </c>
      <c r="AC257" s="1235">
        <v>27</v>
      </c>
      <c r="AD257" s="1330">
        <v>28</v>
      </c>
      <c r="AE257" s="1213">
        <v>29</v>
      </c>
      <c r="AF257" s="1234">
        <v>30</v>
      </c>
      <c r="AG257" s="1234">
        <v>31</v>
      </c>
      <c r="AH257" s="498" t="s">
        <v>481</v>
      </c>
      <c r="AI257" s="499" t="s">
        <v>482</v>
      </c>
    </row>
    <row r="258" spans="1:35" ht="21" customHeight="1">
      <c r="A258" s="442"/>
      <c r="B258" s="619" t="s">
        <v>606</v>
      </c>
      <c r="C258" s="557" t="s">
        <v>535</v>
      </c>
      <c r="D258" s="557" t="s">
        <v>535</v>
      </c>
      <c r="E258" s="557" t="s">
        <v>535</v>
      </c>
      <c r="F258" s="557" t="s">
        <v>535</v>
      </c>
      <c r="G258" s="557" t="s">
        <v>535</v>
      </c>
      <c r="H258" s="1215"/>
      <c r="I258" s="1215"/>
      <c r="J258" s="557" t="s">
        <v>535</v>
      </c>
      <c r="K258" s="557" t="s">
        <v>535</v>
      </c>
      <c r="L258" s="557" t="s">
        <v>535</v>
      </c>
      <c r="M258" s="557" t="s">
        <v>535</v>
      </c>
      <c r="N258" s="557" t="s">
        <v>535</v>
      </c>
      <c r="O258" s="1215"/>
      <c r="P258" s="557"/>
      <c r="Q258" s="557" t="s">
        <v>535</v>
      </c>
      <c r="R258" s="557" t="s">
        <v>535</v>
      </c>
      <c r="S258" s="557" t="s">
        <v>535</v>
      </c>
      <c r="T258" s="557" t="s">
        <v>535</v>
      </c>
      <c r="U258" s="557" t="s">
        <v>535</v>
      </c>
      <c r="V258" s="1215"/>
      <c r="W258" s="1215"/>
      <c r="X258" s="557" t="s">
        <v>535</v>
      </c>
      <c r="Y258" s="557" t="s">
        <v>535</v>
      </c>
      <c r="Z258" s="557" t="s">
        <v>535</v>
      </c>
      <c r="AA258" s="557" t="s">
        <v>535</v>
      </c>
      <c r="AB258" s="557" t="s">
        <v>535</v>
      </c>
      <c r="AC258" s="1208"/>
      <c r="AD258" s="1208"/>
      <c r="AE258" s="1208" t="s">
        <v>535</v>
      </c>
      <c r="AF258" s="1208" t="s">
        <v>535</v>
      </c>
      <c r="AG258" s="1208" t="s">
        <v>535</v>
      </c>
      <c r="AH258" s="638">
        <v>148</v>
      </c>
      <c r="AI258" s="639">
        <v>37</v>
      </c>
    </row>
    <row r="259" spans="1:35" ht="21" customHeight="1">
      <c r="A259" s="442"/>
      <c r="B259" s="619" t="s">
        <v>607</v>
      </c>
      <c r="C259" s="557" t="s">
        <v>535</v>
      </c>
      <c r="D259" s="557" t="s">
        <v>535</v>
      </c>
      <c r="E259" s="557" t="s">
        <v>535</v>
      </c>
      <c r="F259" s="557" t="s">
        <v>535</v>
      </c>
      <c r="G259" s="557" t="s">
        <v>535</v>
      </c>
      <c r="H259" s="1215"/>
      <c r="I259" s="1215"/>
      <c r="J259" s="557" t="s">
        <v>535</v>
      </c>
      <c r="K259" s="557" t="s">
        <v>535</v>
      </c>
      <c r="L259" s="557" t="s">
        <v>535</v>
      </c>
      <c r="M259" s="557" t="s">
        <v>535</v>
      </c>
      <c r="N259" s="557" t="s">
        <v>535</v>
      </c>
      <c r="O259" s="1215"/>
      <c r="P259" s="557"/>
      <c r="Q259" s="557" t="s">
        <v>535</v>
      </c>
      <c r="R259" s="557" t="s">
        <v>535</v>
      </c>
      <c r="S259" s="557" t="s">
        <v>535</v>
      </c>
      <c r="T259" s="557" t="s">
        <v>535</v>
      </c>
      <c r="U259" s="1347" t="s">
        <v>535</v>
      </c>
      <c r="V259" s="1215"/>
      <c r="W259" s="1215"/>
      <c r="X259" s="1365" t="s">
        <v>535</v>
      </c>
      <c r="Y259" s="1365" t="s">
        <v>535</v>
      </c>
      <c r="Z259" s="1365" t="s">
        <v>535</v>
      </c>
      <c r="AA259" s="1365" t="s">
        <v>535</v>
      </c>
      <c r="AB259" s="1365" t="s">
        <v>535</v>
      </c>
      <c r="AC259" s="1365"/>
      <c r="AD259" s="1365"/>
      <c r="AE259" s="1365" t="s">
        <v>535</v>
      </c>
      <c r="AF259" s="1365" t="s">
        <v>535</v>
      </c>
      <c r="AG259" s="1365" t="s">
        <v>535</v>
      </c>
      <c r="AH259" s="638">
        <v>185</v>
      </c>
      <c r="AI259" s="639">
        <v>37</v>
      </c>
    </row>
    <row r="260" spans="1:35" ht="21" customHeight="1">
      <c r="A260" s="442"/>
      <c r="B260" s="619" t="s">
        <v>608</v>
      </c>
      <c r="C260" s="1365" t="s">
        <v>535</v>
      </c>
      <c r="D260" s="1365" t="s">
        <v>535</v>
      </c>
      <c r="E260" s="1365" t="s">
        <v>535</v>
      </c>
      <c r="F260" s="1365" t="s">
        <v>535</v>
      </c>
      <c r="G260" s="1365" t="s">
        <v>535</v>
      </c>
      <c r="H260" s="1338"/>
      <c r="I260" s="1338"/>
      <c r="J260" s="1365" t="s">
        <v>535</v>
      </c>
      <c r="K260" s="1365" t="s">
        <v>535</v>
      </c>
      <c r="L260" s="1365" t="s">
        <v>535</v>
      </c>
      <c r="M260" s="1365" t="s">
        <v>535</v>
      </c>
      <c r="N260" s="1365" t="s">
        <v>535</v>
      </c>
      <c r="O260" s="1365"/>
      <c r="P260" s="1365"/>
      <c r="Q260" s="1365" t="s">
        <v>535</v>
      </c>
      <c r="R260" s="1365" t="s">
        <v>535</v>
      </c>
      <c r="S260" s="1365" t="s">
        <v>535</v>
      </c>
      <c r="T260" s="1365" t="s">
        <v>535</v>
      </c>
      <c r="U260" s="1365" t="s">
        <v>535</v>
      </c>
      <c r="V260" s="1338"/>
      <c r="W260" s="1338"/>
      <c r="X260" s="1365" t="s">
        <v>535</v>
      </c>
      <c r="Y260" s="1365" t="s">
        <v>535</v>
      </c>
      <c r="Z260" s="1365" t="s">
        <v>535</v>
      </c>
      <c r="AA260" s="1365" t="s">
        <v>535</v>
      </c>
      <c r="AB260" s="1365" t="s">
        <v>535</v>
      </c>
      <c r="AC260" s="1365"/>
      <c r="AD260" s="1365"/>
      <c r="AE260" s="1208" t="s">
        <v>535</v>
      </c>
      <c r="AF260" s="1208" t="s">
        <v>535</v>
      </c>
      <c r="AG260" s="1208" t="s">
        <v>535</v>
      </c>
      <c r="AH260" s="638">
        <v>37</v>
      </c>
      <c r="AI260" s="639">
        <v>37</v>
      </c>
    </row>
    <row r="261" spans="1:35" ht="21" customHeight="1">
      <c r="A261" s="442"/>
      <c r="B261" s="619" t="s">
        <v>609</v>
      </c>
      <c r="C261" s="557" t="s">
        <v>535</v>
      </c>
      <c r="D261" s="557" t="s">
        <v>535</v>
      </c>
      <c r="E261" s="557" t="s">
        <v>535</v>
      </c>
      <c r="F261" s="557" t="s">
        <v>535</v>
      </c>
      <c r="G261" s="1365" t="s">
        <v>535</v>
      </c>
      <c r="H261" s="1215"/>
      <c r="I261" s="1215"/>
      <c r="J261" s="557" t="s">
        <v>535</v>
      </c>
      <c r="K261" s="557" t="s">
        <v>535</v>
      </c>
      <c r="L261" s="557" t="s">
        <v>535</v>
      </c>
      <c r="M261" s="557" t="s">
        <v>535</v>
      </c>
      <c r="N261" s="557" t="s">
        <v>535</v>
      </c>
      <c r="O261" s="1215"/>
      <c r="P261" s="557"/>
      <c r="Q261" s="557" t="s">
        <v>535</v>
      </c>
      <c r="R261" s="557" t="s">
        <v>535</v>
      </c>
      <c r="S261" s="557" t="s">
        <v>535</v>
      </c>
      <c r="T261" s="557" t="s">
        <v>535</v>
      </c>
      <c r="U261" s="557" t="s">
        <v>535</v>
      </c>
      <c r="V261" s="1215"/>
      <c r="W261" s="1215"/>
      <c r="X261" s="557" t="s">
        <v>535</v>
      </c>
      <c r="Y261" s="557" t="s">
        <v>535</v>
      </c>
      <c r="Z261" s="557" t="s">
        <v>535</v>
      </c>
      <c r="AA261" s="557" t="s">
        <v>535</v>
      </c>
      <c r="AB261" s="557" t="s">
        <v>535</v>
      </c>
      <c r="AC261" s="1208"/>
      <c r="AD261" s="1208"/>
      <c r="AE261" s="1208" t="s">
        <v>535</v>
      </c>
      <c r="AF261" s="1208" t="s">
        <v>535</v>
      </c>
      <c r="AG261" s="1208" t="s">
        <v>535</v>
      </c>
      <c r="AH261" s="638">
        <v>185</v>
      </c>
      <c r="AI261" s="639">
        <v>37</v>
      </c>
    </row>
    <row r="262" spans="1:35" ht="21" customHeight="1">
      <c r="A262" s="442"/>
      <c r="B262" s="619" t="s">
        <v>610</v>
      </c>
      <c r="C262" s="557" t="s">
        <v>535</v>
      </c>
      <c r="D262" s="557" t="s">
        <v>535</v>
      </c>
      <c r="E262" s="557" t="s">
        <v>535</v>
      </c>
      <c r="F262" s="557" t="s">
        <v>535</v>
      </c>
      <c r="G262" s="557" t="s">
        <v>535</v>
      </c>
      <c r="H262" s="1215"/>
      <c r="I262" s="1215"/>
      <c r="J262" s="557" t="s">
        <v>535</v>
      </c>
      <c r="K262" s="557" t="s">
        <v>535</v>
      </c>
      <c r="L262" s="557" t="s">
        <v>535</v>
      </c>
      <c r="M262" s="557" t="s">
        <v>535</v>
      </c>
      <c r="N262" s="557" t="s">
        <v>535</v>
      </c>
      <c r="O262" s="1215"/>
      <c r="P262" s="557"/>
      <c r="Q262" s="557" t="s">
        <v>535</v>
      </c>
      <c r="R262" s="557" t="s">
        <v>535</v>
      </c>
      <c r="S262" s="1387" t="s">
        <v>535</v>
      </c>
      <c r="T262" s="557" t="s">
        <v>535</v>
      </c>
      <c r="U262" s="557" t="s">
        <v>535</v>
      </c>
      <c r="V262" s="1215"/>
      <c r="W262" s="1215"/>
      <c r="X262" s="557" t="s">
        <v>535</v>
      </c>
      <c r="Y262" s="557" t="s">
        <v>535</v>
      </c>
      <c r="Z262" s="557" t="s">
        <v>535</v>
      </c>
      <c r="AA262" s="557" t="s">
        <v>535</v>
      </c>
      <c r="AB262" s="557" t="s">
        <v>535</v>
      </c>
      <c r="AC262" s="1208"/>
      <c r="AD262" s="1208"/>
      <c r="AE262" s="1365" t="s">
        <v>535</v>
      </c>
      <c r="AF262" s="1365" t="s">
        <v>535</v>
      </c>
      <c r="AG262" s="1365" t="s">
        <v>535</v>
      </c>
      <c r="AH262" s="638">
        <v>185</v>
      </c>
      <c r="AI262" s="639">
        <v>29</v>
      </c>
    </row>
    <row r="263" spans="1:35" ht="21" customHeight="1">
      <c r="A263" s="442"/>
      <c r="B263" s="619" t="s">
        <v>611</v>
      </c>
      <c r="C263" s="557" t="s">
        <v>535</v>
      </c>
      <c r="D263" s="557" t="s">
        <v>535</v>
      </c>
      <c r="E263" s="557" t="s">
        <v>535</v>
      </c>
      <c r="F263" s="557" t="s">
        <v>535</v>
      </c>
      <c r="G263" s="557" t="s">
        <v>535</v>
      </c>
      <c r="H263" s="1215"/>
      <c r="I263" s="1215"/>
      <c r="J263" s="557" t="s">
        <v>535</v>
      </c>
      <c r="K263" s="557" t="s">
        <v>535</v>
      </c>
      <c r="L263" s="1347" t="s">
        <v>535</v>
      </c>
      <c r="M263" s="1347" t="s">
        <v>535</v>
      </c>
      <c r="N263" s="557" t="s">
        <v>535</v>
      </c>
      <c r="O263" s="1215"/>
      <c r="P263" s="557"/>
      <c r="Q263" s="1365" t="s">
        <v>535</v>
      </c>
      <c r="R263" s="1365" t="s">
        <v>535</v>
      </c>
      <c r="S263" s="1365" t="s">
        <v>535</v>
      </c>
      <c r="T263" s="1365" t="s">
        <v>535</v>
      </c>
      <c r="U263" s="1365" t="s">
        <v>535</v>
      </c>
      <c r="V263" s="1338"/>
      <c r="W263" s="1338"/>
      <c r="X263" s="1365" t="s">
        <v>535</v>
      </c>
      <c r="Y263" s="1365" t="s">
        <v>535</v>
      </c>
      <c r="Z263" s="1365" t="s">
        <v>535</v>
      </c>
      <c r="AA263" s="1365" t="s">
        <v>535</v>
      </c>
      <c r="AB263" s="1365" t="s">
        <v>535</v>
      </c>
      <c r="AC263" s="1365"/>
      <c r="AD263" s="1365"/>
      <c r="AE263" s="557" t="s">
        <v>535</v>
      </c>
      <c r="AF263" s="557" t="s">
        <v>535</v>
      </c>
      <c r="AG263" s="557" t="s">
        <v>535</v>
      </c>
      <c r="AH263" s="638">
        <v>185</v>
      </c>
      <c r="AI263" s="639">
        <v>37</v>
      </c>
    </row>
    <row r="264" spans="1:35" ht="21" customHeight="1">
      <c r="A264" s="442"/>
      <c r="B264" s="619" t="s">
        <v>612</v>
      </c>
      <c r="C264" s="557" t="s">
        <v>535</v>
      </c>
      <c r="D264" s="557" t="s">
        <v>535</v>
      </c>
      <c r="E264" s="557" t="s">
        <v>535</v>
      </c>
      <c r="F264" s="557" t="s">
        <v>535</v>
      </c>
      <c r="G264" s="1365" t="s">
        <v>535</v>
      </c>
      <c r="H264" s="1215"/>
      <c r="I264" s="1215"/>
      <c r="J264" s="1365" t="s">
        <v>535</v>
      </c>
      <c r="K264" s="557" t="s">
        <v>535</v>
      </c>
      <c r="L264" s="557" t="s">
        <v>535</v>
      </c>
      <c r="M264" s="557" t="s">
        <v>535</v>
      </c>
      <c r="N264" s="557" t="s">
        <v>535</v>
      </c>
      <c r="O264" s="1215"/>
      <c r="P264" s="557"/>
      <c r="Q264" s="557" t="s">
        <v>535</v>
      </c>
      <c r="R264" s="557" t="s">
        <v>535</v>
      </c>
      <c r="S264" s="557" t="s">
        <v>535</v>
      </c>
      <c r="T264" s="557" t="s">
        <v>535</v>
      </c>
      <c r="U264" s="557" t="s">
        <v>535</v>
      </c>
      <c r="V264" s="1215"/>
      <c r="W264" s="1215"/>
      <c r="X264" s="557" t="s">
        <v>535</v>
      </c>
      <c r="Y264" s="557" t="s">
        <v>535</v>
      </c>
      <c r="Z264" s="557" t="s">
        <v>535</v>
      </c>
      <c r="AA264" s="557" t="s">
        <v>535</v>
      </c>
      <c r="AB264" s="557" t="s">
        <v>535</v>
      </c>
      <c r="AC264" s="1208"/>
      <c r="AD264" s="1208"/>
      <c r="AE264" s="1208" t="s">
        <v>535</v>
      </c>
      <c r="AF264" s="1208" t="s">
        <v>535</v>
      </c>
      <c r="AG264" s="1208" t="s">
        <v>535</v>
      </c>
      <c r="AH264" s="638">
        <v>159</v>
      </c>
      <c r="AI264" s="639">
        <v>18</v>
      </c>
    </row>
    <row r="265" spans="1:35" ht="21" customHeight="1">
      <c r="A265" s="442"/>
      <c r="B265" s="619" t="s">
        <v>613</v>
      </c>
      <c r="C265" s="557" t="s">
        <v>535</v>
      </c>
      <c r="D265" s="557" t="s">
        <v>535</v>
      </c>
      <c r="E265" s="557" t="s">
        <v>535</v>
      </c>
      <c r="F265" s="557" t="s">
        <v>535</v>
      </c>
      <c r="G265" s="557" t="s">
        <v>535</v>
      </c>
      <c r="H265" s="1215"/>
      <c r="I265" s="1215"/>
      <c r="J265" s="557" t="s">
        <v>535</v>
      </c>
      <c r="K265" s="557" t="s">
        <v>535</v>
      </c>
      <c r="L265" s="557" t="s">
        <v>535</v>
      </c>
      <c r="M265" s="557" t="s">
        <v>535</v>
      </c>
      <c r="N265" s="557" t="s">
        <v>535</v>
      </c>
      <c r="O265" s="1215"/>
      <c r="P265" s="557"/>
      <c r="Q265" s="557" t="s">
        <v>535</v>
      </c>
      <c r="R265" s="557" t="s">
        <v>535</v>
      </c>
      <c r="S265" s="557" t="s">
        <v>535</v>
      </c>
      <c r="T265" s="557" t="s">
        <v>535</v>
      </c>
      <c r="U265" s="1347" t="s">
        <v>535</v>
      </c>
      <c r="V265" s="1215"/>
      <c r="W265" s="1215"/>
      <c r="X265" s="1347" t="s">
        <v>535</v>
      </c>
      <c r="Y265" s="557" t="s">
        <v>535</v>
      </c>
      <c r="Z265" s="557" t="s">
        <v>535</v>
      </c>
      <c r="AA265" s="557" t="s">
        <v>535</v>
      </c>
      <c r="AB265" s="557" t="s">
        <v>535</v>
      </c>
      <c r="AC265" s="1208"/>
      <c r="AD265" s="1208"/>
      <c r="AE265" s="1208" t="s">
        <v>535</v>
      </c>
      <c r="AF265" s="1208" t="s">
        <v>535</v>
      </c>
      <c r="AG265" s="1208" t="s">
        <v>535</v>
      </c>
      <c r="AH265" s="638">
        <v>185</v>
      </c>
      <c r="AI265" s="639">
        <v>37</v>
      </c>
    </row>
    <row r="266" spans="1:35" ht="21" customHeight="1">
      <c r="A266" s="442"/>
      <c r="B266" s="619" t="s">
        <v>614</v>
      </c>
      <c r="C266" s="557" t="s">
        <v>535</v>
      </c>
      <c r="D266" s="557" t="s">
        <v>535</v>
      </c>
      <c r="E266" s="557" t="s">
        <v>535</v>
      </c>
      <c r="F266" s="557" t="s">
        <v>535</v>
      </c>
      <c r="G266" s="557" t="s">
        <v>535</v>
      </c>
      <c r="H266" s="1215"/>
      <c r="I266" s="1215"/>
      <c r="J266" s="557" t="s">
        <v>535</v>
      </c>
      <c r="K266" s="557" t="s">
        <v>535</v>
      </c>
      <c r="L266" s="557" t="s">
        <v>535</v>
      </c>
      <c r="M266" s="557" t="s">
        <v>535</v>
      </c>
      <c r="N266" s="557" t="s">
        <v>535</v>
      </c>
      <c r="O266" s="1215"/>
      <c r="P266" s="557"/>
      <c r="Q266" s="557" t="s">
        <v>535</v>
      </c>
      <c r="R266" s="557" t="s">
        <v>535</v>
      </c>
      <c r="S266" s="557" t="s">
        <v>535</v>
      </c>
      <c r="T266" s="557" t="s">
        <v>535</v>
      </c>
      <c r="U266" s="557" t="s">
        <v>535</v>
      </c>
      <c r="V266" s="1215"/>
      <c r="W266" s="1215"/>
      <c r="X266" s="557" t="s">
        <v>535</v>
      </c>
      <c r="Y266" s="557" t="s">
        <v>535</v>
      </c>
      <c r="Z266" s="557" t="s">
        <v>535</v>
      </c>
      <c r="AA266" s="557" t="s">
        <v>535</v>
      </c>
      <c r="AB266" s="557" t="s">
        <v>535</v>
      </c>
      <c r="AC266" s="1208"/>
      <c r="AD266" s="1208"/>
      <c r="AE266" s="1439" t="s">
        <v>749</v>
      </c>
      <c r="AF266" s="1208" t="s">
        <v>535</v>
      </c>
      <c r="AG266" s="1208" t="s">
        <v>535</v>
      </c>
      <c r="AH266" s="638">
        <v>179</v>
      </c>
      <c r="AI266" s="639">
        <v>37</v>
      </c>
    </row>
    <row r="267" spans="1:35" ht="21" customHeight="1">
      <c r="A267" s="442"/>
      <c r="B267" s="619" t="s">
        <v>615</v>
      </c>
      <c r="C267" s="557" t="s">
        <v>535</v>
      </c>
      <c r="D267" s="557" t="s">
        <v>535</v>
      </c>
      <c r="E267" s="557" t="s">
        <v>535</v>
      </c>
      <c r="F267" s="557" t="s">
        <v>535</v>
      </c>
      <c r="G267" s="557" t="s">
        <v>535</v>
      </c>
      <c r="H267" s="1215"/>
      <c r="I267" s="1215"/>
      <c r="J267" s="557" t="s">
        <v>535</v>
      </c>
      <c r="K267" s="557" t="s">
        <v>535</v>
      </c>
      <c r="L267" s="557" t="s">
        <v>535</v>
      </c>
      <c r="M267" s="557" t="s">
        <v>535</v>
      </c>
      <c r="N267" s="557" t="s">
        <v>535</v>
      </c>
      <c r="O267" s="1215"/>
      <c r="P267" s="557"/>
      <c r="Q267" s="557" t="s">
        <v>535</v>
      </c>
      <c r="R267" s="557" t="s">
        <v>535</v>
      </c>
      <c r="S267" s="557" t="s">
        <v>535</v>
      </c>
      <c r="T267" s="557" t="s">
        <v>535</v>
      </c>
      <c r="U267" s="557" t="s">
        <v>535</v>
      </c>
      <c r="V267" s="1215"/>
      <c r="W267" s="1215"/>
      <c r="X267" s="1365" t="s">
        <v>535</v>
      </c>
      <c r="Y267" s="1365" t="s">
        <v>535</v>
      </c>
      <c r="Z267" s="1365" t="s">
        <v>535</v>
      </c>
      <c r="AA267" s="1365" t="s">
        <v>535</v>
      </c>
      <c r="AB267" s="1365" t="s">
        <v>535</v>
      </c>
      <c r="AC267" s="1365"/>
      <c r="AD267" s="1365"/>
      <c r="AE267" s="1365" t="s">
        <v>535</v>
      </c>
      <c r="AF267" s="1365" t="s">
        <v>535</v>
      </c>
      <c r="AG267" s="1365" t="s">
        <v>535</v>
      </c>
      <c r="AH267" s="638">
        <v>185</v>
      </c>
      <c r="AI267" s="639">
        <v>37</v>
      </c>
    </row>
    <row r="268" spans="1:35" ht="21" customHeight="1">
      <c r="A268" s="442"/>
      <c r="B268" s="153" t="s">
        <v>616</v>
      </c>
      <c r="C268" s="557" t="s">
        <v>535</v>
      </c>
      <c r="D268" s="557" t="s">
        <v>535</v>
      </c>
      <c r="E268" s="557" t="s">
        <v>535</v>
      </c>
      <c r="F268" s="557" t="s">
        <v>535</v>
      </c>
      <c r="G268" s="557" t="s">
        <v>535</v>
      </c>
      <c r="H268" s="1215"/>
      <c r="I268" s="1215"/>
      <c r="J268" s="557" t="s">
        <v>535</v>
      </c>
      <c r="K268" s="557" t="s">
        <v>535</v>
      </c>
      <c r="L268" s="557" t="s">
        <v>535</v>
      </c>
      <c r="M268" s="557" t="s">
        <v>535</v>
      </c>
      <c r="N268" s="557" t="s">
        <v>535</v>
      </c>
      <c r="O268" s="1215"/>
      <c r="P268" s="557"/>
      <c r="Q268" s="557" t="s">
        <v>535</v>
      </c>
      <c r="R268" s="557" t="s">
        <v>535</v>
      </c>
      <c r="S268" s="557" t="s">
        <v>535</v>
      </c>
      <c r="T268" s="557" t="s">
        <v>535</v>
      </c>
      <c r="U268" s="557" t="s">
        <v>535</v>
      </c>
      <c r="V268" s="1215"/>
      <c r="W268" s="1215"/>
      <c r="X268" s="1365" t="s">
        <v>535</v>
      </c>
      <c r="Y268" s="1365" t="s">
        <v>535</v>
      </c>
      <c r="Z268" s="1365" t="s">
        <v>535</v>
      </c>
      <c r="AA268" s="1365" t="s">
        <v>535</v>
      </c>
      <c r="AB268" s="1365" t="s">
        <v>535</v>
      </c>
      <c r="AC268" s="1365"/>
      <c r="AD268" s="1365"/>
      <c r="AE268" s="1365" t="s">
        <v>535</v>
      </c>
      <c r="AF268" s="1365" t="s">
        <v>535</v>
      </c>
      <c r="AG268" s="1365" t="s">
        <v>535</v>
      </c>
      <c r="AH268" s="638">
        <v>173</v>
      </c>
      <c r="AI268" s="639">
        <v>37</v>
      </c>
    </row>
    <row r="269" spans="1:35" ht="21" customHeight="1">
      <c r="A269" s="442"/>
      <c r="B269" s="153" t="s">
        <v>617</v>
      </c>
      <c r="C269" s="557" t="s">
        <v>535</v>
      </c>
      <c r="D269" s="557" t="s">
        <v>535</v>
      </c>
      <c r="E269" s="557" t="s">
        <v>535</v>
      </c>
      <c r="F269" s="557" t="s">
        <v>535</v>
      </c>
      <c r="G269" s="557" t="s">
        <v>535</v>
      </c>
      <c r="H269" s="1215"/>
      <c r="I269" s="1215"/>
      <c r="J269" s="557" t="s">
        <v>535</v>
      </c>
      <c r="K269" s="557" t="s">
        <v>535</v>
      </c>
      <c r="L269" s="557" t="s">
        <v>535</v>
      </c>
      <c r="M269" s="557" t="s">
        <v>535</v>
      </c>
      <c r="N269" s="557" t="s">
        <v>535</v>
      </c>
      <c r="O269" s="1215"/>
      <c r="P269" s="557"/>
      <c r="Q269" s="1365" t="s">
        <v>535</v>
      </c>
      <c r="R269" s="1365" t="s">
        <v>535</v>
      </c>
      <c r="S269" s="1365" t="s">
        <v>535</v>
      </c>
      <c r="T269" s="1365" t="s">
        <v>535</v>
      </c>
      <c r="U269" s="1365" t="s">
        <v>535</v>
      </c>
      <c r="V269" s="1338"/>
      <c r="W269" s="1338"/>
      <c r="X269" s="1365" t="s">
        <v>535</v>
      </c>
      <c r="Y269" s="1365" t="s">
        <v>535</v>
      </c>
      <c r="Z269" s="1365" t="s">
        <v>535</v>
      </c>
      <c r="AA269" s="1365" t="s">
        <v>535</v>
      </c>
      <c r="AB269" s="1365" t="s">
        <v>535</v>
      </c>
      <c r="AC269" s="1365"/>
      <c r="AD269" s="1365"/>
      <c r="AE269" s="1365" t="s">
        <v>535</v>
      </c>
      <c r="AF269" s="1365" t="s">
        <v>535</v>
      </c>
      <c r="AG269" s="1365" t="s">
        <v>535</v>
      </c>
      <c r="AH269" s="638">
        <v>185</v>
      </c>
      <c r="AI269" s="639">
        <v>37</v>
      </c>
    </row>
    <row r="270" spans="1:35" ht="21" customHeight="1">
      <c r="A270" s="442"/>
      <c r="B270" s="153" t="s">
        <v>618</v>
      </c>
      <c r="C270" s="557" t="s">
        <v>514</v>
      </c>
      <c r="D270" s="1546" t="s">
        <v>514</v>
      </c>
      <c r="E270" s="1546" t="s">
        <v>570</v>
      </c>
      <c r="F270" s="1547" t="s">
        <v>514</v>
      </c>
      <c r="G270" s="1547" t="s">
        <v>514</v>
      </c>
      <c r="H270" s="1215"/>
      <c r="I270" s="1215"/>
      <c r="J270" s="557" t="s">
        <v>514</v>
      </c>
      <c r="K270" s="557" t="s">
        <v>514</v>
      </c>
      <c r="L270" s="557" t="s">
        <v>514</v>
      </c>
      <c r="M270" s="557" t="s">
        <v>514</v>
      </c>
      <c r="N270" s="557" t="s">
        <v>514</v>
      </c>
      <c r="O270" s="1215"/>
      <c r="P270" s="557"/>
      <c r="Q270" s="1208"/>
      <c r="R270" s="1208"/>
      <c r="S270" s="1208"/>
      <c r="T270" s="1208"/>
      <c r="U270" s="1208"/>
      <c r="V270" s="1215"/>
      <c r="W270" s="1215"/>
      <c r="X270" s="1208"/>
      <c r="Y270" s="1208"/>
      <c r="Z270" s="1208"/>
      <c r="AA270" s="1208"/>
      <c r="AB270" s="1208"/>
      <c r="AC270" s="1208"/>
      <c r="AD270" s="1208"/>
      <c r="AE270" s="1208"/>
      <c r="AF270" s="1208"/>
      <c r="AG270" s="1208"/>
      <c r="AH270" s="638"/>
      <c r="AI270" s="639"/>
    </row>
    <row r="271" spans="1:35" ht="21" customHeight="1">
      <c r="A271" s="153"/>
      <c r="B271" s="153" t="s">
        <v>619</v>
      </c>
      <c r="C271" s="557" t="s">
        <v>535</v>
      </c>
      <c r="D271" s="557" t="s">
        <v>535</v>
      </c>
      <c r="E271" s="557" t="s">
        <v>535</v>
      </c>
      <c r="F271" s="557" t="s">
        <v>535</v>
      </c>
      <c r="G271" s="1387" t="s">
        <v>535</v>
      </c>
      <c r="H271" s="1215"/>
      <c r="I271" s="1215"/>
      <c r="J271" s="1365" t="s">
        <v>535</v>
      </c>
      <c r="K271" s="1365" t="s">
        <v>535</v>
      </c>
      <c r="L271" s="1365" t="s">
        <v>535</v>
      </c>
      <c r="M271" s="1365" t="s">
        <v>535</v>
      </c>
      <c r="N271" s="1365" t="s">
        <v>535</v>
      </c>
      <c r="O271" s="1338"/>
      <c r="P271" s="1365"/>
      <c r="Q271" s="1365" t="s">
        <v>535</v>
      </c>
      <c r="R271" s="1365" t="s">
        <v>535</v>
      </c>
      <c r="S271" s="1365" t="s">
        <v>535</v>
      </c>
      <c r="T271" s="1365" t="s">
        <v>535</v>
      </c>
      <c r="U271" s="1365" t="s">
        <v>535</v>
      </c>
      <c r="V271" s="1338"/>
      <c r="W271" s="1338"/>
      <c r="X271" s="1365" t="s">
        <v>535</v>
      </c>
      <c r="Y271" s="1365" t="s">
        <v>535</v>
      </c>
      <c r="Z271" s="1365" t="s">
        <v>535</v>
      </c>
      <c r="AA271" s="1365" t="s">
        <v>535</v>
      </c>
      <c r="AB271" s="1365" t="s">
        <v>535</v>
      </c>
      <c r="AC271" s="1365"/>
      <c r="AD271" s="1365"/>
      <c r="AE271" s="1208" t="s">
        <v>535</v>
      </c>
      <c r="AF271" s="1208" t="s">
        <v>535</v>
      </c>
      <c r="AG271" s="1208" t="s">
        <v>535</v>
      </c>
      <c r="AH271" s="638">
        <v>72</v>
      </c>
      <c r="AI271" s="639">
        <v>31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15"/>
  <dimension ref="A1:AL271"/>
  <sheetViews>
    <sheetView topLeftCell="A6" zoomScale="70" zoomScaleNormal="70" workbookViewId="0">
      <selection activeCell="O200" sqref="O200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620</v>
      </c>
      <c r="B6" s="157"/>
      <c r="C6" s="489"/>
      <c r="D6" s="488" t="s">
        <v>621</v>
      </c>
      <c r="E6" s="157"/>
      <c r="F6" s="157"/>
      <c r="G6" s="157"/>
      <c r="H6" s="490"/>
      <c r="I6" s="157"/>
      <c r="J6" s="157"/>
      <c r="K6" s="157"/>
      <c r="L6" s="488" t="s">
        <v>725</v>
      </c>
      <c r="M6" s="157"/>
      <c r="N6" s="157"/>
      <c r="O6" s="157"/>
      <c r="P6" s="157"/>
      <c r="Q6" s="157"/>
      <c r="R6" s="157"/>
      <c r="S6" s="489"/>
      <c r="T6" s="491" t="s">
        <v>623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624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625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626</v>
      </c>
      <c r="L8" s="496"/>
      <c r="AB8" s="1"/>
    </row>
    <row r="9" spans="1:35" ht="21.95" customHeight="1" thickBot="1">
      <c r="B9" s="497" t="s">
        <v>627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528</v>
      </c>
      <c r="B10" s="297" t="s">
        <v>480</v>
      </c>
      <c r="C10" s="1234">
        <v>1</v>
      </c>
      <c r="D10" s="1234">
        <v>2</v>
      </c>
      <c r="E10" s="1235">
        <v>3</v>
      </c>
      <c r="F10" s="1235">
        <v>4</v>
      </c>
      <c r="G10" s="1234">
        <v>5</v>
      </c>
      <c r="H10" s="1234">
        <v>6</v>
      </c>
      <c r="I10" s="1213">
        <v>7</v>
      </c>
      <c r="J10" s="1213">
        <v>8</v>
      </c>
      <c r="K10" s="1234">
        <v>9</v>
      </c>
      <c r="L10" s="1235">
        <v>10</v>
      </c>
      <c r="M10" s="1235">
        <v>11</v>
      </c>
      <c r="N10" s="1234">
        <v>12</v>
      </c>
      <c r="O10" s="1234">
        <v>13</v>
      </c>
      <c r="P10" s="1213">
        <v>14</v>
      </c>
      <c r="Q10" s="1213">
        <v>15</v>
      </c>
      <c r="R10" s="1234">
        <v>16</v>
      </c>
      <c r="S10" s="1235">
        <v>17</v>
      </c>
      <c r="T10" s="1235">
        <v>18</v>
      </c>
      <c r="U10" s="1234">
        <v>19</v>
      </c>
      <c r="V10" s="1213">
        <v>20</v>
      </c>
      <c r="W10" s="1213">
        <v>21</v>
      </c>
      <c r="X10" s="1213">
        <v>22</v>
      </c>
      <c r="Y10" s="1234">
        <v>23</v>
      </c>
      <c r="Z10" s="1235">
        <v>24</v>
      </c>
      <c r="AA10" s="1235">
        <v>25</v>
      </c>
      <c r="AB10" s="1234">
        <v>26</v>
      </c>
      <c r="AC10" s="1234">
        <v>27</v>
      </c>
      <c r="AD10" s="1213">
        <v>28</v>
      </c>
      <c r="AE10" s="1213">
        <v>29</v>
      </c>
      <c r="AF10" s="1234">
        <v>30</v>
      </c>
      <c r="AG10" s="1235">
        <v>31</v>
      </c>
      <c r="AH10" s="498" t="s">
        <v>481</v>
      </c>
      <c r="AI10" s="499" t="s">
        <v>482</v>
      </c>
    </row>
    <row r="11" spans="1:35" ht="21.95" customHeight="1">
      <c r="A11" s="500"/>
      <c r="B11" s="501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1215"/>
      <c r="N11" s="1215"/>
      <c r="O11" s="1215"/>
      <c r="P11" s="1215"/>
      <c r="Q11" s="1215"/>
      <c r="R11" s="1215"/>
      <c r="S11" s="1215"/>
      <c r="T11" s="1215"/>
      <c r="U11" s="1215"/>
      <c r="V11" s="1215"/>
      <c r="W11" s="1215"/>
      <c r="X11" s="1215"/>
      <c r="Y11" s="1215"/>
      <c r="Z11" s="1215"/>
      <c r="AA11" s="1215"/>
      <c r="AB11" s="1215"/>
      <c r="AC11" s="1215"/>
      <c r="AD11" s="1215"/>
      <c r="AE11" s="1215"/>
      <c r="AF11" s="1215"/>
      <c r="AG11" s="503"/>
      <c r="AH11" s="504"/>
      <c r="AI11" s="505"/>
    </row>
    <row r="12" spans="1:35" ht="21.95" customHeight="1">
      <c r="A12" s="506" t="s">
        <v>628</v>
      </c>
      <c r="B12" s="45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509"/>
      <c r="AI12" s="510"/>
    </row>
    <row r="13" spans="1:35" ht="21.95" customHeight="1">
      <c r="A13" s="511">
        <v>8546</v>
      </c>
      <c r="B13" s="512" t="s">
        <v>629</v>
      </c>
      <c r="C13" s="1211" t="s">
        <v>487</v>
      </c>
      <c r="D13" s="1211" t="s">
        <v>487</v>
      </c>
      <c r="E13" s="1211"/>
      <c r="F13" s="1211"/>
      <c r="G13" s="1553">
        <v>1</v>
      </c>
      <c r="H13" s="1346">
        <v>1</v>
      </c>
      <c r="I13" s="1553">
        <v>1</v>
      </c>
      <c r="J13" s="1553">
        <v>1</v>
      </c>
      <c r="K13" s="1553">
        <v>1</v>
      </c>
      <c r="L13" s="1211"/>
      <c r="M13" s="1211"/>
      <c r="N13" s="1211">
        <v>2</v>
      </c>
      <c r="O13" s="1211">
        <v>2</v>
      </c>
      <c r="P13" s="1211">
        <v>2</v>
      </c>
      <c r="Q13" s="1211">
        <v>2</v>
      </c>
      <c r="R13" s="1211">
        <v>2</v>
      </c>
      <c r="S13" s="1211" t="s">
        <v>631</v>
      </c>
      <c r="T13" s="1211" t="s">
        <v>631</v>
      </c>
      <c r="U13" s="1349" t="s">
        <v>487</v>
      </c>
      <c r="V13" s="1349" t="s">
        <v>487</v>
      </c>
      <c r="W13" s="1349" t="s">
        <v>487</v>
      </c>
      <c r="X13" s="1349" t="s">
        <v>487</v>
      </c>
      <c r="Y13" s="1349" t="s">
        <v>487</v>
      </c>
      <c r="Z13" s="1349"/>
      <c r="AA13" s="1349"/>
      <c r="AB13" s="1349">
        <v>3</v>
      </c>
      <c r="AC13" s="1349">
        <v>3</v>
      </c>
      <c r="AD13" s="1349">
        <v>3</v>
      </c>
      <c r="AE13" s="1349">
        <v>3</v>
      </c>
      <c r="AF13" s="1349">
        <v>3</v>
      </c>
      <c r="AG13" s="1350"/>
      <c r="AH13" s="513">
        <v>152</v>
      </c>
      <c r="AI13" s="514">
        <v>37</v>
      </c>
    </row>
    <row r="14" spans="1:35" ht="21.95" customHeight="1">
      <c r="A14" s="500">
        <v>8546</v>
      </c>
      <c r="B14" s="347" t="s">
        <v>632</v>
      </c>
      <c r="C14" s="1215">
        <v>3</v>
      </c>
      <c r="D14" s="1215">
        <v>3</v>
      </c>
      <c r="E14" s="1215"/>
      <c r="F14" s="1215"/>
      <c r="G14" s="1215">
        <v>4</v>
      </c>
      <c r="H14" s="1215">
        <v>4</v>
      </c>
      <c r="I14" s="1215">
        <v>4</v>
      </c>
      <c r="J14" s="1215">
        <v>4</v>
      </c>
      <c r="K14" s="1215">
        <v>4</v>
      </c>
      <c r="L14" s="1215" t="s">
        <v>630</v>
      </c>
      <c r="M14" s="1215" t="s">
        <v>630</v>
      </c>
      <c r="N14" s="1215" t="s">
        <v>487</v>
      </c>
      <c r="O14" s="1215" t="s">
        <v>487</v>
      </c>
      <c r="P14" s="1215" t="s">
        <v>487</v>
      </c>
      <c r="Q14" s="1215" t="s">
        <v>487</v>
      </c>
      <c r="R14" s="1215" t="s">
        <v>487</v>
      </c>
      <c r="S14" s="1215"/>
      <c r="T14" s="1215"/>
      <c r="U14" s="1338">
        <v>1</v>
      </c>
      <c r="V14" s="1338">
        <v>1</v>
      </c>
      <c r="W14" s="1338">
        <v>1</v>
      </c>
      <c r="X14" s="1338">
        <v>1</v>
      </c>
      <c r="Y14" s="1338">
        <v>1</v>
      </c>
      <c r="Z14" s="1338"/>
      <c r="AA14" s="1338"/>
      <c r="AB14" s="1338">
        <v>2</v>
      </c>
      <c r="AC14" s="1338">
        <v>2</v>
      </c>
      <c r="AD14" s="1338">
        <v>2</v>
      </c>
      <c r="AE14" s="1338">
        <v>2</v>
      </c>
      <c r="AF14" s="1338">
        <v>2</v>
      </c>
      <c r="AG14" s="1339" t="s">
        <v>631</v>
      </c>
      <c r="AH14" s="513">
        <v>79</v>
      </c>
      <c r="AI14" s="514">
        <v>37</v>
      </c>
    </row>
    <row r="15" spans="1:35" ht="21.95" customHeight="1">
      <c r="A15" s="500">
        <v>8546</v>
      </c>
      <c r="B15" s="347" t="s">
        <v>171</v>
      </c>
      <c r="C15" s="1215">
        <v>4</v>
      </c>
      <c r="D15" s="1215">
        <v>4</v>
      </c>
      <c r="E15" s="1215" t="s">
        <v>630</v>
      </c>
      <c r="F15" s="1215" t="s">
        <v>630</v>
      </c>
      <c r="G15" s="1215" t="s">
        <v>487</v>
      </c>
      <c r="H15" s="1215" t="s">
        <v>487</v>
      </c>
      <c r="I15" s="1215" t="s">
        <v>487</v>
      </c>
      <c r="J15" s="1215" t="s">
        <v>487</v>
      </c>
      <c r="K15" s="1215" t="s">
        <v>487</v>
      </c>
      <c r="L15" s="1215"/>
      <c r="M15" s="1215"/>
      <c r="N15" s="1335">
        <v>1</v>
      </c>
      <c r="O15" s="1335">
        <v>1</v>
      </c>
      <c r="P15" s="1335">
        <v>1</v>
      </c>
      <c r="Q15" s="1335">
        <v>1</v>
      </c>
      <c r="R15" s="1335">
        <v>1</v>
      </c>
      <c r="S15" s="1215"/>
      <c r="T15" s="1215"/>
      <c r="U15" s="1338">
        <v>2</v>
      </c>
      <c r="V15" s="1338">
        <v>2</v>
      </c>
      <c r="W15" s="1338">
        <v>2</v>
      </c>
      <c r="X15" s="1338">
        <v>2</v>
      </c>
      <c r="Y15" s="1338">
        <v>2</v>
      </c>
      <c r="Z15" s="1338" t="s">
        <v>631</v>
      </c>
      <c r="AA15" s="1338" t="s">
        <v>631</v>
      </c>
      <c r="AB15" s="1215" t="s">
        <v>487</v>
      </c>
      <c r="AC15" s="1215" t="s">
        <v>487</v>
      </c>
      <c r="AD15" s="1215" t="s">
        <v>487</v>
      </c>
      <c r="AE15" s="1215" t="s">
        <v>487</v>
      </c>
      <c r="AF15" s="1215" t="s">
        <v>487</v>
      </c>
      <c r="AG15" s="1216"/>
      <c r="AH15" s="513">
        <v>69</v>
      </c>
      <c r="AI15" s="514">
        <v>37</v>
      </c>
    </row>
    <row r="16" spans="1:35" ht="21.95" customHeight="1">
      <c r="A16" s="500">
        <v>8546</v>
      </c>
      <c r="B16" s="347" t="s">
        <v>633</v>
      </c>
      <c r="C16" s="1215">
        <v>2</v>
      </c>
      <c r="D16" s="1215">
        <v>2</v>
      </c>
      <c r="E16" s="1215" t="s">
        <v>631</v>
      </c>
      <c r="F16" s="1215" t="s">
        <v>631</v>
      </c>
      <c r="G16" s="1215" t="s">
        <v>487</v>
      </c>
      <c r="H16" s="1215" t="s">
        <v>487</v>
      </c>
      <c r="I16" s="1215" t="s">
        <v>487</v>
      </c>
      <c r="J16" s="1215" t="s">
        <v>487</v>
      </c>
      <c r="K16" s="1215" t="s">
        <v>487</v>
      </c>
      <c r="L16" s="1215"/>
      <c r="M16" s="1215"/>
      <c r="N16" s="1215">
        <v>3</v>
      </c>
      <c r="O16" s="1215">
        <v>3</v>
      </c>
      <c r="P16" s="1215">
        <v>3</v>
      </c>
      <c r="Q16" s="1215">
        <v>3</v>
      </c>
      <c r="R16" s="1215">
        <v>3</v>
      </c>
      <c r="S16" s="1215"/>
      <c r="T16" s="1215"/>
      <c r="U16" s="1215">
        <v>4</v>
      </c>
      <c r="V16" s="1215">
        <v>4</v>
      </c>
      <c r="W16" s="1215">
        <v>4</v>
      </c>
      <c r="X16" s="1215">
        <v>4</v>
      </c>
      <c r="Y16" s="1215">
        <v>4</v>
      </c>
      <c r="Z16" s="1215" t="s">
        <v>630</v>
      </c>
      <c r="AA16" s="1215" t="s">
        <v>630</v>
      </c>
      <c r="AB16" s="1215" t="s">
        <v>487</v>
      </c>
      <c r="AC16" s="1215" t="s">
        <v>487</v>
      </c>
      <c r="AD16" s="1215" t="s">
        <v>487</v>
      </c>
      <c r="AE16" s="1215" t="s">
        <v>487</v>
      </c>
      <c r="AF16" s="1215" t="s">
        <v>487</v>
      </c>
      <c r="AG16" s="1216"/>
      <c r="AH16" s="513">
        <v>78</v>
      </c>
      <c r="AI16" s="514">
        <v>37</v>
      </c>
    </row>
    <row r="17" spans="1:37" ht="21.95" customHeight="1">
      <c r="A17" s="500">
        <v>8546</v>
      </c>
      <c r="B17" s="347" t="s">
        <v>634</v>
      </c>
      <c r="C17" s="1215">
        <v>1</v>
      </c>
      <c r="D17" s="1215">
        <v>1</v>
      </c>
      <c r="E17" s="1215"/>
      <c r="F17" s="1215"/>
      <c r="G17" s="1215">
        <v>2</v>
      </c>
      <c r="H17" s="1215">
        <v>2</v>
      </c>
      <c r="I17" s="1215">
        <v>2</v>
      </c>
      <c r="J17" s="1215">
        <v>2</v>
      </c>
      <c r="K17" s="1215">
        <v>2</v>
      </c>
      <c r="L17" s="1215" t="s">
        <v>631</v>
      </c>
      <c r="M17" s="1215" t="s">
        <v>631</v>
      </c>
      <c r="N17" s="1215" t="s">
        <v>487</v>
      </c>
      <c r="O17" s="1215" t="s">
        <v>487</v>
      </c>
      <c r="P17" s="1215" t="s">
        <v>487</v>
      </c>
      <c r="Q17" s="1215" t="s">
        <v>487</v>
      </c>
      <c r="R17" s="1215" t="s">
        <v>487</v>
      </c>
      <c r="S17" s="1215"/>
      <c r="T17" s="1215"/>
      <c r="U17" s="1215">
        <v>3</v>
      </c>
      <c r="V17" s="1215">
        <v>3</v>
      </c>
      <c r="W17" s="1215">
        <v>3</v>
      </c>
      <c r="X17" s="1215">
        <v>3</v>
      </c>
      <c r="Y17" s="1215">
        <v>3</v>
      </c>
      <c r="Z17" s="1215"/>
      <c r="AA17" s="1215"/>
      <c r="AB17" s="1215">
        <v>4</v>
      </c>
      <c r="AC17" s="1215">
        <v>4</v>
      </c>
      <c r="AD17" s="1215">
        <v>4</v>
      </c>
      <c r="AE17" s="1215">
        <v>4</v>
      </c>
      <c r="AF17" s="1215">
        <v>4</v>
      </c>
      <c r="AG17" s="1216" t="s">
        <v>630</v>
      </c>
      <c r="AH17" s="513">
        <v>79</v>
      </c>
      <c r="AI17" s="514">
        <v>37</v>
      </c>
    </row>
    <row r="18" spans="1:37" ht="21.95" customHeight="1">
      <c r="A18" s="500">
        <v>8546</v>
      </c>
      <c r="B18" s="347" t="s">
        <v>635</v>
      </c>
      <c r="C18" s="1338" t="s">
        <v>487</v>
      </c>
      <c r="D18" s="1338" t="s">
        <v>487</v>
      </c>
      <c r="E18" s="1338"/>
      <c r="F18" s="1338"/>
      <c r="G18" s="1338">
        <v>3</v>
      </c>
      <c r="H18" s="1338">
        <v>3</v>
      </c>
      <c r="I18" s="1338">
        <v>3</v>
      </c>
      <c r="J18" s="1338">
        <v>3</v>
      </c>
      <c r="K18" s="1338">
        <v>3</v>
      </c>
      <c r="L18" s="1338"/>
      <c r="M18" s="1338"/>
      <c r="N18" s="1338">
        <v>4</v>
      </c>
      <c r="O18" s="1338">
        <v>4</v>
      </c>
      <c r="P18" s="1338">
        <v>4</v>
      </c>
      <c r="Q18" s="1338">
        <v>4</v>
      </c>
      <c r="R18" s="1338">
        <v>4</v>
      </c>
      <c r="S18" s="1338" t="s">
        <v>630</v>
      </c>
      <c r="T18" s="1338" t="s">
        <v>630</v>
      </c>
      <c r="U18" s="1215" t="s">
        <v>487</v>
      </c>
      <c r="V18" s="1215" t="s">
        <v>487</v>
      </c>
      <c r="W18" s="1215" t="s">
        <v>487</v>
      </c>
      <c r="X18" s="1215" t="s">
        <v>487</v>
      </c>
      <c r="Y18" s="1215" t="s">
        <v>487</v>
      </c>
      <c r="Z18" s="1215"/>
      <c r="AA18" s="1215"/>
      <c r="AB18" s="1215">
        <v>1</v>
      </c>
      <c r="AC18" s="1215">
        <v>1</v>
      </c>
      <c r="AD18" s="1215">
        <v>1</v>
      </c>
      <c r="AE18" s="1215">
        <v>1</v>
      </c>
      <c r="AF18" s="1335">
        <v>1</v>
      </c>
      <c r="AG18" s="1216"/>
      <c r="AH18" s="513">
        <v>83</v>
      </c>
      <c r="AI18" s="514">
        <v>37</v>
      </c>
    </row>
    <row r="19" spans="1:37" ht="21.95" customHeight="1">
      <c r="A19" s="515" t="s">
        <v>636</v>
      </c>
      <c r="B19" s="516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507"/>
      <c r="AE19" s="507"/>
      <c r="AF19" s="507"/>
      <c r="AG19" s="508"/>
      <c r="AH19" s="509"/>
      <c r="AI19" s="510"/>
    </row>
    <row r="20" spans="1:37" ht="21.95" customHeight="1">
      <c r="A20" s="500">
        <v>8500</v>
      </c>
      <c r="B20" s="186" t="s">
        <v>192</v>
      </c>
      <c r="C20" s="1338" t="s">
        <v>535</v>
      </c>
      <c r="D20" s="1338" t="s">
        <v>535</v>
      </c>
      <c r="E20" s="1338"/>
      <c r="F20" s="1338"/>
      <c r="G20" s="1338" t="s">
        <v>535</v>
      </c>
      <c r="H20" s="1338" t="s">
        <v>535</v>
      </c>
      <c r="I20" s="1338" t="s">
        <v>535</v>
      </c>
      <c r="J20" s="1338" t="s">
        <v>535</v>
      </c>
      <c r="K20" s="1338" t="s">
        <v>535</v>
      </c>
      <c r="L20" s="1338"/>
      <c r="M20" s="1338"/>
      <c r="N20" s="1338" t="s">
        <v>535</v>
      </c>
      <c r="O20" s="1338" t="s">
        <v>535</v>
      </c>
      <c r="P20" s="1338" t="s">
        <v>535</v>
      </c>
      <c r="Q20" s="1338" t="s">
        <v>535</v>
      </c>
      <c r="R20" s="1338" t="s">
        <v>535</v>
      </c>
      <c r="S20" s="1338"/>
      <c r="T20" s="1338"/>
      <c r="U20" s="1215">
        <v>1</v>
      </c>
      <c r="V20" s="1215">
        <v>1</v>
      </c>
      <c r="W20" s="1215">
        <v>1</v>
      </c>
      <c r="X20" s="1215">
        <v>1</v>
      </c>
      <c r="Y20" s="1215">
        <v>1</v>
      </c>
      <c r="Z20" s="1215" t="s">
        <v>631</v>
      </c>
      <c r="AA20" s="1215"/>
      <c r="AB20" s="1215">
        <v>2</v>
      </c>
      <c r="AC20" s="1215">
        <v>2</v>
      </c>
      <c r="AD20" s="1215">
        <v>2</v>
      </c>
      <c r="AE20" s="1215">
        <v>2</v>
      </c>
      <c r="AF20" s="1215">
        <v>2</v>
      </c>
      <c r="AG20" s="1215" t="s">
        <v>631</v>
      </c>
      <c r="AH20" s="504">
        <v>95</v>
      </c>
      <c r="AI20" s="505">
        <v>37</v>
      </c>
    </row>
    <row r="21" spans="1:37" ht="21.95" customHeight="1">
      <c r="A21" s="500">
        <v>8500</v>
      </c>
      <c r="B21" s="153" t="s">
        <v>638</v>
      </c>
      <c r="C21" s="1215" t="s">
        <v>535</v>
      </c>
      <c r="D21" s="1215" t="s">
        <v>535</v>
      </c>
      <c r="E21" s="1215"/>
      <c r="F21" s="1215"/>
      <c r="G21" s="1215" t="s">
        <v>535</v>
      </c>
      <c r="H21" s="1215" t="s">
        <v>535</v>
      </c>
      <c r="I21" s="1215" t="s">
        <v>535</v>
      </c>
      <c r="J21" s="1215" t="s">
        <v>535</v>
      </c>
      <c r="K21" s="1215" t="s">
        <v>535</v>
      </c>
      <c r="L21" s="1215"/>
      <c r="M21" s="1215"/>
      <c r="N21" s="1215">
        <v>4</v>
      </c>
      <c r="O21" s="1215">
        <v>4</v>
      </c>
      <c r="P21" s="1215">
        <v>4</v>
      </c>
      <c r="Q21" s="1215">
        <v>4</v>
      </c>
      <c r="R21" s="1215">
        <v>4</v>
      </c>
      <c r="S21" s="1215" t="s">
        <v>637</v>
      </c>
      <c r="T21" s="1215" t="s">
        <v>637</v>
      </c>
      <c r="U21" s="1215">
        <v>2</v>
      </c>
      <c r="V21" s="1215">
        <v>2</v>
      </c>
      <c r="W21" s="1215">
        <v>2</v>
      </c>
      <c r="X21" s="1215">
        <v>2</v>
      </c>
      <c r="Y21" s="1215">
        <v>2</v>
      </c>
      <c r="Z21" s="1215"/>
      <c r="AA21" s="1215" t="s">
        <v>631</v>
      </c>
      <c r="AB21" s="1215">
        <v>3</v>
      </c>
      <c r="AC21" s="1215">
        <v>3</v>
      </c>
      <c r="AD21" s="1215">
        <v>3</v>
      </c>
      <c r="AE21" s="1215">
        <v>3</v>
      </c>
      <c r="AF21" s="1215">
        <v>3</v>
      </c>
      <c r="AG21" s="1215"/>
      <c r="AH21" s="504">
        <v>74</v>
      </c>
      <c r="AI21" s="505">
        <v>37</v>
      </c>
    </row>
    <row r="22" spans="1:37" ht="21.95" customHeight="1" thickBot="1">
      <c r="A22" s="500"/>
      <c r="B22" s="153"/>
      <c r="C22" s="1215"/>
      <c r="D22" s="1215"/>
      <c r="E22" s="1215"/>
      <c r="F22" s="1215"/>
      <c r="G22" s="1215"/>
      <c r="H22" s="1215"/>
      <c r="I22" s="1215"/>
      <c r="J22" s="1215"/>
      <c r="K22" s="1215"/>
      <c r="L22" s="1215"/>
      <c r="M22" s="1215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15"/>
      <c r="AA22" s="1215"/>
      <c r="AB22" s="1215"/>
      <c r="AC22" s="1215"/>
      <c r="AD22" s="1215"/>
      <c r="AE22" s="1215"/>
      <c r="AF22" s="1215"/>
      <c r="AG22" s="1215"/>
      <c r="AH22" s="517"/>
      <c r="AI22" s="518"/>
    </row>
    <row r="23" spans="1:37" ht="21.95" customHeight="1">
      <c r="A23" s="519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</row>
    <row r="24" spans="1:37" ht="21.95" customHeight="1">
      <c r="A24" s="519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</row>
    <row r="25" spans="1:37" ht="21.95" customHeight="1">
      <c r="A25" s="519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</row>
    <row r="26" spans="1:37" ht="21.95" customHeight="1">
      <c r="A26" s="519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</row>
    <row r="27" spans="1:37" ht="21.95" customHeight="1">
      <c r="A27" s="519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</row>
    <row r="28" spans="1:37" ht="21.95" customHeight="1">
      <c r="A28" s="519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</row>
    <row r="29" spans="1:37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7" ht="21.95" customHeight="1" thickBot="1">
      <c r="A30" s="1" t="s">
        <v>639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640</v>
      </c>
      <c r="B31" s="521"/>
      <c r="C31" s="521"/>
      <c r="D31" s="425" t="s">
        <v>641</v>
      </c>
      <c r="E31" s="522"/>
      <c r="F31" s="522"/>
      <c r="G31" s="522"/>
      <c r="H31" s="522"/>
      <c r="I31" s="522"/>
      <c r="J31" s="522"/>
      <c r="K31" s="522"/>
      <c r="L31" s="522"/>
      <c r="M31" s="523" t="s">
        <v>642</v>
      </c>
      <c r="N31" s="522"/>
      <c r="O31" s="522"/>
      <c r="P31" s="522"/>
      <c r="Q31" s="522"/>
      <c r="R31" s="522"/>
      <c r="S31" s="524"/>
      <c r="T31" s="524" t="s">
        <v>643</v>
      </c>
      <c r="U31" s="522"/>
      <c r="V31" s="522"/>
      <c r="W31" s="522"/>
      <c r="X31" s="522"/>
      <c r="Y31" s="522"/>
      <c r="Z31" s="238"/>
      <c r="AA31" s="525" t="s">
        <v>644</v>
      </c>
      <c r="AB31" s="51"/>
      <c r="AC31" s="51"/>
      <c r="AD31" s="51"/>
      <c r="AE31" s="51"/>
      <c r="AF31" s="51"/>
      <c r="AG31" s="526"/>
      <c r="AK31" s="1"/>
    </row>
    <row r="32" spans="1:37" ht="21.95" customHeight="1">
      <c r="A32" s="527" t="s">
        <v>645</v>
      </c>
      <c r="B32" s="135"/>
      <c r="C32" s="135"/>
      <c r="D32" s="495" t="s">
        <v>646</v>
      </c>
      <c r="E32" s="491"/>
      <c r="F32" s="157"/>
      <c r="G32" s="157"/>
      <c r="H32" s="157"/>
      <c r="I32" s="157"/>
      <c r="J32" s="157"/>
      <c r="K32" s="157"/>
      <c r="L32" s="489"/>
      <c r="M32" s="528" t="s">
        <v>647</v>
      </c>
      <c r="N32" s="135"/>
      <c r="O32" s="529"/>
      <c r="P32" s="135"/>
      <c r="Q32" s="135"/>
      <c r="R32" s="135"/>
      <c r="S32" s="530"/>
      <c r="T32" s="495" t="s">
        <v>648</v>
      </c>
      <c r="U32" s="157"/>
      <c r="V32" s="491"/>
      <c r="W32" s="157"/>
      <c r="X32" s="157"/>
      <c r="Y32" s="157"/>
      <c r="Z32" s="489"/>
      <c r="AA32" s="1" t="s">
        <v>649</v>
      </c>
      <c r="AD32" s="496"/>
      <c r="AG32" s="531"/>
      <c r="AK32" s="1"/>
    </row>
    <row r="33" spans="1:38" ht="21.95" customHeight="1">
      <c r="A33" s="532" t="s">
        <v>650</v>
      </c>
      <c r="B33" s="157"/>
      <c r="C33" s="157"/>
      <c r="D33" s="157"/>
      <c r="E33" s="157"/>
      <c r="F33" s="157"/>
      <c r="G33" s="489"/>
      <c r="H33" s="495" t="s">
        <v>651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3" t="s">
        <v>652</v>
      </c>
      <c r="AA33" s="529"/>
      <c r="AB33" s="135"/>
      <c r="AC33" s="135"/>
      <c r="AD33" s="135"/>
      <c r="AE33" s="135"/>
      <c r="AF33" s="135"/>
      <c r="AG33" s="534"/>
      <c r="AK33" s="312"/>
    </row>
    <row r="34" spans="1:38" ht="21.95" customHeight="1" thickBot="1">
      <c r="A34" s="535" t="s">
        <v>653</v>
      </c>
      <c r="B34" s="53"/>
      <c r="C34" s="53"/>
      <c r="D34" s="53"/>
      <c r="E34" s="53"/>
      <c r="F34" s="53"/>
      <c r="G34" s="536"/>
      <c r="H34" s="537" t="s">
        <v>654</v>
      </c>
      <c r="I34" s="536"/>
      <c r="J34" s="53"/>
      <c r="K34" s="53"/>
      <c r="L34" s="53"/>
      <c r="M34" s="53"/>
      <c r="N34" s="53"/>
      <c r="O34" s="53"/>
      <c r="P34" s="53"/>
      <c r="Q34" s="538"/>
      <c r="R34" s="538"/>
      <c r="S34" s="538"/>
      <c r="T34" s="53"/>
      <c r="U34" s="537" t="s">
        <v>655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9"/>
      <c r="AK34" s="1"/>
    </row>
    <row r="35" spans="1:38" ht="21.95" customHeight="1" thickBot="1">
      <c r="B35" s="540" t="s">
        <v>627</v>
      </c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41"/>
      <c r="Y35" s="541"/>
      <c r="Z35" s="541"/>
      <c r="AA35" s="541"/>
      <c r="AB35" s="541"/>
      <c r="AC35" s="541"/>
      <c r="AD35" s="541"/>
      <c r="AE35" s="541"/>
      <c r="AF35" s="541"/>
      <c r="AG35" s="541"/>
      <c r="AH35" s="1"/>
    </row>
    <row r="36" spans="1:38" ht="21.95" customHeight="1" thickBot="1">
      <c r="A36" s="542" t="s">
        <v>528</v>
      </c>
      <c r="B36" s="182" t="s">
        <v>480</v>
      </c>
      <c r="C36" s="1234">
        <v>1</v>
      </c>
      <c r="D36" s="1234">
        <v>2</v>
      </c>
      <c r="E36" s="1235">
        <v>3</v>
      </c>
      <c r="F36" s="1235">
        <v>4</v>
      </c>
      <c r="G36" s="1234">
        <v>5</v>
      </c>
      <c r="H36" s="1234">
        <v>6</v>
      </c>
      <c r="I36" s="1213">
        <v>7</v>
      </c>
      <c r="J36" s="1213">
        <v>8</v>
      </c>
      <c r="K36" s="1234">
        <v>9</v>
      </c>
      <c r="L36" s="1235">
        <v>10</v>
      </c>
      <c r="M36" s="1235">
        <v>11</v>
      </c>
      <c r="N36" s="1234">
        <v>12</v>
      </c>
      <c r="O36" s="1234">
        <v>13</v>
      </c>
      <c r="P36" s="1213">
        <v>14</v>
      </c>
      <c r="Q36" s="1213">
        <v>15</v>
      </c>
      <c r="R36" s="1234">
        <v>16</v>
      </c>
      <c r="S36" s="1235">
        <v>17</v>
      </c>
      <c r="T36" s="1235">
        <v>18</v>
      </c>
      <c r="U36" s="1234">
        <v>19</v>
      </c>
      <c r="V36" s="1213">
        <v>20</v>
      </c>
      <c r="W36" s="1213">
        <v>21</v>
      </c>
      <c r="X36" s="1213">
        <v>22</v>
      </c>
      <c r="Y36" s="1234">
        <v>23</v>
      </c>
      <c r="Z36" s="1235">
        <v>24</v>
      </c>
      <c r="AA36" s="1235">
        <v>25</v>
      </c>
      <c r="AB36" s="1234">
        <v>26</v>
      </c>
      <c r="AC36" s="1234">
        <v>27</v>
      </c>
      <c r="AD36" s="1213">
        <v>28</v>
      </c>
      <c r="AE36" s="1213">
        <v>29</v>
      </c>
      <c r="AF36" s="1234">
        <v>30</v>
      </c>
      <c r="AG36" s="1235">
        <v>31</v>
      </c>
      <c r="AH36" s="498" t="s">
        <v>481</v>
      </c>
      <c r="AI36" s="499" t="s">
        <v>482</v>
      </c>
      <c r="AL36" t="s">
        <v>28</v>
      </c>
    </row>
    <row r="37" spans="1:38" ht="21.95" customHeight="1">
      <c r="A37" s="543">
        <v>1</v>
      </c>
      <c r="B37" s="45" t="s">
        <v>656</v>
      </c>
      <c r="C37" s="1209">
        <v>4</v>
      </c>
      <c r="D37" s="1209">
        <v>4</v>
      </c>
      <c r="E37" s="1209"/>
      <c r="F37" s="1209"/>
      <c r="G37" s="1209">
        <v>3</v>
      </c>
      <c r="H37" s="1209">
        <v>3</v>
      </c>
      <c r="I37" s="1209">
        <v>3</v>
      </c>
      <c r="J37" s="1209">
        <v>3</v>
      </c>
      <c r="K37" s="1209">
        <v>3</v>
      </c>
      <c r="L37" s="1209"/>
      <c r="M37" s="1209"/>
      <c r="N37" s="1209">
        <v>11</v>
      </c>
      <c r="O37" s="1209">
        <v>11</v>
      </c>
      <c r="P37" s="1209">
        <v>11</v>
      </c>
      <c r="Q37" s="1209">
        <v>11</v>
      </c>
      <c r="R37" s="1438">
        <v>11</v>
      </c>
      <c r="S37" s="1438" t="s">
        <v>657</v>
      </c>
      <c r="T37" s="1438" t="s">
        <v>760</v>
      </c>
      <c r="U37" s="1209" t="s">
        <v>487</v>
      </c>
      <c r="V37" s="1209" t="s">
        <v>487</v>
      </c>
      <c r="W37" s="1209" t="s">
        <v>487</v>
      </c>
      <c r="X37" s="1209" t="s">
        <v>487</v>
      </c>
      <c r="Y37" s="1209" t="s">
        <v>487</v>
      </c>
      <c r="Z37" s="1209"/>
      <c r="AA37" s="1209"/>
      <c r="AB37" s="1209">
        <v>8</v>
      </c>
      <c r="AC37" s="1209">
        <v>8</v>
      </c>
      <c r="AD37" s="1209">
        <v>8</v>
      </c>
      <c r="AE37" s="1209">
        <v>8</v>
      </c>
      <c r="AF37" s="1209">
        <v>8</v>
      </c>
      <c r="AG37" s="1220" t="s">
        <v>533</v>
      </c>
      <c r="AH37" s="504">
        <v>56</v>
      </c>
      <c r="AI37" s="505">
        <v>37</v>
      </c>
    </row>
    <row r="38" spans="1:38" ht="21.95" customHeight="1">
      <c r="A38" s="544">
        <v>6</v>
      </c>
      <c r="B38" s="545" t="s">
        <v>658</v>
      </c>
      <c r="C38" s="1376" t="s">
        <v>487</v>
      </c>
      <c r="D38" s="1376" t="s">
        <v>487</v>
      </c>
      <c r="E38" s="1376"/>
      <c r="F38" s="1376"/>
      <c r="G38" s="1376">
        <v>1</v>
      </c>
      <c r="H38" s="1376">
        <v>1</v>
      </c>
      <c r="I38" s="1376">
        <v>1</v>
      </c>
      <c r="J38" s="1376">
        <v>1</v>
      </c>
      <c r="K38" s="1376">
        <v>1</v>
      </c>
      <c r="L38" s="1376"/>
      <c r="M38" s="1376"/>
      <c r="N38" s="1376">
        <v>9</v>
      </c>
      <c r="O38" s="1376">
        <v>9</v>
      </c>
      <c r="P38" s="1376">
        <v>9</v>
      </c>
      <c r="Q38" s="1376">
        <v>9</v>
      </c>
      <c r="R38" s="1376">
        <v>9</v>
      </c>
      <c r="S38" s="1376" t="s">
        <v>543</v>
      </c>
      <c r="T38" s="1376" t="s">
        <v>555</v>
      </c>
      <c r="U38" s="1376" t="s">
        <v>487</v>
      </c>
      <c r="V38" s="1376" t="s">
        <v>487</v>
      </c>
      <c r="W38" s="1376" t="s">
        <v>487</v>
      </c>
      <c r="X38" s="1376" t="s">
        <v>487</v>
      </c>
      <c r="Y38" s="1376" t="s">
        <v>487</v>
      </c>
      <c r="Z38" s="1376"/>
      <c r="AA38" s="1376"/>
      <c r="AB38" s="1376">
        <v>6</v>
      </c>
      <c r="AC38" s="1376">
        <v>6</v>
      </c>
      <c r="AD38" s="1376">
        <v>6</v>
      </c>
      <c r="AE38" s="1376">
        <v>6</v>
      </c>
      <c r="AF38" s="1376">
        <v>6</v>
      </c>
      <c r="AG38" s="1377" t="s">
        <v>532</v>
      </c>
      <c r="AH38" s="504">
        <v>185</v>
      </c>
      <c r="AI38" s="505">
        <v>37</v>
      </c>
    </row>
    <row r="39" spans="1:38" ht="21.95" customHeight="1" thickBot="1">
      <c r="A39" s="546">
        <v>11</v>
      </c>
      <c r="B39" s="1242" t="s">
        <v>659</v>
      </c>
      <c r="C39" s="1207" t="s">
        <v>487</v>
      </c>
      <c r="D39" s="1207" t="s">
        <v>487</v>
      </c>
      <c r="E39" s="1207"/>
      <c r="F39" s="1207"/>
      <c r="G39" s="1207">
        <v>4</v>
      </c>
      <c r="H39" s="1550">
        <v>4</v>
      </c>
      <c r="I39" s="1207">
        <v>4</v>
      </c>
      <c r="J39" s="1207">
        <v>4</v>
      </c>
      <c r="K39" s="1207">
        <v>4</v>
      </c>
      <c r="L39" s="1207"/>
      <c r="M39" s="1207"/>
      <c r="N39" s="1207">
        <v>10</v>
      </c>
      <c r="O39" s="1207">
        <v>10</v>
      </c>
      <c r="P39" s="1207">
        <v>10</v>
      </c>
      <c r="Q39" s="1207">
        <v>10</v>
      </c>
      <c r="R39" s="1207">
        <v>10</v>
      </c>
      <c r="S39" s="1207" t="s">
        <v>555</v>
      </c>
      <c r="T39" s="1207" t="s">
        <v>555</v>
      </c>
      <c r="U39" s="1207" t="s">
        <v>487</v>
      </c>
      <c r="V39" s="1207" t="s">
        <v>487</v>
      </c>
      <c r="W39" s="1207" t="s">
        <v>487</v>
      </c>
      <c r="X39" s="1207" t="s">
        <v>487</v>
      </c>
      <c r="Y39" s="1207" t="s">
        <v>487</v>
      </c>
      <c r="Z39" s="1207" t="s">
        <v>660</v>
      </c>
      <c r="AA39" s="1207" t="s">
        <v>660</v>
      </c>
      <c r="AB39" s="1443">
        <v>7</v>
      </c>
      <c r="AC39" s="1443" t="s">
        <v>661</v>
      </c>
      <c r="AD39" s="1207">
        <v>7</v>
      </c>
      <c r="AE39" s="1207">
        <v>7</v>
      </c>
      <c r="AF39" s="1207">
        <v>7</v>
      </c>
      <c r="AG39" s="1222"/>
      <c r="AH39" s="504">
        <v>94</v>
      </c>
      <c r="AI39" s="505">
        <v>37</v>
      </c>
    </row>
    <row r="40" spans="1:38" ht="21.95" customHeight="1">
      <c r="A40" s="543">
        <v>2</v>
      </c>
      <c r="B40" s="45" t="s">
        <v>662</v>
      </c>
      <c r="C40" s="1351">
        <v>3</v>
      </c>
      <c r="D40" s="1351">
        <v>3</v>
      </c>
      <c r="E40" s="1351"/>
      <c r="F40" s="1367"/>
      <c r="G40" s="1367">
        <v>11</v>
      </c>
      <c r="H40" s="1351">
        <v>11</v>
      </c>
      <c r="I40" s="1351">
        <v>11</v>
      </c>
      <c r="J40" s="1351">
        <v>11</v>
      </c>
      <c r="K40" s="1351">
        <v>11</v>
      </c>
      <c r="L40" s="1351" t="s">
        <v>657</v>
      </c>
      <c r="M40" s="1351" t="s">
        <v>657</v>
      </c>
      <c r="N40" s="1351" t="s">
        <v>487</v>
      </c>
      <c r="O40" s="1351" t="s">
        <v>487</v>
      </c>
      <c r="P40" s="1351" t="s">
        <v>487</v>
      </c>
      <c r="Q40" s="1351" t="s">
        <v>487</v>
      </c>
      <c r="R40" s="1351" t="s">
        <v>487</v>
      </c>
      <c r="S40" s="1351"/>
      <c r="T40" s="1367"/>
      <c r="U40" s="1223">
        <v>8</v>
      </c>
      <c r="V40" s="1209">
        <v>8</v>
      </c>
      <c r="W40" s="1209">
        <v>8</v>
      </c>
      <c r="X40" s="1209">
        <v>8</v>
      </c>
      <c r="Y40" s="1209">
        <v>8</v>
      </c>
      <c r="Z40" s="1209" t="s">
        <v>533</v>
      </c>
      <c r="AA40" s="1209" t="s">
        <v>533</v>
      </c>
      <c r="AB40" s="1209" t="s">
        <v>487</v>
      </c>
      <c r="AC40" s="1209" t="s">
        <v>487</v>
      </c>
      <c r="AD40" s="1209" t="s">
        <v>487</v>
      </c>
      <c r="AE40" s="1209" t="s">
        <v>487</v>
      </c>
      <c r="AF40" s="1209" t="s">
        <v>487</v>
      </c>
      <c r="AG40" s="1209"/>
      <c r="AH40" s="504">
        <v>83</v>
      </c>
      <c r="AI40" s="505">
        <v>37</v>
      </c>
    </row>
    <row r="41" spans="1:38" ht="21.95" customHeight="1">
      <c r="A41" s="544">
        <v>7</v>
      </c>
      <c r="B41" s="153" t="s">
        <v>664</v>
      </c>
      <c r="C41" s="1215">
        <v>1</v>
      </c>
      <c r="D41" s="1215">
        <v>1</v>
      </c>
      <c r="E41" s="1215"/>
      <c r="F41" s="1215"/>
      <c r="G41" s="1215">
        <v>9</v>
      </c>
      <c r="H41" s="1215">
        <v>9</v>
      </c>
      <c r="I41" s="1215">
        <v>9</v>
      </c>
      <c r="J41" s="1215">
        <v>9</v>
      </c>
      <c r="K41" s="1215">
        <v>9</v>
      </c>
      <c r="L41" s="1215" t="s">
        <v>543</v>
      </c>
      <c r="M41" s="1335" t="s">
        <v>543</v>
      </c>
      <c r="N41" s="1215" t="s">
        <v>487</v>
      </c>
      <c r="O41" s="1215" t="s">
        <v>487</v>
      </c>
      <c r="P41" s="1215" t="s">
        <v>487</v>
      </c>
      <c r="Q41" s="1215" t="s">
        <v>487</v>
      </c>
      <c r="R41" s="1215" t="s">
        <v>487</v>
      </c>
      <c r="S41" s="1215" t="s">
        <v>630</v>
      </c>
      <c r="T41" s="1215" t="s">
        <v>630</v>
      </c>
      <c r="U41" s="1215" t="s">
        <v>487</v>
      </c>
      <c r="V41" s="1215" t="s">
        <v>487</v>
      </c>
      <c r="W41" s="1215" t="s">
        <v>487</v>
      </c>
      <c r="X41" s="1215" t="s">
        <v>487</v>
      </c>
      <c r="Y41" s="1215" t="s">
        <v>487</v>
      </c>
      <c r="Z41" s="1215" t="s">
        <v>532</v>
      </c>
      <c r="AA41" s="1215" t="s">
        <v>533</v>
      </c>
      <c r="AB41" s="1215" t="s">
        <v>487</v>
      </c>
      <c r="AC41" s="1215" t="s">
        <v>487</v>
      </c>
      <c r="AD41" s="1215" t="s">
        <v>487</v>
      </c>
      <c r="AE41" s="1215" t="s">
        <v>487</v>
      </c>
      <c r="AF41" s="1215" t="s">
        <v>487</v>
      </c>
      <c r="AG41" s="1221"/>
      <c r="AH41" s="504">
        <v>206</v>
      </c>
      <c r="AI41" s="505">
        <v>37</v>
      </c>
    </row>
    <row r="42" spans="1:38" ht="21.95" customHeight="1" thickBot="1">
      <c r="A42" s="546">
        <v>12</v>
      </c>
      <c r="B42" s="547" t="s">
        <v>665</v>
      </c>
      <c r="C42" s="1366">
        <v>5</v>
      </c>
      <c r="D42" s="1366">
        <v>5</v>
      </c>
      <c r="E42" s="1207"/>
      <c r="F42" s="1207"/>
      <c r="G42" s="1207">
        <v>10</v>
      </c>
      <c r="H42" s="1207">
        <v>10</v>
      </c>
      <c r="I42" s="1207">
        <v>10</v>
      </c>
      <c r="J42" s="1207">
        <v>10</v>
      </c>
      <c r="K42" s="1207">
        <v>10</v>
      </c>
      <c r="L42" s="1371" t="s">
        <v>555</v>
      </c>
      <c r="M42" s="1207" t="s">
        <v>555</v>
      </c>
      <c r="N42" s="1207" t="s">
        <v>487</v>
      </c>
      <c r="O42" s="1207" t="s">
        <v>487</v>
      </c>
      <c r="P42" s="1207" t="s">
        <v>487</v>
      </c>
      <c r="Q42" s="1207" t="s">
        <v>487</v>
      </c>
      <c r="R42" s="1207" t="s">
        <v>487</v>
      </c>
      <c r="S42" s="1207" t="s">
        <v>660</v>
      </c>
      <c r="T42" s="1207" t="s">
        <v>660</v>
      </c>
      <c r="U42" s="1207">
        <v>7</v>
      </c>
      <c r="V42" s="1207">
        <v>7</v>
      </c>
      <c r="W42" s="1207">
        <v>7</v>
      </c>
      <c r="X42" s="1207">
        <v>7</v>
      </c>
      <c r="Y42" s="1207">
        <v>7</v>
      </c>
      <c r="Z42" s="1207"/>
      <c r="AA42" s="1207"/>
      <c r="AB42" s="1207">
        <v>4</v>
      </c>
      <c r="AC42" s="1207">
        <v>4</v>
      </c>
      <c r="AD42" s="1207">
        <v>4</v>
      </c>
      <c r="AE42" s="1207">
        <v>4</v>
      </c>
      <c r="AF42" s="1207">
        <v>4</v>
      </c>
      <c r="AG42" s="1222"/>
      <c r="AH42" s="504">
        <v>34.299999999999997</v>
      </c>
      <c r="AI42" s="505">
        <v>37</v>
      </c>
    </row>
    <row r="43" spans="1:38" ht="21.95" customHeight="1">
      <c r="A43" s="548">
        <v>3</v>
      </c>
      <c r="B43" s="1373" t="s">
        <v>666</v>
      </c>
      <c r="C43" s="1211">
        <v>11</v>
      </c>
      <c r="D43" s="1211">
        <v>11</v>
      </c>
      <c r="E43" s="1211" t="s">
        <v>657</v>
      </c>
      <c r="F43" s="1211" t="s">
        <v>657</v>
      </c>
      <c r="G43" s="1211" t="s">
        <v>487</v>
      </c>
      <c r="H43" s="1211" t="s">
        <v>487</v>
      </c>
      <c r="I43" s="1211" t="s">
        <v>487</v>
      </c>
      <c r="J43" s="1211" t="s">
        <v>487</v>
      </c>
      <c r="K43" s="1211" t="s">
        <v>487</v>
      </c>
      <c r="L43" s="1211"/>
      <c r="M43" s="1211"/>
      <c r="N43" s="1211">
        <v>8</v>
      </c>
      <c r="O43" s="1211">
        <v>8</v>
      </c>
      <c r="P43" s="1211">
        <v>8</v>
      </c>
      <c r="Q43" s="1211">
        <v>8</v>
      </c>
      <c r="R43" s="1214">
        <v>8</v>
      </c>
      <c r="S43" s="1211" t="s">
        <v>533</v>
      </c>
      <c r="T43" s="1211" t="s">
        <v>533</v>
      </c>
      <c r="U43" s="1211" t="s">
        <v>487</v>
      </c>
      <c r="V43" s="1211" t="s">
        <v>487</v>
      </c>
      <c r="W43" s="1211" t="s">
        <v>487</v>
      </c>
      <c r="X43" s="1211" t="s">
        <v>487</v>
      </c>
      <c r="Y43" s="1211" t="s">
        <v>487</v>
      </c>
      <c r="Z43" s="1211"/>
      <c r="AA43" s="1211"/>
      <c r="AB43" s="1211">
        <v>1</v>
      </c>
      <c r="AC43" s="1211">
        <v>1</v>
      </c>
      <c r="AD43" s="1211">
        <v>1</v>
      </c>
      <c r="AE43" s="1211">
        <v>1</v>
      </c>
      <c r="AF43" s="1211">
        <v>1</v>
      </c>
      <c r="AG43" s="1224"/>
      <c r="AH43" s="504">
        <v>185</v>
      </c>
      <c r="AI43" s="505">
        <v>37</v>
      </c>
    </row>
    <row r="44" spans="1:38" ht="21.95" customHeight="1">
      <c r="A44" s="544">
        <v>8</v>
      </c>
      <c r="B44" s="319" t="s">
        <v>667</v>
      </c>
      <c r="C44" s="1215">
        <v>9</v>
      </c>
      <c r="D44" s="1215">
        <v>9</v>
      </c>
      <c r="E44" s="1215" t="s">
        <v>543</v>
      </c>
      <c r="F44" s="1215" t="s">
        <v>555</v>
      </c>
      <c r="G44" s="1225" t="s">
        <v>487</v>
      </c>
      <c r="H44" s="1215" t="s">
        <v>487</v>
      </c>
      <c r="I44" s="1215" t="s">
        <v>487</v>
      </c>
      <c r="J44" s="1215" t="s">
        <v>487</v>
      </c>
      <c r="K44" s="1215" t="s">
        <v>487</v>
      </c>
      <c r="L44" s="1215"/>
      <c r="M44" s="1215"/>
      <c r="N44" s="1215">
        <v>6</v>
      </c>
      <c r="O44" s="1215">
        <v>6</v>
      </c>
      <c r="P44" s="1215">
        <v>6</v>
      </c>
      <c r="Q44" s="1216">
        <v>6</v>
      </c>
      <c r="R44" s="1215">
        <v>6</v>
      </c>
      <c r="S44" s="1226" t="s">
        <v>532</v>
      </c>
      <c r="T44" s="1215" t="s">
        <v>533</v>
      </c>
      <c r="U44" s="1338" t="s">
        <v>487</v>
      </c>
      <c r="V44" s="1338" t="s">
        <v>487</v>
      </c>
      <c r="W44" s="1338" t="s">
        <v>487</v>
      </c>
      <c r="X44" s="1338" t="s">
        <v>487</v>
      </c>
      <c r="Y44" s="1338" t="s">
        <v>487</v>
      </c>
      <c r="Z44" s="1338"/>
      <c r="AA44" s="1338"/>
      <c r="AB44" s="1338">
        <v>5</v>
      </c>
      <c r="AC44" s="1338">
        <v>5</v>
      </c>
      <c r="AD44" s="1338">
        <v>5</v>
      </c>
      <c r="AE44" s="1338">
        <v>5</v>
      </c>
      <c r="AF44" s="1338">
        <v>5</v>
      </c>
      <c r="AG44" s="1338"/>
      <c r="AH44" s="504">
        <v>147</v>
      </c>
      <c r="AI44" s="505">
        <v>37</v>
      </c>
    </row>
    <row r="45" spans="1:38" ht="21.95" customHeight="1" thickBot="1">
      <c r="A45" s="546">
        <v>13</v>
      </c>
      <c r="B45" s="52" t="s">
        <v>668</v>
      </c>
      <c r="C45" s="1366">
        <v>10</v>
      </c>
      <c r="D45" s="1366">
        <v>10</v>
      </c>
      <c r="E45" s="1366" t="s">
        <v>555</v>
      </c>
      <c r="F45" s="1366" t="s">
        <v>555</v>
      </c>
      <c r="G45" s="1366" t="s">
        <v>487</v>
      </c>
      <c r="H45" s="1366" t="s">
        <v>487</v>
      </c>
      <c r="I45" s="1366" t="s">
        <v>487</v>
      </c>
      <c r="J45" s="1366" t="s">
        <v>487</v>
      </c>
      <c r="K45" s="1366" t="s">
        <v>487</v>
      </c>
      <c r="L45" s="1366" t="s">
        <v>660</v>
      </c>
      <c r="M45" s="1366" t="s">
        <v>660</v>
      </c>
      <c r="N45" s="1366">
        <v>7</v>
      </c>
      <c r="O45" s="1366">
        <v>7</v>
      </c>
      <c r="P45" s="1366">
        <v>7</v>
      </c>
      <c r="Q45" s="1366">
        <v>7</v>
      </c>
      <c r="R45" s="1395">
        <v>7</v>
      </c>
      <c r="S45" s="1366"/>
      <c r="T45" s="1366"/>
      <c r="U45" s="1207">
        <v>4</v>
      </c>
      <c r="V45" s="1207">
        <v>4</v>
      </c>
      <c r="W45" s="1207">
        <v>4</v>
      </c>
      <c r="X45" s="1207">
        <v>4</v>
      </c>
      <c r="Y45" s="1207">
        <v>4</v>
      </c>
      <c r="Z45" s="1207"/>
      <c r="AA45" s="1207"/>
      <c r="AB45" s="1207">
        <v>3</v>
      </c>
      <c r="AC45" s="1207">
        <v>3</v>
      </c>
      <c r="AD45" s="1207">
        <v>3</v>
      </c>
      <c r="AE45" s="1445">
        <v>3</v>
      </c>
      <c r="AF45" s="1371">
        <v>3</v>
      </c>
      <c r="AG45" s="1207"/>
      <c r="AH45" s="504">
        <v>136</v>
      </c>
      <c r="AI45" s="505">
        <v>37</v>
      </c>
    </row>
    <row r="46" spans="1:38" ht="21.95" customHeight="1">
      <c r="A46" s="548">
        <v>4</v>
      </c>
      <c r="B46" s="319" t="s">
        <v>669</v>
      </c>
      <c r="C46" s="1376" t="s">
        <v>487</v>
      </c>
      <c r="D46" s="1376" t="s">
        <v>487</v>
      </c>
      <c r="E46" s="1376"/>
      <c r="F46" s="1376"/>
      <c r="G46" s="1376">
        <v>8</v>
      </c>
      <c r="H46" s="1376">
        <v>8</v>
      </c>
      <c r="I46" s="1376">
        <v>8</v>
      </c>
      <c r="J46" s="1484">
        <v>8</v>
      </c>
      <c r="K46" s="1484">
        <v>8</v>
      </c>
      <c r="L46" s="1484" t="s">
        <v>533</v>
      </c>
      <c r="M46" s="1484" t="s">
        <v>533</v>
      </c>
      <c r="N46" s="1484" t="s">
        <v>487</v>
      </c>
      <c r="O46" s="1484" t="s">
        <v>487</v>
      </c>
      <c r="P46" s="1484" t="s">
        <v>487</v>
      </c>
      <c r="Q46" s="1484" t="s">
        <v>487</v>
      </c>
      <c r="R46" s="1484" t="s">
        <v>487</v>
      </c>
      <c r="S46" s="1484"/>
      <c r="T46" s="1484"/>
      <c r="U46" s="1484">
        <v>1</v>
      </c>
      <c r="V46" s="1484">
        <v>1</v>
      </c>
      <c r="W46" s="1484">
        <v>1</v>
      </c>
      <c r="X46" s="1484">
        <v>1</v>
      </c>
      <c r="Y46" s="1484">
        <v>1</v>
      </c>
      <c r="Z46" s="1484"/>
      <c r="AA46" s="1484"/>
      <c r="AB46" s="1554">
        <v>9</v>
      </c>
      <c r="AC46" s="1554">
        <v>9</v>
      </c>
      <c r="AD46" s="1554">
        <v>9</v>
      </c>
      <c r="AE46" s="1554">
        <v>9</v>
      </c>
      <c r="AF46" s="1452">
        <v>9</v>
      </c>
      <c r="AG46" s="1218" t="s">
        <v>543</v>
      </c>
      <c r="AH46" s="504">
        <v>51</v>
      </c>
      <c r="AI46" s="505">
        <v>37</v>
      </c>
    </row>
    <row r="47" spans="1:38" ht="21.95" customHeight="1">
      <c r="A47" s="544">
        <v>9</v>
      </c>
      <c r="B47" s="319" t="s">
        <v>670</v>
      </c>
      <c r="C47" s="1215" t="s">
        <v>487</v>
      </c>
      <c r="D47" s="1215" t="s">
        <v>487</v>
      </c>
      <c r="E47" s="1215"/>
      <c r="F47" s="1215"/>
      <c r="G47" s="1215">
        <v>6</v>
      </c>
      <c r="H47" s="1215">
        <v>6</v>
      </c>
      <c r="I47" s="1215">
        <v>6</v>
      </c>
      <c r="J47" s="1215">
        <v>6</v>
      </c>
      <c r="K47" s="1215">
        <v>6</v>
      </c>
      <c r="L47" s="1215" t="s">
        <v>532</v>
      </c>
      <c r="M47" s="1215" t="s">
        <v>533</v>
      </c>
      <c r="N47" s="1215" t="s">
        <v>487</v>
      </c>
      <c r="O47" s="1215" t="s">
        <v>487</v>
      </c>
      <c r="P47" s="1215" t="s">
        <v>487</v>
      </c>
      <c r="Q47" s="1215" t="s">
        <v>487</v>
      </c>
      <c r="R47" s="1215" t="s">
        <v>487</v>
      </c>
      <c r="S47" s="1215"/>
      <c r="T47" s="1215"/>
      <c r="U47" s="1335">
        <v>1</v>
      </c>
      <c r="V47" s="1215">
        <v>1</v>
      </c>
      <c r="W47" s="1215">
        <v>1</v>
      </c>
      <c r="X47" s="1215">
        <v>1</v>
      </c>
      <c r="Y47" s="1215">
        <v>1</v>
      </c>
      <c r="Z47" s="1215"/>
      <c r="AA47" s="1215"/>
      <c r="AB47" s="1215">
        <v>10</v>
      </c>
      <c r="AC47" s="1215">
        <v>10</v>
      </c>
      <c r="AD47" s="1215">
        <v>10</v>
      </c>
      <c r="AE47" s="1215">
        <v>10</v>
      </c>
      <c r="AF47" s="1215">
        <v>10</v>
      </c>
      <c r="AG47" s="1216" t="s">
        <v>555</v>
      </c>
      <c r="AH47" s="504">
        <v>130</v>
      </c>
      <c r="AI47" s="505">
        <v>37</v>
      </c>
    </row>
    <row r="48" spans="1:38" ht="21.95" customHeight="1" thickBot="1">
      <c r="A48" s="546">
        <v>14</v>
      </c>
      <c r="B48" s="547" t="s">
        <v>671</v>
      </c>
      <c r="C48" s="1207" t="s">
        <v>487</v>
      </c>
      <c r="D48" s="1207" t="s">
        <v>487</v>
      </c>
      <c r="E48" s="1211" t="s">
        <v>660</v>
      </c>
      <c r="F48" s="1211" t="s">
        <v>660</v>
      </c>
      <c r="G48" s="1211">
        <v>7</v>
      </c>
      <c r="H48" s="1211">
        <v>7</v>
      </c>
      <c r="I48" s="1211">
        <v>7</v>
      </c>
      <c r="J48" s="1211">
        <v>7</v>
      </c>
      <c r="K48" s="1211">
        <v>7</v>
      </c>
      <c r="L48" s="1207"/>
      <c r="M48" s="1207"/>
      <c r="N48" s="1371">
        <v>4</v>
      </c>
      <c r="O48" s="1207">
        <v>4</v>
      </c>
      <c r="P48" s="1207">
        <v>4</v>
      </c>
      <c r="Q48" s="1207">
        <v>4</v>
      </c>
      <c r="R48" s="1207">
        <v>4</v>
      </c>
      <c r="S48" s="1207"/>
      <c r="T48" s="1207"/>
      <c r="U48" s="1207">
        <v>3</v>
      </c>
      <c r="V48" s="1207">
        <v>3</v>
      </c>
      <c r="W48" s="1207">
        <v>3</v>
      </c>
      <c r="X48" s="1207">
        <v>3</v>
      </c>
      <c r="Y48" s="1207">
        <v>3</v>
      </c>
      <c r="Z48" s="1207"/>
      <c r="AA48" s="1207"/>
      <c r="AB48" s="1207">
        <v>11</v>
      </c>
      <c r="AC48" s="1207">
        <v>11</v>
      </c>
      <c r="AD48" s="1207">
        <v>11</v>
      </c>
      <c r="AE48" s="1207">
        <v>11</v>
      </c>
      <c r="AF48" s="1207">
        <v>11</v>
      </c>
      <c r="AG48" s="1227" t="s">
        <v>657</v>
      </c>
      <c r="AH48" s="504">
        <v>72</v>
      </c>
      <c r="AI48" s="505">
        <v>37</v>
      </c>
    </row>
    <row r="49" spans="1:35" ht="21.95" customHeight="1">
      <c r="A49" s="543">
        <v>5</v>
      </c>
      <c r="B49" s="545" t="s">
        <v>672</v>
      </c>
      <c r="C49" s="1209">
        <v>8</v>
      </c>
      <c r="D49" s="1209">
        <v>8</v>
      </c>
      <c r="E49" s="1209" t="s">
        <v>533</v>
      </c>
      <c r="F49" s="1209" t="s">
        <v>533</v>
      </c>
      <c r="G49" s="1209" t="s">
        <v>487</v>
      </c>
      <c r="H49" s="1209" t="s">
        <v>487</v>
      </c>
      <c r="I49" s="1209" t="s">
        <v>487</v>
      </c>
      <c r="J49" s="1209" t="s">
        <v>487</v>
      </c>
      <c r="K49" s="1209" t="s">
        <v>487</v>
      </c>
      <c r="L49" s="1209"/>
      <c r="M49" s="1209"/>
      <c r="N49" s="1209">
        <v>1</v>
      </c>
      <c r="O49" s="1209">
        <v>1</v>
      </c>
      <c r="P49" s="1209">
        <v>1</v>
      </c>
      <c r="Q49" s="1209">
        <v>1</v>
      </c>
      <c r="R49" s="1215">
        <v>1</v>
      </c>
      <c r="S49" s="1215"/>
      <c r="T49" s="1215"/>
      <c r="U49" s="1338">
        <v>9</v>
      </c>
      <c r="V49" s="1338">
        <v>9</v>
      </c>
      <c r="W49" s="1338">
        <v>9</v>
      </c>
      <c r="X49" s="1338">
        <v>9</v>
      </c>
      <c r="Y49" s="1338">
        <v>9</v>
      </c>
      <c r="Z49" s="1338" t="s">
        <v>543</v>
      </c>
      <c r="AA49" s="1338" t="s">
        <v>555</v>
      </c>
      <c r="AB49" s="1338" t="s">
        <v>487</v>
      </c>
      <c r="AC49" s="1338" t="s">
        <v>487</v>
      </c>
      <c r="AD49" s="1338" t="s">
        <v>487</v>
      </c>
      <c r="AE49" s="1352" t="s">
        <v>487</v>
      </c>
      <c r="AF49" s="1351" t="s">
        <v>487</v>
      </c>
      <c r="AG49" s="1352"/>
      <c r="AH49" s="504">
        <v>176</v>
      </c>
      <c r="AI49" s="505">
        <v>37</v>
      </c>
    </row>
    <row r="50" spans="1:35" ht="21.95" customHeight="1">
      <c r="A50" s="544">
        <v>10</v>
      </c>
      <c r="B50" s="319" t="s">
        <v>673</v>
      </c>
      <c r="C50" s="1338">
        <v>6</v>
      </c>
      <c r="D50" s="1338">
        <v>6</v>
      </c>
      <c r="E50" s="1338" t="s">
        <v>532</v>
      </c>
      <c r="F50" s="1338" t="s">
        <v>533</v>
      </c>
      <c r="G50" s="1338" t="s">
        <v>487</v>
      </c>
      <c r="H50" s="1338" t="s">
        <v>487</v>
      </c>
      <c r="I50" s="1338" t="s">
        <v>487</v>
      </c>
      <c r="J50" s="1338" t="s">
        <v>487</v>
      </c>
      <c r="K50" s="1338" t="s">
        <v>487</v>
      </c>
      <c r="L50" s="1338"/>
      <c r="M50" s="1338"/>
      <c r="N50" s="1338">
        <v>5</v>
      </c>
      <c r="O50" s="1338">
        <v>5</v>
      </c>
      <c r="P50" s="1338">
        <v>5</v>
      </c>
      <c r="Q50" s="1338">
        <v>5</v>
      </c>
      <c r="R50" s="1338">
        <v>5</v>
      </c>
      <c r="S50" s="1338"/>
      <c r="T50" s="1338"/>
      <c r="U50" s="1215">
        <v>10</v>
      </c>
      <c r="V50" s="1215">
        <v>10</v>
      </c>
      <c r="W50" s="1215">
        <v>10</v>
      </c>
      <c r="X50" s="1215">
        <v>10</v>
      </c>
      <c r="Y50" s="1215">
        <v>10</v>
      </c>
      <c r="Z50" s="1215" t="s">
        <v>555</v>
      </c>
      <c r="AA50" s="1215" t="s">
        <v>555</v>
      </c>
      <c r="AB50" s="1215" t="s">
        <v>487</v>
      </c>
      <c r="AC50" s="1215" t="s">
        <v>487</v>
      </c>
      <c r="AD50" s="1215" t="s">
        <v>487</v>
      </c>
      <c r="AE50" s="1216" t="s">
        <v>487</v>
      </c>
      <c r="AF50" s="1215" t="s">
        <v>487</v>
      </c>
      <c r="AG50" s="1216" t="s">
        <v>660</v>
      </c>
      <c r="AH50" s="504">
        <v>112</v>
      </c>
      <c r="AI50" s="505">
        <v>37</v>
      </c>
    </row>
    <row r="51" spans="1:35" ht="21.95" customHeight="1" thickBot="1">
      <c r="A51" s="546">
        <v>15</v>
      </c>
      <c r="B51" s="52" t="s">
        <v>674</v>
      </c>
      <c r="C51" s="1366">
        <v>7</v>
      </c>
      <c r="D51" s="1366">
        <v>7</v>
      </c>
      <c r="E51" s="1366"/>
      <c r="F51" s="1366"/>
      <c r="G51" s="1366">
        <v>4</v>
      </c>
      <c r="H51" s="1366">
        <v>4</v>
      </c>
      <c r="I51" s="1366">
        <v>4</v>
      </c>
      <c r="J51" s="1366">
        <v>4</v>
      </c>
      <c r="K51" s="1366">
        <v>4</v>
      </c>
      <c r="L51" s="1366"/>
      <c r="M51" s="1366"/>
      <c r="N51" s="1366">
        <v>3</v>
      </c>
      <c r="O51" s="1366">
        <v>3</v>
      </c>
      <c r="P51" s="1366">
        <v>3</v>
      </c>
      <c r="Q51" s="1366">
        <v>3</v>
      </c>
      <c r="R51" s="1366">
        <v>3</v>
      </c>
      <c r="S51" s="1366"/>
      <c r="T51" s="1366"/>
      <c r="U51" s="1207">
        <v>11</v>
      </c>
      <c r="V51" s="1207">
        <v>11</v>
      </c>
      <c r="W51" s="1207">
        <v>11</v>
      </c>
      <c r="X51" s="1207">
        <v>11</v>
      </c>
      <c r="Y51" s="1207">
        <v>11</v>
      </c>
      <c r="Z51" s="1207" t="s">
        <v>657</v>
      </c>
      <c r="AA51" s="1207" t="s">
        <v>657</v>
      </c>
      <c r="AB51" s="1207" t="s">
        <v>487</v>
      </c>
      <c r="AC51" s="1207" t="s">
        <v>487</v>
      </c>
      <c r="AD51" s="1207" t="s">
        <v>487</v>
      </c>
      <c r="AE51" s="1227" t="s">
        <v>487</v>
      </c>
      <c r="AF51" s="1207" t="s">
        <v>487</v>
      </c>
      <c r="AG51" s="1227"/>
      <c r="AH51" s="504">
        <v>89</v>
      </c>
      <c r="AI51" s="505">
        <v>37</v>
      </c>
    </row>
    <row r="52" spans="1:35" ht="21.95" customHeight="1">
      <c r="A52" s="519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  <c r="T52" s="541"/>
      <c r="U52" s="541"/>
      <c r="V52" s="541"/>
      <c r="W52" s="541"/>
      <c r="X52" s="541"/>
      <c r="Y52" s="541"/>
      <c r="Z52" s="541"/>
      <c r="AA52" s="541"/>
      <c r="AB52" s="541"/>
      <c r="AC52" s="541"/>
      <c r="AD52" s="541"/>
      <c r="AE52" s="541"/>
      <c r="AF52" s="541"/>
      <c r="AG52" s="541"/>
      <c r="AH52" s="1"/>
    </row>
    <row r="53" spans="1:35" ht="21.95" customHeight="1">
      <c r="A53" s="519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1"/>
      <c r="W53" s="541"/>
      <c r="X53" s="541"/>
      <c r="Y53" s="541"/>
      <c r="Z53" s="541"/>
      <c r="AA53" s="541"/>
      <c r="AB53" s="541"/>
      <c r="AC53" s="541"/>
      <c r="AD53" s="541"/>
      <c r="AE53" s="541"/>
      <c r="AF53" s="541"/>
      <c r="AG53" s="541"/>
      <c r="AH53" s="1"/>
    </row>
    <row r="54" spans="1:35" ht="21.95" customHeight="1">
      <c r="A54" s="519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1"/>
      <c r="AA54" s="541"/>
      <c r="AB54" s="541"/>
      <c r="AC54" s="541"/>
      <c r="AD54" s="541"/>
      <c r="AE54" s="541"/>
      <c r="AF54" s="541"/>
      <c r="AG54" s="541"/>
      <c r="AH54" s="1"/>
    </row>
    <row r="55" spans="1:35" ht="21.95" customHeight="1" thickBot="1">
      <c r="A55" s="558"/>
      <c r="C55" s="559"/>
      <c r="D55" s="559"/>
      <c r="E55" s="559"/>
      <c r="F55" s="559"/>
      <c r="G55" s="559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59"/>
      <c r="AA55" s="559"/>
      <c r="AB55" s="559"/>
      <c r="AC55" s="559"/>
      <c r="AD55" s="559"/>
      <c r="AE55" s="559"/>
      <c r="AF55" s="559"/>
      <c r="AG55" s="559"/>
      <c r="AH55" s="560"/>
      <c r="AI55" s="560"/>
    </row>
    <row r="56" spans="1:35" ht="21.95" customHeight="1">
      <c r="A56" s="361"/>
      <c r="B56" s="23" t="s">
        <v>675</v>
      </c>
      <c r="C56" s="7"/>
      <c r="D56" s="414" t="s">
        <v>2</v>
      </c>
      <c r="E56" s="550"/>
      <c r="F56" s="7"/>
      <c r="G56" s="6" t="s">
        <v>3</v>
      </c>
      <c r="H56" s="551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52"/>
      <c r="R56" s="118"/>
      <c r="S56" s="6" t="s">
        <v>7</v>
      </c>
      <c r="T56" s="553"/>
      <c r="U56" s="118"/>
      <c r="V56" s="6" t="s">
        <v>8</v>
      </c>
      <c r="W56" s="552"/>
      <c r="X56" s="349" t="s">
        <v>9</v>
      </c>
      <c r="Y56" s="561"/>
      <c r="Z56" s="561"/>
      <c r="AA56" s="562"/>
      <c r="AB56" s="27" t="s">
        <v>10</v>
      </c>
      <c r="AC56" s="554"/>
      <c r="AD56" s="554"/>
      <c r="AE56" s="563"/>
      <c r="AF56" s="563"/>
      <c r="AG56" s="564"/>
    </row>
    <row r="57" spans="1:35" ht="21.95" customHeight="1">
      <c r="A57" s="361"/>
      <c r="B57" s="306" t="s">
        <v>676</v>
      </c>
      <c r="C57" s="565" t="s">
        <v>512</v>
      </c>
      <c r="D57" s="483"/>
      <c r="E57" s="484"/>
      <c r="F57" s="565" t="s">
        <v>512</v>
      </c>
      <c r="G57" s="483"/>
      <c r="H57" s="484"/>
      <c r="I57" s="565" t="s">
        <v>512</v>
      </c>
      <c r="J57" s="483"/>
      <c r="K57" s="484"/>
      <c r="L57" s="565" t="s">
        <v>512</v>
      </c>
      <c r="M57" s="483"/>
      <c r="N57" s="484"/>
      <c r="O57" s="565" t="s">
        <v>116</v>
      </c>
      <c r="P57" s="483"/>
      <c r="Q57" s="484"/>
      <c r="R57" s="565"/>
      <c r="S57" s="483"/>
      <c r="T57" s="484"/>
      <c r="U57" s="565"/>
      <c r="V57" s="483"/>
      <c r="W57" s="484"/>
      <c r="X57" s="565"/>
      <c r="Y57" s="483"/>
      <c r="Z57" s="483"/>
      <c r="AA57" s="483"/>
      <c r="AB57" s="476"/>
      <c r="AC57" s="483"/>
      <c r="AD57" s="483"/>
      <c r="AE57" s="483"/>
      <c r="AF57" s="483"/>
      <c r="AG57" s="566"/>
    </row>
    <row r="58" spans="1:35" ht="21.95" customHeight="1">
      <c r="A58" s="361"/>
      <c r="B58" s="306" t="s">
        <v>677</v>
      </c>
      <c r="C58" s="565" t="s">
        <v>147</v>
      </c>
      <c r="D58" s="483"/>
      <c r="E58" s="484"/>
      <c r="F58" s="565" t="s">
        <v>147</v>
      </c>
      <c r="G58" s="483"/>
      <c r="H58" s="484"/>
      <c r="I58" s="565" t="s">
        <v>147</v>
      </c>
      <c r="J58" s="483"/>
      <c r="K58" s="484"/>
      <c r="L58" s="565" t="s">
        <v>147</v>
      </c>
      <c r="M58" s="483"/>
      <c r="N58" s="484"/>
      <c r="O58" s="565" t="s">
        <v>578</v>
      </c>
      <c r="P58" s="483"/>
      <c r="Q58" s="484"/>
      <c r="R58" s="565"/>
      <c r="S58" s="483"/>
      <c r="T58" s="484"/>
      <c r="U58" s="565"/>
      <c r="V58" s="483"/>
      <c r="W58" s="484"/>
      <c r="X58" s="565"/>
      <c r="Y58" s="483"/>
      <c r="Z58" s="483"/>
      <c r="AA58" s="483"/>
      <c r="AB58" s="476"/>
      <c r="AC58" s="483"/>
      <c r="AD58" s="483"/>
      <c r="AE58" s="483"/>
      <c r="AF58" s="483"/>
      <c r="AG58" s="566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>
      <c r="A60" s="556" t="s">
        <v>528</v>
      </c>
      <c r="B60" s="297" t="s">
        <v>480</v>
      </c>
      <c r="C60" s="1234">
        <v>1</v>
      </c>
      <c r="D60" s="1234">
        <v>2</v>
      </c>
      <c r="E60" s="1235">
        <v>3</v>
      </c>
      <c r="F60" s="1235">
        <v>4</v>
      </c>
      <c r="G60" s="1234">
        <v>5</v>
      </c>
      <c r="H60" s="1234">
        <v>6</v>
      </c>
      <c r="I60" s="1213">
        <v>7</v>
      </c>
      <c r="J60" s="1213">
        <v>8</v>
      </c>
      <c r="K60" s="1234">
        <v>9</v>
      </c>
      <c r="L60" s="1235">
        <v>10</v>
      </c>
      <c r="M60" s="1235">
        <v>11</v>
      </c>
      <c r="N60" s="1234">
        <v>12</v>
      </c>
      <c r="O60" s="1234">
        <v>13</v>
      </c>
      <c r="P60" s="1213">
        <v>14</v>
      </c>
      <c r="Q60" s="1213">
        <v>15</v>
      </c>
      <c r="R60" s="1234">
        <v>16</v>
      </c>
      <c r="S60" s="1235">
        <v>17</v>
      </c>
      <c r="T60" s="1235">
        <v>18</v>
      </c>
      <c r="U60" s="1234">
        <v>19</v>
      </c>
      <c r="V60" s="1213">
        <v>20</v>
      </c>
      <c r="W60" s="1213">
        <v>21</v>
      </c>
      <c r="X60" s="1213">
        <v>22</v>
      </c>
      <c r="Y60" s="1234">
        <v>23</v>
      </c>
      <c r="Z60" s="1235">
        <v>24</v>
      </c>
      <c r="AA60" s="1235">
        <v>25</v>
      </c>
      <c r="AB60" s="1234">
        <v>26</v>
      </c>
      <c r="AC60" s="1234">
        <v>27</v>
      </c>
      <c r="AD60" s="1213">
        <v>28</v>
      </c>
      <c r="AE60" s="1213">
        <v>29</v>
      </c>
      <c r="AF60" s="1234">
        <v>30</v>
      </c>
      <c r="AG60" s="1235">
        <v>31</v>
      </c>
      <c r="AH60" s="498" t="s">
        <v>481</v>
      </c>
      <c r="AI60" s="499" t="s">
        <v>482</v>
      </c>
    </row>
    <row r="61" spans="1:35" ht="21.95" customHeight="1">
      <c r="A61" s="186">
        <v>8520</v>
      </c>
      <c r="B61" s="186" t="s">
        <v>678</v>
      </c>
      <c r="C61" s="1215" t="s">
        <v>679</v>
      </c>
      <c r="D61" s="1215" t="s">
        <v>679</v>
      </c>
      <c r="E61" s="1215"/>
      <c r="F61" s="1215"/>
      <c r="G61" s="1215" t="s">
        <v>679</v>
      </c>
      <c r="H61" s="1215" t="s">
        <v>679</v>
      </c>
      <c r="I61" s="1215" t="s">
        <v>679</v>
      </c>
      <c r="J61" s="1215" t="s">
        <v>679</v>
      </c>
      <c r="K61" s="1215" t="s">
        <v>679</v>
      </c>
      <c r="L61" s="1215"/>
      <c r="M61" s="1215"/>
      <c r="N61" s="1215" t="s">
        <v>679</v>
      </c>
      <c r="O61" s="1215" t="s">
        <v>679</v>
      </c>
      <c r="P61" s="1215" t="s">
        <v>679</v>
      </c>
      <c r="Q61" s="1215" t="s">
        <v>679</v>
      </c>
      <c r="R61" s="1215" t="s">
        <v>679</v>
      </c>
      <c r="S61" s="1215"/>
      <c r="T61" s="1215"/>
      <c r="U61" s="1215" t="s">
        <v>679</v>
      </c>
      <c r="V61" s="1215" t="s">
        <v>679</v>
      </c>
      <c r="W61" s="1215" t="s">
        <v>679</v>
      </c>
      <c r="X61" s="1215" t="s">
        <v>679</v>
      </c>
      <c r="Y61" s="1215" t="s">
        <v>679</v>
      </c>
      <c r="Z61" s="1215"/>
      <c r="AA61" s="1215"/>
      <c r="AB61" s="1215" t="s">
        <v>679</v>
      </c>
      <c r="AC61" s="1215" t="s">
        <v>679</v>
      </c>
      <c r="AD61" s="1215" t="s">
        <v>679</v>
      </c>
      <c r="AE61" s="1215" t="s">
        <v>679</v>
      </c>
      <c r="AF61" s="1215" t="s">
        <v>679</v>
      </c>
      <c r="AG61" s="1215"/>
      <c r="AH61" s="504">
        <v>74</v>
      </c>
      <c r="AI61" s="505">
        <v>31</v>
      </c>
    </row>
    <row r="62" spans="1:35" ht="21.95" customHeight="1">
      <c r="A62" s="186">
        <v>8521</v>
      </c>
      <c r="B62" s="186" t="s">
        <v>681</v>
      </c>
      <c r="C62" s="1215" t="s">
        <v>550</v>
      </c>
      <c r="D62" s="1215" t="s">
        <v>550</v>
      </c>
      <c r="E62" s="1215"/>
      <c r="F62" s="1215"/>
      <c r="G62" s="1215" t="s">
        <v>550</v>
      </c>
      <c r="H62" s="1215" t="s">
        <v>550</v>
      </c>
      <c r="I62" s="1215" t="s">
        <v>550</v>
      </c>
      <c r="J62" s="1215" t="s">
        <v>550</v>
      </c>
      <c r="K62" s="1215" t="s">
        <v>550</v>
      </c>
      <c r="L62" s="1444"/>
      <c r="M62" s="1444"/>
      <c r="N62" s="1342" t="s">
        <v>550</v>
      </c>
      <c r="O62" s="1215" t="s">
        <v>550</v>
      </c>
      <c r="P62" s="1215" t="s">
        <v>550</v>
      </c>
      <c r="Q62" s="1215" t="s">
        <v>550</v>
      </c>
      <c r="R62" s="1215" t="s">
        <v>550</v>
      </c>
      <c r="S62" s="1215" t="s">
        <v>550</v>
      </c>
      <c r="T62" s="1215"/>
      <c r="U62" s="1342" t="s">
        <v>550</v>
      </c>
      <c r="V62" s="1215" t="s">
        <v>550</v>
      </c>
      <c r="W62" s="1215" t="s">
        <v>550</v>
      </c>
      <c r="X62" s="1215" t="s">
        <v>550</v>
      </c>
      <c r="Y62" s="1215" t="s">
        <v>550</v>
      </c>
      <c r="Z62" s="1215"/>
      <c r="AA62" s="1215"/>
      <c r="AB62" s="1342" t="s">
        <v>550</v>
      </c>
      <c r="AC62" s="1215" t="s">
        <v>550</v>
      </c>
      <c r="AD62" s="1215" t="s">
        <v>550</v>
      </c>
      <c r="AE62" s="1215" t="s">
        <v>550</v>
      </c>
      <c r="AF62" s="1215" t="s">
        <v>550</v>
      </c>
      <c r="AG62" s="1215"/>
      <c r="AH62" s="504">
        <v>66</v>
      </c>
      <c r="AI62" s="505">
        <v>37</v>
      </c>
    </row>
    <row r="63" spans="1:35" ht="21.95" customHeight="1">
      <c r="A63" s="361"/>
      <c r="B63" s="361"/>
      <c r="C63" s="541"/>
      <c r="D63" s="520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520"/>
      <c r="AE63" s="520"/>
      <c r="AF63" s="520"/>
      <c r="AG63" s="520"/>
      <c r="AH63" s="560"/>
      <c r="AI63" s="560"/>
    </row>
    <row r="64" spans="1:35" ht="21.95" customHeight="1">
      <c r="A64" s="361"/>
      <c r="B64" s="361"/>
      <c r="C64" s="541"/>
      <c r="D64" s="520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520"/>
      <c r="AE64" s="520"/>
      <c r="AF64" s="520"/>
      <c r="AG64" s="520"/>
      <c r="AH64" s="560"/>
      <c r="AI64" s="560"/>
    </row>
    <row r="65" spans="1:35" ht="21.95" customHeight="1">
      <c r="A65" s="361"/>
      <c r="B65" s="361"/>
      <c r="C65" s="541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60"/>
      <c r="AI65" s="560"/>
    </row>
    <row r="66" spans="1:35" ht="21.95" customHeight="1" thickBot="1">
      <c r="A66" s="1" t="s">
        <v>468</v>
      </c>
      <c r="D66" s="361"/>
      <c r="E66" s="361"/>
      <c r="F66" s="361"/>
      <c r="G66" s="549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726</v>
      </c>
      <c r="C67" s="7"/>
      <c r="D67" s="525" t="s">
        <v>2</v>
      </c>
      <c r="E67" s="51"/>
      <c r="F67" s="551"/>
      <c r="G67" s="7"/>
      <c r="H67" s="525" t="s">
        <v>3</v>
      </c>
      <c r="I67" s="51"/>
      <c r="J67" s="551"/>
      <c r="K67" s="7"/>
      <c r="L67" s="525" t="s">
        <v>4</v>
      </c>
      <c r="M67" s="51"/>
      <c r="N67" s="551"/>
      <c r="O67" s="7"/>
      <c r="P67" s="525" t="s">
        <v>5</v>
      </c>
      <c r="Q67" s="51"/>
      <c r="R67" s="551"/>
      <c r="S67" s="7"/>
      <c r="T67" s="525" t="s">
        <v>6</v>
      </c>
      <c r="U67" s="51"/>
      <c r="V67" s="551"/>
      <c r="W67" s="27"/>
      <c r="X67" s="898" t="s">
        <v>7</v>
      </c>
      <c r="Y67" s="522"/>
      <c r="Z67" s="238"/>
      <c r="AA67" s="7"/>
      <c r="AB67" s="525" t="s">
        <v>8</v>
      </c>
      <c r="AC67" s="51"/>
      <c r="AD67" s="51"/>
      <c r="AE67" s="349" t="s">
        <v>9</v>
      </c>
      <c r="AF67" s="51"/>
      <c r="AG67" s="51"/>
      <c r="AH67" s="51"/>
      <c r="AI67" s="526"/>
    </row>
    <row r="68" spans="1:35" ht="21.95" customHeight="1">
      <c r="A68" s="1"/>
      <c r="B68" s="129" t="s">
        <v>164</v>
      </c>
      <c r="C68" s="567" t="s">
        <v>740</v>
      </c>
      <c r="E68" s="157"/>
      <c r="F68" s="568"/>
      <c r="G68" s="567" t="s">
        <v>740</v>
      </c>
      <c r="H68" s="157"/>
      <c r="I68" s="157"/>
      <c r="J68" s="568"/>
      <c r="K68" s="567" t="s">
        <v>740</v>
      </c>
      <c r="L68" s="157"/>
      <c r="M68" s="157"/>
      <c r="N68" s="568"/>
      <c r="O68" s="567" t="s">
        <v>740</v>
      </c>
      <c r="P68" s="157"/>
      <c r="Q68" s="157"/>
      <c r="R68" s="568"/>
      <c r="S68" s="567" t="s">
        <v>741</v>
      </c>
      <c r="T68" s="157"/>
      <c r="U68" s="157"/>
      <c r="V68" s="569"/>
      <c r="W68" s="899"/>
      <c r="X68" s="900"/>
      <c r="Y68" s="900"/>
      <c r="Z68" s="901"/>
      <c r="AA68" s="569"/>
      <c r="AB68" s="157"/>
      <c r="AC68" s="157"/>
      <c r="AD68" s="569"/>
      <c r="AE68" s="121">
        <v>37</v>
      </c>
      <c r="AG68" s="157"/>
      <c r="AH68" s="569"/>
      <c r="AI68" s="490"/>
    </row>
    <row r="69" spans="1:35" ht="21.95" customHeight="1">
      <c r="A69" s="1"/>
      <c r="B69" s="129" t="s">
        <v>167</v>
      </c>
      <c r="C69" s="567" t="s">
        <v>474</v>
      </c>
      <c r="D69" s="157"/>
      <c r="E69" s="157"/>
      <c r="F69" s="568"/>
      <c r="G69" s="567" t="s">
        <v>474</v>
      </c>
      <c r="H69" s="157"/>
      <c r="I69" s="157"/>
      <c r="J69" s="568"/>
      <c r="K69" s="567" t="s">
        <v>474</v>
      </c>
      <c r="L69" s="157"/>
      <c r="M69" s="157"/>
      <c r="N69" s="568"/>
      <c r="O69" s="567" t="s">
        <v>475</v>
      </c>
      <c r="P69" s="157"/>
      <c r="Q69" s="157"/>
      <c r="R69" s="568"/>
      <c r="S69" s="567" t="s">
        <v>477</v>
      </c>
      <c r="T69" s="157"/>
      <c r="U69" s="157"/>
      <c r="V69" s="568"/>
      <c r="W69" s="610" t="s">
        <v>478</v>
      </c>
      <c r="X69" s="55"/>
      <c r="Y69" s="55"/>
      <c r="Z69" s="55"/>
      <c r="AA69" s="567" t="s">
        <v>479</v>
      </c>
      <c r="AB69" s="567"/>
      <c r="AC69" s="567"/>
      <c r="AD69" s="567"/>
      <c r="AE69" s="155">
        <v>68.25</v>
      </c>
      <c r="AF69" s="157"/>
      <c r="AG69" s="571"/>
      <c r="AH69" s="572"/>
      <c r="AI69" s="573"/>
    </row>
    <row r="70" spans="1:35" ht="21.95" customHeight="1">
      <c r="A70" s="1"/>
      <c r="B70" s="129" t="s">
        <v>170</v>
      </c>
      <c r="C70" s="897" t="s">
        <v>162</v>
      </c>
      <c r="D70" s="157"/>
      <c r="E70" s="157"/>
      <c r="F70" s="568"/>
      <c r="G70" s="157" t="s">
        <v>162</v>
      </c>
      <c r="H70" s="157"/>
      <c r="I70" s="157"/>
      <c r="J70" s="568"/>
      <c r="K70" s="157" t="s">
        <v>162</v>
      </c>
      <c r="L70" s="157"/>
      <c r="M70" s="157"/>
      <c r="N70" s="568"/>
      <c r="O70" s="157" t="s">
        <v>162</v>
      </c>
      <c r="P70" s="157"/>
      <c r="Q70" s="157"/>
      <c r="R70" s="568"/>
      <c r="S70" s="157" t="s">
        <v>162</v>
      </c>
      <c r="T70" s="157"/>
      <c r="U70" s="157"/>
      <c r="V70" s="568"/>
      <c r="W70" s="567"/>
      <c r="X70" s="157"/>
      <c r="Y70" s="157"/>
      <c r="Z70" s="568"/>
      <c r="AA70" s="567"/>
      <c r="AB70" s="157"/>
      <c r="AC70" s="157"/>
      <c r="AD70" s="569"/>
      <c r="AE70" s="570">
        <v>0</v>
      </c>
      <c r="AF70" s="571"/>
      <c r="AG70" s="157"/>
      <c r="AH70" s="569"/>
      <c r="AI70" s="490"/>
    </row>
    <row r="71" spans="1:35" ht="21.95" customHeight="1" thickBot="1">
      <c r="A71" s="1"/>
      <c r="B71" s="47"/>
      <c r="C71" s="574"/>
      <c r="D71" s="53"/>
      <c r="E71" s="53"/>
      <c r="F71" s="575"/>
      <c r="G71" s="574"/>
      <c r="H71" s="53"/>
      <c r="I71" s="53"/>
      <c r="J71" s="575"/>
      <c r="K71" s="574"/>
      <c r="L71" s="53"/>
      <c r="M71" s="53"/>
      <c r="N71" s="575"/>
      <c r="O71" s="574"/>
      <c r="P71" s="53"/>
      <c r="Q71" s="53"/>
      <c r="R71" s="575"/>
      <c r="S71" s="574"/>
      <c r="T71" s="53"/>
      <c r="U71" s="53"/>
      <c r="V71" s="575"/>
      <c r="W71" s="53"/>
      <c r="X71" s="53"/>
      <c r="Y71" s="53"/>
      <c r="Z71" s="53"/>
      <c r="AA71" s="53"/>
      <c r="AB71" s="53"/>
      <c r="AC71" s="53"/>
      <c r="AD71" s="53"/>
      <c r="AE71" s="576"/>
      <c r="AF71" s="53"/>
      <c r="AG71" s="53"/>
      <c r="AH71" s="577"/>
      <c r="AI71" s="539"/>
    </row>
    <row r="72" spans="1:35" ht="21.95" customHeight="1" thickBot="1">
      <c r="A72" s="578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>
      <c r="A73" s="556"/>
      <c r="B73" s="297" t="s">
        <v>480</v>
      </c>
      <c r="C73" s="1234">
        <v>1</v>
      </c>
      <c r="D73" s="1234">
        <v>2</v>
      </c>
      <c r="E73" s="1235">
        <v>3</v>
      </c>
      <c r="F73" s="1235">
        <v>4</v>
      </c>
      <c r="G73" s="1234">
        <v>5</v>
      </c>
      <c r="H73" s="1234">
        <v>6</v>
      </c>
      <c r="I73" s="1213">
        <v>7</v>
      </c>
      <c r="J73" s="1213">
        <v>8</v>
      </c>
      <c r="K73" s="1234">
        <v>9</v>
      </c>
      <c r="L73" s="1235">
        <v>10</v>
      </c>
      <c r="M73" s="1235">
        <v>11</v>
      </c>
      <c r="N73" s="1234">
        <v>12</v>
      </c>
      <c r="O73" s="1234">
        <v>13</v>
      </c>
      <c r="P73" s="1213">
        <v>14</v>
      </c>
      <c r="Q73" s="1213">
        <v>15</v>
      </c>
      <c r="R73" s="1234">
        <v>16</v>
      </c>
      <c r="S73" s="1235">
        <v>17</v>
      </c>
      <c r="T73" s="1235">
        <v>18</v>
      </c>
      <c r="U73" s="1234">
        <v>19</v>
      </c>
      <c r="V73" s="1213">
        <v>20</v>
      </c>
      <c r="W73" s="1213">
        <v>21</v>
      </c>
      <c r="X73" s="1213">
        <v>22</v>
      </c>
      <c r="Y73" s="1234">
        <v>23</v>
      </c>
      <c r="Z73" s="1235">
        <v>24</v>
      </c>
      <c r="AA73" s="1235">
        <v>25</v>
      </c>
      <c r="AB73" s="1234">
        <v>26</v>
      </c>
      <c r="AC73" s="1234">
        <v>27</v>
      </c>
      <c r="AD73" s="1213">
        <v>28</v>
      </c>
      <c r="AE73" s="1213">
        <v>29</v>
      </c>
      <c r="AF73" s="1234">
        <v>30</v>
      </c>
      <c r="AG73" s="1235">
        <v>31</v>
      </c>
      <c r="AH73" s="498" t="s">
        <v>481</v>
      </c>
      <c r="AI73" s="499" t="s">
        <v>482</v>
      </c>
    </row>
    <row r="74" spans="1:35" ht="21.95" customHeight="1" thickBot="1">
      <c r="A74" s="579">
        <v>1</v>
      </c>
      <c r="B74" s="153" t="s">
        <v>483</v>
      </c>
      <c r="C74" s="1208" t="s">
        <v>487</v>
      </c>
      <c r="D74" s="1208" t="s">
        <v>487</v>
      </c>
      <c r="E74" s="1208"/>
      <c r="F74" s="1208"/>
      <c r="G74" s="1208" t="s">
        <v>682</v>
      </c>
      <c r="H74" s="1208" t="s">
        <v>682</v>
      </c>
      <c r="I74" s="1208" t="s">
        <v>682</v>
      </c>
      <c r="J74" s="1208" t="s">
        <v>682</v>
      </c>
      <c r="K74" s="1208" t="s">
        <v>682</v>
      </c>
      <c r="L74" s="1208"/>
      <c r="M74" s="1208"/>
      <c r="N74" s="1208" t="s">
        <v>484</v>
      </c>
      <c r="O74" s="1208" t="s">
        <v>484</v>
      </c>
      <c r="P74" s="1208" t="s">
        <v>484</v>
      </c>
      <c r="Q74" s="1208" t="s">
        <v>485</v>
      </c>
      <c r="R74" s="1208" t="s">
        <v>485</v>
      </c>
      <c r="S74" s="1362" t="s">
        <v>486</v>
      </c>
      <c r="T74" s="1362" t="s">
        <v>486</v>
      </c>
      <c r="U74" s="1365" t="s">
        <v>487</v>
      </c>
      <c r="V74" s="1511" t="s">
        <v>487</v>
      </c>
      <c r="W74" s="1365" t="s">
        <v>487</v>
      </c>
      <c r="X74" s="1208" t="s">
        <v>487</v>
      </c>
      <c r="Y74" s="1365" t="s">
        <v>487</v>
      </c>
      <c r="Z74" s="1365"/>
      <c r="AA74" s="1365"/>
      <c r="AB74" s="1365" t="s">
        <v>682</v>
      </c>
      <c r="AC74" s="1511" t="s">
        <v>682</v>
      </c>
      <c r="AD74" s="1365" t="s">
        <v>682</v>
      </c>
      <c r="AE74" s="1365" t="s">
        <v>682</v>
      </c>
      <c r="AF74" s="1365" t="s">
        <v>682</v>
      </c>
      <c r="AG74" s="1365"/>
      <c r="AH74" s="504">
        <v>155</v>
      </c>
      <c r="AI74" s="505">
        <v>16</v>
      </c>
    </row>
    <row r="75" spans="1:35" ht="21.95" customHeight="1">
      <c r="A75" s="579">
        <v>2</v>
      </c>
      <c r="B75" s="45" t="s">
        <v>489</v>
      </c>
      <c r="C75" s="557" t="s">
        <v>682</v>
      </c>
      <c r="D75" s="557" t="s">
        <v>682</v>
      </c>
      <c r="E75" s="557"/>
      <c r="F75" s="557"/>
      <c r="G75" s="557" t="s">
        <v>484</v>
      </c>
      <c r="H75" s="557" t="s">
        <v>484</v>
      </c>
      <c r="I75" s="557" t="s">
        <v>484</v>
      </c>
      <c r="J75" s="557" t="s">
        <v>485</v>
      </c>
      <c r="K75" s="557" t="s">
        <v>485</v>
      </c>
      <c r="L75" s="557" t="s">
        <v>486</v>
      </c>
      <c r="M75" s="557" t="s">
        <v>486</v>
      </c>
      <c r="N75" s="557" t="s">
        <v>487</v>
      </c>
      <c r="O75" s="557" t="s">
        <v>487</v>
      </c>
      <c r="P75" s="1551" t="s">
        <v>487</v>
      </c>
      <c r="Q75" s="557" t="s">
        <v>487</v>
      </c>
      <c r="R75" s="557" t="s">
        <v>487</v>
      </c>
      <c r="S75" s="557"/>
      <c r="T75" s="557"/>
      <c r="U75" s="1368" t="s">
        <v>682</v>
      </c>
      <c r="V75" s="1368" t="s">
        <v>682</v>
      </c>
      <c r="W75" s="1208" t="s">
        <v>682</v>
      </c>
      <c r="X75" s="1208" t="s">
        <v>682</v>
      </c>
      <c r="Y75" s="1208" t="s">
        <v>682</v>
      </c>
      <c r="Z75" s="1208"/>
      <c r="AA75" s="1208"/>
      <c r="AB75" s="1208" t="s">
        <v>484</v>
      </c>
      <c r="AC75" s="1208" t="s">
        <v>484</v>
      </c>
      <c r="AD75" s="1208" t="s">
        <v>484</v>
      </c>
      <c r="AE75" s="1208" t="s">
        <v>485</v>
      </c>
      <c r="AF75" s="1208" t="s">
        <v>485</v>
      </c>
      <c r="AG75" s="1208" t="s">
        <v>486</v>
      </c>
      <c r="AH75" s="504">
        <v>185</v>
      </c>
      <c r="AI75" s="505">
        <v>37</v>
      </c>
    </row>
    <row r="76" spans="1:35" ht="21.95" customHeight="1">
      <c r="A76" s="579">
        <v>3</v>
      </c>
      <c r="B76" s="545" t="s">
        <v>490</v>
      </c>
      <c r="C76" s="1208" t="s">
        <v>485</v>
      </c>
      <c r="D76" s="1208" t="s">
        <v>485</v>
      </c>
      <c r="E76" s="1208" t="s">
        <v>486</v>
      </c>
      <c r="F76" s="1208" t="s">
        <v>486</v>
      </c>
      <c r="G76" s="1208" t="s">
        <v>487</v>
      </c>
      <c r="H76" s="1208" t="s">
        <v>487</v>
      </c>
      <c r="I76" s="1208" t="s">
        <v>487</v>
      </c>
      <c r="J76" s="1551" t="s">
        <v>487</v>
      </c>
      <c r="K76" s="1551" t="s">
        <v>487</v>
      </c>
      <c r="L76" s="1208"/>
      <c r="M76" s="1208"/>
      <c r="N76" s="1215">
        <v>3</v>
      </c>
      <c r="O76" s="1215">
        <v>3</v>
      </c>
      <c r="P76" s="1215">
        <v>3</v>
      </c>
      <c r="Q76" s="1215">
        <v>3</v>
      </c>
      <c r="R76" s="1215">
        <v>3</v>
      </c>
      <c r="S76" s="1208"/>
      <c r="T76" s="1208"/>
      <c r="U76" s="1208" t="s">
        <v>484</v>
      </c>
      <c r="V76" s="1208" t="s">
        <v>484</v>
      </c>
      <c r="W76" s="1208" t="s">
        <v>484</v>
      </c>
      <c r="X76" s="1208" t="s">
        <v>485</v>
      </c>
      <c r="Y76" s="1208" t="s">
        <v>485</v>
      </c>
      <c r="Z76" s="1347" t="s">
        <v>486</v>
      </c>
      <c r="AA76" s="1208" t="s">
        <v>486</v>
      </c>
      <c r="AB76" s="1208" t="s">
        <v>487</v>
      </c>
      <c r="AC76" s="1208" t="s">
        <v>487</v>
      </c>
      <c r="AD76" s="1208" t="s">
        <v>487</v>
      </c>
      <c r="AE76" s="1208" t="s">
        <v>487</v>
      </c>
      <c r="AF76" s="1208" t="s">
        <v>487</v>
      </c>
      <c r="AG76" s="1208"/>
      <c r="AH76" s="504">
        <v>195</v>
      </c>
      <c r="AI76" s="505">
        <v>37</v>
      </c>
    </row>
    <row r="77" spans="1:35" ht="21" customHeight="1"/>
    <row r="78" spans="1:35" ht="21.95" customHeight="1" thickBot="1">
      <c r="A78" s="312" t="s">
        <v>491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  <c r="O78" s="559"/>
      <c r="P78" s="559"/>
      <c r="Q78" s="559"/>
      <c r="R78" s="559"/>
      <c r="S78" s="559"/>
      <c r="T78" s="559"/>
      <c r="U78" s="559"/>
      <c r="V78" s="559"/>
      <c r="W78" s="559"/>
      <c r="X78" s="559"/>
      <c r="Y78" s="559"/>
      <c r="Z78" s="559"/>
      <c r="AA78" s="559"/>
      <c r="AB78" s="559"/>
      <c r="AC78" s="559"/>
      <c r="AD78" s="559"/>
      <c r="AE78" s="559"/>
      <c r="AF78" s="559"/>
      <c r="AH78" s="560"/>
      <c r="AI78" s="560"/>
    </row>
    <row r="79" spans="1:35" ht="21.95" customHeight="1">
      <c r="A79" s="580"/>
      <c r="B79" s="23" t="s">
        <v>726</v>
      </c>
      <c r="C79" s="7"/>
      <c r="D79" s="525" t="s">
        <v>2</v>
      </c>
      <c r="E79" s="51"/>
      <c r="F79" s="551"/>
      <c r="G79" s="7"/>
      <c r="H79" s="525" t="s">
        <v>3</v>
      </c>
      <c r="I79" s="51"/>
      <c r="J79" s="551"/>
      <c r="K79" s="7"/>
      <c r="L79" s="525" t="s">
        <v>4</v>
      </c>
      <c r="M79" s="51"/>
      <c r="N79" s="551"/>
      <c r="O79" s="7"/>
      <c r="P79" s="525" t="s">
        <v>5</v>
      </c>
      <c r="Q79" s="51"/>
      <c r="R79" s="551"/>
      <c r="S79" s="7"/>
      <c r="T79" s="525" t="s">
        <v>6</v>
      </c>
      <c r="U79" s="51"/>
      <c r="V79" s="551"/>
      <c r="W79" s="27"/>
      <c r="X79" s="898" t="s">
        <v>7</v>
      </c>
      <c r="Y79" s="522"/>
      <c r="Z79" s="238"/>
      <c r="AA79" s="7"/>
      <c r="AB79" s="525" t="s">
        <v>8</v>
      </c>
      <c r="AC79" s="51"/>
      <c r="AD79" s="51"/>
      <c r="AE79" s="349" t="s">
        <v>9</v>
      </c>
      <c r="AF79" s="51"/>
      <c r="AG79" s="51"/>
      <c r="AH79" s="51"/>
      <c r="AI79" s="526"/>
    </row>
    <row r="80" spans="1:35" ht="21.95" customHeight="1">
      <c r="B80" s="129" t="s">
        <v>164</v>
      </c>
      <c r="C80" s="593" t="s">
        <v>492</v>
      </c>
      <c r="E80" s="157"/>
      <c r="F80" s="568"/>
      <c r="G80" s="567" t="s">
        <v>488</v>
      </c>
      <c r="H80" s="483" t="s">
        <v>493</v>
      </c>
      <c r="I80" s="157"/>
      <c r="J80" s="568"/>
      <c r="K80" s="593" t="s">
        <v>492</v>
      </c>
      <c r="L80" s="483"/>
      <c r="M80" s="483"/>
      <c r="N80" s="592"/>
      <c r="O80" s="593" t="s">
        <v>494</v>
      </c>
      <c r="P80" s="483"/>
      <c r="Q80" s="483"/>
      <c r="R80" s="592"/>
      <c r="S80" s="593" t="s">
        <v>495</v>
      </c>
      <c r="T80" s="483"/>
      <c r="U80" s="483"/>
      <c r="V80" s="477"/>
      <c r="W80" s="899"/>
      <c r="X80" s="900"/>
      <c r="Y80" s="900"/>
      <c r="Z80" s="901"/>
      <c r="AA80" s="569"/>
      <c r="AB80" s="157"/>
      <c r="AC80" s="157"/>
      <c r="AD80" s="569"/>
      <c r="AE80" s="121">
        <v>37</v>
      </c>
      <c r="AG80" s="157"/>
      <c r="AH80" s="569"/>
      <c r="AI80" s="490"/>
    </row>
    <row r="81" spans="1:35" ht="21.95" customHeight="1">
      <c r="B81" s="129" t="s">
        <v>167</v>
      </c>
      <c r="C81" s="593" t="s">
        <v>496</v>
      </c>
      <c r="E81" s="157"/>
      <c r="F81" s="568"/>
      <c r="G81" s="593" t="s">
        <v>496</v>
      </c>
      <c r="I81" s="157"/>
      <c r="J81" s="568"/>
      <c r="K81" s="593" t="s">
        <v>496</v>
      </c>
      <c r="L81" s="157"/>
      <c r="M81" s="157"/>
      <c r="N81" s="568"/>
      <c r="O81" s="593" t="s">
        <v>497</v>
      </c>
      <c r="P81" s="157"/>
      <c r="Q81" s="157"/>
      <c r="R81" s="568"/>
      <c r="S81" s="567" t="s">
        <v>498</v>
      </c>
      <c r="T81" s="157"/>
      <c r="U81" s="157"/>
      <c r="V81" s="568"/>
      <c r="W81" s="610" t="s">
        <v>414</v>
      </c>
      <c r="X81" s="55"/>
      <c r="Y81" s="55"/>
      <c r="Z81" s="55"/>
      <c r="AA81" s="567" t="s">
        <v>28</v>
      </c>
      <c r="AB81" s="567"/>
      <c r="AC81" s="567"/>
      <c r="AD81" s="567"/>
      <c r="AE81" s="155">
        <v>37</v>
      </c>
      <c r="AF81" s="157"/>
      <c r="AG81" s="571"/>
      <c r="AH81" s="572"/>
      <c r="AI81" s="573"/>
    </row>
    <row r="82" spans="1:35" ht="21.95" customHeight="1">
      <c r="B82" s="129" t="s">
        <v>170</v>
      </c>
      <c r="C82" s="1336" t="s">
        <v>499</v>
      </c>
      <c r="D82" s="157"/>
      <c r="E82" s="157"/>
      <c r="F82" s="568"/>
      <c r="G82" s="157" t="s">
        <v>500</v>
      </c>
      <c r="H82" s="157"/>
      <c r="I82" s="157"/>
      <c r="J82" s="568"/>
      <c r="K82" s="1337" t="s">
        <v>501</v>
      </c>
      <c r="L82" s="157"/>
      <c r="M82" s="157"/>
      <c r="N82" s="568"/>
      <c r="O82" s="581" t="s">
        <v>502</v>
      </c>
      <c r="P82" s="157"/>
      <c r="Q82" s="157"/>
      <c r="R82" s="568"/>
      <c r="S82" s="581" t="s">
        <v>504</v>
      </c>
      <c r="T82" s="157"/>
      <c r="U82" s="157"/>
      <c r="V82" s="568"/>
      <c r="W82" s="567"/>
      <c r="X82" s="157"/>
      <c r="Y82" s="157"/>
      <c r="Z82" s="568"/>
      <c r="AA82" s="567"/>
      <c r="AB82" s="157"/>
      <c r="AC82" s="157"/>
      <c r="AD82" s="569"/>
      <c r="AE82" s="570">
        <v>36</v>
      </c>
      <c r="AF82" s="571"/>
      <c r="AG82" s="157"/>
      <c r="AH82" s="569"/>
      <c r="AI82" s="490"/>
    </row>
    <row r="83" spans="1:35" ht="21.95" customHeight="1" thickBot="1">
      <c r="B83" s="47"/>
      <c r="C83" s="574"/>
      <c r="D83" s="53"/>
      <c r="E83" s="53"/>
      <c r="F83" s="575"/>
      <c r="G83" s="574"/>
      <c r="H83" s="53"/>
      <c r="I83" s="53"/>
      <c r="J83" s="575"/>
      <c r="K83" s="574"/>
      <c r="L83" s="53"/>
      <c r="M83" s="53"/>
      <c r="N83" s="575"/>
      <c r="O83" s="574"/>
      <c r="P83" s="53"/>
      <c r="Q83" s="53"/>
      <c r="R83" s="575"/>
      <c r="S83" s="574"/>
      <c r="T83" s="53"/>
      <c r="U83" s="53"/>
      <c r="V83" s="575"/>
      <c r="W83" s="53"/>
      <c r="X83" s="53"/>
      <c r="Y83" s="53"/>
      <c r="Z83" s="53"/>
      <c r="AA83" s="53"/>
      <c r="AB83" s="53"/>
      <c r="AC83" s="53"/>
      <c r="AD83" s="53"/>
      <c r="AE83" s="576"/>
      <c r="AF83" s="53"/>
      <c r="AG83" s="53"/>
      <c r="AH83" s="577"/>
      <c r="AI83" s="539"/>
    </row>
    <row r="84" spans="1:35" ht="21.95" customHeight="1" thickBot="1"/>
    <row r="85" spans="1:35" ht="21.95" customHeight="1">
      <c r="A85" s="556"/>
      <c r="B85" s="297" t="s">
        <v>480</v>
      </c>
      <c r="C85" s="1234">
        <v>1</v>
      </c>
      <c r="D85" s="1234">
        <v>2</v>
      </c>
      <c r="E85" s="1235">
        <v>3</v>
      </c>
      <c r="F85" s="1235">
        <v>4</v>
      </c>
      <c r="G85" s="1234">
        <v>5</v>
      </c>
      <c r="H85" s="1234">
        <v>6</v>
      </c>
      <c r="I85" s="1213">
        <v>7</v>
      </c>
      <c r="J85" s="1213">
        <v>8</v>
      </c>
      <c r="K85" s="1234">
        <v>9</v>
      </c>
      <c r="L85" s="1235">
        <v>10</v>
      </c>
      <c r="M85" s="1235">
        <v>11</v>
      </c>
      <c r="N85" s="1234">
        <v>12</v>
      </c>
      <c r="O85" s="1234">
        <v>13</v>
      </c>
      <c r="P85" s="1213">
        <v>14</v>
      </c>
      <c r="Q85" s="1213">
        <v>15</v>
      </c>
      <c r="R85" s="1234">
        <v>16</v>
      </c>
      <c r="S85" s="1235">
        <v>17</v>
      </c>
      <c r="T85" s="1235">
        <v>18</v>
      </c>
      <c r="U85" s="1234">
        <v>19</v>
      </c>
      <c r="V85" s="1213">
        <v>20</v>
      </c>
      <c r="W85" s="1213">
        <v>21</v>
      </c>
      <c r="X85" s="1213">
        <v>22</v>
      </c>
      <c r="Y85" s="1234">
        <v>23</v>
      </c>
      <c r="Z85" s="1235">
        <v>24</v>
      </c>
      <c r="AA85" s="1235">
        <v>25</v>
      </c>
      <c r="AB85" s="1234">
        <v>26</v>
      </c>
      <c r="AC85" s="1234">
        <v>27</v>
      </c>
      <c r="AD85" s="1213">
        <v>28</v>
      </c>
      <c r="AE85" s="1213">
        <v>29</v>
      </c>
      <c r="AF85" s="1234">
        <v>30</v>
      </c>
      <c r="AG85" s="1235">
        <v>31</v>
      </c>
      <c r="AH85" s="498" t="s">
        <v>481</v>
      </c>
      <c r="AI85" s="499" t="s">
        <v>482</v>
      </c>
    </row>
    <row r="86" spans="1:35" ht="21.95" customHeight="1">
      <c r="A86" s="579">
        <v>1</v>
      </c>
      <c r="B86" s="153" t="s">
        <v>508</v>
      </c>
      <c r="C86" s="1208" t="s">
        <v>484</v>
      </c>
      <c r="D86" s="1208" t="s">
        <v>484</v>
      </c>
      <c r="E86" s="1208"/>
      <c r="F86" s="1208"/>
      <c r="G86" s="1208" t="s">
        <v>488</v>
      </c>
      <c r="H86" s="1208" t="s">
        <v>488</v>
      </c>
      <c r="I86" s="1551" t="s">
        <v>488</v>
      </c>
      <c r="J86" s="1551" t="s">
        <v>488</v>
      </c>
      <c r="K86" s="1551" t="s">
        <v>488</v>
      </c>
      <c r="L86" s="1208" t="s">
        <v>28</v>
      </c>
      <c r="M86" s="1208" t="s">
        <v>28</v>
      </c>
      <c r="N86" s="1208" t="s">
        <v>506</v>
      </c>
      <c r="O86" s="1208" t="s">
        <v>506</v>
      </c>
      <c r="P86" s="1208" t="s">
        <v>506</v>
      </c>
      <c r="Q86" s="1208" t="s">
        <v>506</v>
      </c>
      <c r="R86" s="1208" t="s">
        <v>506</v>
      </c>
      <c r="S86" s="1208" t="s">
        <v>28</v>
      </c>
      <c r="T86" s="1208" t="s">
        <v>28</v>
      </c>
      <c r="U86" s="1208" t="s">
        <v>485</v>
      </c>
      <c r="V86" s="1208" t="s">
        <v>485</v>
      </c>
      <c r="W86" s="1208" t="s">
        <v>485</v>
      </c>
      <c r="X86" s="1208" t="s">
        <v>484</v>
      </c>
      <c r="Y86" s="1208" t="s">
        <v>484</v>
      </c>
      <c r="Z86" s="1208"/>
      <c r="AA86" s="1208"/>
      <c r="AB86" s="1208" t="s">
        <v>540</v>
      </c>
      <c r="AC86" s="1208" t="s">
        <v>540</v>
      </c>
      <c r="AD86" s="1208" t="s">
        <v>540</v>
      </c>
      <c r="AE86" s="1208" t="s">
        <v>488</v>
      </c>
      <c r="AF86" s="1208" t="s">
        <v>540</v>
      </c>
      <c r="AG86" s="1208" t="s">
        <v>28</v>
      </c>
      <c r="AH86" s="504">
        <v>92</v>
      </c>
      <c r="AI86" s="505">
        <v>37</v>
      </c>
    </row>
    <row r="87" spans="1:35" ht="21.95" customHeight="1">
      <c r="A87" s="579">
        <v>2</v>
      </c>
      <c r="B87" s="319" t="s">
        <v>507</v>
      </c>
      <c r="C87" s="1208" t="s">
        <v>488</v>
      </c>
      <c r="D87" s="1208" t="s">
        <v>488</v>
      </c>
      <c r="E87" s="1208" t="s">
        <v>28</v>
      </c>
      <c r="F87" s="1208" t="s">
        <v>28</v>
      </c>
      <c r="G87" s="1551" t="s">
        <v>506</v>
      </c>
      <c r="H87" s="1208" t="s">
        <v>506</v>
      </c>
      <c r="I87" s="1551" t="s">
        <v>485</v>
      </c>
      <c r="J87" s="1551" t="s">
        <v>484</v>
      </c>
      <c r="K87" s="1551" t="s">
        <v>484</v>
      </c>
      <c r="L87" s="1208"/>
      <c r="M87" s="1208"/>
      <c r="N87" s="1208" t="s">
        <v>485</v>
      </c>
      <c r="O87" s="1208" t="s">
        <v>485</v>
      </c>
      <c r="P87" s="1208" t="s">
        <v>485</v>
      </c>
      <c r="Q87" s="1208" t="s">
        <v>485</v>
      </c>
      <c r="R87" s="1208" t="s">
        <v>485</v>
      </c>
      <c r="S87" s="1208"/>
      <c r="T87" s="1208"/>
      <c r="U87" s="1208" t="s">
        <v>488</v>
      </c>
      <c r="V87" s="1208" t="s">
        <v>488</v>
      </c>
      <c r="W87" s="1208" t="s">
        <v>488</v>
      </c>
      <c r="X87" s="1208" t="s">
        <v>488</v>
      </c>
      <c r="Y87" s="1208" t="s">
        <v>488</v>
      </c>
      <c r="Z87" s="1208" t="s">
        <v>28</v>
      </c>
      <c r="AA87" s="1208" t="s">
        <v>28</v>
      </c>
      <c r="AB87" s="1208" t="s">
        <v>506</v>
      </c>
      <c r="AC87" s="1208" t="s">
        <v>506</v>
      </c>
      <c r="AD87" s="1208" t="s">
        <v>506</v>
      </c>
      <c r="AE87" s="1208" t="s">
        <v>506</v>
      </c>
      <c r="AF87" s="1208" t="s">
        <v>506</v>
      </c>
      <c r="AG87" s="1208"/>
      <c r="AH87" s="504">
        <v>185</v>
      </c>
      <c r="AI87" s="505">
        <v>37</v>
      </c>
    </row>
    <row r="88" spans="1:35" ht="21.95" customHeight="1">
      <c r="A88" s="579">
        <v>3</v>
      </c>
      <c r="B88" s="545" t="s">
        <v>505</v>
      </c>
      <c r="C88" s="1365" t="s">
        <v>506</v>
      </c>
      <c r="D88" s="1365" t="s">
        <v>506</v>
      </c>
      <c r="E88" s="1365"/>
      <c r="F88" s="1365"/>
      <c r="G88" s="1365" t="s">
        <v>485</v>
      </c>
      <c r="H88" s="1365" t="s">
        <v>485</v>
      </c>
      <c r="I88" s="1365" t="s">
        <v>485</v>
      </c>
      <c r="J88" s="1365" t="s">
        <v>484</v>
      </c>
      <c r="K88" s="1365" t="s">
        <v>484</v>
      </c>
      <c r="L88" s="1365"/>
      <c r="M88" s="1365"/>
      <c r="N88" s="1365" t="s">
        <v>488</v>
      </c>
      <c r="O88" s="1365" t="s">
        <v>488</v>
      </c>
      <c r="P88" s="1365" t="s">
        <v>488</v>
      </c>
      <c r="Q88" s="1365" t="s">
        <v>488</v>
      </c>
      <c r="R88" s="1365" t="s">
        <v>488</v>
      </c>
      <c r="S88" s="1365"/>
      <c r="T88" s="1365"/>
      <c r="U88" s="1208" t="s">
        <v>506</v>
      </c>
      <c r="V88" s="1208" t="s">
        <v>506</v>
      </c>
      <c r="W88" s="1208" t="s">
        <v>506</v>
      </c>
      <c r="X88" s="1208" t="s">
        <v>506</v>
      </c>
      <c r="Y88" s="1208" t="s">
        <v>506</v>
      </c>
      <c r="Z88" s="1208"/>
      <c r="AA88" s="1208"/>
      <c r="AB88" s="1208" t="s">
        <v>485</v>
      </c>
      <c r="AC88" s="1208" t="s">
        <v>485</v>
      </c>
      <c r="AD88" s="1208" t="s">
        <v>485</v>
      </c>
      <c r="AE88" s="1208" t="s">
        <v>484</v>
      </c>
      <c r="AF88" s="1368" t="s">
        <v>484</v>
      </c>
      <c r="AG88" s="1208"/>
      <c r="AH88" s="504">
        <v>95</v>
      </c>
      <c r="AI88" s="505">
        <v>37</v>
      </c>
    </row>
    <row r="89" spans="1:35" ht="21.95" customHeight="1">
      <c r="A89" s="580"/>
      <c r="B89" s="354"/>
      <c r="C89" s="559"/>
      <c r="D89" s="559"/>
      <c r="E89" s="559"/>
      <c r="F89" s="559"/>
      <c r="G89" s="559"/>
      <c r="H89" s="559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H89" s="560"/>
      <c r="AI89" s="560"/>
    </row>
    <row r="90" spans="1:35" ht="21.95" customHeight="1">
      <c r="A90" s="580"/>
      <c r="B90" s="587"/>
      <c r="C90" s="559"/>
      <c r="D90" s="559"/>
      <c r="E90" s="559"/>
      <c r="F90" s="559"/>
      <c r="G90" s="559"/>
      <c r="H90" s="559"/>
      <c r="I90" s="559"/>
      <c r="J90" s="559"/>
      <c r="K90" s="559"/>
      <c r="L90" s="559"/>
      <c r="M90" s="559"/>
      <c r="N90" s="559"/>
      <c r="O90" s="559"/>
      <c r="P90" s="559"/>
      <c r="Q90" s="559"/>
      <c r="R90" s="559"/>
      <c r="S90" s="559"/>
      <c r="T90" s="559"/>
      <c r="U90" s="559"/>
      <c r="V90" s="559"/>
      <c r="W90" s="559"/>
      <c r="X90" s="559"/>
      <c r="Y90" s="559"/>
      <c r="Z90" s="559"/>
      <c r="AA90" s="559"/>
      <c r="AB90" s="559"/>
      <c r="AC90" s="559"/>
      <c r="AD90" s="559"/>
      <c r="AE90" s="559"/>
      <c r="AF90" s="559"/>
      <c r="AG90" s="559"/>
      <c r="AH90" s="560"/>
      <c r="AI90" s="560"/>
    </row>
    <row r="91" spans="1:35" ht="21.95" customHeight="1" thickBot="1">
      <c r="A91" s="1" t="s">
        <v>686</v>
      </c>
      <c r="D91" s="361"/>
      <c r="E91" s="361"/>
      <c r="F91" s="361"/>
      <c r="G91" s="549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687</v>
      </c>
      <c r="C92" s="7"/>
      <c r="D92" s="525" t="s">
        <v>2</v>
      </c>
      <c r="E92" s="51"/>
      <c r="F92" s="551"/>
      <c r="G92" s="7"/>
      <c r="H92" s="525" t="s">
        <v>3</v>
      </c>
      <c r="I92" s="51"/>
      <c r="J92" s="551"/>
      <c r="K92" s="7"/>
      <c r="L92" s="525" t="s">
        <v>4</v>
      </c>
      <c r="M92" s="51"/>
      <c r="N92" s="551"/>
      <c r="O92" s="7"/>
      <c r="P92" s="525" t="s">
        <v>5</v>
      </c>
      <c r="Q92" s="51"/>
      <c r="R92" s="551"/>
      <c r="S92" s="7"/>
      <c r="T92" s="525" t="s">
        <v>6</v>
      </c>
      <c r="U92" s="51"/>
      <c r="V92" s="551"/>
      <c r="W92" s="7"/>
      <c r="X92" s="525" t="s">
        <v>7</v>
      </c>
      <c r="Y92" s="51"/>
      <c r="Z92" s="551"/>
      <c r="AA92" s="7"/>
      <c r="AB92" s="525" t="s">
        <v>8</v>
      </c>
      <c r="AC92" s="51"/>
      <c r="AD92" s="51"/>
      <c r="AE92" s="425" t="s">
        <v>10</v>
      </c>
      <c r="AF92" s="51"/>
      <c r="AG92" s="51"/>
      <c r="AH92" s="51"/>
      <c r="AI92" s="526"/>
    </row>
    <row r="93" spans="1:35" ht="21.95" customHeight="1">
      <c r="A93" s="1"/>
      <c r="B93" s="129" t="s">
        <v>164</v>
      </c>
      <c r="C93" s="121" t="s">
        <v>162</v>
      </c>
      <c r="D93" s="157"/>
      <c r="E93" s="157"/>
      <c r="F93" s="568"/>
      <c r="G93" s="121" t="s">
        <v>688</v>
      </c>
      <c r="H93" s="157"/>
      <c r="I93" s="157"/>
      <c r="J93" s="568"/>
      <c r="K93" s="121" t="s">
        <v>688</v>
      </c>
      <c r="L93" s="157"/>
      <c r="M93" s="157"/>
      <c r="N93" s="568"/>
      <c r="O93" s="121" t="s">
        <v>688</v>
      </c>
      <c r="P93" s="157"/>
      <c r="Q93" s="157"/>
      <c r="R93" s="568"/>
      <c r="S93" s="121" t="s">
        <v>688</v>
      </c>
      <c r="T93" s="157"/>
      <c r="U93" s="157"/>
      <c r="V93" s="568"/>
      <c r="W93" s="1243" t="s">
        <v>689</v>
      </c>
      <c r="X93" s="581"/>
      <c r="Y93" s="581"/>
      <c r="Z93" s="582"/>
      <c r="AA93" s="567"/>
      <c r="AB93" s="157"/>
      <c r="AC93" s="157"/>
      <c r="AD93" s="569"/>
      <c r="AE93" s="128">
        <v>37</v>
      </c>
      <c r="AF93" s="157"/>
      <c r="AG93" s="157" t="s">
        <v>28</v>
      </c>
      <c r="AH93" s="569"/>
      <c r="AI93" s="490"/>
    </row>
    <row r="94" spans="1:35" ht="21.95" customHeight="1">
      <c r="A94" s="1"/>
      <c r="B94" s="129" t="s">
        <v>167</v>
      </c>
      <c r="C94" s="121" t="s">
        <v>688</v>
      </c>
      <c r="D94" s="157"/>
      <c r="E94" s="157"/>
      <c r="F94" s="568"/>
      <c r="G94" s="121" t="s">
        <v>688</v>
      </c>
      <c r="H94" s="157"/>
      <c r="I94" s="157"/>
      <c r="J94" s="568"/>
      <c r="K94" s="121" t="s">
        <v>688</v>
      </c>
      <c r="L94" s="157"/>
      <c r="M94" s="157"/>
      <c r="N94" s="568"/>
      <c r="O94" s="121" t="s">
        <v>688</v>
      </c>
      <c r="P94" s="157"/>
      <c r="Q94" s="157"/>
      <c r="R94" s="568"/>
      <c r="S94" s="121" t="s">
        <v>162</v>
      </c>
      <c r="T94" s="157"/>
      <c r="U94" s="157"/>
      <c r="V94" s="568"/>
      <c r="W94" s="121"/>
      <c r="X94" s="157"/>
      <c r="Y94" s="157"/>
      <c r="Z94" s="568"/>
      <c r="AA94" s="157"/>
      <c r="AB94" s="157"/>
      <c r="AC94" s="157"/>
      <c r="AD94" s="569"/>
      <c r="AE94" s="128">
        <v>32</v>
      </c>
      <c r="AF94" s="157"/>
      <c r="AG94" s="157"/>
      <c r="AH94" s="569"/>
      <c r="AI94" s="490"/>
    </row>
    <row r="95" spans="1:35" ht="21.95" customHeight="1">
      <c r="A95" s="1"/>
      <c r="B95" s="129" t="s">
        <v>170</v>
      </c>
      <c r="C95" s="121" t="s">
        <v>690</v>
      </c>
      <c r="D95" s="157"/>
      <c r="E95" s="157"/>
      <c r="F95" s="568"/>
      <c r="G95" s="121" t="s">
        <v>690</v>
      </c>
      <c r="H95" s="157"/>
      <c r="I95" s="157"/>
      <c r="J95" s="568"/>
      <c r="K95" s="121" t="s">
        <v>690</v>
      </c>
      <c r="L95" s="157"/>
      <c r="M95" s="157"/>
      <c r="N95" s="568"/>
      <c r="O95" s="121" t="s">
        <v>690</v>
      </c>
      <c r="P95" s="157"/>
      <c r="Q95" s="157"/>
      <c r="R95" s="568"/>
      <c r="S95" s="121" t="s">
        <v>690</v>
      </c>
      <c r="T95" s="157"/>
      <c r="U95" s="157"/>
      <c r="V95" s="568"/>
      <c r="W95" s="588" t="s">
        <v>689</v>
      </c>
      <c r="X95" s="135"/>
      <c r="Y95" s="135"/>
      <c r="Z95" s="584"/>
      <c r="AA95" s="583"/>
      <c r="AB95" s="135"/>
      <c r="AC95" s="135"/>
      <c r="AD95" s="585"/>
      <c r="AE95" s="128">
        <v>40</v>
      </c>
      <c r="AF95" s="157"/>
      <c r="AG95" s="157"/>
      <c r="AH95" s="569"/>
      <c r="AI95" s="490"/>
    </row>
    <row r="96" spans="1:35" ht="21.95" customHeight="1" thickBot="1">
      <c r="A96" s="1"/>
      <c r="B96" s="16" t="s">
        <v>173</v>
      </c>
      <c r="C96" s="57" t="s">
        <v>688</v>
      </c>
      <c r="D96" s="53"/>
      <c r="E96" s="53"/>
      <c r="F96" s="575"/>
      <c r="G96" s="57" t="s">
        <v>688</v>
      </c>
      <c r="H96" s="53"/>
      <c r="I96" s="53"/>
      <c r="J96" s="575"/>
      <c r="K96" s="57" t="s">
        <v>688</v>
      </c>
      <c r="L96" s="53"/>
      <c r="M96" s="53"/>
      <c r="N96" s="575"/>
      <c r="O96" s="57" t="s">
        <v>688</v>
      </c>
      <c r="P96" s="53"/>
      <c r="Q96" s="53"/>
      <c r="R96" s="575"/>
      <c r="S96" s="57" t="s">
        <v>691</v>
      </c>
      <c r="T96" s="53"/>
      <c r="U96" s="53"/>
      <c r="V96" s="577"/>
      <c r="W96" s="57"/>
      <c r="X96" s="577"/>
      <c r="Y96" s="53"/>
      <c r="Z96" s="575"/>
      <c r="AA96" s="57"/>
      <c r="AB96" s="577"/>
      <c r="AC96" s="53"/>
      <c r="AD96" s="575"/>
      <c r="AE96" s="586">
        <v>39</v>
      </c>
      <c r="AF96" s="53"/>
      <c r="AG96" s="53"/>
      <c r="AH96" s="577"/>
      <c r="AI96" s="539"/>
    </row>
    <row r="97" spans="1:35" ht="21.95" customHeight="1" thickBot="1">
      <c r="A97" s="578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>
      <c r="A98" s="556"/>
      <c r="B98" s="297" t="s">
        <v>480</v>
      </c>
      <c r="C98" s="1234">
        <v>1</v>
      </c>
      <c r="D98" s="1234">
        <v>2</v>
      </c>
      <c r="E98" s="1235">
        <v>3</v>
      </c>
      <c r="F98" s="1235">
        <v>4</v>
      </c>
      <c r="G98" s="1234">
        <v>5</v>
      </c>
      <c r="H98" s="1234">
        <v>6</v>
      </c>
      <c r="I98" s="1213">
        <v>7</v>
      </c>
      <c r="J98" s="1213">
        <v>8</v>
      </c>
      <c r="K98" s="1234">
        <v>9</v>
      </c>
      <c r="L98" s="1235">
        <v>10</v>
      </c>
      <c r="M98" s="1235">
        <v>11</v>
      </c>
      <c r="N98" s="1234">
        <v>12</v>
      </c>
      <c r="O98" s="1234">
        <v>13</v>
      </c>
      <c r="P98" s="1213">
        <v>14</v>
      </c>
      <c r="Q98" s="1213">
        <v>15</v>
      </c>
      <c r="R98" s="1234">
        <v>16</v>
      </c>
      <c r="S98" s="1235">
        <v>17</v>
      </c>
      <c r="T98" s="1235">
        <v>18</v>
      </c>
      <c r="U98" s="1234">
        <v>19</v>
      </c>
      <c r="V98" s="1213">
        <v>20</v>
      </c>
      <c r="W98" s="1213">
        <v>21</v>
      </c>
      <c r="X98" s="1213">
        <v>22</v>
      </c>
      <c r="Y98" s="1234">
        <v>23</v>
      </c>
      <c r="Z98" s="1235">
        <v>24</v>
      </c>
      <c r="AA98" s="1235">
        <v>25</v>
      </c>
      <c r="AB98" s="1234">
        <v>26</v>
      </c>
      <c r="AC98" s="1234">
        <v>27</v>
      </c>
      <c r="AD98" s="1213">
        <v>28</v>
      </c>
      <c r="AE98" s="1213">
        <v>29</v>
      </c>
      <c r="AF98" s="1234">
        <v>30</v>
      </c>
      <c r="AG98" s="1235">
        <v>31</v>
      </c>
      <c r="AH98" s="498" t="s">
        <v>481</v>
      </c>
      <c r="AI98" s="499" t="s">
        <v>482</v>
      </c>
    </row>
    <row r="99" spans="1:35" ht="21.95" customHeight="1">
      <c r="A99" s="579">
        <v>1</v>
      </c>
      <c r="B99" s="545" t="s">
        <v>692</v>
      </c>
      <c r="C99" s="1215">
        <v>4</v>
      </c>
      <c r="D99" s="1215">
        <v>4</v>
      </c>
      <c r="E99" s="1215"/>
      <c r="F99" s="1215"/>
      <c r="G99" s="1215" t="s">
        <v>487</v>
      </c>
      <c r="H99" s="1215">
        <v>1</v>
      </c>
      <c r="I99" s="1208">
        <v>1</v>
      </c>
      <c r="J99" s="1215">
        <v>1</v>
      </c>
      <c r="K99" s="1215">
        <v>1</v>
      </c>
      <c r="L99" s="1215">
        <v>1</v>
      </c>
      <c r="M99" s="1215"/>
      <c r="N99" s="1215">
        <v>2</v>
      </c>
      <c r="O99" s="1208">
        <v>2</v>
      </c>
      <c r="P99" s="1208">
        <v>2</v>
      </c>
      <c r="Q99" s="1335">
        <v>2</v>
      </c>
      <c r="R99" s="1215" t="s">
        <v>487</v>
      </c>
      <c r="S99" s="1215"/>
      <c r="T99" s="1215"/>
      <c r="U99" s="1338">
        <v>3</v>
      </c>
      <c r="V99" s="1338">
        <v>3</v>
      </c>
      <c r="W99" s="1365">
        <v>3</v>
      </c>
      <c r="X99" s="1338">
        <v>3</v>
      </c>
      <c r="Y99" s="1338">
        <v>3</v>
      </c>
      <c r="Z99" s="1338">
        <v>3</v>
      </c>
      <c r="AA99" s="1338"/>
      <c r="AB99" s="1338">
        <v>4</v>
      </c>
      <c r="AC99" s="1365">
        <v>4</v>
      </c>
      <c r="AD99" s="1365">
        <v>4</v>
      </c>
      <c r="AE99" s="1338">
        <v>4</v>
      </c>
      <c r="AF99" s="1338">
        <v>4</v>
      </c>
      <c r="AG99" s="1338"/>
      <c r="AH99" s="504">
        <v>106</v>
      </c>
      <c r="AI99" s="505">
        <v>37</v>
      </c>
    </row>
    <row r="100" spans="1:35" ht="21.95" customHeight="1">
      <c r="A100" s="579">
        <v>2</v>
      </c>
      <c r="B100" s="545"/>
      <c r="C100" s="1215">
        <v>1</v>
      </c>
      <c r="D100" s="1215">
        <v>1</v>
      </c>
      <c r="E100" s="1215">
        <v>1</v>
      </c>
      <c r="F100" s="1215"/>
      <c r="G100" s="1215">
        <v>2</v>
      </c>
      <c r="H100" s="1208">
        <v>2</v>
      </c>
      <c r="I100" s="1208">
        <v>2</v>
      </c>
      <c r="J100" s="1215">
        <v>2</v>
      </c>
      <c r="K100" s="1215" t="s">
        <v>487</v>
      </c>
      <c r="L100" s="1215"/>
      <c r="M100" s="1215"/>
      <c r="N100" s="1215">
        <v>3</v>
      </c>
      <c r="O100" s="1215">
        <v>3</v>
      </c>
      <c r="P100" s="1208">
        <v>3</v>
      </c>
      <c r="Q100" s="1215">
        <v>3</v>
      </c>
      <c r="R100" s="1215">
        <v>3</v>
      </c>
      <c r="S100" s="1215">
        <v>3</v>
      </c>
      <c r="T100" s="1215"/>
      <c r="U100" s="1215">
        <v>4</v>
      </c>
      <c r="V100" s="1208">
        <v>4</v>
      </c>
      <c r="W100" s="1208">
        <v>4</v>
      </c>
      <c r="X100" s="1215">
        <v>4</v>
      </c>
      <c r="Y100" s="1215">
        <v>4</v>
      </c>
      <c r="Z100" s="1215"/>
      <c r="AA100" s="1215"/>
      <c r="AB100" s="1215" t="s">
        <v>487</v>
      </c>
      <c r="AC100" s="1215">
        <v>1</v>
      </c>
      <c r="AD100" s="1208">
        <v>1</v>
      </c>
      <c r="AE100" s="1215">
        <v>1</v>
      </c>
      <c r="AF100" s="1215">
        <v>1</v>
      </c>
      <c r="AG100" s="1215">
        <v>1</v>
      </c>
      <c r="AH100" s="504">
        <v>185</v>
      </c>
      <c r="AI100" s="505">
        <v>37</v>
      </c>
    </row>
    <row r="101" spans="1:35" ht="21.95" customHeight="1">
      <c r="A101" s="579">
        <v>3</v>
      </c>
      <c r="B101" s="545"/>
      <c r="C101" s="1215">
        <v>2</v>
      </c>
      <c r="D101" s="1215" t="s">
        <v>487</v>
      </c>
      <c r="E101" s="1215"/>
      <c r="F101" s="1215"/>
      <c r="G101" s="1215">
        <v>3</v>
      </c>
      <c r="H101" s="1208">
        <v>3</v>
      </c>
      <c r="I101" s="1208">
        <v>3</v>
      </c>
      <c r="J101" s="1215">
        <v>3</v>
      </c>
      <c r="K101" s="1215">
        <v>3</v>
      </c>
      <c r="L101" s="1215">
        <v>3</v>
      </c>
      <c r="M101" s="1215"/>
      <c r="N101" s="1215">
        <v>4</v>
      </c>
      <c r="O101" s="1215">
        <v>4</v>
      </c>
      <c r="P101" s="1208">
        <v>4</v>
      </c>
      <c r="Q101" s="1215">
        <v>4</v>
      </c>
      <c r="R101" s="1215">
        <v>4</v>
      </c>
      <c r="S101" s="1215"/>
      <c r="T101" s="1215"/>
      <c r="U101" s="1215" t="s">
        <v>487</v>
      </c>
      <c r="V101" s="1208">
        <v>1</v>
      </c>
      <c r="W101" s="1208">
        <v>1</v>
      </c>
      <c r="X101" s="1215">
        <v>1</v>
      </c>
      <c r="Y101" s="1215">
        <v>1</v>
      </c>
      <c r="Z101" s="1215">
        <v>1</v>
      </c>
      <c r="AA101" s="1215"/>
      <c r="AB101" s="1215">
        <v>2</v>
      </c>
      <c r="AC101" s="1215">
        <v>2</v>
      </c>
      <c r="AD101" s="1208">
        <v>2</v>
      </c>
      <c r="AE101" s="1215">
        <v>2</v>
      </c>
      <c r="AF101" s="1215" t="s">
        <v>487</v>
      </c>
      <c r="AG101" s="1215"/>
      <c r="AH101" s="504">
        <v>185</v>
      </c>
      <c r="AI101" s="505">
        <v>37</v>
      </c>
    </row>
    <row r="102" spans="1:35" ht="21.95" customHeight="1">
      <c r="A102" s="579">
        <v>4</v>
      </c>
      <c r="B102" s="545" t="s">
        <v>412</v>
      </c>
      <c r="C102" s="1338">
        <v>3</v>
      </c>
      <c r="D102" s="1338">
        <v>3</v>
      </c>
      <c r="E102" s="1338">
        <v>3</v>
      </c>
      <c r="F102" s="1338"/>
      <c r="G102" s="1338">
        <v>4</v>
      </c>
      <c r="H102" s="1338">
        <v>4</v>
      </c>
      <c r="I102" s="1365">
        <v>4</v>
      </c>
      <c r="J102" s="1365">
        <v>4</v>
      </c>
      <c r="K102" s="1365">
        <v>4</v>
      </c>
      <c r="L102" s="1365"/>
      <c r="M102" s="1365"/>
      <c r="N102" s="1365" t="s">
        <v>487</v>
      </c>
      <c r="O102" s="1365">
        <v>1</v>
      </c>
      <c r="P102" s="1365">
        <v>1</v>
      </c>
      <c r="Q102" s="1338">
        <v>1</v>
      </c>
      <c r="R102" s="1338">
        <v>1</v>
      </c>
      <c r="S102" s="1338">
        <v>1</v>
      </c>
      <c r="T102" s="1338"/>
      <c r="U102" s="1215">
        <v>2</v>
      </c>
      <c r="V102" s="1215">
        <v>2</v>
      </c>
      <c r="W102" s="1208">
        <v>2</v>
      </c>
      <c r="X102" s="1215">
        <v>2</v>
      </c>
      <c r="Y102" s="1215" t="s">
        <v>487</v>
      </c>
      <c r="Z102" s="1215"/>
      <c r="AA102" s="1215"/>
      <c r="AB102" s="1215">
        <v>3</v>
      </c>
      <c r="AC102" s="1208">
        <v>3</v>
      </c>
      <c r="AD102" s="1208">
        <v>3</v>
      </c>
      <c r="AE102" s="1215">
        <v>3</v>
      </c>
      <c r="AF102" s="1215">
        <v>3</v>
      </c>
      <c r="AG102" s="1215">
        <v>3</v>
      </c>
      <c r="AH102" s="504">
        <v>95</v>
      </c>
      <c r="AI102" s="505">
        <v>37</v>
      </c>
    </row>
    <row r="103" spans="1:35" ht="21.95" customHeight="1">
      <c r="A103" s="580"/>
      <c r="B103" s="587"/>
      <c r="C103" s="559"/>
      <c r="D103" s="541"/>
      <c r="E103" s="541"/>
      <c r="F103" s="541"/>
      <c r="G103" s="541"/>
      <c r="H103" s="541"/>
      <c r="I103" s="559"/>
      <c r="J103" s="559"/>
      <c r="K103" s="541"/>
      <c r="L103" s="541"/>
      <c r="M103" s="541"/>
      <c r="N103" s="541"/>
      <c r="O103" s="541"/>
      <c r="P103" s="541"/>
      <c r="Q103" s="559"/>
      <c r="R103" s="541"/>
      <c r="S103" s="1315"/>
      <c r="T103" s="1315"/>
      <c r="U103" s="1315"/>
      <c r="V103" s="1315"/>
      <c r="W103" s="559"/>
      <c r="X103" s="559"/>
      <c r="Y103" s="541"/>
      <c r="Z103" s="541"/>
      <c r="AA103" s="541"/>
      <c r="AB103" s="541"/>
      <c r="AC103" s="541"/>
      <c r="AD103" s="541"/>
      <c r="AE103" s="559"/>
      <c r="AF103" s="541"/>
      <c r="AG103" s="541"/>
      <c r="AH103" s="560"/>
      <c r="AI103" s="560"/>
    </row>
    <row r="104" spans="1:35" ht="21.95" customHeight="1" thickBot="1">
      <c r="A104" s="1303" t="s">
        <v>695</v>
      </c>
      <c r="B104" s="541"/>
      <c r="C104" s="559"/>
      <c r="D104" s="541"/>
      <c r="E104" s="541"/>
      <c r="F104" s="541"/>
      <c r="G104" s="541"/>
      <c r="H104" s="541"/>
      <c r="I104" s="559"/>
      <c r="J104" s="559"/>
      <c r="K104" s="541"/>
      <c r="L104" s="541"/>
      <c r="M104" s="541"/>
      <c r="N104" s="541"/>
      <c r="O104" s="541"/>
      <c r="P104" s="541"/>
      <c r="Q104" s="559"/>
      <c r="R104" s="541"/>
      <c r="S104" s="541"/>
      <c r="T104" s="541"/>
      <c r="U104" s="541"/>
      <c r="V104" s="541"/>
      <c r="W104" s="559"/>
      <c r="X104" s="559"/>
      <c r="Y104" s="541"/>
      <c r="Z104" s="541"/>
      <c r="AA104" s="541"/>
      <c r="AB104" s="541"/>
      <c r="AC104" s="541"/>
      <c r="AD104" s="541"/>
      <c r="AE104" s="559"/>
      <c r="AF104" s="541"/>
      <c r="AG104" s="541"/>
      <c r="AH104" s="560"/>
      <c r="AI104" s="560"/>
    </row>
    <row r="105" spans="1:35" ht="21.95" customHeight="1">
      <c r="A105" s="580"/>
      <c r="B105" s="1304" t="s">
        <v>696</v>
      </c>
      <c r="C105" s="1312"/>
      <c r="D105" s="1305" t="s">
        <v>2</v>
      </c>
      <c r="E105" s="1306"/>
      <c r="F105" s="1307"/>
      <c r="G105" s="1308"/>
      <c r="H105" s="1305" t="s">
        <v>3</v>
      </c>
      <c r="I105" s="1306"/>
      <c r="J105" s="1307"/>
      <c r="K105" s="1308"/>
      <c r="L105" s="1305" t="s">
        <v>4</v>
      </c>
      <c r="M105" s="1306"/>
      <c r="N105" s="1307"/>
      <c r="O105" s="1308"/>
      <c r="P105" s="1305" t="s">
        <v>5</v>
      </c>
      <c r="Q105" s="1306"/>
      <c r="R105" s="1307"/>
      <c r="S105" s="1308"/>
      <c r="T105" s="1305" t="s">
        <v>6</v>
      </c>
      <c r="U105" s="1306"/>
      <c r="V105" s="1307"/>
      <c r="W105" s="1308"/>
      <c r="X105" s="1305" t="s">
        <v>7</v>
      </c>
      <c r="Y105" s="1306"/>
      <c r="Z105" s="1307"/>
      <c r="AA105" s="1308"/>
      <c r="AB105" s="1305" t="s">
        <v>8</v>
      </c>
      <c r="AC105" s="1306"/>
      <c r="AD105" s="1306"/>
      <c r="AE105" s="1309" t="s">
        <v>10</v>
      </c>
      <c r="AF105" s="1306"/>
      <c r="AG105" s="1306"/>
      <c r="AH105" s="1306"/>
      <c r="AI105" s="1310"/>
    </row>
    <row r="106" spans="1:35" ht="21.95" customHeight="1">
      <c r="A106" s="580"/>
      <c r="B106" s="1332" t="s">
        <v>697</v>
      </c>
      <c r="C106" s="1313" t="s">
        <v>698</v>
      </c>
      <c r="D106" s="1331" t="s">
        <v>699</v>
      </c>
      <c r="E106" s="1314"/>
      <c r="F106" s="1311"/>
      <c r="G106" s="1313"/>
      <c r="H106" s="1331" t="s">
        <v>699</v>
      </c>
      <c r="I106" s="1314"/>
      <c r="J106" s="1311"/>
      <c r="K106" s="1313"/>
      <c r="L106" s="1331" t="s">
        <v>699</v>
      </c>
      <c r="M106" s="1314"/>
      <c r="N106" s="1311"/>
      <c r="O106" s="1313"/>
      <c r="P106" s="1331" t="s">
        <v>700</v>
      </c>
      <c r="Q106" s="1314"/>
      <c r="R106" s="1311"/>
      <c r="S106" s="1313"/>
      <c r="T106" s="1331" t="s">
        <v>701</v>
      </c>
      <c r="U106" s="1314"/>
      <c r="V106" s="1311"/>
      <c r="W106" s="1313"/>
      <c r="X106" s="1314"/>
      <c r="Y106" s="1314"/>
      <c r="Z106" s="1311"/>
      <c r="AA106" s="1313"/>
      <c r="AB106" s="1314"/>
      <c r="AC106" s="1314"/>
      <c r="AD106" s="1314"/>
      <c r="AE106" s="1313"/>
      <c r="AF106" s="1314"/>
      <c r="AG106" s="1314"/>
      <c r="AH106" s="1316"/>
      <c r="AI106" s="1317"/>
    </row>
    <row r="107" spans="1:35" ht="21.95" customHeight="1">
      <c r="A107" s="580"/>
      <c r="B107" s="1333" t="s">
        <v>702</v>
      </c>
      <c r="C107" s="1313" t="s">
        <v>683</v>
      </c>
      <c r="D107" s="1331" t="s">
        <v>699</v>
      </c>
      <c r="E107" s="1314"/>
      <c r="F107" s="1311"/>
      <c r="G107" s="1313"/>
      <c r="H107" s="1331" t="s">
        <v>699</v>
      </c>
      <c r="I107" s="1314"/>
      <c r="J107" s="1311"/>
      <c r="K107" s="1313"/>
      <c r="L107" s="1331" t="s">
        <v>699</v>
      </c>
      <c r="M107" s="1314"/>
      <c r="N107" s="1311"/>
      <c r="O107" s="1313"/>
      <c r="P107" s="1331" t="s">
        <v>700</v>
      </c>
      <c r="Q107" s="1314"/>
      <c r="R107" s="1311"/>
      <c r="S107" s="1313"/>
      <c r="T107" s="1331" t="s">
        <v>701</v>
      </c>
      <c r="U107" s="1314"/>
      <c r="V107" s="1311"/>
      <c r="W107" s="1313"/>
      <c r="X107" s="1314"/>
      <c r="Y107" s="1314"/>
      <c r="Z107" s="1311"/>
      <c r="AA107" s="1313"/>
      <c r="AB107" s="1314"/>
      <c r="AC107" s="1314"/>
      <c r="AD107" s="1314"/>
      <c r="AE107" s="1313"/>
      <c r="AF107" s="1314"/>
      <c r="AG107" s="1314"/>
      <c r="AH107" s="1316"/>
      <c r="AI107" s="1317"/>
    </row>
    <row r="108" spans="1:35" ht="21.95" customHeight="1">
      <c r="A108" s="580"/>
      <c r="B108" s="1333" t="s">
        <v>703</v>
      </c>
      <c r="C108" s="1313" t="s">
        <v>547</v>
      </c>
      <c r="D108" s="1331" t="s">
        <v>699</v>
      </c>
      <c r="E108" s="1314"/>
      <c r="F108" s="1311"/>
      <c r="G108" s="1313"/>
      <c r="H108" s="1331" t="s">
        <v>699</v>
      </c>
      <c r="I108" s="1314"/>
      <c r="J108" s="1311"/>
      <c r="K108" s="1313"/>
      <c r="L108" s="1331" t="s">
        <v>699</v>
      </c>
      <c r="M108" s="1314"/>
      <c r="N108" s="1311"/>
      <c r="O108" s="1313"/>
      <c r="P108" s="1331" t="s">
        <v>700</v>
      </c>
      <c r="Q108" s="1314"/>
      <c r="R108" s="1311"/>
      <c r="S108" s="1313"/>
      <c r="T108" s="1331" t="s">
        <v>701</v>
      </c>
      <c r="U108" s="1314"/>
      <c r="V108" s="1311"/>
      <c r="W108" s="1313"/>
      <c r="X108" s="1314"/>
      <c r="Y108" s="1314"/>
      <c r="Z108" s="1311"/>
      <c r="AA108" s="1313"/>
      <c r="AB108" s="1314"/>
      <c r="AC108" s="1314"/>
      <c r="AD108" s="1314"/>
      <c r="AE108" s="1313"/>
      <c r="AF108" s="1314"/>
      <c r="AG108" s="1314"/>
      <c r="AH108" s="1316"/>
      <c r="AI108" s="1317"/>
    </row>
    <row r="109" spans="1:35" ht="21.95" customHeight="1">
      <c r="A109" s="580"/>
      <c r="B109" s="1333" t="s">
        <v>704</v>
      </c>
      <c r="C109" s="1313" t="s">
        <v>685</v>
      </c>
      <c r="D109" s="1331" t="s">
        <v>699</v>
      </c>
      <c r="E109" s="1314"/>
      <c r="F109" s="1311"/>
      <c r="G109" s="1313"/>
      <c r="H109" s="1331" t="s">
        <v>699</v>
      </c>
      <c r="I109" s="1314"/>
      <c r="J109" s="1311"/>
      <c r="K109" s="1313"/>
      <c r="L109" s="1331" t="s">
        <v>699</v>
      </c>
      <c r="M109" s="1314"/>
      <c r="N109" s="1311"/>
      <c r="O109" s="1313"/>
      <c r="P109" s="1331" t="s">
        <v>700</v>
      </c>
      <c r="Q109" s="1314"/>
      <c r="R109" s="1311"/>
      <c r="S109" s="1313"/>
      <c r="T109" s="1331" t="s">
        <v>701</v>
      </c>
      <c r="U109" s="1314"/>
      <c r="V109" s="1311"/>
      <c r="W109" s="1313"/>
      <c r="X109" s="1314"/>
      <c r="Y109" s="1314"/>
      <c r="Z109" s="1311"/>
      <c r="AA109" s="1313"/>
      <c r="AB109" s="1314"/>
      <c r="AC109" s="1314"/>
      <c r="AD109" s="1314"/>
      <c r="AE109" s="1313"/>
      <c r="AF109" s="1314"/>
      <c r="AG109" s="1314"/>
      <c r="AH109" s="1316"/>
      <c r="AI109" s="1317"/>
    </row>
    <row r="110" spans="1:35" ht="21.95" customHeight="1">
      <c r="A110" s="580"/>
      <c r="B110" s="1333" t="s">
        <v>705</v>
      </c>
      <c r="C110" s="1313" t="s">
        <v>684</v>
      </c>
      <c r="D110" s="1331" t="s">
        <v>699</v>
      </c>
      <c r="E110" s="1314"/>
      <c r="F110" s="1311"/>
      <c r="G110" s="1313"/>
      <c r="H110" s="1331" t="s">
        <v>699</v>
      </c>
      <c r="I110" s="1314"/>
      <c r="J110" s="1311"/>
      <c r="K110" s="1313"/>
      <c r="L110" s="1331" t="s">
        <v>699</v>
      </c>
      <c r="M110" s="1314"/>
      <c r="N110" s="1311"/>
      <c r="O110" s="1313"/>
      <c r="P110" s="1331" t="s">
        <v>700</v>
      </c>
      <c r="Q110" s="1314"/>
      <c r="R110" s="1311"/>
      <c r="S110" s="1313"/>
      <c r="T110" s="1331" t="s">
        <v>701</v>
      </c>
      <c r="U110" s="1314"/>
      <c r="V110" s="1311"/>
      <c r="W110" s="1313"/>
      <c r="X110" s="1314"/>
      <c r="Y110" s="1314"/>
      <c r="Z110" s="1311"/>
      <c r="AA110" s="1313"/>
      <c r="AB110" s="1314"/>
      <c r="AC110" s="1314"/>
      <c r="AD110" s="1314"/>
      <c r="AE110" s="1313"/>
      <c r="AF110" s="1314"/>
      <c r="AG110" s="1314"/>
      <c r="AH110" s="1316"/>
      <c r="AI110" s="1317"/>
    </row>
    <row r="111" spans="1:35" ht="21.95" customHeight="1">
      <c r="A111" s="580"/>
      <c r="B111" s="1333" t="s">
        <v>706</v>
      </c>
      <c r="C111" s="1313" t="s">
        <v>539</v>
      </c>
      <c r="D111" s="1331" t="s">
        <v>699</v>
      </c>
      <c r="E111" s="1314"/>
      <c r="F111" s="1311"/>
      <c r="G111" s="1313"/>
      <c r="H111" s="1331" t="s">
        <v>699</v>
      </c>
      <c r="I111" s="1314"/>
      <c r="J111" s="1311"/>
      <c r="K111" s="1313"/>
      <c r="L111" s="1331" t="s">
        <v>699</v>
      </c>
      <c r="M111" s="1314"/>
      <c r="N111" s="1311"/>
      <c r="O111" s="1313"/>
      <c r="P111" s="1331" t="s">
        <v>700</v>
      </c>
      <c r="Q111" s="1314"/>
      <c r="R111" s="1311"/>
      <c r="S111" s="1313"/>
      <c r="T111" s="1331" t="s">
        <v>701</v>
      </c>
      <c r="U111" s="1314"/>
      <c r="V111" s="1311"/>
      <c r="W111" s="1313"/>
      <c r="X111" s="1314"/>
      <c r="Y111" s="1314"/>
      <c r="Z111" s="1311"/>
      <c r="AA111" s="1313"/>
      <c r="AB111" s="1314"/>
      <c r="AC111" s="1314"/>
      <c r="AD111" s="1314"/>
      <c r="AE111" s="1313"/>
      <c r="AF111" s="1314"/>
      <c r="AG111" s="1314"/>
      <c r="AH111" s="1316"/>
      <c r="AI111" s="1317"/>
    </row>
    <row r="112" spans="1:35" ht="21.95" customHeight="1">
      <c r="A112" s="580"/>
      <c r="B112" s="1333" t="s">
        <v>707</v>
      </c>
      <c r="C112" s="1313" t="s">
        <v>540</v>
      </c>
      <c r="D112" s="1331" t="s">
        <v>699</v>
      </c>
      <c r="E112" s="1314"/>
      <c r="F112" s="1311"/>
      <c r="G112" s="1313"/>
      <c r="H112" s="1331" t="s">
        <v>699</v>
      </c>
      <c r="I112" s="1314"/>
      <c r="J112" s="1311"/>
      <c r="K112" s="1313"/>
      <c r="L112" s="1331" t="s">
        <v>699</v>
      </c>
      <c r="M112" s="1314"/>
      <c r="N112" s="1311"/>
      <c r="O112" s="1313"/>
      <c r="P112" s="1331" t="s">
        <v>700</v>
      </c>
      <c r="Q112" s="1314"/>
      <c r="R112" s="1311"/>
      <c r="S112" s="1313"/>
      <c r="T112" s="1331" t="s">
        <v>701</v>
      </c>
      <c r="U112" s="1314"/>
      <c r="V112" s="1311"/>
      <c r="W112" s="1313"/>
      <c r="X112" s="1314"/>
      <c r="Y112" s="1314"/>
      <c r="Z112" s="1311"/>
      <c r="AA112" s="1313"/>
      <c r="AB112" s="1314"/>
      <c r="AC112" s="1314"/>
      <c r="AD112" s="1314"/>
      <c r="AE112" s="1313"/>
      <c r="AF112" s="1314"/>
      <c r="AG112" s="1314"/>
      <c r="AH112" s="1316"/>
      <c r="AI112" s="1317"/>
    </row>
    <row r="113" spans="1:35" ht="21.95" customHeight="1">
      <c r="A113" s="580"/>
      <c r="B113" s="1333" t="s">
        <v>707</v>
      </c>
      <c r="C113" s="1313" t="s">
        <v>708</v>
      </c>
      <c r="D113" s="1331" t="s">
        <v>699</v>
      </c>
      <c r="E113" s="1314"/>
      <c r="F113" s="1311"/>
      <c r="G113" s="1313"/>
      <c r="H113" s="1331" t="s">
        <v>699</v>
      </c>
      <c r="I113" s="1314"/>
      <c r="J113" s="1311"/>
      <c r="K113" s="1313"/>
      <c r="L113" s="1331" t="s">
        <v>699</v>
      </c>
      <c r="M113" s="1314"/>
      <c r="N113" s="1311"/>
      <c r="O113" s="1313"/>
      <c r="P113" s="1331" t="s">
        <v>700</v>
      </c>
      <c r="Q113" s="1314"/>
      <c r="R113" s="1311"/>
      <c r="S113" s="1313"/>
      <c r="T113" s="1331" t="s">
        <v>701</v>
      </c>
      <c r="U113" s="1314"/>
      <c r="V113" s="1311"/>
      <c r="W113" s="1313"/>
      <c r="X113" s="1314"/>
      <c r="Y113" s="1314"/>
      <c r="Z113" s="1311"/>
      <c r="AA113" s="1313"/>
      <c r="AB113" s="1314"/>
      <c r="AC113" s="1314"/>
      <c r="AD113" s="1314"/>
      <c r="AE113" s="1313"/>
      <c r="AF113" s="1314"/>
      <c r="AG113" s="1314"/>
      <c r="AH113" s="1316"/>
      <c r="AI113" s="1317"/>
    </row>
    <row r="114" spans="1:35" ht="21.95" customHeight="1">
      <c r="A114" s="580"/>
      <c r="B114" s="1333" t="s">
        <v>709</v>
      </c>
      <c r="C114" s="1313" t="s">
        <v>538</v>
      </c>
      <c r="D114" s="1331" t="s">
        <v>699</v>
      </c>
      <c r="E114" s="1314"/>
      <c r="F114" s="1311"/>
      <c r="G114" s="1313"/>
      <c r="H114" s="1331" t="s">
        <v>699</v>
      </c>
      <c r="I114" s="1314"/>
      <c r="J114" s="1311"/>
      <c r="K114" s="1313"/>
      <c r="L114" s="1331" t="s">
        <v>699</v>
      </c>
      <c r="M114" s="1314"/>
      <c r="N114" s="1311"/>
      <c r="O114" s="1313"/>
      <c r="P114" s="1331" t="s">
        <v>700</v>
      </c>
      <c r="Q114" s="1314"/>
      <c r="R114" s="1311"/>
      <c r="S114" s="1313"/>
      <c r="T114" s="1331" t="s">
        <v>701</v>
      </c>
      <c r="U114" s="1314"/>
      <c r="V114" s="1311"/>
      <c r="W114" s="1313"/>
      <c r="X114" s="1314"/>
      <c r="Y114" s="1314"/>
      <c r="Z114" s="1311"/>
      <c r="AA114" s="1313"/>
      <c r="AB114" s="1314"/>
      <c r="AC114" s="1314"/>
      <c r="AD114" s="1314"/>
      <c r="AE114" s="1313"/>
      <c r="AF114" s="1314"/>
      <c r="AG114" s="1314"/>
      <c r="AH114" s="1316"/>
      <c r="AI114" s="1317"/>
    </row>
    <row r="115" spans="1:35" ht="21.95" customHeight="1">
      <c r="A115" s="580"/>
      <c r="B115" s="1333" t="s">
        <v>710</v>
      </c>
      <c r="C115" s="1313" t="s">
        <v>711</v>
      </c>
      <c r="D115" s="1331" t="s">
        <v>699</v>
      </c>
      <c r="E115" s="1314"/>
      <c r="F115" s="1311"/>
      <c r="G115" s="1313"/>
      <c r="H115" s="1331" t="s">
        <v>699</v>
      </c>
      <c r="I115" s="1314"/>
      <c r="J115" s="1311"/>
      <c r="K115" s="1313"/>
      <c r="L115" s="1331" t="s">
        <v>699</v>
      </c>
      <c r="M115" s="1314"/>
      <c r="N115" s="1311"/>
      <c r="O115" s="1313"/>
      <c r="P115" s="1331" t="s">
        <v>700</v>
      </c>
      <c r="Q115" s="1314"/>
      <c r="R115" s="1311"/>
      <c r="S115" s="1313"/>
      <c r="T115" s="1331" t="s">
        <v>701</v>
      </c>
      <c r="U115" s="1314"/>
      <c r="V115" s="1311"/>
      <c r="W115" s="1313"/>
      <c r="X115" s="1314"/>
      <c r="Y115" s="1314"/>
      <c r="Z115" s="1311"/>
      <c r="AA115" s="1313"/>
      <c r="AB115" s="1314"/>
      <c r="AC115" s="1314"/>
      <c r="AD115" s="1314"/>
      <c r="AE115" s="1313"/>
      <c r="AF115" s="1314"/>
      <c r="AG115" s="1314"/>
      <c r="AH115" s="1316"/>
      <c r="AI115" s="1317"/>
    </row>
    <row r="116" spans="1:35" ht="21.95" customHeight="1">
      <c r="A116" s="580"/>
      <c r="B116" s="1333" t="s">
        <v>712</v>
      </c>
      <c r="C116" s="1313" t="s">
        <v>544</v>
      </c>
      <c r="D116" s="1331" t="s">
        <v>699</v>
      </c>
      <c r="E116" s="1314"/>
      <c r="F116" s="1311"/>
      <c r="G116" s="1313"/>
      <c r="H116" s="1331" t="s">
        <v>699</v>
      </c>
      <c r="I116" s="1314"/>
      <c r="J116" s="1311"/>
      <c r="K116" s="1313"/>
      <c r="L116" s="1331" t="s">
        <v>699</v>
      </c>
      <c r="M116" s="1314"/>
      <c r="N116" s="1311"/>
      <c r="O116" s="1313"/>
      <c r="P116" s="1331" t="s">
        <v>700</v>
      </c>
      <c r="Q116" s="1314"/>
      <c r="R116" s="1311"/>
      <c r="S116" s="1313"/>
      <c r="T116" s="1331" t="s">
        <v>701</v>
      </c>
      <c r="U116" s="1314"/>
      <c r="V116" s="1311"/>
      <c r="W116" s="1313"/>
      <c r="X116" s="1314"/>
      <c r="Y116" s="1314"/>
      <c r="Z116" s="1311"/>
      <c r="AA116" s="1313"/>
      <c r="AB116" s="1314"/>
      <c r="AC116" s="1314"/>
      <c r="AD116" s="1314"/>
      <c r="AE116" s="1313"/>
      <c r="AF116" s="1314"/>
      <c r="AG116" s="1314"/>
      <c r="AH116" s="1316"/>
      <c r="AI116" s="1317"/>
    </row>
    <row r="117" spans="1:35" ht="21.95" customHeight="1" thickBot="1">
      <c r="A117" s="580"/>
      <c r="B117" s="587"/>
      <c r="C117" s="559"/>
      <c r="D117" s="541"/>
      <c r="E117" s="541"/>
      <c r="F117" s="541"/>
      <c r="G117" s="541"/>
      <c r="H117" s="541"/>
      <c r="I117" s="559"/>
      <c r="J117" s="559"/>
      <c r="K117" s="541"/>
      <c r="L117" s="541"/>
      <c r="M117" s="541"/>
      <c r="N117" s="541"/>
      <c r="O117" s="541"/>
      <c r="P117" s="541"/>
      <c r="Q117" s="559"/>
      <c r="R117" s="541"/>
      <c r="S117" s="541"/>
      <c r="T117" s="541"/>
      <c r="U117" s="541"/>
      <c r="V117" s="541"/>
      <c r="W117" s="559"/>
      <c r="X117" s="559"/>
      <c r="Y117" s="541"/>
      <c r="Z117" s="541"/>
      <c r="AA117" s="541"/>
      <c r="AB117" s="541"/>
      <c r="AC117" s="541"/>
      <c r="AD117" s="541"/>
      <c r="AE117" s="559"/>
      <c r="AF117" s="541"/>
      <c r="AG117" s="541"/>
      <c r="AH117" s="560"/>
      <c r="AI117" s="560"/>
    </row>
    <row r="118" spans="1:35" ht="21.95" customHeight="1">
      <c r="A118" s="1232"/>
      <c r="B118" s="1298" t="s">
        <v>480</v>
      </c>
      <c r="C118" s="1234">
        <v>1</v>
      </c>
      <c r="D118" s="1234">
        <v>2</v>
      </c>
      <c r="E118" s="1235">
        <v>3</v>
      </c>
      <c r="F118" s="1235">
        <v>4</v>
      </c>
      <c r="G118" s="1234">
        <v>5</v>
      </c>
      <c r="H118" s="1234">
        <v>6</v>
      </c>
      <c r="I118" s="1213">
        <v>7</v>
      </c>
      <c r="J118" s="1213">
        <v>8</v>
      </c>
      <c r="K118" s="1234">
        <v>9</v>
      </c>
      <c r="L118" s="1235">
        <v>10</v>
      </c>
      <c r="M118" s="1235">
        <v>11</v>
      </c>
      <c r="N118" s="1234">
        <v>12</v>
      </c>
      <c r="O118" s="1234">
        <v>13</v>
      </c>
      <c r="P118" s="1213">
        <v>14</v>
      </c>
      <c r="Q118" s="1213">
        <v>15</v>
      </c>
      <c r="R118" s="1234">
        <v>16</v>
      </c>
      <c r="S118" s="1235">
        <v>17</v>
      </c>
      <c r="T118" s="1235">
        <v>18</v>
      </c>
      <c r="U118" s="1234">
        <v>19</v>
      </c>
      <c r="V118" s="1213">
        <v>20</v>
      </c>
      <c r="W118" s="1213">
        <v>21</v>
      </c>
      <c r="X118" s="1213">
        <v>22</v>
      </c>
      <c r="Y118" s="1234">
        <v>23</v>
      </c>
      <c r="Z118" s="1235">
        <v>24</v>
      </c>
      <c r="AA118" s="1235">
        <v>25</v>
      </c>
      <c r="AB118" s="1234">
        <v>26</v>
      </c>
      <c r="AC118" s="1234">
        <v>27</v>
      </c>
      <c r="AD118" s="1213">
        <v>28</v>
      </c>
      <c r="AE118" s="1213">
        <v>29</v>
      </c>
      <c r="AF118" s="1234">
        <v>30</v>
      </c>
      <c r="AG118" s="1235">
        <v>31</v>
      </c>
      <c r="AH118" s="1301" t="s">
        <v>481</v>
      </c>
      <c r="AI118" s="1302" t="s">
        <v>482</v>
      </c>
    </row>
    <row r="119" spans="1:35" ht="21.95" customHeight="1">
      <c r="A119" s="580"/>
      <c r="B119" s="1299" t="s">
        <v>713</v>
      </c>
      <c r="C119" s="1313" t="s">
        <v>698</v>
      </c>
      <c r="D119" s="1313" t="s">
        <v>698</v>
      </c>
      <c r="E119" s="1313"/>
      <c r="F119" s="1313"/>
      <c r="G119" s="1313" t="s">
        <v>698</v>
      </c>
      <c r="H119" s="1313" t="s">
        <v>698</v>
      </c>
      <c r="I119" s="1313" t="s">
        <v>698</v>
      </c>
      <c r="J119" s="1313" t="s">
        <v>698</v>
      </c>
      <c r="K119" s="1313" t="s">
        <v>698</v>
      </c>
      <c r="L119" s="1313"/>
      <c r="M119" s="1313"/>
      <c r="N119" s="1379" t="s">
        <v>698</v>
      </c>
      <c r="O119" s="1379" t="s">
        <v>698</v>
      </c>
      <c r="P119" s="1379" t="s">
        <v>698</v>
      </c>
      <c r="Q119" s="1379" t="s">
        <v>698</v>
      </c>
      <c r="R119" s="1379" t="s">
        <v>698</v>
      </c>
      <c r="S119" s="1379"/>
      <c r="T119" s="1379"/>
      <c r="U119" s="1379" t="s">
        <v>698</v>
      </c>
      <c r="V119" s="1379" t="s">
        <v>698</v>
      </c>
      <c r="W119" s="1379" t="s">
        <v>698</v>
      </c>
      <c r="X119" s="1379" t="s">
        <v>698</v>
      </c>
      <c r="Y119" s="1379" t="s">
        <v>698</v>
      </c>
      <c r="Z119" s="1379"/>
      <c r="AA119" s="1379"/>
      <c r="AB119" s="1379" t="s">
        <v>698</v>
      </c>
      <c r="AC119" s="1379" t="s">
        <v>698</v>
      </c>
      <c r="AD119" s="1379" t="s">
        <v>698</v>
      </c>
      <c r="AE119" s="1379" t="s">
        <v>698</v>
      </c>
      <c r="AF119" s="1379" t="s">
        <v>698</v>
      </c>
      <c r="AG119" s="1313"/>
      <c r="AH119" s="504">
        <v>74</v>
      </c>
      <c r="AI119" s="505">
        <v>37</v>
      </c>
    </row>
    <row r="120" spans="1:35" ht="21.95" customHeight="1">
      <c r="A120" s="580"/>
      <c r="B120" s="1299" t="s">
        <v>714</v>
      </c>
      <c r="C120" s="1379" t="s">
        <v>698</v>
      </c>
      <c r="D120" s="1379" t="s">
        <v>698</v>
      </c>
      <c r="E120" s="1379"/>
      <c r="F120" s="1379"/>
      <c r="G120" s="1379" t="s">
        <v>698</v>
      </c>
      <c r="H120" s="1379" t="s">
        <v>698</v>
      </c>
      <c r="I120" s="1379" t="s">
        <v>698</v>
      </c>
      <c r="J120" s="1379" t="s">
        <v>698</v>
      </c>
      <c r="K120" s="1379" t="s">
        <v>698</v>
      </c>
      <c r="L120" s="1313"/>
      <c r="M120" s="1313"/>
      <c r="N120" s="1313" t="s">
        <v>698</v>
      </c>
      <c r="O120" s="1313" t="s">
        <v>698</v>
      </c>
      <c r="P120" s="1313" t="s">
        <v>698</v>
      </c>
      <c r="Q120" s="1313" t="s">
        <v>698</v>
      </c>
      <c r="R120" s="1313" t="s">
        <v>698</v>
      </c>
      <c r="S120" s="1313"/>
      <c r="T120" s="1313"/>
      <c r="U120" s="1542" t="s">
        <v>698</v>
      </c>
      <c r="V120" s="1313" t="s">
        <v>698</v>
      </c>
      <c r="W120" s="1313" t="s">
        <v>698</v>
      </c>
      <c r="X120" s="1313" t="s">
        <v>698</v>
      </c>
      <c r="Y120" s="1313" t="s">
        <v>698</v>
      </c>
      <c r="Z120" s="1313"/>
      <c r="AA120" s="1313"/>
      <c r="AB120" s="1313" t="s">
        <v>698</v>
      </c>
      <c r="AC120" s="1313" t="s">
        <v>698</v>
      </c>
      <c r="AD120" s="1313" t="s">
        <v>698</v>
      </c>
      <c r="AE120" s="1313" t="s">
        <v>698</v>
      </c>
      <c r="AF120" s="1313" t="s">
        <v>698</v>
      </c>
      <c r="AG120" s="1313"/>
      <c r="AH120" s="504">
        <v>133</v>
      </c>
      <c r="AI120" s="505">
        <v>29</v>
      </c>
    </row>
    <row r="121" spans="1:35" ht="21.95" customHeight="1">
      <c r="A121" s="580"/>
      <c r="B121" s="1299" t="s">
        <v>715</v>
      </c>
      <c r="C121" s="1313" t="s">
        <v>683</v>
      </c>
      <c r="D121" s="1313" t="s">
        <v>683</v>
      </c>
      <c r="E121" s="1313"/>
      <c r="F121" s="1313"/>
      <c r="G121" s="1313" t="s">
        <v>683</v>
      </c>
      <c r="H121" s="1313" t="s">
        <v>683</v>
      </c>
      <c r="I121" s="1313" t="s">
        <v>683</v>
      </c>
      <c r="J121" s="1313" t="s">
        <v>683</v>
      </c>
      <c r="K121" s="1446" t="s">
        <v>761</v>
      </c>
      <c r="L121" s="1313"/>
      <c r="M121" s="1313"/>
      <c r="N121" s="1313" t="s">
        <v>683</v>
      </c>
      <c r="O121" s="1313" t="s">
        <v>683</v>
      </c>
      <c r="P121" s="1446" t="s">
        <v>683</v>
      </c>
      <c r="Q121" s="1313" t="s">
        <v>683</v>
      </c>
      <c r="R121" s="1313" t="s">
        <v>683</v>
      </c>
      <c r="S121" s="1313"/>
      <c r="T121" s="1313"/>
      <c r="U121" s="1313" t="s">
        <v>683</v>
      </c>
      <c r="V121" s="1313" t="s">
        <v>683</v>
      </c>
      <c r="W121" s="1313" t="s">
        <v>683</v>
      </c>
      <c r="X121" s="1313" t="s">
        <v>683</v>
      </c>
      <c r="Y121" s="1313" t="s">
        <v>683</v>
      </c>
      <c r="Z121" s="1313"/>
      <c r="AA121" s="1313"/>
      <c r="AB121" s="1313" t="s">
        <v>683</v>
      </c>
      <c r="AC121" s="1313" t="s">
        <v>683</v>
      </c>
      <c r="AD121" s="1313" t="s">
        <v>683</v>
      </c>
      <c r="AE121" s="1313" t="s">
        <v>683</v>
      </c>
      <c r="AF121" s="1313" t="s">
        <v>683</v>
      </c>
      <c r="AG121" s="1313"/>
      <c r="AH121" s="504">
        <v>259</v>
      </c>
      <c r="AI121" s="505">
        <v>37</v>
      </c>
    </row>
    <row r="122" spans="1:35" ht="21.95" customHeight="1">
      <c r="A122" s="580"/>
      <c r="B122" s="1299" t="s">
        <v>730</v>
      </c>
      <c r="C122" s="1379" t="s">
        <v>547</v>
      </c>
      <c r="D122" s="1379" t="s">
        <v>547</v>
      </c>
      <c r="E122" s="1379"/>
      <c r="F122" s="1379"/>
      <c r="G122" s="1379" t="s">
        <v>547</v>
      </c>
      <c r="H122" s="1379" t="s">
        <v>547</v>
      </c>
      <c r="I122" s="1379" t="s">
        <v>547</v>
      </c>
      <c r="J122" s="1379" t="s">
        <v>547</v>
      </c>
      <c r="K122" s="1379" t="s">
        <v>547</v>
      </c>
      <c r="L122" s="1379"/>
      <c r="M122" s="1379"/>
      <c r="N122" s="1379" t="s">
        <v>547</v>
      </c>
      <c r="O122" s="1379" t="s">
        <v>547</v>
      </c>
      <c r="P122" s="1379" t="s">
        <v>547</v>
      </c>
      <c r="Q122" s="1379" t="s">
        <v>547</v>
      </c>
      <c r="R122" s="1379" t="s">
        <v>547</v>
      </c>
      <c r="S122" s="1379"/>
      <c r="T122" s="1379"/>
      <c r="U122" s="1313" t="s">
        <v>547</v>
      </c>
      <c r="V122" s="1313" t="s">
        <v>547</v>
      </c>
      <c r="W122" s="1313" t="s">
        <v>547</v>
      </c>
      <c r="X122" s="1313" t="s">
        <v>547</v>
      </c>
      <c r="Y122" s="1313" t="s">
        <v>547</v>
      </c>
      <c r="Z122" s="1313"/>
      <c r="AA122" s="1313"/>
      <c r="AB122" s="1313" t="s">
        <v>547</v>
      </c>
      <c r="AC122" s="1313" t="s">
        <v>547</v>
      </c>
      <c r="AD122" s="1313" t="s">
        <v>547</v>
      </c>
      <c r="AE122" s="1313" t="s">
        <v>547</v>
      </c>
      <c r="AF122" s="1313" t="s">
        <v>547</v>
      </c>
      <c r="AG122" s="1313"/>
      <c r="AH122" s="504">
        <v>95</v>
      </c>
      <c r="AI122" s="505">
        <v>37</v>
      </c>
    </row>
    <row r="123" spans="1:35" ht="21.95" customHeight="1">
      <c r="A123" s="580"/>
      <c r="B123" s="1300" t="s">
        <v>717</v>
      </c>
      <c r="C123" s="1313" t="s">
        <v>685</v>
      </c>
      <c r="D123" s="1313" t="s">
        <v>685</v>
      </c>
      <c r="E123" s="1313"/>
      <c r="F123" s="1313"/>
      <c r="G123" s="1313" t="s">
        <v>685</v>
      </c>
      <c r="H123" s="1313" t="s">
        <v>685</v>
      </c>
      <c r="I123" s="1313" t="s">
        <v>685</v>
      </c>
      <c r="J123" s="1313" t="s">
        <v>685</v>
      </c>
      <c r="K123" s="1313" t="s">
        <v>685</v>
      </c>
      <c r="L123" s="1313"/>
      <c r="M123" s="1313"/>
      <c r="N123" s="1313" t="s">
        <v>685</v>
      </c>
      <c r="O123" s="1313" t="s">
        <v>685</v>
      </c>
      <c r="P123" s="1313" t="s">
        <v>685</v>
      </c>
      <c r="Q123" s="1313" t="s">
        <v>685</v>
      </c>
      <c r="R123" s="1313" t="s">
        <v>685</v>
      </c>
      <c r="S123" s="1313"/>
      <c r="T123" s="1313"/>
      <c r="U123" s="1313" t="s">
        <v>685</v>
      </c>
      <c r="V123" s="1313" t="s">
        <v>685</v>
      </c>
      <c r="W123" s="1383" t="s">
        <v>685</v>
      </c>
      <c r="X123" s="1313" t="s">
        <v>685</v>
      </c>
      <c r="Y123" s="1446" t="s">
        <v>685</v>
      </c>
      <c r="Z123" s="1313"/>
      <c r="AA123" s="1313"/>
      <c r="AB123" s="1446" t="s">
        <v>685</v>
      </c>
      <c r="AC123" s="1446" t="s">
        <v>685</v>
      </c>
      <c r="AD123" s="1446" t="s">
        <v>685</v>
      </c>
      <c r="AE123" s="1446" t="s">
        <v>685</v>
      </c>
      <c r="AF123" s="1446" t="s">
        <v>685</v>
      </c>
      <c r="AG123" s="1313"/>
      <c r="AH123" s="504">
        <v>83</v>
      </c>
      <c r="AI123" s="505">
        <v>37</v>
      </c>
    </row>
    <row r="124" spans="1:35" ht="21.95" customHeight="1">
      <c r="A124" s="580"/>
      <c r="B124" s="1299" t="s">
        <v>718</v>
      </c>
      <c r="C124" s="1446" t="s">
        <v>684</v>
      </c>
      <c r="D124" s="1446" t="s">
        <v>684</v>
      </c>
      <c r="E124" s="1446"/>
      <c r="F124" s="1446"/>
      <c r="G124" s="1446" t="s">
        <v>684</v>
      </c>
      <c r="H124" s="1446" t="s">
        <v>684</v>
      </c>
      <c r="I124" s="1446" t="s">
        <v>684</v>
      </c>
      <c r="J124" s="1446" t="s">
        <v>684</v>
      </c>
      <c r="K124" s="1446" t="s">
        <v>684</v>
      </c>
      <c r="L124" s="1446"/>
      <c r="M124" s="1446"/>
      <c r="N124" s="1446" t="s">
        <v>684</v>
      </c>
      <c r="O124" s="1446" t="s">
        <v>684</v>
      </c>
      <c r="P124" s="1446" t="s">
        <v>684</v>
      </c>
      <c r="Q124" s="1446" t="s">
        <v>684</v>
      </c>
      <c r="R124" s="1446" t="s">
        <v>684</v>
      </c>
      <c r="S124" s="1446"/>
      <c r="T124" s="1446"/>
      <c r="U124" s="1446" t="s">
        <v>684</v>
      </c>
      <c r="V124" s="1446" t="s">
        <v>684</v>
      </c>
      <c r="W124" s="1446" t="s">
        <v>684</v>
      </c>
      <c r="X124" s="1446" t="s">
        <v>684</v>
      </c>
      <c r="Y124" s="1446" t="s">
        <v>684</v>
      </c>
      <c r="Z124" s="1446"/>
      <c r="AA124" s="1446"/>
      <c r="AB124" s="1446" t="s">
        <v>684</v>
      </c>
      <c r="AC124" s="1446" t="s">
        <v>684</v>
      </c>
      <c r="AD124" s="1446" t="s">
        <v>684</v>
      </c>
      <c r="AE124" s="1446" t="s">
        <v>684</v>
      </c>
      <c r="AF124" s="1446" t="s">
        <v>684</v>
      </c>
      <c r="AG124" s="1313"/>
      <c r="AH124" s="504">
        <v>185</v>
      </c>
      <c r="AI124" s="505">
        <v>37</v>
      </c>
    </row>
    <row r="125" spans="1:35" ht="21.95" customHeight="1">
      <c r="A125" s="580"/>
      <c r="B125" s="1300" t="s">
        <v>719</v>
      </c>
      <c r="C125" s="1313" t="s">
        <v>539</v>
      </c>
      <c r="D125" s="1313" t="s">
        <v>539</v>
      </c>
      <c r="E125" s="1313"/>
      <c r="F125" s="1313"/>
      <c r="G125" s="1313" t="s">
        <v>539</v>
      </c>
      <c r="H125" s="1313" t="s">
        <v>539</v>
      </c>
      <c r="I125" s="1313" t="s">
        <v>539</v>
      </c>
      <c r="J125" s="1313" t="s">
        <v>539</v>
      </c>
      <c r="K125" s="1313" t="s">
        <v>539</v>
      </c>
      <c r="L125" s="1313"/>
      <c r="M125" s="1313"/>
      <c r="N125" s="1313" t="s">
        <v>539</v>
      </c>
      <c r="O125" s="1313" t="s">
        <v>539</v>
      </c>
      <c r="P125" s="1313" t="s">
        <v>539</v>
      </c>
      <c r="Q125" s="1313" t="s">
        <v>539</v>
      </c>
      <c r="R125" s="1313" t="s">
        <v>539</v>
      </c>
      <c r="S125" s="1313"/>
      <c r="T125" s="1313"/>
      <c r="U125" s="1379" t="s">
        <v>539</v>
      </c>
      <c r="V125" s="1379" t="s">
        <v>539</v>
      </c>
      <c r="W125" s="1379" t="s">
        <v>539</v>
      </c>
      <c r="X125" s="1379" t="s">
        <v>539</v>
      </c>
      <c r="Y125" s="1379" t="s">
        <v>539</v>
      </c>
      <c r="Z125" s="1379"/>
      <c r="AA125" s="1379"/>
      <c r="AB125" s="1379" t="s">
        <v>539</v>
      </c>
      <c r="AC125" s="1379" t="s">
        <v>539</v>
      </c>
      <c r="AD125" s="1379" t="s">
        <v>539</v>
      </c>
      <c r="AE125" s="1379" t="s">
        <v>539</v>
      </c>
      <c r="AF125" s="1379" t="s">
        <v>539</v>
      </c>
      <c r="AG125" s="1379"/>
      <c r="AH125" s="504">
        <v>111</v>
      </c>
      <c r="AI125" s="505">
        <v>37</v>
      </c>
    </row>
    <row r="126" spans="1:35" ht="21.95" customHeight="1">
      <c r="A126" s="580"/>
      <c r="B126" s="1299" t="s">
        <v>720</v>
      </c>
      <c r="C126" s="1313" t="s">
        <v>540</v>
      </c>
      <c r="D126" s="1313" t="s">
        <v>540</v>
      </c>
      <c r="E126" s="1313"/>
      <c r="F126" s="1313"/>
      <c r="G126" s="1313" t="s">
        <v>540</v>
      </c>
      <c r="H126" s="1313" t="s">
        <v>540</v>
      </c>
      <c r="I126" s="1313" t="s">
        <v>540</v>
      </c>
      <c r="J126" s="1313" t="s">
        <v>540</v>
      </c>
      <c r="K126" s="1313" t="s">
        <v>540</v>
      </c>
      <c r="L126" s="1313"/>
      <c r="M126" s="1313"/>
      <c r="N126" s="1313" t="s">
        <v>540</v>
      </c>
      <c r="O126" s="1313" t="s">
        <v>540</v>
      </c>
      <c r="P126" s="1313" t="s">
        <v>540</v>
      </c>
      <c r="Q126" s="1313" t="s">
        <v>540</v>
      </c>
      <c r="R126" s="1313" t="s">
        <v>540</v>
      </c>
      <c r="S126" s="1313"/>
      <c r="T126" s="1313"/>
      <c r="U126" s="1379" t="s">
        <v>540</v>
      </c>
      <c r="V126" s="1379" t="s">
        <v>540</v>
      </c>
      <c r="W126" s="1379" t="s">
        <v>540</v>
      </c>
      <c r="X126" s="1379" t="s">
        <v>540</v>
      </c>
      <c r="Y126" s="1379" t="s">
        <v>540</v>
      </c>
      <c r="Z126" s="1379"/>
      <c r="AA126" s="1379"/>
      <c r="AB126" s="1379" t="s">
        <v>540</v>
      </c>
      <c r="AC126" s="1379" t="s">
        <v>540</v>
      </c>
      <c r="AD126" s="1379" t="s">
        <v>540</v>
      </c>
      <c r="AE126" s="1379" t="s">
        <v>540</v>
      </c>
      <c r="AF126" s="1379" t="s">
        <v>540</v>
      </c>
      <c r="AG126" s="1379"/>
      <c r="AH126" s="504">
        <v>185</v>
      </c>
      <c r="AI126" s="505">
        <v>37</v>
      </c>
    </row>
    <row r="127" spans="1:35" ht="21.95" customHeight="1">
      <c r="A127" s="580"/>
      <c r="B127" s="1299" t="s">
        <v>721</v>
      </c>
      <c r="C127" s="1313" t="s">
        <v>708</v>
      </c>
      <c r="D127" s="1313" t="s">
        <v>708</v>
      </c>
      <c r="E127" s="1313"/>
      <c r="F127" s="1313"/>
      <c r="G127" s="1313" t="s">
        <v>708</v>
      </c>
      <c r="H127" s="1313" t="s">
        <v>708</v>
      </c>
      <c r="I127" s="1313" t="s">
        <v>708</v>
      </c>
      <c r="J127" s="1446" t="s">
        <v>708</v>
      </c>
      <c r="K127" s="1446" t="s">
        <v>762</v>
      </c>
      <c r="L127" s="1313"/>
      <c r="M127" s="1313"/>
      <c r="N127" s="1313" t="s">
        <v>708</v>
      </c>
      <c r="O127" s="1313" t="s">
        <v>708</v>
      </c>
      <c r="P127" s="1313" t="s">
        <v>708</v>
      </c>
      <c r="Q127" s="1313" t="s">
        <v>708</v>
      </c>
      <c r="R127" s="1313" t="s">
        <v>708</v>
      </c>
      <c r="S127" s="1313"/>
      <c r="T127" s="1313"/>
      <c r="U127" s="1313" t="s">
        <v>708</v>
      </c>
      <c r="V127" s="1313" t="s">
        <v>708</v>
      </c>
      <c r="W127" s="1313" t="s">
        <v>708</v>
      </c>
      <c r="X127" s="1313" t="s">
        <v>708</v>
      </c>
      <c r="Y127" s="1313" t="s">
        <v>708</v>
      </c>
      <c r="Z127" s="1313"/>
      <c r="AA127" s="1313"/>
      <c r="AB127" s="1313" t="s">
        <v>708</v>
      </c>
      <c r="AC127" s="1313" t="s">
        <v>708</v>
      </c>
      <c r="AD127" s="1313" t="s">
        <v>708</v>
      </c>
      <c r="AE127" s="1313" t="s">
        <v>708</v>
      </c>
      <c r="AF127" s="1313" t="s">
        <v>708</v>
      </c>
      <c r="AG127" s="1313"/>
      <c r="AH127" s="504">
        <v>132</v>
      </c>
      <c r="AI127" s="505">
        <v>37</v>
      </c>
    </row>
    <row r="128" spans="1:35" ht="21.95" customHeight="1">
      <c r="A128" s="580"/>
      <c r="B128" s="1299" t="s">
        <v>722</v>
      </c>
      <c r="C128" s="1379" t="s">
        <v>538</v>
      </c>
      <c r="D128" s="1379" t="s">
        <v>538</v>
      </c>
      <c r="E128" s="1379"/>
      <c r="F128" s="1379"/>
      <c r="G128" s="1379" t="s">
        <v>538</v>
      </c>
      <c r="H128" s="1379" t="s">
        <v>538</v>
      </c>
      <c r="I128" s="1379" t="s">
        <v>538</v>
      </c>
      <c r="J128" s="1379" t="s">
        <v>538</v>
      </c>
      <c r="K128" s="1379" t="s">
        <v>538</v>
      </c>
      <c r="L128" s="1379"/>
      <c r="M128" s="1379"/>
      <c r="N128" s="1379" t="s">
        <v>538</v>
      </c>
      <c r="O128" s="1379" t="s">
        <v>538</v>
      </c>
      <c r="P128" s="1379" t="s">
        <v>538</v>
      </c>
      <c r="Q128" s="1379" t="s">
        <v>538</v>
      </c>
      <c r="R128" s="1379" t="s">
        <v>538</v>
      </c>
      <c r="S128" s="1379"/>
      <c r="T128" s="1379"/>
      <c r="U128" s="1313" t="s">
        <v>538</v>
      </c>
      <c r="V128" s="1313" t="s">
        <v>538</v>
      </c>
      <c r="W128" s="1313" t="s">
        <v>538</v>
      </c>
      <c r="X128" s="1313" t="s">
        <v>538</v>
      </c>
      <c r="Y128" s="1313" t="s">
        <v>538</v>
      </c>
      <c r="Z128" s="1313"/>
      <c r="AA128" s="1313"/>
      <c r="AB128" s="1313" t="s">
        <v>538</v>
      </c>
      <c r="AC128" s="1313" t="s">
        <v>538</v>
      </c>
      <c r="AD128" s="1313" t="s">
        <v>538</v>
      </c>
      <c r="AE128" s="1313" t="s">
        <v>538</v>
      </c>
      <c r="AF128" s="1313" t="s">
        <v>538</v>
      </c>
      <c r="AG128" s="1313"/>
      <c r="AH128" s="504">
        <v>96</v>
      </c>
      <c r="AI128" s="505">
        <v>37</v>
      </c>
    </row>
    <row r="129" spans="1:35" ht="21.95" customHeight="1">
      <c r="A129" s="580"/>
      <c r="B129" s="1299" t="s">
        <v>723</v>
      </c>
      <c r="C129" s="1313" t="s">
        <v>711</v>
      </c>
      <c r="D129" s="1313" t="s">
        <v>711</v>
      </c>
      <c r="E129" s="1313"/>
      <c r="F129" s="1313"/>
      <c r="G129" s="1557" t="s">
        <v>711</v>
      </c>
      <c r="H129" s="1313" t="s">
        <v>711</v>
      </c>
      <c r="I129" s="1313" t="s">
        <v>711</v>
      </c>
      <c r="J129" s="1313" t="s">
        <v>711</v>
      </c>
      <c r="K129" s="1313" t="s">
        <v>711</v>
      </c>
      <c r="L129" s="1313"/>
      <c r="M129" s="1313"/>
      <c r="N129" s="1313" t="s">
        <v>711</v>
      </c>
      <c r="O129" s="1313" t="s">
        <v>711</v>
      </c>
      <c r="P129" s="1313" t="s">
        <v>711</v>
      </c>
      <c r="Q129" s="1313" t="s">
        <v>711</v>
      </c>
      <c r="R129" s="1313" t="s">
        <v>711</v>
      </c>
      <c r="S129" s="1313"/>
      <c r="T129" s="1313"/>
      <c r="U129" s="1313" t="s">
        <v>711</v>
      </c>
      <c r="V129" s="1313" t="s">
        <v>711</v>
      </c>
      <c r="W129" s="1313" t="s">
        <v>711</v>
      </c>
      <c r="X129" s="1313" t="s">
        <v>711</v>
      </c>
      <c r="Y129" s="1313" t="s">
        <v>711</v>
      </c>
      <c r="Z129" s="1313"/>
      <c r="AA129" s="1313"/>
      <c r="AB129" s="1313" t="s">
        <v>711</v>
      </c>
      <c r="AC129" s="1313" t="s">
        <v>711</v>
      </c>
      <c r="AD129" s="1313" t="s">
        <v>711</v>
      </c>
      <c r="AE129" s="1313" t="s">
        <v>711</v>
      </c>
      <c r="AF129" s="1313" t="s">
        <v>711</v>
      </c>
      <c r="AG129" s="1313"/>
      <c r="AH129" s="504">
        <v>185</v>
      </c>
      <c r="AI129" s="505">
        <v>37</v>
      </c>
    </row>
    <row r="130" spans="1:35" ht="21.95" customHeight="1">
      <c r="A130" s="580"/>
      <c r="B130" s="1299" t="s">
        <v>724</v>
      </c>
      <c r="C130" s="1313" t="s">
        <v>544</v>
      </c>
      <c r="D130" s="1313" t="s">
        <v>544</v>
      </c>
      <c r="E130" s="1313"/>
      <c r="F130" s="1313"/>
      <c r="G130" s="1313" t="s">
        <v>544</v>
      </c>
      <c r="H130" s="1313" t="s">
        <v>544</v>
      </c>
      <c r="I130" s="1313" t="s">
        <v>544</v>
      </c>
      <c r="J130" s="1313" t="s">
        <v>544</v>
      </c>
      <c r="K130" s="1313" t="s">
        <v>544</v>
      </c>
      <c r="L130" s="1313"/>
      <c r="M130" s="1313"/>
      <c r="N130" s="1313" t="s">
        <v>544</v>
      </c>
      <c r="O130" s="1313" t="s">
        <v>544</v>
      </c>
      <c r="P130" s="1313" t="s">
        <v>544</v>
      </c>
      <c r="Q130" s="1313" t="s">
        <v>544</v>
      </c>
      <c r="R130" s="1313" t="s">
        <v>544</v>
      </c>
      <c r="S130" s="1313"/>
      <c r="T130" s="1313"/>
      <c r="U130" s="1313" t="s">
        <v>544</v>
      </c>
      <c r="V130" s="1313" t="s">
        <v>544</v>
      </c>
      <c r="W130" s="1313" t="s">
        <v>544</v>
      </c>
      <c r="X130" s="1313" t="s">
        <v>544</v>
      </c>
      <c r="Y130" s="1313" t="s">
        <v>544</v>
      </c>
      <c r="Z130" s="1313"/>
      <c r="AA130" s="1313"/>
      <c r="AB130" s="1313" t="s">
        <v>544</v>
      </c>
      <c r="AC130" s="1313" t="s">
        <v>544</v>
      </c>
      <c r="AD130" s="1313" t="s">
        <v>544</v>
      </c>
      <c r="AE130" s="1313" t="s">
        <v>544</v>
      </c>
      <c r="AF130" s="1313" t="s">
        <v>544</v>
      </c>
      <c r="AG130" s="1313"/>
      <c r="AH130" s="504">
        <v>185</v>
      </c>
      <c r="AI130" s="505">
        <v>37</v>
      </c>
    </row>
    <row r="131" spans="1:35" ht="21.95" customHeight="1">
      <c r="A131" s="580"/>
      <c r="B131" s="1502"/>
      <c r="C131" s="559"/>
      <c r="D131" s="559"/>
      <c r="E131" s="559"/>
      <c r="F131" s="559"/>
      <c r="G131" s="559"/>
      <c r="H131" s="559"/>
      <c r="I131" s="559"/>
      <c r="J131" s="559"/>
      <c r="K131" s="559"/>
      <c r="L131" s="559"/>
      <c r="M131" s="559"/>
      <c r="N131" s="559"/>
      <c r="O131" s="559"/>
      <c r="P131" s="559"/>
      <c r="Q131" s="559"/>
      <c r="R131" s="559"/>
      <c r="S131" s="559"/>
      <c r="T131" s="559"/>
      <c r="U131" s="559"/>
      <c r="V131" s="559"/>
      <c r="W131" s="559"/>
      <c r="X131" s="559"/>
      <c r="Y131" s="559"/>
      <c r="Z131" s="559"/>
      <c r="AA131" s="559"/>
      <c r="AB131" s="559"/>
      <c r="AC131" s="559"/>
      <c r="AD131" s="559"/>
      <c r="AE131" s="559"/>
      <c r="AF131" s="559"/>
      <c r="AG131" s="559"/>
      <c r="AH131" s="560"/>
      <c r="AI131" s="560"/>
    </row>
    <row r="132" spans="1:35" ht="21.95" customHeight="1" thickBot="1">
      <c r="A132" s="1303" t="s">
        <v>744</v>
      </c>
      <c r="B132" s="541" t="s">
        <v>763</v>
      </c>
      <c r="C132" s="559"/>
      <c r="D132" s="541"/>
      <c r="E132" s="541"/>
      <c r="F132" s="541"/>
      <c r="G132" s="541"/>
      <c r="H132" s="541"/>
      <c r="I132" s="559"/>
      <c r="J132" s="559"/>
      <c r="K132" s="541"/>
      <c r="L132" s="541"/>
      <c r="M132" s="541"/>
      <c r="N132" s="541"/>
      <c r="O132" s="541"/>
      <c r="P132" s="541"/>
      <c r="Q132" s="559"/>
      <c r="R132" s="541"/>
      <c r="S132" s="541"/>
      <c r="T132" s="541"/>
      <c r="U132" s="541"/>
      <c r="V132" s="541"/>
      <c r="W132" s="559"/>
      <c r="X132" s="559"/>
      <c r="Y132" s="541"/>
      <c r="Z132" s="541"/>
      <c r="AA132" s="541"/>
      <c r="AB132" s="541"/>
      <c r="AC132" s="541"/>
      <c r="AD132" s="541"/>
      <c r="AE132" s="559"/>
      <c r="AF132" s="541"/>
      <c r="AG132" s="541"/>
      <c r="AH132" s="560"/>
      <c r="AI132" s="560"/>
    </row>
    <row r="133" spans="1:35" ht="21.95" customHeight="1">
      <c r="A133" s="580"/>
      <c r="B133" s="1304" t="s">
        <v>696</v>
      </c>
      <c r="C133" s="1312"/>
      <c r="D133" s="1305" t="s">
        <v>2</v>
      </c>
      <c r="E133" s="1306"/>
      <c r="F133" s="1307"/>
      <c r="G133" s="1308"/>
      <c r="H133" s="1305" t="s">
        <v>3</v>
      </c>
      <c r="I133" s="1306"/>
      <c r="J133" s="1307"/>
      <c r="K133" s="1308"/>
      <c r="L133" s="1305" t="s">
        <v>4</v>
      </c>
      <c r="M133" s="1306"/>
      <c r="N133" s="1307"/>
      <c r="O133" s="1308"/>
      <c r="P133" s="1305" t="s">
        <v>5</v>
      </c>
      <c r="Q133" s="1306"/>
      <c r="R133" s="1307"/>
      <c r="S133" s="1308"/>
      <c r="T133" s="1305" t="s">
        <v>6</v>
      </c>
      <c r="U133" s="1306"/>
      <c r="V133" s="1307"/>
      <c r="W133" s="1308"/>
      <c r="X133" s="1305" t="s">
        <v>7</v>
      </c>
      <c r="Y133" s="1306"/>
      <c r="Z133" s="1307"/>
      <c r="AA133" s="1308"/>
      <c r="AB133" s="1305" t="s">
        <v>8</v>
      </c>
      <c r="AC133" s="1306"/>
      <c r="AD133" s="1306"/>
      <c r="AE133" s="1309" t="s">
        <v>10</v>
      </c>
      <c r="AF133" s="1306"/>
      <c r="AG133" s="1306"/>
      <c r="AH133" s="1306"/>
      <c r="AI133" s="1310"/>
    </row>
    <row r="134" spans="1:35" ht="21.95" customHeight="1">
      <c r="A134" s="580"/>
      <c r="B134" s="1332"/>
      <c r="C134" s="1313"/>
      <c r="D134" s="1331"/>
      <c r="E134" s="1314"/>
      <c r="F134" s="1311"/>
      <c r="G134" s="1313"/>
      <c r="H134" s="1331"/>
      <c r="I134" s="1314"/>
      <c r="J134" s="1311"/>
      <c r="K134" s="1313"/>
      <c r="L134" s="1331"/>
      <c r="M134" s="1314"/>
      <c r="N134" s="1311"/>
      <c r="O134" s="1313"/>
      <c r="P134" s="1331"/>
      <c r="Q134" s="1314"/>
      <c r="R134" s="1311"/>
      <c r="S134" s="1313"/>
      <c r="T134" s="1331"/>
      <c r="U134" s="1314"/>
      <c r="V134" s="1311"/>
      <c r="W134" s="1313"/>
      <c r="X134" s="1314"/>
      <c r="Y134" s="1314"/>
      <c r="Z134" s="1311"/>
      <c r="AA134" s="1313"/>
      <c r="AB134" s="1314"/>
      <c r="AC134" s="1314"/>
      <c r="AD134" s="1314"/>
      <c r="AE134" s="1313"/>
      <c r="AF134" s="1314"/>
      <c r="AG134" s="1314"/>
      <c r="AH134" s="1316"/>
      <c r="AI134" s="1317"/>
    </row>
    <row r="135" spans="1:35" ht="21.95" customHeight="1">
      <c r="A135" s="580"/>
      <c r="B135" s="1333"/>
      <c r="C135" s="1313"/>
      <c r="D135" s="1331"/>
      <c r="E135" s="1314"/>
      <c r="F135" s="1311"/>
      <c r="G135" s="1313"/>
      <c r="H135" s="1331"/>
      <c r="I135" s="1314"/>
      <c r="J135" s="1311"/>
      <c r="K135" s="1313"/>
      <c r="L135" s="1331"/>
      <c r="M135" s="1314"/>
      <c r="N135" s="1311"/>
      <c r="O135" s="1313"/>
      <c r="P135" s="1331"/>
      <c r="Q135" s="1314"/>
      <c r="R135" s="1311"/>
      <c r="S135" s="1313"/>
      <c r="T135" s="1331"/>
      <c r="U135" s="1314"/>
      <c r="V135" s="1311"/>
      <c r="W135" s="1313"/>
      <c r="X135" s="1314"/>
      <c r="Y135" s="1314"/>
      <c r="Z135" s="1311"/>
      <c r="AA135" s="1313"/>
      <c r="AB135" s="1314"/>
      <c r="AC135" s="1314"/>
      <c r="AD135" s="1314"/>
      <c r="AE135" s="1313"/>
      <c r="AF135" s="1314"/>
      <c r="AG135" s="1314"/>
      <c r="AH135" s="1316"/>
      <c r="AI135" s="1317"/>
    </row>
    <row r="136" spans="1:35" ht="21.95" customHeight="1">
      <c r="A136" s="580"/>
      <c r="B136" s="1333"/>
      <c r="C136" s="1313"/>
      <c r="D136" s="1331"/>
      <c r="E136" s="1314"/>
      <c r="F136" s="1311"/>
      <c r="G136" s="1313"/>
      <c r="H136" s="1331"/>
      <c r="I136" s="1314"/>
      <c r="J136" s="1311"/>
      <c r="K136" s="1313"/>
      <c r="L136" s="1331"/>
      <c r="M136" s="1314"/>
      <c r="N136" s="1311"/>
      <c r="O136" s="1313"/>
      <c r="P136" s="1331"/>
      <c r="Q136" s="1314"/>
      <c r="R136" s="1311"/>
      <c r="S136" s="1313"/>
      <c r="T136" s="1331"/>
      <c r="U136" s="1314"/>
      <c r="V136" s="1311"/>
      <c r="W136" s="1313"/>
      <c r="X136" s="1314"/>
      <c r="Y136" s="1314"/>
      <c r="Z136" s="1311"/>
      <c r="AA136" s="1313"/>
      <c r="AB136" s="1314"/>
      <c r="AC136" s="1314"/>
      <c r="AD136" s="1314"/>
      <c r="AE136" s="1313"/>
      <c r="AF136" s="1314"/>
      <c r="AG136" s="1314"/>
      <c r="AH136" s="1316"/>
      <c r="AI136" s="1317"/>
    </row>
    <row r="137" spans="1:35" ht="21.95" customHeight="1" thickBot="1">
      <c r="A137" s="580"/>
      <c r="B137" s="1502"/>
      <c r="C137" s="559"/>
      <c r="D137" s="559"/>
      <c r="E137" s="559"/>
      <c r="F137" s="559"/>
      <c r="G137" s="559"/>
      <c r="H137" s="559"/>
      <c r="I137" s="559"/>
      <c r="J137" s="559"/>
      <c r="K137" s="559"/>
      <c r="L137" s="559"/>
      <c r="M137" s="559"/>
      <c r="N137" s="559"/>
      <c r="O137" s="559"/>
      <c r="P137" s="559"/>
      <c r="Q137" s="559"/>
      <c r="R137" s="559"/>
      <c r="S137" s="559"/>
      <c r="T137" s="559"/>
      <c r="U137" s="559"/>
      <c r="V137" s="559"/>
      <c r="W137" s="559"/>
      <c r="X137" s="559"/>
      <c r="Y137" s="559"/>
      <c r="Z137" s="559"/>
      <c r="AA137" s="559"/>
      <c r="AB137" s="559"/>
      <c r="AC137" s="559"/>
      <c r="AD137" s="559"/>
      <c r="AE137" s="559"/>
      <c r="AF137" s="559"/>
      <c r="AG137" s="559"/>
      <c r="AH137" s="560"/>
      <c r="AI137" s="560"/>
    </row>
    <row r="138" spans="1:35" ht="21.95" customHeight="1">
      <c r="A138" s="1232"/>
      <c r="B138" s="1298" t="s">
        <v>480</v>
      </c>
      <c r="C138" s="1234">
        <v>1</v>
      </c>
      <c r="D138" s="1234">
        <v>2</v>
      </c>
      <c r="E138" s="1235">
        <v>3</v>
      </c>
      <c r="F138" s="1235">
        <v>4</v>
      </c>
      <c r="G138" s="1234">
        <v>5</v>
      </c>
      <c r="H138" s="1234">
        <v>6</v>
      </c>
      <c r="I138" s="1213">
        <v>7</v>
      </c>
      <c r="J138" s="1213">
        <v>8</v>
      </c>
      <c r="K138" s="1234">
        <v>9</v>
      </c>
      <c r="L138" s="1235">
        <v>10</v>
      </c>
      <c r="M138" s="1235">
        <v>11</v>
      </c>
      <c r="N138" s="1234">
        <v>12</v>
      </c>
      <c r="O138" s="1234">
        <v>13</v>
      </c>
      <c r="P138" s="1213">
        <v>14</v>
      </c>
      <c r="Q138" s="1213">
        <v>15</v>
      </c>
      <c r="R138" s="1234">
        <v>16</v>
      </c>
      <c r="S138" s="1235">
        <v>17</v>
      </c>
      <c r="T138" s="1235">
        <v>18</v>
      </c>
      <c r="U138" s="1234">
        <v>19</v>
      </c>
      <c r="V138" s="1213">
        <v>20</v>
      </c>
      <c r="W138" s="1213">
        <v>21</v>
      </c>
      <c r="X138" s="1213">
        <v>22</v>
      </c>
      <c r="Y138" s="1234">
        <v>23</v>
      </c>
      <c r="Z138" s="1235">
        <v>24</v>
      </c>
      <c r="AA138" s="1235">
        <v>25</v>
      </c>
      <c r="AB138" s="1234">
        <v>26</v>
      </c>
      <c r="AC138" s="1234">
        <v>27</v>
      </c>
      <c r="AD138" s="1213">
        <v>28</v>
      </c>
      <c r="AE138" s="1213">
        <v>29</v>
      </c>
      <c r="AF138" s="1234">
        <v>30</v>
      </c>
      <c r="AG138" s="1235">
        <v>31</v>
      </c>
      <c r="AH138" s="1301" t="s">
        <v>481</v>
      </c>
      <c r="AI138" s="1302" t="s">
        <v>482</v>
      </c>
    </row>
    <row r="139" spans="1:35" ht="21.95" customHeight="1">
      <c r="A139" s="580"/>
      <c r="B139" s="1300" t="s">
        <v>746</v>
      </c>
      <c r="C139" s="1215" t="s">
        <v>535</v>
      </c>
      <c r="D139" s="1215" t="s">
        <v>535</v>
      </c>
      <c r="E139" s="1215"/>
      <c r="F139" s="1215"/>
      <c r="G139" s="1215" t="s">
        <v>535</v>
      </c>
      <c r="H139" s="1215" t="s">
        <v>535</v>
      </c>
      <c r="I139" s="1215" t="s">
        <v>535</v>
      </c>
      <c r="J139" s="1215" t="s">
        <v>535</v>
      </c>
      <c r="K139" s="1215" t="s">
        <v>535</v>
      </c>
      <c r="L139" s="1215"/>
      <c r="M139" s="1215"/>
      <c r="N139" s="1215" t="s">
        <v>535</v>
      </c>
      <c r="O139" s="1215" t="s">
        <v>535</v>
      </c>
      <c r="P139" s="1215" t="s">
        <v>535</v>
      </c>
      <c r="Q139" s="1215" t="s">
        <v>535</v>
      </c>
      <c r="R139" s="1215" t="s">
        <v>535</v>
      </c>
      <c r="S139" s="1215"/>
      <c r="T139" s="1215"/>
      <c r="U139" s="1561" t="s">
        <v>535</v>
      </c>
      <c r="V139" s="1215" t="s">
        <v>535</v>
      </c>
      <c r="W139" s="1215" t="s">
        <v>535</v>
      </c>
      <c r="X139" s="1215" t="s">
        <v>535</v>
      </c>
      <c r="Y139" s="1215" t="s">
        <v>535</v>
      </c>
      <c r="Z139" s="1215"/>
      <c r="AA139" s="1215"/>
      <c r="AB139" s="1215" t="s">
        <v>535</v>
      </c>
      <c r="AC139" s="1215" t="s">
        <v>535</v>
      </c>
      <c r="AD139" s="1215" t="s">
        <v>535</v>
      </c>
      <c r="AE139" s="1215" t="s">
        <v>535</v>
      </c>
      <c r="AF139" s="1215" t="s">
        <v>535</v>
      </c>
      <c r="AG139" s="1384"/>
      <c r="AH139" s="504">
        <v>104</v>
      </c>
      <c r="AI139" s="505">
        <v>37</v>
      </c>
    </row>
    <row r="140" spans="1:35" ht="21.95" customHeight="1">
      <c r="A140" s="580"/>
      <c r="B140" s="1300" t="s">
        <v>764</v>
      </c>
      <c r="C140" s="1215" t="s">
        <v>535</v>
      </c>
      <c r="D140" s="1215" t="s">
        <v>535</v>
      </c>
      <c r="E140" s="1215"/>
      <c r="F140" s="1215"/>
      <c r="G140" s="1215" t="s">
        <v>535</v>
      </c>
      <c r="H140" s="1215" t="s">
        <v>535</v>
      </c>
      <c r="I140" s="1215" t="s">
        <v>535</v>
      </c>
      <c r="J140" s="1215" t="s">
        <v>535</v>
      </c>
      <c r="K140" s="1215" t="s">
        <v>535</v>
      </c>
      <c r="L140" s="1215"/>
      <c r="M140" s="1215"/>
      <c r="N140" s="1215" t="s">
        <v>535</v>
      </c>
      <c r="O140" s="1215" t="s">
        <v>535</v>
      </c>
      <c r="P140" s="1215" t="s">
        <v>535</v>
      </c>
      <c r="Q140" s="1215" t="s">
        <v>535</v>
      </c>
      <c r="R140" s="1215" t="s">
        <v>535</v>
      </c>
      <c r="S140" s="1215"/>
      <c r="T140" s="1215"/>
      <c r="U140" s="1215" t="s">
        <v>535</v>
      </c>
      <c r="V140" s="1215" t="s">
        <v>535</v>
      </c>
      <c r="W140" s="1215" t="s">
        <v>535</v>
      </c>
      <c r="X140" s="1215" t="s">
        <v>535</v>
      </c>
      <c r="Y140" s="1215" t="s">
        <v>535</v>
      </c>
      <c r="Z140" s="1215"/>
      <c r="AA140" s="1215"/>
      <c r="AB140" s="1374" t="s">
        <v>535</v>
      </c>
      <c r="AC140" s="1374" t="s">
        <v>535</v>
      </c>
      <c r="AD140" s="1374" t="s">
        <v>535</v>
      </c>
      <c r="AE140" s="1374" t="s">
        <v>535</v>
      </c>
      <c r="AF140" s="1374" t="s">
        <v>535</v>
      </c>
      <c r="AG140" s="1593"/>
      <c r="AH140" s="504">
        <v>74</v>
      </c>
      <c r="AI140" s="505">
        <v>37</v>
      </c>
    </row>
    <row r="141" spans="1:35" ht="21.95" customHeight="1">
      <c r="A141" s="580"/>
      <c r="B141" s="1300" t="s">
        <v>748</v>
      </c>
      <c r="C141" s="1215" t="s">
        <v>535</v>
      </c>
      <c r="D141" s="1215" t="s">
        <v>535</v>
      </c>
      <c r="E141" s="1215"/>
      <c r="F141" s="1215"/>
      <c r="G141" s="1338" t="s">
        <v>535</v>
      </c>
      <c r="H141" s="1338" t="s">
        <v>535</v>
      </c>
      <c r="I141" s="1338" t="s">
        <v>535</v>
      </c>
      <c r="J141" s="1338" t="s">
        <v>535</v>
      </c>
      <c r="K141" s="1338" t="s">
        <v>535</v>
      </c>
      <c r="L141" s="1338"/>
      <c r="M141" s="1338"/>
      <c r="N141" s="1338" t="s">
        <v>535</v>
      </c>
      <c r="O141" s="1338" t="s">
        <v>535</v>
      </c>
      <c r="P141" s="1338" t="s">
        <v>535</v>
      </c>
      <c r="Q141" s="1338" t="s">
        <v>535</v>
      </c>
      <c r="R141" s="1338" t="s">
        <v>535</v>
      </c>
      <c r="S141" s="1338"/>
      <c r="T141" s="1338"/>
      <c r="U141" s="1338" t="s">
        <v>535</v>
      </c>
      <c r="V141" s="1338" t="s">
        <v>535</v>
      </c>
      <c r="W141" s="1338" t="s">
        <v>535</v>
      </c>
      <c r="X141" s="1338" t="s">
        <v>535</v>
      </c>
      <c r="Y141" s="1338" t="s">
        <v>535</v>
      </c>
      <c r="Z141" s="1338"/>
      <c r="AA141" s="1338"/>
      <c r="AB141" s="1215" t="s">
        <v>535</v>
      </c>
      <c r="AC141" s="1215" t="s">
        <v>535</v>
      </c>
      <c r="AD141" s="1215" t="s">
        <v>535</v>
      </c>
      <c r="AE141" s="1215" t="s">
        <v>535</v>
      </c>
      <c r="AF141" s="1215" t="s">
        <v>535</v>
      </c>
      <c r="AG141" s="1384"/>
      <c r="AH141" s="504">
        <v>59</v>
      </c>
      <c r="AI141" s="505">
        <v>37</v>
      </c>
    </row>
    <row r="142" spans="1:35" ht="21.95" customHeight="1">
      <c r="A142" s="580"/>
      <c r="B142" s="1509" t="s">
        <v>750</v>
      </c>
      <c r="C142" s="1215" t="s">
        <v>535</v>
      </c>
      <c r="D142" s="1215" t="s">
        <v>535</v>
      </c>
      <c r="E142" s="1215"/>
      <c r="F142" s="1215"/>
      <c r="G142" s="1215" t="s">
        <v>535</v>
      </c>
      <c r="H142" s="1215" t="s">
        <v>535</v>
      </c>
      <c r="I142" s="1215" t="s">
        <v>535</v>
      </c>
      <c r="J142" s="1215" t="s">
        <v>535</v>
      </c>
      <c r="K142" s="1215" t="s">
        <v>535</v>
      </c>
      <c r="L142" s="1215"/>
      <c r="M142" s="1215"/>
      <c r="N142" s="1215" t="s">
        <v>535</v>
      </c>
      <c r="O142" s="1215" t="s">
        <v>535</v>
      </c>
      <c r="P142" s="1215" t="s">
        <v>535</v>
      </c>
      <c r="Q142" s="1215" t="s">
        <v>535</v>
      </c>
      <c r="R142" s="1215" t="s">
        <v>535</v>
      </c>
      <c r="S142" s="1215"/>
      <c r="T142" s="1215"/>
      <c r="U142" s="1215" t="s">
        <v>535</v>
      </c>
      <c r="V142" s="1215" t="s">
        <v>535</v>
      </c>
      <c r="W142" s="1215" t="s">
        <v>535</v>
      </c>
      <c r="X142" s="1215" t="s">
        <v>535</v>
      </c>
      <c r="Y142" s="1215" t="s">
        <v>535</v>
      </c>
      <c r="Z142" s="1215"/>
      <c r="AA142" s="1215"/>
      <c r="AB142" s="1215" t="s">
        <v>535</v>
      </c>
      <c r="AC142" s="1215" t="s">
        <v>535</v>
      </c>
      <c r="AD142" s="1215" t="s">
        <v>535</v>
      </c>
      <c r="AE142" s="1215" t="s">
        <v>535</v>
      </c>
      <c r="AF142" s="1215" t="s">
        <v>535</v>
      </c>
      <c r="AG142" s="1384"/>
      <c r="AH142" s="504">
        <v>74</v>
      </c>
      <c r="AI142" s="505">
        <v>37</v>
      </c>
    </row>
    <row r="143" spans="1:35" ht="21.95" customHeight="1">
      <c r="A143" s="580"/>
      <c r="B143" s="1300"/>
      <c r="C143" s="1215" t="s">
        <v>535</v>
      </c>
      <c r="D143" s="1215" t="s">
        <v>535</v>
      </c>
      <c r="E143" s="1215"/>
      <c r="F143" s="1215"/>
      <c r="G143" s="1215" t="s">
        <v>535</v>
      </c>
      <c r="H143" s="1215" t="s">
        <v>535</v>
      </c>
      <c r="I143" s="1215" t="s">
        <v>535</v>
      </c>
      <c r="J143" s="1215" t="s">
        <v>535</v>
      </c>
      <c r="K143" s="1215" t="s">
        <v>535</v>
      </c>
      <c r="L143" s="1215"/>
      <c r="M143" s="1215"/>
      <c r="N143" s="1215" t="s">
        <v>535</v>
      </c>
      <c r="O143" s="1215" t="s">
        <v>535</v>
      </c>
      <c r="P143" s="1215" t="s">
        <v>535</v>
      </c>
      <c r="Q143" s="1215" t="s">
        <v>535</v>
      </c>
      <c r="R143" s="1215" t="s">
        <v>535</v>
      </c>
      <c r="S143" s="1215"/>
      <c r="T143" s="1215"/>
      <c r="U143" s="1215" t="s">
        <v>535</v>
      </c>
      <c r="V143" s="1215" t="s">
        <v>535</v>
      </c>
      <c r="W143" s="1215" t="s">
        <v>535</v>
      </c>
      <c r="X143" s="1215" t="s">
        <v>535</v>
      </c>
      <c r="Y143" s="1215" t="s">
        <v>535</v>
      </c>
      <c r="Z143" s="1215"/>
      <c r="AA143" s="1215"/>
      <c r="AB143" s="1215" t="s">
        <v>535</v>
      </c>
      <c r="AC143" s="1215" t="s">
        <v>535</v>
      </c>
      <c r="AD143" s="1215" t="s">
        <v>535</v>
      </c>
      <c r="AE143" s="1215" t="s">
        <v>535</v>
      </c>
      <c r="AF143" s="1215" t="s">
        <v>535</v>
      </c>
      <c r="AG143" s="1384"/>
      <c r="AH143" s="504">
        <v>185</v>
      </c>
      <c r="AI143" s="505">
        <v>37</v>
      </c>
    </row>
    <row r="144" spans="1:35" ht="21.95" customHeight="1">
      <c r="A144" s="580"/>
      <c r="B144" s="1299"/>
      <c r="C144" s="1215" t="s">
        <v>535</v>
      </c>
      <c r="D144" s="1215" t="s">
        <v>535</v>
      </c>
      <c r="E144" s="1215"/>
      <c r="F144" s="1215"/>
      <c r="G144" s="1215" t="s">
        <v>535</v>
      </c>
      <c r="H144" s="1215" t="s">
        <v>535</v>
      </c>
      <c r="I144" s="1215" t="s">
        <v>535</v>
      </c>
      <c r="J144" s="1215" t="s">
        <v>535</v>
      </c>
      <c r="K144" s="1215" t="s">
        <v>535</v>
      </c>
      <c r="L144" s="1215"/>
      <c r="M144" s="1215"/>
      <c r="N144" s="1215" t="s">
        <v>535</v>
      </c>
      <c r="O144" s="1215" t="s">
        <v>535</v>
      </c>
      <c r="P144" s="1215" t="s">
        <v>535</v>
      </c>
      <c r="Q144" s="1215" t="s">
        <v>535</v>
      </c>
      <c r="R144" s="1215" t="s">
        <v>535</v>
      </c>
      <c r="S144" s="1215"/>
      <c r="T144" s="1215"/>
      <c r="U144" s="1215" t="s">
        <v>535</v>
      </c>
      <c r="V144" s="1215" t="s">
        <v>535</v>
      </c>
      <c r="W144" s="1215" t="s">
        <v>535</v>
      </c>
      <c r="X144" s="1215" t="s">
        <v>535</v>
      </c>
      <c r="Y144" s="1215" t="s">
        <v>535</v>
      </c>
      <c r="Z144" s="1215"/>
      <c r="AA144" s="1215"/>
      <c r="AB144" s="1215" t="s">
        <v>535</v>
      </c>
      <c r="AC144" s="1215" t="s">
        <v>535</v>
      </c>
      <c r="AD144" s="1215" t="s">
        <v>535</v>
      </c>
      <c r="AE144" s="1215" t="s">
        <v>535</v>
      </c>
      <c r="AF144" s="1215" t="s">
        <v>535</v>
      </c>
      <c r="AG144" s="1384"/>
      <c r="AH144" s="504">
        <v>185</v>
      </c>
      <c r="AI144" s="505">
        <v>37</v>
      </c>
    </row>
    <row r="145" spans="1:36" ht="21.95" customHeight="1">
      <c r="A145" s="580"/>
      <c r="B145" s="1502"/>
      <c r="C145" s="559"/>
      <c r="D145" s="559"/>
      <c r="E145" s="559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59"/>
      <c r="AE145" s="559"/>
      <c r="AF145" s="559"/>
      <c r="AG145" s="559"/>
      <c r="AH145" s="560"/>
      <c r="AI145" s="560"/>
    </row>
    <row r="146" spans="1:36" ht="21.95" customHeight="1" thickBot="1">
      <c r="A146" s="1303" t="s">
        <v>751</v>
      </c>
      <c r="B146" s="541"/>
      <c r="C146" s="559"/>
      <c r="D146" s="541"/>
      <c r="E146" s="541"/>
      <c r="F146" s="541"/>
      <c r="G146" s="541"/>
      <c r="H146" s="541"/>
      <c r="I146" s="559"/>
      <c r="J146" s="559"/>
      <c r="K146" s="541"/>
      <c r="L146" s="541"/>
      <c r="M146" s="541"/>
      <c r="N146" s="541"/>
      <c r="O146" s="541"/>
      <c r="P146" s="541"/>
      <c r="Q146" s="559"/>
      <c r="R146" s="541"/>
      <c r="S146" s="541"/>
      <c r="T146" s="541"/>
      <c r="U146" s="541"/>
      <c r="V146" s="541"/>
      <c r="W146" s="559"/>
      <c r="X146" s="559"/>
      <c r="Y146" s="541"/>
      <c r="Z146" s="541"/>
      <c r="AA146" s="541"/>
      <c r="AB146" s="541"/>
      <c r="AC146" s="541"/>
      <c r="AD146" s="541"/>
      <c r="AE146" s="559"/>
      <c r="AF146" s="541"/>
      <c r="AG146" s="541"/>
      <c r="AH146" s="560"/>
      <c r="AI146" s="560"/>
    </row>
    <row r="147" spans="1:36" ht="21.95" customHeight="1">
      <c r="A147" s="580"/>
      <c r="B147" s="1304" t="s">
        <v>696</v>
      </c>
      <c r="C147" s="1312"/>
      <c r="D147" s="1305" t="s">
        <v>2</v>
      </c>
      <c r="E147" s="1306"/>
      <c r="F147" s="1307"/>
      <c r="G147" s="1308"/>
      <c r="H147" s="1305" t="s">
        <v>3</v>
      </c>
      <c r="I147" s="1306"/>
      <c r="J147" s="1307"/>
      <c r="K147" s="1308"/>
      <c r="L147" s="1305" t="s">
        <v>4</v>
      </c>
      <c r="M147" s="1306"/>
      <c r="N147" s="1307"/>
      <c r="O147" s="1308"/>
      <c r="P147" s="1305" t="s">
        <v>5</v>
      </c>
      <c r="Q147" s="1306"/>
      <c r="R147" s="1307"/>
      <c r="S147" s="1308"/>
      <c r="T147" s="1305" t="s">
        <v>6</v>
      </c>
      <c r="U147" s="1306"/>
      <c r="V147" s="1307"/>
      <c r="W147" s="1308"/>
      <c r="X147" s="1305" t="s">
        <v>7</v>
      </c>
      <c r="Y147" s="1306"/>
      <c r="Z147" s="1307"/>
      <c r="AA147" s="1308"/>
      <c r="AB147" s="1305" t="s">
        <v>8</v>
      </c>
      <c r="AC147" s="1306"/>
      <c r="AD147" s="1306"/>
      <c r="AE147" s="1309" t="s">
        <v>10</v>
      </c>
      <c r="AF147" s="1306"/>
      <c r="AG147" s="1306"/>
      <c r="AH147" s="1306"/>
      <c r="AI147" s="1310"/>
    </row>
    <row r="148" spans="1:36" ht="21.95" customHeight="1">
      <c r="A148" s="580"/>
      <c r="B148" s="1332"/>
      <c r="C148" s="1313"/>
      <c r="D148" s="1331"/>
      <c r="E148" s="1314"/>
      <c r="F148" s="1311"/>
      <c r="G148" s="1313"/>
      <c r="H148" s="1331"/>
      <c r="I148" s="1314"/>
      <c r="J148" s="1311"/>
      <c r="K148" s="1313"/>
      <c r="L148" s="1331"/>
      <c r="M148" s="1314"/>
      <c r="N148" s="1311"/>
      <c r="O148" s="1313"/>
      <c r="P148" s="1331"/>
      <c r="Q148" s="1314"/>
      <c r="R148" s="1311"/>
      <c r="S148" s="1313"/>
      <c r="T148" s="1331"/>
      <c r="U148" s="1314"/>
      <c r="V148" s="1311"/>
      <c r="W148" s="1313"/>
      <c r="X148" s="1314"/>
      <c r="Y148" s="1314"/>
      <c r="Z148" s="1311"/>
      <c r="AA148" s="1313"/>
      <c r="AB148" s="1314"/>
      <c r="AC148" s="1314"/>
      <c r="AD148" s="1314"/>
      <c r="AE148" s="1313"/>
      <c r="AF148" s="1314"/>
      <c r="AG148" s="1314"/>
      <c r="AH148" s="1316"/>
      <c r="AI148" s="1317"/>
    </row>
    <row r="149" spans="1:36" ht="21.95" customHeight="1">
      <c r="A149" s="580"/>
      <c r="B149" s="1333"/>
      <c r="C149" s="1313"/>
      <c r="D149" s="1331"/>
      <c r="E149" s="1314"/>
      <c r="F149" s="1311"/>
      <c r="G149" s="1313"/>
      <c r="H149" s="1331"/>
      <c r="I149" s="1314"/>
      <c r="J149" s="1311"/>
      <c r="K149" s="1313"/>
      <c r="L149" s="1331"/>
      <c r="M149" s="1314"/>
      <c r="N149" s="1311"/>
      <c r="O149" s="1313"/>
      <c r="P149" s="1331"/>
      <c r="Q149" s="1314"/>
      <c r="R149" s="1311"/>
      <c r="S149" s="1313"/>
      <c r="T149" s="1331"/>
      <c r="U149" s="1314"/>
      <c r="V149" s="1311"/>
      <c r="W149" s="1313"/>
      <c r="X149" s="1314"/>
      <c r="Y149" s="1314"/>
      <c r="Z149" s="1311"/>
      <c r="AA149" s="1313"/>
      <c r="AB149" s="1314"/>
      <c r="AC149" s="1314"/>
      <c r="AD149" s="1314"/>
      <c r="AE149" s="1313"/>
      <c r="AF149" s="1314"/>
      <c r="AG149" s="1314"/>
      <c r="AH149" s="1316"/>
      <c r="AI149" s="1317"/>
    </row>
    <row r="150" spans="1:36" ht="21.95" customHeight="1">
      <c r="A150" s="580"/>
      <c r="B150" s="1333"/>
      <c r="C150" s="1313"/>
      <c r="D150" s="1331"/>
      <c r="E150" s="1314"/>
      <c r="F150" s="1311"/>
      <c r="G150" s="1313"/>
      <c r="H150" s="1331"/>
      <c r="I150" s="1314"/>
      <c r="J150" s="1311"/>
      <c r="K150" s="1313"/>
      <c r="L150" s="1331"/>
      <c r="M150" s="1314"/>
      <c r="N150" s="1311"/>
      <c r="O150" s="1313"/>
      <c r="P150" s="1331"/>
      <c r="Q150" s="1314"/>
      <c r="R150" s="1311"/>
      <c r="S150" s="1313"/>
      <c r="T150" s="1331"/>
      <c r="U150" s="1314"/>
      <c r="V150" s="1311"/>
      <c r="W150" s="1313"/>
      <c r="X150" s="1314"/>
      <c r="Y150" s="1314"/>
      <c r="Z150" s="1311"/>
      <c r="AA150" s="1313"/>
      <c r="AB150" s="1314"/>
      <c r="AC150" s="1314"/>
      <c r="AD150" s="1314"/>
      <c r="AE150" s="1313"/>
      <c r="AF150" s="1314"/>
      <c r="AG150" s="1314"/>
      <c r="AH150" s="1316"/>
      <c r="AI150" s="1317"/>
    </row>
    <row r="151" spans="1:36" ht="21.95" customHeight="1" thickBot="1">
      <c r="A151" s="580"/>
      <c r="B151" s="1502"/>
      <c r="C151" s="559"/>
      <c r="D151" s="559"/>
      <c r="E151" s="559"/>
      <c r="F151" s="559"/>
      <c r="G151" s="559"/>
      <c r="H151" s="559"/>
      <c r="I151" s="559"/>
      <c r="J151" s="559"/>
      <c r="K151" s="559"/>
      <c r="L151" s="559"/>
      <c r="M151" s="559"/>
      <c r="N151" s="559"/>
      <c r="O151" s="559"/>
      <c r="P151" s="559"/>
      <c r="Q151" s="559"/>
      <c r="R151" s="559"/>
      <c r="S151" s="559"/>
      <c r="T151" s="559"/>
      <c r="U151" s="559"/>
      <c r="V151" s="559"/>
      <c r="W151" s="559"/>
      <c r="X151" s="559"/>
      <c r="Y151" s="559"/>
      <c r="Z151" s="559"/>
      <c r="AA151" s="559"/>
      <c r="AB151" s="559"/>
      <c r="AC151" s="559"/>
      <c r="AD151" s="559"/>
      <c r="AE151" s="559"/>
      <c r="AF151" s="559"/>
      <c r="AG151" s="559"/>
      <c r="AH151" s="560"/>
      <c r="AI151" s="560"/>
    </row>
    <row r="152" spans="1:36" ht="21.95" customHeight="1">
      <c r="A152" s="1232"/>
      <c r="B152" s="1298" t="s">
        <v>480</v>
      </c>
      <c r="C152" s="1234">
        <v>1</v>
      </c>
      <c r="D152" s="1234">
        <v>2</v>
      </c>
      <c r="E152" s="1235">
        <v>3</v>
      </c>
      <c r="F152" s="1235">
        <v>4</v>
      </c>
      <c r="G152" s="1234">
        <v>5</v>
      </c>
      <c r="H152" s="1234">
        <v>6</v>
      </c>
      <c r="I152" s="1213">
        <v>7</v>
      </c>
      <c r="J152" s="1213">
        <v>8</v>
      </c>
      <c r="K152" s="1234">
        <v>9</v>
      </c>
      <c r="L152" s="1235">
        <v>10</v>
      </c>
      <c r="M152" s="1235">
        <v>11</v>
      </c>
      <c r="N152" s="1234">
        <v>12</v>
      </c>
      <c r="O152" s="1234">
        <v>13</v>
      </c>
      <c r="P152" s="1213">
        <v>14</v>
      </c>
      <c r="Q152" s="1213">
        <v>15</v>
      </c>
      <c r="R152" s="1234">
        <v>16</v>
      </c>
      <c r="S152" s="1235">
        <v>17</v>
      </c>
      <c r="T152" s="1235">
        <v>18</v>
      </c>
      <c r="U152" s="1234">
        <v>19</v>
      </c>
      <c r="V152" s="1213">
        <v>20</v>
      </c>
      <c r="W152" s="1213">
        <v>21</v>
      </c>
      <c r="X152" s="1213">
        <v>22</v>
      </c>
      <c r="Y152" s="1234">
        <v>23</v>
      </c>
      <c r="Z152" s="1235">
        <v>24</v>
      </c>
      <c r="AA152" s="1235">
        <v>25</v>
      </c>
      <c r="AB152" s="1234">
        <v>26</v>
      </c>
      <c r="AC152" s="1234">
        <v>27</v>
      </c>
      <c r="AD152" s="1213">
        <v>28</v>
      </c>
      <c r="AE152" s="1213">
        <v>29</v>
      </c>
      <c r="AF152" s="1234">
        <v>30</v>
      </c>
      <c r="AG152" s="1235">
        <v>31</v>
      </c>
      <c r="AH152" s="1301" t="s">
        <v>481</v>
      </c>
      <c r="AI152" s="1302" t="s">
        <v>482</v>
      </c>
    </row>
    <row r="153" spans="1:36" ht="21.95" customHeight="1">
      <c r="A153" s="580"/>
      <c r="B153" s="1319" t="s">
        <v>752</v>
      </c>
      <c r="C153" s="1215" t="s">
        <v>535</v>
      </c>
      <c r="D153" s="1215" t="s">
        <v>535</v>
      </c>
      <c r="E153" s="1215"/>
      <c r="F153" s="1215"/>
      <c r="G153" s="1215" t="s">
        <v>535</v>
      </c>
      <c r="H153" s="1215" t="s">
        <v>535</v>
      </c>
      <c r="I153" s="1215" t="s">
        <v>535</v>
      </c>
      <c r="J153" s="1215" t="s">
        <v>535</v>
      </c>
      <c r="K153" s="1215" t="s">
        <v>535</v>
      </c>
      <c r="L153" s="1215"/>
      <c r="M153" s="1215"/>
      <c r="N153" s="1215" t="s">
        <v>535</v>
      </c>
      <c r="O153" s="1215" t="s">
        <v>535</v>
      </c>
      <c r="P153" s="1215" t="s">
        <v>535</v>
      </c>
      <c r="Q153" s="1215" t="s">
        <v>535</v>
      </c>
      <c r="R153" s="1215" t="s">
        <v>535</v>
      </c>
      <c r="S153" s="1215"/>
      <c r="T153" s="1215"/>
      <c r="U153" s="1338" t="s">
        <v>535</v>
      </c>
      <c r="V153" s="1338" t="s">
        <v>535</v>
      </c>
      <c r="W153" s="1338" t="s">
        <v>535</v>
      </c>
      <c r="X153" s="1338" t="s">
        <v>535</v>
      </c>
      <c r="Y153" s="1338" t="s">
        <v>535</v>
      </c>
      <c r="Z153" s="1338"/>
      <c r="AA153" s="1338"/>
      <c r="AB153" s="1338" t="s">
        <v>535</v>
      </c>
      <c r="AC153" s="1338" t="s">
        <v>535</v>
      </c>
      <c r="AD153" s="1338" t="s">
        <v>535</v>
      </c>
      <c r="AE153" s="1338" t="s">
        <v>535</v>
      </c>
      <c r="AF153" s="1338" t="s">
        <v>535</v>
      </c>
      <c r="AG153" s="1379"/>
      <c r="AH153" s="504">
        <v>111</v>
      </c>
      <c r="AI153" s="505">
        <v>37</v>
      </c>
    </row>
    <row r="154" spans="1:36" ht="21.95" customHeight="1">
      <c r="A154" s="580"/>
      <c r="B154" s="1319" t="s">
        <v>753</v>
      </c>
      <c r="C154" s="1392" t="s">
        <v>535</v>
      </c>
      <c r="D154" s="1392" t="s">
        <v>570</v>
      </c>
      <c r="E154" s="1215"/>
      <c r="F154" s="1215"/>
      <c r="G154" s="1215" t="s">
        <v>535</v>
      </c>
      <c r="H154" s="1215" t="s">
        <v>535</v>
      </c>
      <c r="I154" s="1215" t="s">
        <v>535</v>
      </c>
      <c r="J154" s="1215" t="s">
        <v>535</v>
      </c>
      <c r="K154" s="1215" t="s">
        <v>535</v>
      </c>
      <c r="L154" s="1215"/>
      <c r="M154" s="1215"/>
      <c r="N154" s="1215" t="s">
        <v>535</v>
      </c>
      <c r="O154" s="1338" t="s">
        <v>535</v>
      </c>
      <c r="P154" s="1392" t="s">
        <v>749</v>
      </c>
      <c r="Q154" s="1338" t="s">
        <v>535</v>
      </c>
      <c r="R154" s="1392" t="s">
        <v>535</v>
      </c>
      <c r="S154" s="1392"/>
      <c r="T154" s="1392"/>
      <c r="U154" s="1392" t="s">
        <v>535</v>
      </c>
      <c r="V154" s="1392" t="s">
        <v>535</v>
      </c>
      <c r="W154" s="1392" t="s">
        <v>570</v>
      </c>
      <c r="X154" s="1215" t="s">
        <v>535</v>
      </c>
      <c r="Y154" s="1215" t="s">
        <v>535</v>
      </c>
      <c r="Z154" s="1215"/>
      <c r="AA154" s="1215"/>
      <c r="AB154" s="1215" t="s">
        <v>535</v>
      </c>
      <c r="AC154" s="1215" t="s">
        <v>535</v>
      </c>
      <c r="AD154" s="1215" t="s">
        <v>535</v>
      </c>
      <c r="AE154" s="1215" t="s">
        <v>535</v>
      </c>
      <c r="AF154" s="1215" t="s">
        <v>535</v>
      </c>
      <c r="AG154" s="1384"/>
      <c r="AH154" s="504">
        <v>13</v>
      </c>
      <c r="AI154" s="505">
        <v>0</v>
      </c>
    </row>
    <row r="155" spans="1:36" ht="21.95" customHeight="1">
      <c r="A155" s="580"/>
      <c r="B155" s="1510" t="s">
        <v>754</v>
      </c>
      <c r="C155" s="1338" t="s">
        <v>535</v>
      </c>
      <c r="D155" s="1338" t="s">
        <v>535</v>
      </c>
      <c r="E155" s="1338"/>
      <c r="F155" s="1338"/>
      <c r="G155" s="1338" t="s">
        <v>535</v>
      </c>
      <c r="H155" s="1338" t="s">
        <v>535</v>
      </c>
      <c r="I155" s="1338" t="s">
        <v>535</v>
      </c>
      <c r="J155" s="1338" t="s">
        <v>535</v>
      </c>
      <c r="K155" s="1338" t="s">
        <v>535</v>
      </c>
      <c r="L155" s="1338"/>
      <c r="M155" s="1338"/>
      <c r="N155" s="1338" t="s">
        <v>535</v>
      </c>
      <c r="O155" s="1338" t="s">
        <v>535</v>
      </c>
      <c r="P155" s="1338" t="s">
        <v>535</v>
      </c>
      <c r="Q155" s="1338" t="s">
        <v>535</v>
      </c>
      <c r="R155" s="1338" t="s">
        <v>535</v>
      </c>
      <c r="S155" s="1338"/>
      <c r="T155" s="1338"/>
      <c r="U155" s="1215" t="s">
        <v>535</v>
      </c>
      <c r="V155" s="1215" t="s">
        <v>535</v>
      </c>
      <c r="W155" s="1215" t="s">
        <v>535</v>
      </c>
      <c r="X155" s="1215" t="s">
        <v>535</v>
      </c>
      <c r="Y155" s="1215" t="s">
        <v>535</v>
      </c>
      <c r="Z155" s="1215"/>
      <c r="AA155" s="1215"/>
      <c r="AB155" s="1215" t="s">
        <v>535</v>
      </c>
      <c r="AC155" s="1215" t="s">
        <v>535</v>
      </c>
      <c r="AD155" s="1215" t="s">
        <v>535</v>
      </c>
      <c r="AE155" s="1215" t="s">
        <v>535</v>
      </c>
      <c r="AF155" s="1215" t="s">
        <v>535</v>
      </c>
      <c r="AG155" s="1384"/>
      <c r="AH155" s="504">
        <v>53</v>
      </c>
      <c r="AI155" s="505">
        <v>37</v>
      </c>
    </row>
    <row r="156" spans="1:36" ht="21.95" customHeight="1">
      <c r="A156" s="580"/>
      <c r="B156" s="1299" t="s">
        <v>755</v>
      </c>
      <c r="C156" s="1215" t="s">
        <v>535</v>
      </c>
      <c r="D156" s="1215" t="s">
        <v>535</v>
      </c>
      <c r="E156" s="1215"/>
      <c r="F156" s="1215"/>
      <c r="G156" s="1215" t="s">
        <v>535</v>
      </c>
      <c r="H156" s="1215" t="s">
        <v>535</v>
      </c>
      <c r="I156" s="1215" t="s">
        <v>535</v>
      </c>
      <c r="J156" s="1215" t="s">
        <v>535</v>
      </c>
      <c r="K156" s="1215" t="s">
        <v>535</v>
      </c>
      <c r="L156" s="1215"/>
      <c r="M156" s="1215"/>
      <c r="N156" s="1215" t="s">
        <v>535</v>
      </c>
      <c r="O156" s="1215" t="s">
        <v>535</v>
      </c>
      <c r="P156" s="1215" t="s">
        <v>535</v>
      </c>
      <c r="Q156" s="1215" t="s">
        <v>535</v>
      </c>
      <c r="R156" s="1215" t="s">
        <v>535</v>
      </c>
      <c r="S156" s="1215"/>
      <c r="T156" s="1215"/>
      <c r="U156" s="1215" t="s">
        <v>535</v>
      </c>
      <c r="V156" s="1215" t="s">
        <v>535</v>
      </c>
      <c r="W156" s="1215" t="s">
        <v>535</v>
      </c>
      <c r="X156" s="1215" t="s">
        <v>535</v>
      </c>
      <c r="Y156" s="1215" t="s">
        <v>535</v>
      </c>
      <c r="Z156" s="1215"/>
      <c r="AA156" s="1215"/>
      <c r="AB156" s="1338" t="s">
        <v>535</v>
      </c>
      <c r="AC156" s="1338" t="s">
        <v>535</v>
      </c>
      <c r="AD156" s="1338" t="s">
        <v>535</v>
      </c>
      <c r="AE156" s="1338" t="s">
        <v>535</v>
      </c>
      <c r="AF156" s="1338" t="s">
        <v>535</v>
      </c>
      <c r="AG156" s="1379"/>
      <c r="AH156" s="504">
        <v>148</v>
      </c>
      <c r="AI156" s="505">
        <v>37</v>
      </c>
    </row>
    <row r="157" spans="1:36" ht="21.95" customHeight="1">
      <c r="A157" s="580"/>
      <c r="B157" s="1300" t="s">
        <v>756</v>
      </c>
      <c r="C157" s="1215" t="s">
        <v>535</v>
      </c>
      <c r="D157" s="1215" t="s">
        <v>535</v>
      </c>
      <c r="E157" s="1215"/>
      <c r="F157" s="1215"/>
      <c r="G157" s="1338" t="s">
        <v>535</v>
      </c>
      <c r="H157" s="1215" t="s">
        <v>535</v>
      </c>
      <c r="I157" s="1215" t="s">
        <v>535</v>
      </c>
      <c r="J157" s="1215" t="s">
        <v>535</v>
      </c>
      <c r="K157" s="1215" t="s">
        <v>535</v>
      </c>
      <c r="L157" s="1215"/>
      <c r="M157" s="1215"/>
      <c r="N157" s="1215" t="s">
        <v>535</v>
      </c>
      <c r="O157" s="1215" t="s">
        <v>535</v>
      </c>
      <c r="P157" s="1215" t="s">
        <v>535</v>
      </c>
      <c r="Q157" s="1215" t="s">
        <v>535</v>
      </c>
      <c r="R157" s="1215" t="s">
        <v>535</v>
      </c>
      <c r="S157" s="1215"/>
      <c r="T157" s="1215"/>
      <c r="U157" s="1215" t="s">
        <v>535</v>
      </c>
      <c r="V157" s="1215" t="s">
        <v>535</v>
      </c>
      <c r="W157" s="1215" t="s">
        <v>535</v>
      </c>
      <c r="X157" s="1215" t="s">
        <v>535</v>
      </c>
      <c r="Y157" s="1215" t="s">
        <v>535</v>
      </c>
      <c r="Z157" s="1215"/>
      <c r="AA157" s="1215"/>
      <c r="AB157" s="1215" t="s">
        <v>535</v>
      </c>
      <c r="AC157" s="1215" t="s">
        <v>535</v>
      </c>
      <c r="AD157" s="1215" t="s">
        <v>535</v>
      </c>
      <c r="AE157" s="1215" t="s">
        <v>535</v>
      </c>
      <c r="AF157" s="1215" t="s">
        <v>535</v>
      </c>
      <c r="AG157" s="1384"/>
      <c r="AH157" s="504">
        <v>45</v>
      </c>
      <c r="AI157" s="505">
        <v>37</v>
      </c>
    </row>
    <row r="158" spans="1:36" ht="21.95" customHeight="1">
      <c r="A158" s="580"/>
      <c r="B158" s="1299"/>
      <c r="C158" s="1215"/>
      <c r="D158" s="1215"/>
      <c r="E158" s="1215"/>
      <c r="F158" s="1215"/>
      <c r="G158" s="1215"/>
      <c r="H158" s="1215"/>
      <c r="I158" s="1215"/>
      <c r="J158" s="1215"/>
      <c r="K158" s="1215"/>
      <c r="L158" s="1215"/>
      <c r="M158" s="1215"/>
      <c r="N158" s="1215"/>
      <c r="O158" s="1215"/>
      <c r="P158" s="1215"/>
      <c r="Q158" s="1215"/>
      <c r="R158" s="1215"/>
      <c r="S158" s="1215"/>
      <c r="T158" s="1215"/>
      <c r="U158" s="1215"/>
      <c r="V158" s="1215"/>
      <c r="W158" s="1215"/>
      <c r="X158" s="1215"/>
      <c r="Y158" s="1215"/>
      <c r="Z158" s="1215"/>
      <c r="AA158" s="1215"/>
      <c r="AB158" s="1215"/>
      <c r="AC158" s="1215"/>
      <c r="AD158" s="1215"/>
      <c r="AE158" s="1215"/>
      <c r="AF158" s="1215"/>
      <c r="AG158" s="1384"/>
      <c r="AH158" s="504"/>
      <c r="AI158" s="505"/>
    </row>
    <row r="159" spans="1:36" ht="21.95" customHeight="1">
      <c r="A159" s="580"/>
      <c r="B159" s="1502"/>
      <c r="C159" s="559"/>
      <c r="D159" s="559"/>
      <c r="E159" s="559"/>
      <c r="F159" s="559"/>
      <c r="G159" s="559"/>
      <c r="H159" s="559"/>
      <c r="I159" s="559"/>
      <c r="J159" s="559"/>
      <c r="K159" s="559"/>
      <c r="L159" s="559"/>
      <c r="M159" s="559"/>
      <c r="N159" s="559"/>
      <c r="O159" s="559"/>
      <c r="P159" s="559"/>
      <c r="Q159" s="559"/>
      <c r="R159" s="559"/>
      <c r="S159" s="559"/>
      <c r="T159" s="559"/>
      <c r="U159" s="559"/>
      <c r="V159" s="559"/>
      <c r="W159" s="559"/>
      <c r="X159" s="559"/>
      <c r="Y159" s="559"/>
      <c r="Z159" s="559"/>
      <c r="AA159" s="559"/>
      <c r="AB159" s="559"/>
      <c r="AC159" s="559"/>
      <c r="AD159" s="559"/>
      <c r="AE159" s="559"/>
      <c r="AF159" s="559"/>
      <c r="AG159" s="559"/>
      <c r="AH159" s="560"/>
      <c r="AI159" s="560"/>
    </row>
    <row r="160" spans="1:36" ht="21.95" customHeight="1">
      <c r="A160" s="312" t="s">
        <v>527</v>
      </c>
      <c r="C160" s="559"/>
      <c r="D160" s="559"/>
      <c r="E160" s="559"/>
      <c r="F160" s="559"/>
      <c r="G160" s="559"/>
      <c r="H160" s="559"/>
      <c r="I160" s="559"/>
      <c r="J160" s="559"/>
      <c r="K160" s="559"/>
      <c r="L160" s="559"/>
      <c r="M160" s="559"/>
      <c r="N160" s="559"/>
      <c r="O160" s="559"/>
      <c r="P160" s="559"/>
      <c r="Q160" s="559"/>
      <c r="R160" s="559"/>
      <c r="S160" s="559"/>
      <c r="T160" s="559"/>
      <c r="U160" s="559"/>
      <c r="V160" s="559"/>
      <c r="W160" s="559"/>
      <c r="X160" s="559"/>
      <c r="Y160" s="559"/>
      <c r="Z160" s="559"/>
      <c r="AA160" s="559"/>
      <c r="AB160" s="559"/>
      <c r="AC160" s="559"/>
      <c r="AD160" s="559"/>
      <c r="AE160" s="559"/>
      <c r="AF160" s="559"/>
      <c r="AG160" s="559"/>
      <c r="AH160" s="560"/>
      <c r="AI160" s="560"/>
      <c r="AJ160" s="361"/>
    </row>
    <row r="161" spans="1:36" ht="21.95" customHeight="1">
      <c r="A161" s="299" t="s">
        <v>528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9" t="s">
        <v>10</v>
      </c>
      <c r="Y161" s="186"/>
      <c r="Z161" s="186"/>
      <c r="AA161" s="565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529</v>
      </c>
      <c r="C162" s="588" t="s">
        <v>124</v>
      </c>
      <c r="D162" s="585"/>
      <c r="E162" s="590"/>
      <c r="F162" s="588" t="s">
        <v>124</v>
      </c>
      <c r="G162" s="591"/>
      <c r="H162" s="590"/>
      <c r="I162" s="121" t="s">
        <v>124</v>
      </c>
      <c r="J162" s="569"/>
      <c r="K162" s="592"/>
      <c r="L162" s="121" t="s">
        <v>124</v>
      </c>
      <c r="M162" s="569"/>
      <c r="N162" s="592"/>
      <c r="O162" s="121" t="s">
        <v>125</v>
      </c>
      <c r="P162" s="569"/>
      <c r="Q162" s="477"/>
      <c r="R162" s="593" t="s">
        <v>28</v>
      </c>
      <c r="S162" s="569"/>
      <c r="T162" s="592"/>
      <c r="U162" s="569" t="s">
        <v>28</v>
      </c>
      <c r="V162" s="569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4"/>
      <c r="AH162" s="361"/>
      <c r="AI162" s="361"/>
      <c r="AJ162" s="361"/>
    </row>
    <row r="163" spans="1:36" ht="21.95" customHeight="1">
      <c r="A163" s="595">
        <v>8502</v>
      </c>
      <c r="B163" s="596" t="s">
        <v>530</v>
      </c>
      <c r="C163" s="121" t="s">
        <v>11</v>
      </c>
      <c r="D163" s="569"/>
      <c r="E163" s="477"/>
      <c r="F163" s="121" t="s">
        <v>11</v>
      </c>
      <c r="G163" s="569"/>
      <c r="H163" s="592"/>
      <c r="I163" s="121" t="s">
        <v>11</v>
      </c>
      <c r="J163" s="569"/>
      <c r="K163" s="592"/>
      <c r="L163" s="121" t="s">
        <v>11</v>
      </c>
      <c r="M163" s="569"/>
      <c r="N163" s="592"/>
      <c r="O163" s="121" t="s">
        <v>12</v>
      </c>
      <c r="P163" s="569"/>
      <c r="Q163" s="477"/>
      <c r="R163" s="597"/>
      <c r="S163" s="598"/>
      <c r="T163" s="592"/>
      <c r="U163" s="569"/>
      <c r="V163" s="569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9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9"/>
      <c r="B165" s="182" t="s">
        <v>480</v>
      </c>
      <c r="C165" s="1234">
        <v>1</v>
      </c>
      <c r="D165" s="1234">
        <v>2</v>
      </c>
      <c r="E165" s="1235">
        <v>3</v>
      </c>
      <c r="F165" s="1235">
        <v>4</v>
      </c>
      <c r="G165" s="1234">
        <v>5</v>
      </c>
      <c r="H165" s="1234">
        <v>6</v>
      </c>
      <c r="I165" s="1213">
        <v>7</v>
      </c>
      <c r="J165" s="1213">
        <v>8</v>
      </c>
      <c r="K165" s="1234">
        <v>9</v>
      </c>
      <c r="L165" s="1235">
        <v>10</v>
      </c>
      <c r="M165" s="1235">
        <v>11</v>
      </c>
      <c r="N165" s="1234">
        <v>12</v>
      </c>
      <c r="O165" s="1234">
        <v>13</v>
      </c>
      <c r="P165" s="1213">
        <v>14</v>
      </c>
      <c r="Q165" s="1213">
        <v>15</v>
      </c>
      <c r="R165" s="1234">
        <v>16</v>
      </c>
      <c r="S165" s="1235">
        <v>17</v>
      </c>
      <c r="T165" s="1235">
        <v>18</v>
      </c>
      <c r="U165" s="1234">
        <v>19</v>
      </c>
      <c r="V165" s="1213">
        <v>20</v>
      </c>
      <c r="W165" s="1213">
        <v>21</v>
      </c>
      <c r="X165" s="1213">
        <v>22</v>
      </c>
      <c r="Y165" s="1234">
        <v>23</v>
      </c>
      <c r="Z165" s="1235">
        <v>24</v>
      </c>
      <c r="AA165" s="1235">
        <v>25</v>
      </c>
      <c r="AB165" s="1234">
        <v>26</v>
      </c>
      <c r="AC165" s="1234">
        <v>27</v>
      </c>
      <c r="AD165" s="1213">
        <v>28</v>
      </c>
      <c r="AE165" s="1213">
        <v>29</v>
      </c>
      <c r="AF165" s="1234">
        <v>30</v>
      </c>
      <c r="AG165" s="1235">
        <v>31</v>
      </c>
      <c r="AH165" s="600" t="s">
        <v>481</v>
      </c>
      <c r="AI165" s="601" t="s">
        <v>482</v>
      </c>
    </row>
    <row r="166" spans="1:36" ht="21.95" customHeight="1">
      <c r="A166" s="602">
        <v>1</v>
      </c>
      <c r="B166" s="153" t="s">
        <v>531</v>
      </c>
      <c r="C166" s="1392"/>
      <c r="D166" s="1392"/>
      <c r="E166" s="1392"/>
      <c r="F166" s="1392"/>
      <c r="G166" s="1392"/>
      <c r="H166" s="1392"/>
      <c r="I166" s="1392"/>
      <c r="J166" s="1392"/>
      <c r="K166" s="1392" t="s">
        <v>570</v>
      </c>
      <c r="L166" s="1344"/>
      <c r="M166" s="1344"/>
      <c r="N166" s="1335"/>
      <c r="O166" s="1335"/>
      <c r="P166" s="1335"/>
      <c r="Q166" s="1335"/>
      <c r="R166" s="1335"/>
      <c r="S166" s="1344"/>
      <c r="T166" s="1344"/>
      <c r="U166" s="1338" t="s">
        <v>514</v>
      </c>
      <c r="V166" s="1338" t="s">
        <v>514</v>
      </c>
      <c r="W166" s="1338" t="s">
        <v>514</v>
      </c>
      <c r="X166" s="1338" t="s">
        <v>514</v>
      </c>
      <c r="Y166" s="1338" t="s">
        <v>514</v>
      </c>
      <c r="Z166" s="1338"/>
      <c r="AA166" s="1338"/>
      <c r="AB166" s="1338" t="s">
        <v>514</v>
      </c>
      <c r="AC166" s="1338" t="s">
        <v>514</v>
      </c>
      <c r="AD166" s="1338" t="s">
        <v>514</v>
      </c>
      <c r="AE166" s="1338" t="s">
        <v>514</v>
      </c>
      <c r="AF166" s="1338" t="s">
        <v>514</v>
      </c>
      <c r="AG166" s="1543"/>
      <c r="AH166" s="1320">
        <v>111</v>
      </c>
      <c r="AI166" s="1321">
        <v>37</v>
      </c>
    </row>
    <row r="167" spans="1:36" ht="21.95" customHeight="1">
      <c r="A167" s="602">
        <v>2</v>
      </c>
      <c r="B167" s="153" t="s">
        <v>534</v>
      </c>
      <c r="C167" s="1215">
        <v>3</v>
      </c>
      <c r="D167" s="1215">
        <v>3</v>
      </c>
      <c r="E167" s="1215">
        <v>3</v>
      </c>
      <c r="F167" s="1215"/>
      <c r="G167" s="1215">
        <v>4</v>
      </c>
      <c r="H167" s="1215">
        <v>4</v>
      </c>
      <c r="I167" s="1215" t="s">
        <v>487</v>
      </c>
      <c r="J167" s="1215" t="s">
        <v>487</v>
      </c>
      <c r="K167" s="1215">
        <v>1</v>
      </c>
      <c r="L167" s="1215" t="s">
        <v>660</v>
      </c>
      <c r="M167" s="1215" t="s">
        <v>660</v>
      </c>
      <c r="N167" s="1215" t="s">
        <v>487</v>
      </c>
      <c r="O167" s="1215">
        <v>1</v>
      </c>
      <c r="P167" s="1215">
        <v>1</v>
      </c>
      <c r="Q167" s="1215">
        <v>1</v>
      </c>
      <c r="R167" s="1215">
        <v>1</v>
      </c>
      <c r="S167" s="1215">
        <v>1</v>
      </c>
      <c r="T167" s="1215"/>
      <c r="U167" s="1215" t="s">
        <v>485</v>
      </c>
      <c r="V167" s="1215">
        <v>3</v>
      </c>
      <c r="W167" s="1215">
        <v>3</v>
      </c>
      <c r="X167" s="1215">
        <v>3</v>
      </c>
      <c r="Y167" s="1215">
        <v>3</v>
      </c>
      <c r="Z167" s="1215">
        <v>3</v>
      </c>
      <c r="AA167" s="1215"/>
      <c r="AB167" s="1215" t="s">
        <v>487</v>
      </c>
      <c r="AC167" s="1215">
        <v>3</v>
      </c>
      <c r="AD167" s="1215">
        <v>3</v>
      </c>
      <c r="AE167" s="1215" t="s">
        <v>539</v>
      </c>
      <c r="AF167" s="1215">
        <v>3</v>
      </c>
      <c r="AG167" s="1215"/>
      <c r="AH167" s="1322">
        <v>117</v>
      </c>
      <c r="AI167" s="1323">
        <v>37</v>
      </c>
    </row>
    <row r="168" spans="1:36" ht="21.95" customHeight="1">
      <c r="A168" s="602">
        <v>3</v>
      </c>
      <c r="B168" s="153" t="s">
        <v>536</v>
      </c>
      <c r="C168" s="1215" t="s">
        <v>487</v>
      </c>
      <c r="D168" s="1215" t="s">
        <v>487</v>
      </c>
      <c r="E168" s="1215"/>
      <c r="F168" s="1215"/>
      <c r="G168" s="1215">
        <v>1</v>
      </c>
      <c r="H168" s="1558">
        <v>1</v>
      </c>
      <c r="I168" s="1215">
        <v>1</v>
      </c>
      <c r="J168" s="1215">
        <v>1</v>
      </c>
      <c r="K168" s="1369">
        <v>1</v>
      </c>
      <c r="L168" s="1215"/>
      <c r="M168" s="1215"/>
      <c r="N168" s="1215">
        <v>9</v>
      </c>
      <c r="O168" s="1215">
        <v>9</v>
      </c>
      <c r="P168" s="1215">
        <v>9</v>
      </c>
      <c r="Q168" s="1215">
        <v>9</v>
      </c>
      <c r="R168" s="1215">
        <v>9</v>
      </c>
      <c r="S168" s="1215" t="s">
        <v>555</v>
      </c>
      <c r="T168" s="1215" t="s">
        <v>555</v>
      </c>
      <c r="U168" s="1215" t="s">
        <v>487</v>
      </c>
      <c r="V168" s="1215" t="s">
        <v>487</v>
      </c>
      <c r="W168" s="1215" t="s">
        <v>487</v>
      </c>
      <c r="X168" s="1215" t="s">
        <v>487</v>
      </c>
      <c r="Y168" s="1215" t="s">
        <v>487</v>
      </c>
      <c r="Z168" s="1215"/>
      <c r="AA168" s="1215"/>
      <c r="AB168" s="1215">
        <v>6</v>
      </c>
      <c r="AC168" s="1215">
        <v>6</v>
      </c>
      <c r="AD168" s="1215">
        <v>6</v>
      </c>
      <c r="AE168" s="1335">
        <v>6</v>
      </c>
      <c r="AF168" s="1215">
        <v>6</v>
      </c>
      <c r="AG168" s="1215" t="s">
        <v>532</v>
      </c>
      <c r="AH168" s="1322">
        <v>117</v>
      </c>
      <c r="AI168" s="1323">
        <v>37</v>
      </c>
    </row>
    <row r="169" spans="1:36" ht="21.95" customHeight="1">
      <c r="A169" s="602">
        <v>4</v>
      </c>
      <c r="B169" s="1241" t="s">
        <v>542</v>
      </c>
      <c r="C169" s="1215">
        <v>10</v>
      </c>
      <c r="D169" s="1215">
        <v>10</v>
      </c>
      <c r="E169" s="1215" t="s">
        <v>555</v>
      </c>
      <c r="F169" s="1215" t="s">
        <v>555</v>
      </c>
      <c r="G169" s="1215" t="s">
        <v>487</v>
      </c>
      <c r="H169" s="1215" t="s">
        <v>487</v>
      </c>
      <c r="I169" s="1215" t="s">
        <v>487</v>
      </c>
      <c r="J169" s="1215" t="s">
        <v>487</v>
      </c>
      <c r="K169" s="1215" t="s">
        <v>487</v>
      </c>
      <c r="L169" s="1215" t="s">
        <v>487</v>
      </c>
      <c r="M169" s="1215" t="s">
        <v>487</v>
      </c>
      <c r="N169" s="1215">
        <v>7</v>
      </c>
      <c r="O169" s="1215">
        <v>7</v>
      </c>
      <c r="P169" s="1215">
        <v>7</v>
      </c>
      <c r="Q169" s="1215">
        <v>7</v>
      </c>
      <c r="R169" s="1215">
        <v>7</v>
      </c>
      <c r="S169" s="1215"/>
      <c r="T169" s="1215" t="s">
        <v>660</v>
      </c>
      <c r="U169" s="1338" t="s">
        <v>535</v>
      </c>
      <c r="V169" s="1338" t="s">
        <v>535</v>
      </c>
      <c r="W169" s="1338" t="s">
        <v>535</v>
      </c>
      <c r="X169" s="1338" t="s">
        <v>535</v>
      </c>
      <c r="Y169" s="1338" t="s">
        <v>535</v>
      </c>
      <c r="Z169" s="1338"/>
      <c r="AA169" s="1338"/>
      <c r="AB169" s="1338" t="s">
        <v>535</v>
      </c>
      <c r="AC169" s="1338" t="s">
        <v>535</v>
      </c>
      <c r="AD169" s="1338" t="s">
        <v>535</v>
      </c>
      <c r="AE169" s="1338" t="s">
        <v>535</v>
      </c>
      <c r="AF169" s="1338" t="s">
        <v>535</v>
      </c>
      <c r="AG169" s="1338"/>
      <c r="AH169" s="1322">
        <v>0</v>
      </c>
      <c r="AI169" s="1323">
        <v>15</v>
      </c>
    </row>
    <row r="170" spans="1:36" ht="21.95" customHeight="1">
      <c r="A170" s="602">
        <v>5</v>
      </c>
      <c r="B170" s="319" t="s">
        <v>545</v>
      </c>
      <c r="C170" s="1215" t="s">
        <v>487</v>
      </c>
      <c r="D170" s="1215" t="s">
        <v>487</v>
      </c>
      <c r="E170" s="1215"/>
      <c r="F170" s="1215"/>
      <c r="G170" s="1392" t="s">
        <v>485</v>
      </c>
      <c r="H170" s="1392" t="s">
        <v>484</v>
      </c>
      <c r="I170" s="1392" t="s">
        <v>484</v>
      </c>
      <c r="J170" s="1392" t="s">
        <v>485</v>
      </c>
      <c r="K170" s="1392" t="s">
        <v>765</v>
      </c>
      <c r="L170" s="1215"/>
      <c r="M170" s="1215"/>
      <c r="N170" s="1215" t="s">
        <v>484</v>
      </c>
      <c r="O170" s="1215" t="s">
        <v>484</v>
      </c>
      <c r="P170" s="1215" t="s">
        <v>484</v>
      </c>
      <c r="Q170" s="1215" t="s">
        <v>485</v>
      </c>
      <c r="R170" s="1215" t="s">
        <v>485</v>
      </c>
      <c r="S170" s="1215" t="s">
        <v>486</v>
      </c>
      <c r="T170" s="1215" t="s">
        <v>486</v>
      </c>
      <c r="U170" s="1215" t="s">
        <v>487</v>
      </c>
      <c r="V170" s="1215" t="s">
        <v>487</v>
      </c>
      <c r="W170" s="1215" t="s">
        <v>487</v>
      </c>
      <c r="X170" s="1215" t="s">
        <v>487</v>
      </c>
      <c r="Y170" s="1215">
        <v>6</v>
      </c>
      <c r="Z170" s="1215"/>
      <c r="AA170" s="1215"/>
      <c r="AB170" s="1215" t="s">
        <v>484</v>
      </c>
      <c r="AC170" s="1215" t="s">
        <v>484</v>
      </c>
      <c r="AD170" s="1215" t="s">
        <v>484</v>
      </c>
      <c r="AE170" s="1215" t="s">
        <v>485</v>
      </c>
      <c r="AF170" s="1215" t="s">
        <v>485</v>
      </c>
      <c r="AG170" s="1215"/>
      <c r="AH170" s="1324">
        <v>0</v>
      </c>
      <c r="AI170" s="1325">
        <v>13</v>
      </c>
    </row>
    <row r="171" spans="1:36" ht="21.95" customHeight="1">
      <c r="A171" s="602">
        <v>6</v>
      </c>
      <c r="B171" s="153" t="s">
        <v>546</v>
      </c>
      <c r="C171" s="1215">
        <v>6</v>
      </c>
      <c r="D171" s="1215">
        <v>6</v>
      </c>
      <c r="E171" s="1215" t="s">
        <v>532</v>
      </c>
      <c r="F171" s="1215" t="s">
        <v>533</v>
      </c>
      <c r="G171" s="1444" t="s">
        <v>487</v>
      </c>
      <c r="H171" s="1215" t="s">
        <v>487</v>
      </c>
      <c r="I171" s="1444" t="s">
        <v>487</v>
      </c>
      <c r="J171" s="1444" t="s">
        <v>487</v>
      </c>
      <c r="K171" s="1444" t="s">
        <v>487</v>
      </c>
      <c r="L171" s="1215" t="s">
        <v>555</v>
      </c>
      <c r="M171" s="1215" t="s">
        <v>543</v>
      </c>
      <c r="N171" s="1215" t="s">
        <v>485</v>
      </c>
      <c r="O171" s="1215" t="s">
        <v>485</v>
      </c>
      <c r="P171" s="1215" t="s">
        <v>485</v>
      </c>
      <c r="Q171" s="1215" t="s">
        <v>484</v>
      </c>
      <c r="R171" s="1215" t="s">
        <v>484</v>
      </c>
      <c r="S171" s="1215"/>
      <c r="T171" s="1215"/>
      <c r="U171" s="1215" t="s">
        <v>540</v>
      </c>
      <c r="V171" s="1215" t="s">
        <v>540</v>
      </c>
      <c r="W171" s="1215" t="s">
        <v>540</v>
      </c>
      <c r="X171" s="1215" t="s">
        <v>540</v>
      </c>
      <c r="Y171" s="1215" t="s">
        <v>540</v>
      </c>
      <c r="Z171" s="1215"/>
      <c r="AA171" s="1215"/>
      <c r="AB171" s="1444" t="s">
        <v>539</v>
      </c>
      <c r="AC171" s="1444" t="s">
        <v>539</v>
      </c>
      <c r="AD171" s="1215" t="s">
        <v>539</v>
      </c>
      <c r="AE171" s="1215" t="s">
        <v>540</v>
      </c>
      <c r="AF171" s="1215" t="s">
        <v>539</v>
      </c>
      <c r="AG171" s="1215"/>
      <c r="AH171" s="1326">
        <v>0</v>
      </c>
      <c r="AI171" s="1327">
        <v>0</v>
      </c>
    </row>
    <row r="172" spans="1:36" ht="21.95" customHeight="1">
      <c r="A172" s="602">
        <v>7</v>
      </c>
      <c r="B172" s="319"/>
      <c r="C172" s="1215"/>
      <c r="D172" s="1215"/>
      <c r="E172" s="1215"/>
      <c r="F172" s="1215"/>
      <c r="G172" s="1215"/>
      <c r="H172" s="1215"/>
      <c r="I172" s="1215"/>
      <c r="J172" s="1215"/>
      <c r="K172" s="1215"/>
      <c r="L172" s="1215"/>
      <c r="M172" s="1215"/>
      <c r="N172" s="1215"/>
      <c r="O172" s="1215"/>
      <c r="P172" s="1215"/>
      <c r="Q172" s="1215"/>
      <c r="R172" s="1215"/>
      <c r="S172" s="1215"/>
      <c r="T172" s="1215"/>
      <c r="U172" s="1215"/>
      <c r="V172" s="1215"/>
      <c r="W172" s="1215"/>
      <c r="X172" s="1215"/>
      <c r="Y172" s="1215"/>
      <c r="Z172" s="1215"/>
      <c r="AA172" s="1215"/>
      <c r="AB172" s="1215"/>
      <c r="AC172" s="1215"/>
      <c r="AD172" s="1215"/>
      <c r="AE172" s="1215"/>
      <c r="AF172" s="1215"/>
      <c r="AG172" s="1215"/>
      <c r="AH172" s="1326"/>
      <c r="AI172" s="1327"/>
    </row>
    <row r="173" spans="1:36" ht="21.95" customHeight="1">
      <c r="A173" s="602">
        <v>8</v>
      </c>
      <c r="B173" s="902"/>
      <c r="C173" s="1215"/>
      <c r="D173" s="1215"/>
      <c r="E173" s="1215"/>
      <c r="F173" s="1215"/>
      <c r="G173" s="1215"/>
      <c r="H173" s="1215"/>
      <c r="I173" s="1215"/>
      <c r="J173" s="1215"/>
      <c r="K173" s="1215"/>
      <c r="L173" s="1215"/>
      <c r="M173" s="1215"/>
      <c r="N173" s="1215"/>
      <c r="O173" s="1215"/>
      <c r="P173" s="1215"/>
      <c r="Q173" s="1215"/>
      <c r="R173" s="1215"/>
      <c r="S173" s="1215"/>
      <c r="T173" s="1215"/>
      <c r="U173" s="1215"/>
      <c r="V173" s="1215"/>
      <c r="W173" s="1215"/>
      <c r="X173" s="1215"/>
      <c r="Y173" s="1215"/>
      <c r="Z173" s="1215"/>
      <c r="AA173" s="1215"/>
      <c r="AB173" s="1215"/>
      <c r="AC173" s="1215"/>
      <c r="AD173" s="1215"/>
      <c r="AE173" s="1215"/>
      <c r="AF173" s="1215"/>
      <c r="AG173" s="1215"/>
      <c r="AH173" s="1326"/>
      <c r="AI173" s="1327"/>
    </row>
    <row r="174" spans="1:36" ht="21.95" customHeight="1">
      <c r="A174" s="602">
        <v>9</v>
      </c>
      <c r="B174" s="153"/>
      <c r="C174" s="1215"/>
      <c r="D174" s="1215"/>
      <c r="E174" s="1215"/>
      <c r="F174" s="1215"/>
      <c r="G174" s="1215"/>
      <c r="H174" s="1215"/>
      <c r="I174" s="1215"/>
      <c r="J174" s="1215"/>
      <c r="K174" s="1215"/>
      <c r="L174" s="1215"/>
      <c r="M174" s="1215"/>
      <c r="N174" s="1215"/>
      <c r="O174" s="1215"/>
      <c r="P174" s="1215"/>
      <c r="Q174" s="1215"/>
      <c r="R174" s="1215"/>
      <c r="S174" s="1215"/>
      <c r="T174" s="1215"/>
      <c r="U174" s="1215"/>
      <c r="V174" s="1215"/>
      <c r="W174" s="1215"/>
      <c r="X174" s="1215"/>
      <c r="Y174" s="1215"/>
      <c r="Z174" s="1215"/>
      <c r="AA174" s="1215"/>
      <c r="AB174" s="1215"/>
      <c r="AC174" s="1215"/>
      <c r="AD174" s="1215"/>
      <c r="AE174" s="1215"/>
      <c r="AF174" s="1215"/>
      <c r="AG174" s="1215"/>
      <c r="AH174" s="1326"/>
      <c r="AI174" s="1327"/>
    </row>
    <row r="175" spans="1:36" ht="21.95" customHeight="1">
      <c r="A175" s="602">
        <v>10</v>
      </c>
      <c r="B175" s="153"/>
      <c r="C175" s="1213"/>
      <c r="D175" s="1213"/>
      <c r="E175" s="1213"/>
      <c r="F175" s="1213"/>
      <c r="G175" s="1213"/>
      <c r="H175" s="1213"/>
      <c r="I175" s="1213"/>
      <c r="J175" s="1213"/>
      <c r="K175" s="1213"/>
      <c r="L175" s="1213"/>
      <c r="M175" s="1213"/>
      <c r="N175" s="1213"/>
      <c r="O175" s="1213"/>
      <c r="P175" s="1213"/>
      <c r="Q175" s="1213"/>
      <c r="R175" s="1213"/>
      <c r="S175" s="1213"/>
      <c r="T175" s="1213"/>
      <c r="U175" s="1213"/>
      <c r="V175" s="1213"/>
      <c r="W175" s="1215"/>
      <c r="X175" s="1213"/>
      <c r="Y175" s="1213"/>
      <c r="Z175" s="1213"/>
      <c r="AA175" s="1213"/>
      <c r="AB175" s="1213"/>
      <c r="AC175" s="1213"/>
      <c r="AD175" s="1213"/>
      <c r="AE175" s="1213"/>
      <c r="AF175" s="1213"/>
      <c r="AG175" s="1230"/>
      <c r="AH175" s="1326"/>
      <c r="AI175" s="1327"/>
    </row>
    <row r="176" spans="1:36" ht="21.95" customHeight="1">
      <c r="A176" s="602">
        <v>11</v>
      </c>
      <c r="B176" s="153"/>
      <c r="C176" s="1213"/>
      <c r="D176" s="1213"/>
      <c r="E176" s="1213"/>
      <c r="F176" s="1213"/>
      <c r="G176" s="1213"/>
      <c r="H176" s="1213"/>
      <c r="I176" s="1213"/>
      <c r="J176" s="1213"/>
      <c r="K176" s="1213"/>
      <c r="L176" s="1213"/>
      <c r="M176" s="1213"/>
      <c r="N176" s="1213"/>
      <c r="O176" s="1213"/>
      <c r="P176" s="1213"/>
      <c r="Q176" s="1213"/>
      <c r="R176" s="1213"/>
      <c r="S176" s="1213"/>
      <c r="T176" s="1213"/>
      <c r="U176" s="1213"/>
      <c r="V176" s="1213"/>
      <c r="W176" s="1215"/>
      <c r="X176" s="1213"/>
      <c r="Y176" s="1213"/>
      <c r="Z176" s="1213"/>
      <c r="AA176" s="1213"/>
      <c r="AB176" s="1213"/>
      <c r="AC176" s="1213"/>
      <c r="AD176" s="1213"/>
      <c r="AE176" s="1213"/>
      <c r="AF176" s="1213"/>
      <c r="AG176" s="1230"/>
      <c r="AH176" s="1326"/>
      <c r="AI176" s="1327"/>
    </row>
    <row r="177" spans="1:35" ht="21.95" customHeight="1" thickBot="1">
      <c r="A177" s="602">
        <v>12</v>
      </c>
      <c r="B177" s="153"/>
      <c r="C177" s="1213"/>
      <c r="D177" s="1213"/>
      <c r="E177" s="1213"/>
      <c r="F177" s="1213"/>
      <c r="G177" s="1213"/>
      <c r="H177" s="1213"/>
      <c r="I177" s="1213"/>
      <c r="J177" s="1213"/>
      <c r="K177" s="1213"/>
      <c r="L177" s="1213"/>
      <c r="M177" s="1213"/>
      <c r="N177" s="1213"/>
      <c r="O177" s="1213"/>
      <c r="P177" s="1213"/>
      <c r="Q177" s="1213"/>
      <c r="R177" s="1213"/>
      <c r="S177" s="1213"/>
      <c r="T177" s="1213"/>
      <c r="U177" s="1213"/>
      <c r="V177" s="1213"/>
      <c r="W177" s="1215"/>
      <c r="X177" s="1213"/>
      <c r="Y177" s="1213"/>
      <c r="Z177" s="1213"/>
      <c r="AA177" s="1213"/>
      <c r="AB177" s="1213"/>
      <c r="AC177" s="1213"/>
      <c r="AD177" s="1213"/>
      <c r="AE177" s="1213"/>
      <c r="AF177" s="1213"/>
      <c r="AG177" s="1230"/>
      <c r="AH177" s="1328"/>
      <c r="AI177" s="1329"/>
    </row>
    <row r="178" spans="1:35" ht="21" customHeight="1">
      <c r="A178" s="312" t="s">
        <v>551</v>
      </c>
    </row>
    <row r="179" spans="1:35" ht="21" customHeight="1">
      <c r="A179" s="556"/>
      <c r="B179" s="297" t="s">
        <v>480</v>
      </c>
      <c r="C179" s="1234">
        <v>1</v>
      </c>
      <c r="D179" s="1234">
        <v>2</v>
      </c>
      <c r="E179" s="1235">
        <v>3</v>
      </c>
      <c r="F179" s="1235">
        <v>4</v>
      </c>
      <c r="G179" s="1234">
        <v>5</v>
      </c>
      <c r="H179" s="1234">
        <v>6</v>
      </c>
      <c r="I179" s="1213">
        <v>7</v>
      </c>
      <c r="J179" s="1213">
        <v>8</v>
      </c>
      <c r="K179" s="1234">
        <v>9</v>
      </c>
      <c r="L179" s="1235">
        <v>10</v>
      </c>
      <c r="M179" s="1235">
        <v>11</v>
      </c>
      <c r="N179" s="1234">
        <v>12</v>
      </c>
      <c r="O179" s="1234">
        <v>13</v>
      </c>
      <c r="P179" s="1213">
        <v>14</v>
      </c>
      <c r="Q179" s="1213">
        <v>15</v>
      </c>
      <c r="R179" s="1234">
        <v>16</v>
      </c>
      <c r="S179" s="1235">
        <v>17</v>
      </c>
      <c r="T179" s="1235">
        <v>18</v>
      </c>
      <c r="U179" s="1234">
        <v>19</v>
      </c>
      <c r="V179" s="1213">
        <v>20</v>
      </c>
      <c r="W179" s="1213">
        <v>21</v>
      </c>
      <c r="X179" s="1213">
        <v>22</v>
      </c>
      <c r="Y179" s="1234">
        <v>23</v>
      </c>
      <c r="Z179" s="1235">
        <v>24</v>
      </c>
      <c r="AA179" s="1235">
        <v>25</v>
      </c>
      <c r="AB179" s="1234">
        <v>26</v>
      </c>
      <c r="AC179" s="1234">
        <v>27</v>
      </c>
      <c r="AD179" s="1213">
        <v>28</v>
      </c>
      <c r="AE179" s="1213">
        <v>29</v>
      </c>
      <c r="AF179" s="1234">
        <v>30</v>
      </c>
      <c r="AG179" s="1235">
        <v>31</v>
      </c>
      <c r="AH179" s="606"/>
    </row>
    <row r="180" spans="1:35" ht="21" customHeight="1">
      <c r="A180" s="556">
        <v>1</v>
      </c>
      <c r="B180" s="319" t="s">
        <v>552</v>
      </c>
      <c r="C180" s="1213" t="s">
        <v>514</v>
      </c>
      <c r="D180" s="1213" t="s">
        <v>514</v>
      </c>
      <c r="E180" s="1213"/>
      <c r="F180" s="1213"/>
      <c r="G180" s="1213" t="s">
        <v>514</v>
      </c>
      <c r="H180" s="1213" t="s">
        <v>514</v>
      </c>
      <c r="I180" s="1213" t="s">
        <v>514</v>
      </c>
      <c r="J180" s="1213" t="s">
        <v>514</v>
      </c>
      <c r="K180" s="1213" t="s">
        <v>514</v>
      </c>
      <c r="L180" s="1213"/>
      <c r="M180" s="1213"/>
      <c r="N180" s="1560" t="s">
        <v>514</v>
      </c>
      <c r="O180" s="1560" t="s">
        <v>514</v>
      </c>
      <c r="P180" s="1560" t="s">
        <v>514</v>
      </c>
      <c r="Q180" s="1560" t="s">
        <v>514</v>
      </c>
      <c r="R180" s="1560" t="s">
        <v>514</v>
      </c>
      <c r="S180" s="1213"/>
      <c r="T180" s="1213"/>
      <c r="U180" s="1213" t="s">
        <v>514</v>
      </c>
      <c r="V180" s="1213" t="s">
        <v>514</v>
      </c>
      <c r="W180" s="1213" t="s">
        <v>514</v>
      </c>
      <c r="X180" s="1213" t="s">
        <v>514</v>
      </c>
      <c r="Y180" s="1213" t="s">
        <v>514</v>
      </c>
      <c r="Z180" s="1213"/>
      <c r="AA180" s="1213"/>
      <c r="AB180" s="1213" t="s">
        <v>514</v>
      </c>
      <c r="AC180" s="1213" t="s">
        <v>514</v>
      </c>
      <c r="AD180" s="1213" t="s">
        <v>514</v>
      </c>
      <c r="AE180" s="1213" t="s">
        <v>514</v>
      </c>
      <c r="AF180" s="1213" t="s">
        <v>514</v>
      </c>
      <c r="AG180" s="1213"/>
      <c r="AH180" s="606"/>
    </row>
    <row r="181" spans="1:35" ht="21" customHeight="1">
      <c r="A181" s="556">
        <v>2</v>
      </c>
      <c r="B181" s="545" t="s">
        <v>553</v>
      </c>
      <c r="C181" s="172">
        <v>3</v>
      </c>
      <c r="D181" s="172">
        <v>3</v>
      </c>
      <c r="E181" s="172"/>
      <c r="F181" s="172"/>
      <c r="G181" s="172">
        <v>11</v>
      </c>
      <c r="H181" s="172">
        <v>11</v>
      </c>
      <c r="I181" s="172">
        <v>11</v>
      </c>
      <c r="J181" s="172">
        <v>11</v>
      </c>
      <c r="K181" s="172">
        <v>11</v>
      </c>
      <c r="L181" s="172" t="s">
        <v>657</v>
      </c>
      <c r="M181" s="172" t="s">
        <v>657</v>
      </c>
      <c r="N181" s="172" t="s">
        <v>487</v>
      </c>
      <c r="O181" s="172" t="s">
        <v>487</v>
      </c>
      <c r="P181" s="172" t="s">
        <v>487</v>
      </c>
      <c r="Q181" s="172" t="s">
        <v>487</v>
      </c>
      <c r="R181" s="172" t="s">
        <v>487</v>
      </c>
      <c r="S181" s="172"/>
      <c r="T181" s="172"/>
      <c r="U181" s="172">
        <v>6</v>
      </c>
      <c r="V181" s="172">
        <v>6</v>
      </c>
      <c r="W181" s="172">
        <v>6</v>
      </c>
      <c r="X181" s="172">
        <v>6</v>
      </c>
      <c r="Y181" s="172" t="s">
        <v>487</v>
      </c>
      <c r="Z181" s="172" t="s">
        <v>486</v>
      </c>
      <c r="AA181" s="172"/>
      <c r="AB181" s="172">
        <v>9</v>
      </c>
      <c r="AC181" s="172">
        <v>9</v>
      </c>
      <c r="AD181" s="172">
        <v>9</v>
      </c>
      <c r="AE181" s="172">
        <v>9</v>
      </c>
      <c r="AF181" s="172" t="s">
        <v>484</v>
      </c>
      <c r="AG181" s="172"/>
      <c r="AH181" s="606"/>
    </row>
    <row r="182" spans="1:35" ht="21" customHeight="1">
      <c r="A182" s="556">
        <v>3</v>
      </c>
      <c r="B182" s="545" t="s">
        <v>554</v>
      </c>
      <c r="C182" s="172">
        <v>7</v>
      </c>
      <c r="D182" s="172">
        <v>7</v>
      </c>
      <c r="E182" s="172"/>
      <c r="F182" s="172"/>
      <c r="G182" s="172">
        <v>8</v>
      </c>
      <c r="H182" s="172">
        <v>8</v>
      </c>
      <c r="I182" s="172">
        <v>8</v>
      </c>
      <c r="J182" s="172">
        <v>8</v>
      </c>
      <c r="K182" s="172">
        <v>8</v>
      </c>
      <c r="L182" s="172" t="s">
        <v>533</v>
      </c>
      <c r="M182" s="172" t="s">
        <v>533</v>
      </c>
      <c r="N182" s="607" t="s">
        <v>487</v>
      </c>
      <c r="O182" s="172" t="s">
        <v>487</v>
      </c>
      <c r="P182" s="172" t="s">
        <v>487</v>
      </c>
      <c r="Q182" s="172" t="s">
        <v>487</v>
      </c>
      <c r="R182" s="172" t="s">
        <v>487</v>
      </c>
      <c r="S182" s="172"/>
      <c r="T182" s="172"/>
      <c r="U182" s="172">
        <v>9</v>
      </c>
      <c r="V182" s="172">
        <v>9</v>
      </c>
      <c r="W182" s="172">
        <v>9</v>
      </c>
      <c r="X182" s="172">
        <v>9</v>
      </c>
      <c r="Y182" s="172">
        <v>9</v>
      </c>
      <c r="Z182" s="172" t="s">
        <v>543</v>
      </c>
      <c r="AA182" s="172" t="s">
        <v>543</v>
      </c>
      <c r="AB182" s="172" t="s">
        <v>487</v>
      </c>
      <c r="AC182" s="172" t="s">
        <v>487</v>
      </c>
      <c r="AD182" s="172" t="s">
        <v>487</v>
      </c>
      <c r="AE182" s="172">
        <v>6</v>
      </c>
      <c r="AF182" s="172">
        <v>3</v>
      </c>
      <c r="AG182" s="172"/>
      <c r="AH182" s="606"/>
    </row>
    <row r="183" spans="1:35" ht="21" customHeight="1">
      <c r="A183" s="556">
        <v>4</v>
      </c>
      <c r="B183" s="545" t="s">
        <v>757</v>
      </c>
      <c r="C183" s="172" t="s">
        <v>514</v>
      </c>
      <c r="D183" s="172" t="s">
        <v>514</v>
      </c>
      <c r="E183" s="172"/>
      <c r="F183" s="172"/>
      <c r="G183" s="172" t="s">
        <v>514</v>
      </c>
      <c r="H183" s="172" t="s">
        <v>514</v>
      </c>
      <c r="I183" s="172" t="s">
        <v>514</v>
      </c>
      <c r="J183" s="172" t="s">
        <v>514</v>
      </c>
      <c r="K183" s="172" t="s">
        <v>514</v>
      </c>
      <c r="L183" s="172"/>
      <c r="M183" s="172"/>
      <c r="N183" s="172" t="s">
        <v>514</v>
      </c>
      <c r="O183" s="172" t="s">
        <v>514</v>
      </c>
      <c r="P183" s="172" t="s">
        <v>514</v>
      </c>
      <c r="Q183" s="172" t="s">
        <v>514</v>
      </c>
      <c r="R183" s="172" t="s">
        <v>514</v>
      </c>
      <c r="S183" s="172"/>
      <c r="T183" s="172"/>
      <c r="U183" s="172" t="s">
        <v>514</v>
      </c>
      <c r="V183" s="172" t="s">
        <v>514</v>
      </c>
      <c r="W183" s="172" t="s">
        <v>514</v>
      </c>
      <c r="X183" s="172" t="s">
        <v>514</v>
      </c>
      <c r="Y183" s="172" t="s">
        <v>514</v>
      </c>
      <c r="Z183" s="172"/>
      <c r="AA183" s="172"/>
      <c r="AB183" s="172" t="s">
        <v>514</v>
      </c>
      <c r="AC183" s="172" t="s">
        <v>514</v>
      </c>
      <c r="AD183" s="172" t="s">
        <v>514</v>
      </c>
      <c r="AE183" s="172" t="s">
        <v>514</v>
      </c>
      <c r="AF183" s="172" t="s">
        <v>514</v>
      </c>
      <c r="AG183" s="172"/>
      <c r="AH183" s="606"/>
    </row>
    <row r="184" spans="1:35" ht="21" customHeight="1">
      <c r="A184" s="556">
        <v>5</v>
      </c>
      <c r="B184" s="545" t="s">
        <v>766</v>
      </c>
      <c r="C184" s="172"/>
      <c r="D184" s="172"/>
      <c r="E184" s="172"/>
      <c r="F184" s="172"/>
      <c r="G184" s="1455" t="s">
        <v>514</v>
      </c>
      <c r="H184" s="1455" t="s">
        <v>514</v>
      </c>
      <c r="I184" s="1508" t="s">
        <v>514</v>
      </c>
      <c r="J184" s="1455" t="s">
        <v>514</v>
      </c>
      <c r="K184" s="1455" t="s">
        <v>514</v>
      </c>
      <c r="L184" s="172"/>
      <c r="M184" s="172"/>
      <c r="N184" s="1455" t="s">
        <v>550</v>
      </c>
      <c r="O184" s="1455" t="s">
        <v>550</v>
      </c>
      <c r="P184" s="1455" t="s">
        <v>550</v>
      </c>
      <c r="Q184" s="1455" t="s">
        <v>550</v>
      </c>
      <c r="R184" s="1455" t="s">
        <v>550</v>
      </c>
      <c r="S184" s="1455"/>
      <c r="T184" s="1455"/>
      <c r="U184" s="1455">
        <v>8</v>
      </c>
      <c r="V184" s="1455">
        <v>8</v>
      </c>
      <c r="W184" s="1455">
        <v>8</v>
      </c>
      <c r="X184" s="1455">
        <v>8</v>
      </c>
      <c r="Y184" s="1455">
        <v>8</v>
      </c>
      <c r="Z184" s="1455"/>
      <c r="AA184" s="1455"/>
      <c r="AB184" s="1455">
        <v>9</v>
      </c>
      <c r="AC184" s="1455">
        <v>9</v>
      </c>
      <c r="AD184" s="1455">
        <v>9</v>
      </c>
      <c r="AE184" s="1455">
        <v>9</v>
      </c>
      <c r="AF184" s="1455">
        <v>9</v>
      </c>
      <c r="AG184" s="172"/>
      <c r="AH184" s="606"/>
    </row>
    <row r="185" spans="1:35" ht="21" customHeight="1">
      <c r="A185" s="1232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1233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6"/>
    </row>
    <row r="186" spans="1:35" ht="21.95" customHeight="1" thickBot="1">
      <c r="A186" s="1" t="s">
        <v>560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1290" t="s">
        <v>516</v>
      </c>
      <c r="C187" s="51" t="s">
        <v>2</v>
      </c>
      <c r="D187" s="51"/>
      <c r="E187" s="51"/>
      <c r="F187" s="51"/>
      <c r="G187" s="1292" t="s">
        <v>3</v>
      </c>
      <c r="H187" s="51"/>
      <c r="I187" s="51"/>
      <c r="J187" s="51"/>
      <c r="K187" s="1292" t="s">
        <v>4</v>
      </c>
      <c r="L187" s="51"/>
      <c r="M187" s="51"/>
      <c r="N187" s="51"/>
      <c r="O187" s="1292" t="s">
        <v>5</v>
      </c>
      <c r="P187" s="51"/>
      <c r="Q187" s="51"/>
      <c r="R187" s="51"/>
      <c r="S187" s="1292" t="s">
        <v>6</v>
      </c>
      <c r="T187" s="51"/>
      <c r="U187" s="51"/>
      <c r="V187" s="51"/>
      <c r="W187" s="51"/>
      <c r="X187" s="1296" t="s">
        <v>7</v>
      </c>
      <c r="Y187" s="51"/>
      <c r="Z187" s="551"/>
      <c r="AA187" s="7"/>
      <c r="AB187" s="525" t="s">
        <v>8</v>
      </c>
      <c r="AC187" s="51"/>
      <c r="AD187" s="51"/>
      <c r="AE187" s="425" t="s">
        <v>10</v>
      </c>
      <c r="AF187" s="51"/>
      <c r="AG187" s="51"/>
      <c r="AH187" s="51"/>
      <c r="AI187" s="526"/>
    </row>
    <row r="188" spans="1:35" ht="21.95" customHeight="1">
      <c r="A188" s="1"/>
      <c r="B188" s="1290">
        <v>3701</v>
      </c>
      <c r="C188" s="55" t="s">
        <v>561</v>
      </c>
      <c r="D188" s="55"/>
      <c r="E188" s="55"/>
      <c r="F188" s="55"/>
      <c r="G188" s="1293" t="s">
        <v>124</v>
      </c>
      <c r="H188" s="55"/>
      <c r="I188" s="55"/>
      <c r="J188" s="55"/>
      <c r="K188" s="1293" t="s">
        <v>124</v>
      </c>
      <c r="L188" s="55"/>
      <c r="M188" s="55"/>
      <c r="N188" s="55"/>
      <c r="O188" s="1293" t="s">
        <v>124</v>
      </c>
      <c r="P188" s="55"/>
      <c r="Q188" s="55"/>
      <c r="R188" s="55"/>
      <c r="S188" s="1293" t="s">
        <v>125</v>
      </c>
      <c r="T188" s="55"/>
      <c r="U188" s="55"/>
      <c r="V188" s="55"/>
      <c r="W188" s="55"/>
      <c r="X188" s="1297"/>
      <c r="Y188" s="55"/>
      <c r="Z188" s="608"/>
      <c r="AA188" s="14"/>
      <c r="AB188" s="609"/>
      <c r="AC188" s="55"/>
      <c r="AD188" s="55"/>
      <c r="AE188" s="610"/>
      <c r="AF188" s="55"/>
      <c r="AG188" s="55"/>
      <c r="AH188" s="55"/>
      <c r="AI188" s="611"/>
    </row>
    <row r="189" spans="1:35" ht="21.95" customHeight="1">
      <c r="B189" s="1290">
        <v>3700</v>
      </c>
      <c r="C189" s="157" t="s">
        <v>512</v>
      </c>
      <c r="D189" s="157"/>
      <c r="E189" s="157"/>
      <c r="F189" s="157"/>
      <c r="G189" s="897" t="s">
        <v>512</v>
      </c>
      <c r="H189" s="157"/>
      <c r="I189" s="157"/>
      <c r="J189" s="157"/>
      <c r="K189" s="897" t="s">
        <v>512</v>
      </c>
      <c r="L189" s="157"/>
      <c r="M189" s="157"/>
      <c r="N189" s="157"/>
      <c r="O189" s="897" t="s">
        <v>512</v>
      </c>
      <c r="P189" s="157"/>
      <c r="Q189" s="157"/>
      <c r="R189" s="157"/>
      <c r="S189" s="897" t="s">
        <v>116</v>
      </c>
      <c r="T189" s="157"/>
      <c r="U189" s="157"/>
      <c r="V189" s="157"/>
      <c r="W189" s="157"/>
      <c r="X189" s="897"/>
      <c r="Y189" s="157"/>
      <c r="Z189" s="568"/>
      <c r="AA189" s="567"/>
      <c r="AB189" s="157"/>
      <c r="AC189" s="157"/>
      <c r="AD189" s="569"/>
      <c r="AE189" s="613"/>
      <c r="AF189" s="157"/>
      <c r="AG189" s="157" t="s">
        <v>28</v>
      </c>
      <c r="AH189" s="569"/>
      <c r="AI189" s="490"/>
    </row>
    <row r="190" spans="1:35" ht="21.95" customHeight="1">
      <c r="A190" s="1"/>
      <c r="B190" s="1290">
        <v>8514</v>
      </c>
      <c r="C190" s="157" t="s">
        <v>124</v>
      </c>
      <c r="D190" s="157"/>
      <c r="E190" s="157"/>
      <c r="F190" s="157"/>
      <c r="G190" s="897" t="s">
        <v>124</v>
      </c>
      <c r="H190" s="157"/>
      <c r="I190" s="157"/>
      <c r="J190" s="157"/>
      <c r="K190" s="897" t="s">
        <v>124</v>
      </c>
      <c r="L190" s="157"/>
      <c r="M190" s="157"/>
      <c r="N190" s="157"/>
      <c r="O190" s="897" t="s">
        <v>124</v>
      </c>
      <c r="P190" s="157"/>
      <c r="Q190" s="157"/>
      <c r="R190" s="157"/>
      <c r="S190" s="897" t="s">
        <v>562</v>
      </c>
      <c r="T190" s="157"/>
      <c r="U190" s="157"/>
      <c r="V190" s="157"/>
      <c r="W190" s="157"/>
      <c r="X190" s="897"/>
      <c r="Y190" s="157"/>
      <c r="Z190" s="568"/>
      <c r="AA190" s="121"/>
      <c r="AB190" s="157"/>
      <c r="AC190" s="157"/>
      <c r="AD190" s="569"/>
      <c r="AE190" s="121"/>
      <c r="AF190" s="157"/>
      <c r="AG190" s="157"/>
      <c r="AH190" s="569"/>
      <c r="AI190" s="490"/>
    </row>
    <row r="191" spans="1:35" ht="21.95" customHeight="1">
      <c r="A191" s="1"/>
      <c r="B191" s="1290">
        <v>8500</v>
      </c>
      <c r="C191" s="55" t="s">
        <v>11</v>
      </c>
      <c r="D191" s="55"/>
      <c r="E191" s="55"/>
      <c r="F191" s="55"/>
      <c r="G191" s="1293" t="s">
        <v>11</v>
      </c>
      <c r="H191" s="55"/>
      <c r="I191" s="55"/>
      <c r="J191" s="55"/>
      <c r="K191" s="1293" t="s">
        <v>11</v>
      </c>
      <c r="L191" s="55"/>
      <c r="M191" s="55"/>
      <c r="N191" s="55"/>
      <c r="O191" s="1293" t="s">
        <v>11</v>
      </c>
      <c r="P191" s="55"/>
      <c r="Q191" s="55"/>
      <c r="R191" s="55"/>
      <c r="S191" s="1293" t="s">
        <v>12</v>
      </c>
      <c r="T191" s="55"/>
      <c r="U191" s="55"/>
      <c r="V191" s="55"/>
      <c r="W191" s="55"/>
      <c r="X191" s="1293"/>
      <c r="Y191" s="55"/>
      <c r="Z191" s="615"/>
      <c r="AA191" s="614"/>
      <c r="AB191" s="55"/>
      <c r="AC191" s="55"/>
      <c r="AD191" s="615"/>
      <c r="AE191" s="614"/>
      <c r="AF191" s="55"/>
      <c r="AG191" s="55"/>
      <c r="AH191" s="598"/>
      <c r="AI191" s="611"/>
    </row>
    <row r="192" spans="1:35" ht="21.95" customHeight="1">
      <c r="A192" s="1"/>
      <c r="B192" s="1290">
        <v>8514</v>
      </c>
      <c r="C192" s="616" t="s">
        <v>124</v>
      </c>
      <c r="D192" s="616"/>
      <c r="E192" s="616"/>
      <c r="F192" s="616"/>
      <c r="G192" s="1294" t="s">
        <v>124</v>
      </c>
      <c r="H192" s="616"/>
      <c r="I192" s="616"/>
      <c r="J192" s="616"/>
      <c r="K192" s="1294" t="s">
        <v>124</v>
      </c>
      <c r="L192" s="616"/>
      <c r="M192" s="616"/>
      <c r="N192" s="616"/>
      <c r="O192" s="1294" t="s">
        <v>124</v>
      </c>
      <c r="P192" s="616"/>
      <c r="Q192" s="616"/>
      <c r="R192" s="616"/>
      <c r="S192" s="1294" t="s">
        <v>562</v>
      </c>
      <c r="T192" s="616"/>
      <c r="U192" s="616"/>
      <c r="V192" s="616"/>
      <c r="W192" s="616"/>
      <c r="X192" s="1297"/>
      <c r="Y192" s="55"/>
      <c r="Z192" s="608"/>
      <c r="AA192" s="14"/>
      <c r="AB192" s="609"/>
      <c r="AC192" s="55"/>
      <c r="AD192" s="55"/>
      <c r="AE192" s="610"/>
      <c r="AF192" s="55"/>
      <c r="AG192" s="55"/>
      <c r="AH192" s="55"/>
      <c r="AI192" s="611"/>
    </row>
    <row r="193" spans="1:35" ht="21.95" customHeight="1" thickBot="1">
      <c r="A193" s="1"/>
      <c r="B193" s="1291" t="s">
        <v>563</v>
      </c>
      <c r="C193" s="53" t="s">
        <v>564</v>
      </c>
      <c r="D193" s="53"/>
      <c r="E193" s="53"/>
      <c r="F193" s="53"/>
      <c r="G193" s="1295" t="s">
        <v>564</v>
      </c>
      <c r="H193" s="53"/>
      <c r="I193" s="53"/>
      <c r="J193" s="53"/>
      <c r="K193" s="53" t="s">
        <v>564</v>
      </c>
      <c r="L193" s="53"/>
      <c r="M193" s="53"/>
      <c r="N193" s="53"/>
      <c r="O193" s="1295" t="s">
        <v>564</v>
      </c>
      <c r="P193" s="53"/>
      <c r="Q193" s="53"/>
      <c r="R193" s="53"/>
      <c r="S193" s="1295" t="s">
        <v>565</v>
      </c>
      <c r="T193" s="53"/>
      <c r="U193" s="53"/>
      <c r="V193" s="53"/>
      <c r="W193" s="53"/>
      <c r="X193" s="1295"/>
      <c r="Y193" s="53"/>
      <c r="Z193" s="575"/>
      <c r="AA193" s="574"/>
      <c r="AB193" s="53"/>
      <c r="AC193" s="53"/>
      <c r="AD193" s="577"/>
      <c r="AE193" s="618"/>
      <c r="AF193" s="53"/>
      <c r="AG193" s="53" t="s">
        <v>28</v>
      </c>
      <c r="AH193" s="577"/>
      <c r="AI193" s="539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767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>
      <c r="A196" s="556"/>
      <c r="B196" s="297" t="s">
        <v>480</v>
      </c>
      <c r="C196" s="1234">
        <v>1</v>
      </c>
      <c r="D196" s="1234">
        <v>2</v>
      </c>
      <c r="E196" s="1235">
        <v>3</v>
      </c>
      <c r="F196" s="1235">
        <v>4</v>
      </c>
      <c r="G196" s="1234">
        <v>5</v>
      </c>
      <c r="H196" s="1234">
        <v>6</v>
      </c>
      <c r="I196" s="1213">
        <v>7</v>
      </c>
      <c r="J196" s="1213">
        <v>8</v>
      </c>
      <c r="K196" s="1234">
        <v>9</v>
      </c>
      <c r="L196" s="1235">
        <v>10</v>
      </c>
      <c r="M196" s="1235">
        <v>11</v>
      </c>
      <c r="N196" s="1234">
        <v>12</v>
      </c>
      <c r="O196" s="1234">
        <v>13</v>
      </c>
      <c r="P196" s="1213">
        <v>14</v>
      </c>
      <c r="Q196" s="1213">
        <v>15</v>
      </c>
      <c r="R196" s="1234">
        <v>16</v>
      </c>
      <c r="S196" s="1235">
        <v>17</v>
      </c>
      <c r="T196" s="1235">
        <v>18</v>
      </c>
      <c r="U196" s="1234">
        <v>19</v>
      </c>
      <c r="V196" s="1213">
        <v>20</v>
      </c>
      <c r="W196" s="1213">
        <v>21</v>
      </c>
      <c r="X196" s="1213">
        <v>22</v>
      </c>
      <c r="Y196" s="1234">
        <v>23</v>
      </c>
      <c r="Z196" s="1235">
        <v>24</v>
      </c>
      <c r="AA196" s="1235">
        <v>25</v>
      </c>
      <c r="AB196" s="1234">
        <v>26</v>
      </c>
      <c r="AC196" s="1234">
        <v>27</v>
      </c>
      <c r="AD196" s="1213">
        <v>28</v>
      </c>
      <c r="AE196" s="1213">
        <v>29</v>
      </c>
      <c r="AF196" s="1234">
        <v>30</v>
      </c>
      <c r="AG196" s="1235">
        <v>31</v>
      </c>
      <c r="AH196" s="498" t="s">
        <v>481</v>
      </c>
      <c r="AI196" s="499" t="s">
        <v>482</v>
      </c>
    </row>
    <row r="197" spans="1:35" ht="21.95" customHeight="1">
      <c r="A197" s="556"/>
      <c r="B197" s="1236" t="s">
        <v>768</v>
      </c>
      <c r="C197" s="1215" t="s">
        <v>535</v>
      </c>
      <c r="D197" s="1215" t="s">
        <v>535</v>
      </c>
      <c r="E197" s="1215"/>
      <c r="F197" s="1215"/>
      <c r="G197" s="1215" t="s">
        <v>535</v>
      </c>
      <c r="H197" s="1215" t="s">
        <v>535</v>
      </c>
      <c r="I197" s="1215" t="s">
        <v>535</v>
      </c>
      <c r="J197" s="1215" t="s">
        <v>535</v>
      </c>
      <c r="K197" s="1215" t="s">
        <v>535</v>
      </c>
      <c r="L197" s="1215"/>
      <c r="M197" s="1215"/>
      <c r="N197" s="1215" t="s">
        <v>535</v>
      </c>
      <c r="O197" s="1215" t="s">
        <v>535</v>
      </c>
      <c r="P197" s="1215" t="s">
        <v>535</v>
      </c>
      <c r="Q197" s="1215" t="s">
        <v>535</v>
      </c>
      <c r="R197" s="1215" t="s">
        <v>535</v>
      </c>
      <c r="S197" s="1215"/>
      <c r="T197" s="1215"/>
      <c r="U197" s="1215" t="s">
        <v>535</v>
      </c>
      <c r="V197" s="1215" t="s">
        <v>535</v>
      </c>
      <c r="W197" s="1215" t="s">
        <v>535</v>
      </c>
      <c r="X197" s="1215" t="s">
        <v>535</v>
      </c>
      <c r="Y197" s="1215" t="s">
        <v>535</v>
      </c>
      <c r="Z197" s="1215"/>
      <c r="AA197" s="1215"/>
      <c r="AB197" s="1215" t="s">
        <v>535</v>
      </c>
      <c r="AC197" s="1215" t="s">
        <v>535</v>
      </c>
      <c r="AD197" s="1215" t="s">
        <v>535</v>
      </c>
      <c r="AE197" s="1215" t="s">
        <v>535</v>
      </c>
      <c r="AF197" s="1215" t="s">
        <v>535</v>
      </c>
      <c r="AG197" s="1215"/>
      <c r="AH197" s="603">
        <v>97</v>
      </c>
      <c r="AI197" s="604">
        <v>37</v>
      </c>
    </row>
    <row r="198" spans="1:35" ht="21.95" customHeight="1">
      <c r="A198" s="620">
        <v>8500</v>
      </c>
      <c r="B198" s="1237" t="s">
        <v>151</v>
      </c>
      <c r="C198" s="1215" t="s">
        <v>535</v>
      </c>
      <c r="D198" s="1215" t="s">
        <v>535</v>
      </c>
      <c r="E198" s="1215"/>
      <c r="F198" s="1215"/>
      <c r="G198" s="1215" t="s">
        <v>535</v>
      </c>
      <c r="H198" s="1215" t="s">
        <v>535</v>
      </c>
      <c r="I198" s="1215" t="s">
        <v>535</v>
      </c>
      <c r="J198" s="1215" t="s">
        <v>535</v>
      </c>
      <c r="K198" s="1215" t="s">
        <v>535</v>
      </c>
      <c r="L198" s="1215"/>
      <c r="M198" s="1215"/>
      <c r="N198" s="1215" t="s">
        <v>535</v>
      </c>
      <c r="O198" s="1215" t="s">
        <v>535</v>
      </c>
      <c r="P198" s="1215" t="s">
        <v>535</v>
      </c>
      <c r="Q198" s="1215" t="s">
        <v>535</v>
      </c>
      <c r="R198" s="1215" t="s">
        <v>535</v>
      </c>
      <c r="S198" s="1215"/>
      <c r="T198" s="1215"/>
      <c r="U198" s="1215" t="s">
        <v>535</v>
      </c>
      <c r="V198" s="1215" t="s">
        <v>535</v>
      </c>
      <c r="W198" s="1215" t="s">
        <v>535</v>
      </c>
      <c r="X198" s="1215" t="s">
        <v>535</v>
      </c>
      <c r="Y198" s="1215" t="s">
        <v>535</v>
      </c>
      <c r="Z198" s="1215"/>
      <c r="AA198" s="1215"/>
      <c r="AB198" s="1342" t="s">
        <v>535</v>
      </c>
      <c r="AC198" s="1342" t="s">
        <v>535</v>
      </c>
      <c r="AD198" s="1342" t="s">
        <v>535</v>
      </c>
      <c r="AE198" s="1215" t="s">
        <v>535</v>
      </c>
      <c r="AF198" s="1215" t="s">
        <v>535</v>
      </c>
      <c r="AG198" s="1215"/>
      <c r="AH198" s="603">
        <v>74</v>
      </c>
      <c r="AI198" s="604">
        <v>37</v>
      </c>
    </row>
    <row r="199" spans="1:35" ht="21" customHeight="1">
      <c r="A199" s="442"/>
      <c r="B199" s="1236" t="s">
        <v>567</v>
      </c>
      <c r="C199" s="1338" t="s">
        <v>535</v>
      </c>
      <c r="D199" s="1338" t="s">
        <v>535</v>
      </c>
      <c r="E199" s="1338"/>
      <c r="F199" s="1338"/>
      <c r="G199" s="1338" t="s">
        <v>535</v>
      </c>
      <c r="H199" s="1338" t="s">
        <v>535</v>
      </c>
      <c r="I199" s="1338" t="s">
        <v>535</v>
      </c>
      <c r="J199" s="1338" t="s">
        <v>535</v>
      </c>
      <c r="K199" s="1338" t="s">
        <v>535</v>
      </c>
      <c r="L199" s="1338"/>
      <c r="M199" s="1338"/>
      <c r="N199" s="1215" t="s">
        <v>535</v>
      </c>
      <c r="O199" s="1215" t="s">
        <v>535</v>
      </c>
      <c r="P199" s="1215" t="s">
        <v>535</v>
      </c>
      <c r="Q199" s="1215" t="s">
        <v>535</v>
      </c>
      <c r="R199" s="1215" t="s">
        <v>535</v>
      </c>
      <c r="S199" s="1215"/>
      <c r="T199" s="1215"/>
      <c r="U199" s="1215" t="s">
        <v>535</v>
      </c>
      <c r="V199" s="1215" t="s">
        <v>535</v>
      </c>
      <c r="W199" s="1215" t="s">
        <v>535</v>
      </c>
      <c r="X199" s="1215" t="s">
        <v>535</v>
      </c>
      <c r="Y199" s="1215" t="s">
        <v>535</v>
      </c>
      <c r="Z199" s="1215"/>
      <c r="AA199" s="1215"/>
      <c r="AB199" s="1215" t="s">
        <v>535</v>
      </c>
      <c r="AC199" s="1215" t="s">
        <v>535</v>
      </c>
      <c r="AD199" s="1215" t="s">
        <v>535</v>
      </c>
      <c r="AE199" s="1215" t="s">
        <v>535</v>
      </c>
      <c r="AF199" s="1215" t="s">
        <v>535</v>
      </c>
      <c r="AG199" s="1215"/>
      <c r="AH199" s="603">
        <v>111</v>
      </c>
      <c r="AI199" s="604">
        <v>37</v>
      </c>
    </row>
    <row r="200" spans="1:35" ht="21" customHeight="1">
      <c r="A200" s="442">
        <v>8521</v>
      </c>
      <c r="B200" s="1236" t="s">
        <v>568</v>
      </c>
      <c r="C200" s="1215" t="s">
        <v>535</v>
      </c>
      <c r="D200" s="1215" t="s">
        <v>535</v>
      </c>
      <c r="E200" s="1215"/>
      <c r="F200" s="1215"/>
      <c r="G200" s="1215" t="s">
        <v>535</v>
      </c>
      <c r="H200" s="1215" t="s">
        <v>535</v>
      </c>
      <c r="I200" s="1215" t="s">
        <v>535</v>
      </c>
      <c r="J200" s="1215" t="s">
        <v>535</v>
      </c>
      <c r="K200" s="1215" t="s">
        <v>535</v>
      </c>
      <c r="L200" s="1215"/>
      <c r="M200" s="1215"/>
      <c r="N200" s="1215" t="s">
        <v>535</v>
      </c>
      <c r="O200" s="1335" t="s">
        <v>535</v>
      </c>
      <c r="P200" s="1215" t="s">
        <v>535</v>
      </c>
      <c r="Q200" s="1215" t="s">
        <v>535</v>
      </c>
      <c r="R200" s="1215" t="s">
        <v>535</v>
      </c>
      <c r="S200" s="1215"/>
      <c r="T200" s="1215"/>
      <c r="U200" s="1215" t="s">
        <v>535</v>
      </c>
      <c r="V200" s="1215" t="s">
        <v>535</v>
      </c>
      <c r="W200" s="1215" t="s">
        <v>535</v>
      </c>
      <c r="X200" s="1342" t="s">
        <v>535</v>
      </c>
      <c r="Y200" s="1342" t="s">
        <v>535</v>
      </c>
      <c r="Z200" s="1215"/>
      <c r="AA200" s="1215"/>
      <c r="AB200" s="1215" t="s">
        <v>535</v>
      </c>
      <c r="AC200" s="1215" t="s">
        <v>535</v>
      </c>
      <c r="AD200" s="1215" t="s">
        <v>535</v>
      </c>
      <c r="AE200" s="1342" t="s">
        <v>535</v>
      </c>
      <c r="AF200" s="1342" t="s">
        <v>535</v>
      </c>
      <c r="AG200" s="1215"/>
      <c r="AH200" s="603">
        <v>111</v>
      </c>
      <c r="AI200" s="604">
        <v>37</v>
      </c>
    </row>
    <row r="201" spans="1:35" ht="21" customHeight="1">
      <c r="A201" s="442"/>
      <c r="B201" s="1236"/>
      <c r="C201" s="1215" t="s">
        <v>535</v>
      </c>
      <c r="D201" s="1215" t="s">
        <v>535</v>
      </c>
      <c r="E201" s="1215"/>
      <c r="F201" s="1215"/>
      <c r="G201" s="1215" t="s">
        <v>535</v>
      </c>
      <c r="H201" s="1215" t="s">
        <v>535</v>
      </c>
      <c r="I201" s="1215" t="s">
        <v>535</v>
      </c>
      <c r="J201" s="1215" t="s">
        <v>535</v>
      </c>
      <c r="K201" s="1215" t="s">
        <v>535</v>
      </c>
      <c r="L201" s="1215"/>
      <c r="M201" s="1215"/>
      <c r="N201" s="1215" t="s">
        <v>535</v>
      </c>
      <c r="O201" s="1215" t="s">
        <v>535</v>
      </c>
      <c r="P201" s="1215" t="s">
        <v>535</v>
      </c>
      <c r="Q201" s="1215" t="s">
        <v>535</v>
      </c>
      <c r="R201" s="1215" t="s">
        <v>535</v>
      </c>
      <c r="S201" s="1215"/>
      <c r="T201" s="1215"/>
      <c r="U201" s="1215" t="s">
        <v>535</v>
      </c>
      <c r="V201" s="1215" t="s">
        <v>535</v>
      </c>
      <c r="W201" s="1215" t="s">
        <v>535</v>
      </c>
      <c r="X201" s="1215" t="s">
        <v>535</v>
      </c>
      <c r="Y201" s="1215" t="s">
        <v>535</v>
      </c>
      <c r="Z201" s="1215"/>
      <c r="AA201" s="1215"/>
      <c r="AB201" s="1215" t="s">
        <v>535</v>
      </c>
      <c r="AC201" s="1215" t="s">
        <v>535</v>
      </c>
      <c r="AD201" s="1215" t="s">
        <v>535</v>
      </c>
      <c r="AE201" s="1215" t="s">
        <v>535</v>
      </c>
      <c r="AF201" s="1215" t="s">
        <v>535</v>
      </c>
      <c r="AG201" s="1215"/>
      <c r="AH201" s="603">
        <v>185</v>
      </c>
      <c r="AI201" s="604">
        <v>37</v>
      </c>
    </row>
    <row r="202" spans="1:35" ht="21" customHeight="1">
      <c r="A202" s="442">
        <v>8514</v>
      </c>
      <c r="B202" s="1238" t="s">
        <v>569</v>
      </c>
      <c r="C202" s="1338" t="s">
        <v>535</v>
      </c>
      <c r="D202" s="1338" t="s">
        <v>535</v>
      </c>
      <c r="E202" s="1338"/>
      <c r="F202" s="1338"/>
      <c r="G202" s="1338" t="s">
        <v>535</v>
      </c>
      <c r="H202" s="1338" t="s">
        <v>535</v>
      </c>
      <c r="I202" s="1338" t="s">
        <v>535</v>
      </c>
      <c r="J202" s="1338" t="s">
        <v>535</v>
      </c>
      <c r="K202" s="1338" t="s">
        <v>535</v>
      </c>
      <c r="L202" s="1338"/>
      <c r="M202" s="1338"/>
      <c r="N202" s="1215" t="s">
        <v>535</v>
      </c>
      <c r="O202" s="1215" t="s">
        <v>535</v>
      </c>
      <c r="P202" s="1215" t="s">
        <v>535</v>
      </c>
      <c r="Q202" s="1215" t="s">
        <v>535</v>
      </c>
      <c r="R202" s="1215" t="s">
        <v>535</v>
      </c>
      <c r="S202" s="1215"/>
      <c r="T202" s="1215"/>
      <c r="U202" s="1215" t="s">
        <v>535</v>
      </c>
      <c r="V202" s="1215" t="s">
        <v>535</v>
      </c>
      <c r="W202" s="1215" t="s">
        <v>535</v>
      </c>
      <c r="X202" s="1215" t="s">
        <v>535</v>
      </c>
      <c r="Y202" s="1215" t="s">
        <v>535</v>
      </c>
      <c r="Z202" s="1215"/>
      <c r="AA202" s="1215"/>
      <c r="AB202" s="1215" t="s">
        <v>535</v>
      </c>
      <c r="AC202" s="1215" t="s">
        <v>535</v>
      </c>
      <c r="AD202" s="1215" t="s">
        <v>535</v>
      </c>
      <c r="AE202" s="1215" t="s">
        <v>535</v>
      </c>
      <c r="AF202" s="1215" t="s">
        <v>535</v>
      </c>
      <c r="AG202" s="1215"/>
      <c r="AH202" s="603">
        <v>74</v>
      </c>
      <c r="AI202" s="604">
        <v>37</v>
      </c>
    </row>
    <row r="203" spans="1:35" ht="21.95" customHeight="1">
      <c r="A203" s="442">
        <v>3701</v>
      </c>
      <c r="B203" s="545" t="s">
        <v>513</v>
      </c>
      <c r="C203" s="1338" t="s">
        <v>535</v>
      </c>
      <c r="D203" s="1338" t="s">
        <v>535</v>
      </c>
      <c r="E203" s="1338"/>
      <c r="F203" s="1338"/>
      <c r="G203" s="1215" t="s">
        <v>535</v>
      </c>
      <c r="H203" s="1215" t="s">
        <v>535</v>
      </c>
      <c r="I203" s="1215" t="s">
        <v>535</v>
      </c>
      <c r="J203" s="1215" t="s">
        <v>535</v>
      </c>
      <c r="K203" s="1215" t="s">
        <v>535</v>
      </c>
      <c r="L203" s="1215"/>
      <c r="M203" s="1215"/>
      <c r="N203" s="1215" t="s">
        <v>535</v>
      </c>
      <c r="O203" s="1215" t="s">
        <v>535</v>
      </c>
      <c r="P203" s="1215" t="s">
        <v>535</v>
      </c>
      <c r="Q203" s="1215" t="s">
        <v>535</v>
      </c>
      <c r="R203" s="1215" t="s">
        <v>535</v>
      </c>
      <c r="S203" s="1215"/>
      <c r="T203" s="1215"/>
      <c r="U203" s="1215" t="s">
        <v>535</v>
      </c>
      <c r="V203" s="1215" t="s">
        <v>535</v>
      </c>
      <c r="W203" s="1215" t="s">
        <v>535</v>
      </c>
      <c r="X203" s="1215" t="s">
        <v>535</v>
      </c>
      <c r="Y203" s="1215" t="s">
        <v>535</v>
      </c>
      <c r="Z203" s="1215"/>
      <c r="AA203" s="1215"/>
      <c r="AB203" s="1215" t="s">
        <v>535</v>
      </c>
      <c r="AC203" s="1215" t="s">
        <v>535</v>
      </c>
      <c r="AD203" s="1215" t="s">
        <v>535</v>
      </c>
      <c r="AE203" s="1215" t="s">
        <v>535</v>
      </c>
      <c r="AF203" s="1215" t="s">
        <v>535</v>
      </c>
      <c r="AG203" s="1215"/>
      <c r="AH203" s="603">
        <v>37</v>
      </c>
      <c r="AI203" s="604">
        <v>37</v>
      </c>
    </row>
    <row r="204" spans="1:35" ht="21.95" customHeight="1">
      <c r="A204" s="442">
        <v>3701</v>
      </c>
      <c r="B204" s="1236" t="s">
        <v>345</v>
      </c>
      <c r="C204" s="1338" t="s">
        <v>535</v>
      </c>
      <c r="D204" s="1338" t="s">
        <v>535</v>
      </c>
      <c r="E204" s="1338"/>
      <c r="F204" s="1338"/>
      <c r="G204" s="1338" t="s">
        <v>535</v>
      </c>
      <c r="H204" s="1338" t="s">
        <v>535</v>
      </c>
      <c r="I204" s="1338" t="s">
        <v>535</v>
      </c>
      <c r="J204" s="1338" t="s">
        <v>535</v>
      </c>
      <c r="K204" s="1338" t="s">
        <v>535</v>
      </c>
      <c r="L204" s="1338"/>
      <c r="M204" s="1338"/>
      <c r="N204" s="1215" t="s">
        <v>535</v>
      </c>
      <c r="O204" s="1215" t="s">
        <v>535</v>
      </c>
      <c r="P204" s="1215" t="s">
        <v>535</v>
      </c>
      <c r="Q204" s="1215" t="s">
        <v>535</v>
      </c>
      <c r="R204" s="1215" t="s">
        <v>535</v>
      </c>
      <c r="S204" s="1215"/>
      <c r="T204" s="1215"/>
      <c r="U204" s="1215" t="s">
        <v>535</v>
      </c>
      <c r="V204" s="1215" t="s">
        <v>535</v>
      </c>
      <c r="W204" s="1215" t="s">
        <v>535</v>
      </c>
      <c r="X204" s="1215" t="s">
        <v>535</v>
      </c>
      <c r="Y204" s="1215" t="s">
        <v>535</v>
      </c>
      <c r="Z204" s="1215"/>
      <c r="AA204" s="1215"/>
      <c r="AB204" s="1215" t="s">
        <v>535</v>
      </c>
      <c r="AC204" s="1215" t="s">
        <v>535</v>
      </c>
      <c r="AD204" s="1215" t="s">
        <v>535</v>
      </c>
      <c r="AE204" s="1215" t="s">
        <v>535</v>
      </c>
      <c r="AF204" s="1215" t="s">
        <v>535</v>
      </c>
      <c r="AG204" s="1215"/>
      <c r="AH204" s="603">
        <v>44</v>
      </c>
      <c r="AI204" s="604">
        <v>37</v>
      </c>
    </row>
    <row r="205" spans="1:35" ht="21.95" customHeight="1">
      <c r="A205" s="442">
        <v>3701</v>
      </c>
      <c r="B205" s="1236" t="s">
        <v>348</v>
      </c>
      <c r="C205" s="1215" t="s">
        <v>535</v>
      </c>
      <c r="D205" s="1335" t="s">
        <v>535</v>
      </c>
      <c r="E205" s="1215"/>
      <c r="F205" s="1215"/>
      <c r="G205" s="1215">
        <v>19</v>
      </c>
      <c r="H205" s="1215">
        <v>19</v>
      </c>
      <c r="I205" s="1215">
        <v>19</v>
      </c>
      <c r="J205" s="1215">
        <v>19</v>
      </c>
      <c r="K205" s="1215">
        <v>19</v>
      </c>
      <c r="L205" s="1215"/>
      <c r="M205" s="1215"/>
      <c r="N205" s="1215" t="s">
        <v>535</v>
      </c>
      <c r="O205" s="1215" t="s">
        <v>535</v>
      </c>
      <c r="P205" s="1215" t="s">
        <v>535</v>
      </c>
      <c r="Q205" s="1215" t="s">
        <v>535</v>
      </c>
      <c r="R205" s="1335" t="s">
        <v>535</v>
      </c>
      <c r="S205" s="1215"/>
      <c r="T205" s="1215"/>
      <c r="U205" s="1215" t="s">
        <v>535</v>
      </c>
      <c r="V205" s="1215" t="s">
        <v>535</v>
      </c>
      <c r="W205" s="1215" t="s">
        <v>535</v>
      </c>
      <c r="X205" s="1215" t="s">
        <v>535</v>
      </c>
      <c r="Y205" s="1215" t="s">
        <v>535</v>
      </c>
      <c r="Z205" s="1215"/>
      <c r="AA205" s="1215"/>
      <c r="AB205" s="1215" t="s">
        <v>535</v>
      </c>
      <c r="AC205" s="1215" t="s">
        <v>535</v>
      </c>
      <c r="AD205" s="1215" t="s">
        <v>535</v>
      </c>
      <c r="AE205" s="1215" t="s">
        <v>535</v>
      </c>
      <c r="AF205" s="1215" t="s">
        <v>535</v>
      </c>
      <c r="AG205" s="1215"/>
      <c r="AH205" s="603">
        <v>82</v>
      </c>
      <c r="AI205" s="604">
        <v>37</v>
      </c>
    </row>
    <row r="206" spans="1:35" ht="21.95" customHeight="1">
      <c r="A206" s="442">
        <v>3701</v>
      </c>
      <c r="B206" s="1236" t="s">
        <v>350</v>
      </c>
      <c r="C206" s="1346" t="s">
        <v>535</v>
      </c>
      <c r="D206" s="1346" t="s">
        <v>535</v>
      </c>
      <c r="E206" s="1215"/>
      <c r="F206" s="1215"/>
      <c r="G206" s="1215" t="s">
        <v>535</v>
      </c>
      <c r="H206" s="1215" t="s">
        <v>535</v>
      </c>
      <c r="I206" s="1215" t="s">
        <v>535</v>
      </c>
      <c r="J206" s="1215" t="s">
        <v>535</v>
      </c>
      <c r="K206" s="1335" t="s">
        <v>535</v>
      </c>
      <c r="L206" s="1215"/>
      <c r="M206" s="1215"/>
      <c r="N206" s="1215" t="s">
        <v>535</v>
      </c>
      <c r="O206" s="1215" t="s">
        <v>535</v>
      </c>
      <c r="P206" s="1215" t="s">
        <v>535</v>
      </c>
      <c r="Q206" s="1215" t="s">
        <v>535</v>
      </c>
      <c r="R206" s="1215" t="s">
        <v>535</v>
      </c>
      <c r="S206" s="1215"/>
      <c r="T206" s="1215"/>
      <c r="U206" s="1215" t="s">
        <v>535</v>
      </c>
      <c r="V206" s="1215" t="s">
        <v>535</v>
      </c>
      <c r="W206" s="1215" t="s">
        <v>535</v>
      </c>
      <c r="X206" s="1215" t="s">
        <v>535</v>
      </c>
      <c r="Y206" s="1215" t="s">
        <v>535</v>
      </c>
      <c r="Z206" s="1215"/>
      <c r="AA206" s="1215"/>
      <c r="AB206" s="1215">
        <v>19</v>
      </c>
      <c r="AC206" s="1215">
        <v>19</v>
      </c>
      <c r="AD206" s="1215">
        <v>19</v>
      </c>
      <c r="AE206" s="1215">
        <v>19</v>
      </c>
      <c r="AF206" s="1215">
        <v>19</v>
      </c>
      <c r="AG206" s="1215"/>
      <c r="AH206" s="603">
        <v>82</v>
      </c>
      <c r="AI206" s="604">
        <v>37</v>
      </c>
    </row>
    <row r="207" spans="1:35" ht="21.95" customHeight="1">
      <c r="A207" s="442">
        <v>3701</v>
      </c>
      <c r="B207" s="1236" t="s">
        <v>351</v>
      </c>
      <c r="C207" s="1215">
        <v>19</v>
      </c>
      <c r="D207" s="1215">
        <v>19</v>
      </c>
      <c r="E207" s="1215"/>
      <c r="F207" s="1215"/>
      <c r="G207" s="1215" t="s">
        <v>535</v>
      </c>
      <c r="H207" s="1215" t="s">
        <v>535</v>
      </c>
      <c r="I207" s="1215" t="s">
        <v>535</v>
      </c>
      <c r="J207" s="1215" t="s">
        <v>535</v>
      </c>
      <c r="K207" s="1215" t="s">
        <v>535</v>
      </c>
      <c r="L207" s="1215"/>
      <c r="M207" s="1215"/>
      <c r="N207" s="1215" t="s">
        <v>535</v>
      </c>
      <c r="O207" s="1215" t="s">
        <v>535</v>
      </c>
      <c r="P207" s="1215" t="s">
        <v>535</v>
      </c>
      <c r="Q207" s="1215" t="s">
        <v>535</v>
      </c>
      <c r="R207" s="1215" t="s">
        <v>535</v>
      </c>
      <c r="S207" s="1215"/>
      <c r="T207" s="1215"/>
      <c r="U207" s="1215" t="s">
        <v>535</v>
      </c>
      <c r="V207" s="1215" t="s">
        <v>535</v>
      </c>
      <c r="W207" s="1215" t="s">
        <v>535</v>
      </c>
      <c r="X207" s="1215" t="s">
        <v>535</v>
      </c>
      <c r="Y207" s="1215" t="s">
        <v>535</v>
      </c>
      <c r="Z207" s="1215"/>
      <c r="AA207" s="1215"/>
      <c r="AB207" s="1215" t="s">
        <v>535</v>
      </c>
      <c r="AC207" s="1215" t="s">
        <v>535</v>
      </c>
      <c r="AD207" s="1215" t="s">
        <v>535</v>
      </c>
      <c r="AE207" s="1215" t="s">
        <v>535</v>
      </c>
      <c r="AF207" s="1215" t="s">
        <v>535</v>
      </c>
      <c r="AG207" s="1215"/>
      <c r="AH207" s="603">
        <v>39</v>
      </c>
      <c r="AI207" s="604">
        <v>37</v>
      </c>
    </row>
    <row r="208" spans="1:35" ht="21.95" customHeight="1">
      <c r="A208" s="442">
        <v>3701</v>
      </c>
      <c r="B208" s="1236" t="s">
        <v>571</v>
      </c>
      <c r="C208" s="1215" t="s">
        <v>535</v>
      </c>
      <c r="D208" s="1215" t="s">
        <v>535</v>
      </c>
      <c r="E208" s="1215"/>
      <c r="F208" s="1215"/>
      <c r="G208" s="1215" t="s">
        <v>535</v>
      </c>
      <c r="H208" s="1335" t="s">
        <v>535</v>
      </c>
      <c r="I208" s="1215" t="s">
        <v>535</v>
      </c>
      <c r="J208" s="1335" t="s">
        <v>535</v>
      </c>
      <c r="K208" s="1215" t="s">
        <v>535</v>
      </c>
      <c r="L208" s="1215"/>
      <c r="M208" s="1215"/>
      <c r="N208" s="1215">
        <v>19</v>
      </c>
      <c r="O208" s="1215">
        <v>19</v>
      </c>
      <c r="P208" s="1215">
        <v>19</v>
      </c>
      <c r="Q208" s="1215">
        <v>19</v>
      </c>
      <c r="R208" s="1215">
        <v>19</v>
      </c>
      <c r="S208" s="1215"/>
      <c r="T208" s="1215"/>
      <c r="U208" s="1215" t="s">
        <v>535</v>
      </c>
      <c r="V208" s="1215" t="s">
        <v>535</v>
      </c>
      <c r="W208" s="1215" t="s">
        <v>535</v>
      </c>
      <c r="X208" s="1215" t="s">
        <v>535</v>
      </c>
      <c r="Y208" s="1215" t="s">
        <v>535</v>
      </c>
      <c r="Z208" s="1215"/>
      <c r="AA208" s="1215"/>
      <c r="AB208" s="1215" t="s">
        <v>535</v>
      </c>
      <c r="AC208" s="1215" t="s">
        <v>535</v>
      </c>
      <c r="AD208" s="1215" t="s">
        <v>535</v>
      </c>
      <c r="AE208" s="1215" t="s">
        <v>535</v>
      </c>
      <c r="AF208" s="1215" t="s">
        <v>535</v>
      </c>
      <c r="AG208" s="1215"/>
      <c r="AH208" s="603">
        <v>45</v>
      </c>
      <c r="AI208" s="604">
        <v>37</v>
      </c>
    </row>
    <row r="209" spans="1:35" ht="21.95" customHeight="1">
      <c r="A209" s="442">
        <v>3701</v>
      </c>
      <c r="B209" s="545" t="s">
        <v>572</v>
      </c>
      <c r="C209" s="1215" t="s">
        <v>535</v>
      </c>
      <c r="D209" s="1215" t="s">
        <v>535</v>
      </c>
      <c r="E209" s="1215"/>
      <c r="F209" s="1215"/>
      <c r="G209" s="1215" t="s">
        <v>535</v>
      </c>
      <c r="H209" s="1215" t="s">
        <v>535</v>
      </c>
      <c r="I209" s="1215" t="s">
        <v>535</v>
      </c>
      <c r="J209" s="1215" t="s">
        <v>535</v>
      </c>
      <c r="K209" s="1215" t="s">
        <v>535</v>
      </c>
      <c r="L209" s="1444"/>
      <c r="M209" s="1215"/>
      <c r="N209" s="1444" t="s">
        <v>535</v>
      </c>
      <c r="O209" s="1444" t="s">
        <v>535</v>
      </c>
      <c r="P209" s="1444" t="s">
        <v>535</v>
      </c>
      <c r="Q209" s="1215" t="s">
        <v>535</v>
      </c>
      <c r="R209" s="1215" t="s">
        <v>535</v>
      </c>
      <c r="S209" s="1215"/>
      <c r="T209" s="1215"/>
      <c r="U209" s="1338" t="s">
        <v>535</v>
      </c>
      <c r="V209" s="1338" t="s">
        <v>535</v>
      </c>
      <c r="W209" s="1338" t="s">
        <v>535</v>
      </c>
      <c r="X209" s="1338" t="s">
        <v>535</v>
      </c>
      <c r="Y209" s="1338" t="s">
        <v>535</v>
      </c>
      <c r="Z209" s="1338"/>
      <c r="AA209" s="1338"/>
      <c r="AB209" s="1338" t="s">
        <v>535</v>
      </c>
      <c r="AC209" s="1338" t="s">
        <v>535</v>
      </c>
      <c r="AD209" s="1338" t="s">
        <v>535</v>
      </c>
      <c r="AE209" s="1338" t="s">
        <v>535</v>
      </c>
      <c r="AF209" s="1338" t="s">
        <v>535</v>
      </c>
      <c r="AG209" s="1338"/>
      <c r="AH209" s="603">
        <v>74</v>
      </c>
      <c r="AI209" s="604">
        <v>37</v>
      </c>
    </row>
    <row r="210" spans="1:35" ht="21.95" customHeight="1">
      <c r="A210" s="1318">
        <v>3701</v>
      </c>
      <c r="B210" s="1319" t="s">
        <v>573</v>
      </c>
      <c r="C210" s="1346" t="s">
        <v>535</v>
      </c>
      <c r="D210" s="1346" t="s">
        <v>535</v>
      </c>
      <c r="E210" s="1215"/>
      <c r="F210" s="1215"/>
      <c r="G210" s="1215" t="s">
        <v>535</v>
      </c>
      <c r="H210" s="1215" t="s">
        <v>535</v>
      </c>
      <c r="I210" s="1215" t="s">
        <v>535</v>
      </c>
      <c r="J210" s="1215" t="s">
        <v>535</v>
      </c>
      <c r="K210" s="1215" t="s">
        <v>535</v>
      </c>
      <c r="L210" s="1215"/>
      <c r="M210" s="1215"/>
      <c r="N210" s="1215" t="s">
        <v>535</v>
      </c>
      <c r="O210" s="1215" t="s">
        <v>535</v>
      </c>
      <c r="P210" s="1215" t="s">
        <v>535</v>
      </c>
      <c r="Q210" s="1215" t="s">
        <v>535</v>
      </c>
      <c r="R210" s="1215" t="s">
        <v>535</v>
      </c>
      <c r="S210" s="1215"/>
      <c r="T210" s="1215"/>
      <c r="U210" s="1215">
        <v>19</v>
      </c>
      <c r="V210" s="1215">
        <v>19</v>
      </c>
      <c r="W210" s="1215">
        <v>19</v>
      </c>
      <c r="X210" s="1215">
        <v>19</v>
      </c>
      <c r="Y210" s="1215">
        <v>19</v>
      </c>
      <c r="Z210" s="1215"/>
      <c r="AA210" s="1215"/>
      <c r="AB210" s="1215" t="s">
        <v>535</v>
      </c>
      <c r="AC210" s="1215" t="s">
        <v>535</v>
      </c>
      <c r="AD210" s="1215" t="s">
        <v>535</v>
      </c>
      <c r="AE210" s="1215" t="s">
        <v>535</v>
      </c>
      <c r="AF210" s="1215" t="s">
        <v>535</v>
      </c>
      <c r="AG210" s="1215"/>
      <c r="AH210" s="603">
        <v>87</v>
      </c>
      <c r="AI210" s="604">
        <v>37</v>
      </c>
    </row>
    <row r="211" spans="1:35" ht="21.95" customHeight="1">
      <c r="A211" s="442">
        <v>3701</v>
      </c>
      <c r="B211" s="1236" t="s">
        <v>574</v>
      </c>
      <c r="C211" s="1338" t="s">
        <v>535</v>
      </c>
      <c r="D211" s="1338" t="s">
        <v>535</v>
      </c>
      <c r="E211" s="1338"/>
      <c r="F211" s="1338"/>
      <c r="G211" s="1215" t="s">
        <v>535</v>
      </c>
      <c r="H211" s="1215" t="s">
        <v>535</v>
      </c>
      <c r="I211" s="1215" t="s">
        <v>535</v>
      </c>
      <c r="J211" s="1215" t="s">
        <v>535</v>
      </c>
      <c r="K211" s="1215" t="s">
        <v>535</v>
      </c>
      <c r="L211" s="1215"/>
      <c r="M211" s="1215"/>
      <c r="N211" s="1215" t="s">
        <v>535</v>
      </c>
      <c r="O211" s="1215" t="s">
        <v>535</v>
      </c>
      <c r="P211" s="1215" t="s">
        <v>535</v>
      </c>
      <c r="Q211" s="1215" t="s">
        <v>535</v>
      </c>
      <c r="R211" s="1215" t="s">
        <v>535</v>
      </c>
      <c r="S211" s="1215"/>
      <c r="T211" s="1215"/>
      <c r="U211" s="1215" t="s">
        <v>535</v>
      </c>
      <c r="V211" s="1215" t="s">
        <v>535</v>
      </c>
      <c r="W211" s="1215" t="s">
        <v>535</v>
      </c>
      <c r="X211" s="1215" t="s">
        <v>535</v>
      </c>
      <c r="Y211" s="1215" t="s">
        <v>535</v>
      </c>
      <c r="Z211" s="1215"/>
      <c r="AA211" s="1215"/>
      <c r="AB211" s="1215" t="s">
        <v>535</v>
      </c>
      <c r="AC211" s="1215" t="s">
        <v>535</v>
      </c>
      <c r="AD211" s="1215" t="s">
        <v>535</v>
      </c>
      <c r="AE211" s="1215" t="s">
        <v>535</v>
      </c>
      <c r="AF211" s="1215" t="s">
        <v>535</v>
      </c>
      <c r="AG211" s="1215"/>
      <c r="AH211" s="603">
        <v>74</v>
      </c>
      <c r="AI211" s="604">
        <v>37</v>
      </c>
    </row>
    <row r="212" spans="1:35" ht="21.95" customHeight="1">
      <c r="A212" s="442">
        <v>3701</v>
      </c>
      <c r="B212" s="1239" t="s">
        <v>575</v>
      </c>
      <c r="C212" s="1215" t="s">
        <v>535</v>
      </c>
      <c r="D212" s="1215" t="s">
        <v>535</v>
      </c>
      <c r="E212" s="1215"/>
      <c r="F212" s="1215"/>
      <c r="G212" s="1215" t="s">
        <v>535</v>
      </c>
      <c r="H212" s="1215" t="s">
        <v>535</v>
      </c>
      <c r="I212" s="1215" t="s">
        <v>535</v>
      </c>
      <c r="J212" s="1215" t="s">
        <v>535</v>
      </c>
      <c r="K212" s="1215" t="s">
        <v>535</v>
      </c>
      <c r="L212" s="1215"/>
      <c r="M212" s="1215"/>
      <c r="N212" s="1215" t="s">
        <v>535</v>
      </c>
      <c r="O212" s="1215" t="s">
        <v>535</v>
      </c>
      <c r="P212" s="1215" t="s">
        <v>535</v>
      </c>
      <c r="Q212" s="1215" t="s">
        <v>535</v>
      </c>
      <c r="R212" s="1215" t="s">
        <v>535</v>
      </c>
      <c r="S212" s="1215"/>
      <c r="T212" s="1215"/>
      <c r="U212" s="1215" t="s">
        <v>535</v>
      </c>
      <c r="V212" s="1215" t="s">
        <v>535</v>
      </c>
      <c r="W212" s="1215" t="s">
        <v>535</v>
      </c>
      <c r="X212" s="1215" t="s">
        <v>535</v>
      </c>
      <c r="Y212" s="1215" t="s">
        <v>535</v>
      </c>
      <c r="Z212" s="1215"/>
      <c r="AA212" s="1215"/>
      <c r="AB212" s="1215" t="s">
        <v>535</v>
      </c>
      <c r="AC212" s="1215" t="s">
        <v>535</v>
      </c>
      <c r="AD212" s="1215" t="s">
        <v>535</v>
      </c>
      <c r="AE212" s="1215" t="s">
        <v>535</v>
      </c>
      <c r="AF212" s="1215" t="s">
        <v>535</v>
      </c>
      <c r="AG212" s="1215"/>
      <c r="AH212" s="603">
        <v>87</v>
      </c>
      <c r="AI212" s="604">
        <v>37</v>
      </c>
    </row>
    <row r="213" spans="1:35" ht="21.95" customHeight="1">
      <c r="A213" s="442">
        <v>3701</v>
      </c>
      <c r="B213" s="1240" t="s">
        <v>576</v>
      </c>
      <c r="C213" s="1215" t="s">
        <v>535</v>
      </c>
      <c r="D213" s="1215" t="s">
        <v>535</v>
      </c>
      <c r="E213" s="1215"/>
      <c r="F213" s="1215"/>
      <c r="G213" s="1215" t="s">
        <v>535</v>
      </c>
      <c r="H213" s="1215" t="s">
        <v>535</v>
      </c>
      <c r="I213" s="1215" t="s">
        <v>535</v>
      </c>
      <c r="J213" s="1215" t="s">
        <v>535</v>
      </c>
      <c r="K213" s="1215" t="s">
        <v>535</v>
      </c>
      <c r="L213" s="1215"/>
      <c r="M213" s="1215"/>
      <c r="N213" s="1215" t="s">
        <v>535</v>
      </c>
      <c r="O213" s="1215" t="s">
        <v>535</v>
      </c>
      <c r="P213" s="1215" t="s">
        <v>535</v>
      </c>
      <c r="Q213" s="1215" t="s">
        <v>535</v>
      </c>
      <c r="R213" s="1215" t="s">
        <v>535</v>
      </c>
      <c r="S213" s="1215"/>
      <c r="T213" s="1215"/>
      <c r="U213" s="1392" t="s">
        <v>535</v>
      </c>
      <c r="V213" s="1392" t="s">
        <v>535</v>
      </c>
      <c r="W213" s="1392" t="s">
        <v>570</v>
      </c>
      <c r="X213" s="1344" t="s">
        <v>535</v>
      </c>
      <c r="Y213" s="1344" t="s">
        <v>535</v>
      </c>
      <c r="Z213" s="1344"/>
      <c r="AA213" s="1344"/>
      <c r="AB213" s="1338" t="s">
        <v>535</v>
      </c>
      <c r="AC213" s="1338" t="s">
        <v>535</v>
      </c>
      <c r="AD213" s="1338" t="s">
        <v>535</v>
      </c>
      <c r="AE213" s="1338" t="s">
        <v>535</v>
      </c>
      <c r="AF213" s="1338" t="s">
        <v>535</v>
      </c>
      <c r="AG213" s="1544"/>
      <c r="AH213" s="603">
        <v>148</v>
      </c>
      <c r="AI213" s="604">
        <v>37</v>
      </c>
    </row>
    <row r="214" spans="1:35" ht="21.95" customHeight="1">
      <c r="A214" s="903">
        <v>3701</v>
      </c>
      <c r="B214" s="1240"/>
      <c r="C214" s="1344"/>
      <c r="D214" s="1344"/>
      <c r="E214" s="1344"/>
      <c r="F214" s="1344"/>
      <c r="G214" s="1344"/>
      <c r="H214" s="1344"/>
      <c r="I214" s="1344"/>
      <c r="J214" s="1344"/>
      <c r="K214" s="1344"/>
      <c r="L214" s="1344"/>
      <c r="M214" s="1344"/>
      <c r="N214" s="1344"/>
      <c r="O214" s="1344"/>
      <c r="P214" s="1344"/>
      <c r="Q214" s="1344"/>
      <c r="R214" s="1344"/>
      <c r="S214" s="1344"/>
      <c r="T214" s="1344"/>
      <c r="U214" s="1344"/>
      <c r="V214" s="1344"/>
      <c r="W214" s="1344"/>
      <c r="X214" s="1344"/>
      <c r="Y214" s="1344"/>
      <c r="Z214" s="1344"/>
      <c r="AA214" s="1344"/>
      <c r="AB214" s="1344"/>
      <c r="AC214" s="1344"/>
      <c r="AD214" s="1344"/>
      <c r="AE214" s="1344"/>
      <c r="AF214" s="1344"/>
      <c r="AG214" s="1461"/>
      <c r="AH214" s="904"/>
      <c r="AI214" s="904"/>
    </row>
    <row r="215" spans="1:35" ht="21.95" customHeight="1">
      <c r="A215" s="578"/>
      <c r="B215" s="621"/>
      <c r="C215" s="559"/>
      <c r="D215" s="559"/>
      <c r="E215" s="559"/>
      <c r="F215" s="559"/>
      <c r="G215" s="559"/>
      <c r="H215" s="559"/>
      <c r="I215" s="559"/>
      <c r="J215" s="559"/>
      <c r="K215" s="520"/>
      <c r="L215" s="559"/>
      <c r="M215" s="559"/>
      <c r="N215" s="559"/>
      <c r="O215" s="559"/>
      <c r="P215" s="541"/>
      <c r="Q215" s="541"/>
      <c r="R215" s="541"/>
      <c r="S215" s="559"/>
      <c r="T215" s="559"/>
      <c r="U215" s="559"/>
      <c r="V215" s="559"/>
      <c r="W215" s="559"/>
      <c r="X215" s="559"/>
      <c r="Y215" s="559"/>
      <c r="Z215" s="559"/>
      <c r="AA215" s="559"/>
      <c r="AB215" s="559"/>
      <c r="AC215" s="559"/>
      <c r="AD215" s="559"/>
      <c r="AE215" s="559"/>
      <c r="AF215" s="559"/>
      <c r="AG215" s="559"/>
      <c r="AH215" s="560"/>
      <c r="AI215" s="560"/>
    </row>
    <row r="216" spans="1:35" ht="21" customHeight="1" thickBot="1">
      <c r="A216" s="1" t="s">
        <v>577</v>
      </c>
    </row>
    <row r="217" spans="1:35" ht="21" customHeight="1">
      <c r="B217" s="201" t="s">
        <v>516</v>
      </c>
      <c r="C217" s="7"/>
      <c r="D217" s="525" t="s">
        <v>2</v>
      </c>
      <c r="E217" s="51"/>
      <c r="F217" s="551"/>
      <c r="G217" s="7"/>
      <c r="H217" s="525" t="s">
        <v>3</v>
      </c>
      <c r="I217" s="51"/>
      <c r="J217" s="551"/>
      <c r="K217" s="7"/>
      <c r="L217" s="525" t="s">
        <v>4</v>
      </c>
      <c r="M217" s="51"/>
      <c r="N217" s="551"/>
      <c r="O217" s="7"/>
      <c r="P217" s="525" t="s">
        <v>5</v>
      </c>
      <c r="Q217" s="51"/>
      <c r="R217" s="551"/>
      <c r="S217" s="7"/>
      <c r="T217" s="525" t="s">
        <v>6</v>
      </c>
      <c r="U217" s="51"/>
      <c r="V217" s="551"/>
      <c r="W217" s="7"/>
      <c r="X217" s="525" t="s">
        <v>7</v>
      </c>
      <c r="Y217" s="51"/>
      <c r="Z217" s="551"/>
      <c r="AA217" s="7"/>
      <c r="AB217" s="525" t="s">
        <v>8</v>
      </c>
      <c r="AC217" s="51"/>
      <c r="AD217" s="51"/>
      <c r="AE217" s="425" t="s">
        <v>10</v>
      </c>
      <c r="AF217" s="51"/>
      <c r="AG217" s="51"/>
      <c r="AH217" s="51"/>
      <c r="AI217" s="526"/>
    </row>
    <row r="218" spans="1:35" ht="21" customHeight="1">
      <c r="B218" s="9">
        <v>8502</v>
      </c>
      <c r="C218" s="14" t="s">
        <v>11</v>
      </c>
      <c r="D218" s="609"/>
      <c r="E218" s="55"/>
      <c r="F218" s="608"/>
      <c r="G218" s="14" t="s">
        <v>11</v>
      </c>
      <c r="H218" s="609"/>
      <c r="I218" s="55"/>
      <c r="J218" s="608"/>
      <c r="K218" s="14" t="s">
        <v>11</v>
      </c>
      <c r="L218" s="609"/>
      <c r="M218" s="55"/>
      <c r="N218" s="608"/>
      <c r="O218" s="14" t="s">
        <v>11</v>
      </c>
      <c r="P218" s="609"/>
      <c r="Q218" s="55"/>
      <c r="R218" s="608"/>
      <c r="S218" s="14" t="s">
        <v>12</v>
      </c>
      <c r="T218" s="609"/>
      <c r="U218" s="55"/>
      <c r="V218" s="608"/>
      <c r="W218" s="14"/>
      <c r="X218" s="609"/>
      <c r="Y218" s="55"/>
      <c r="Z218" s="608"/>
      <c r="AA218" s="14"/>
      <c r="AB218" s="609"/>
      <c r="AC218" s="55"/>
      <c r="AD218" s="55"/>
      <c r="AE218" s="610"/>
      <c r="AF218" s="55"/>
      <c r="AG218" s="55"/>
      <c r="AH218" s="55"/>
      <c r="AI218" s="611"/>
    </row>
    <row r="219" spans="1:35" ht="21" customHeight="1">
      <c r="B219" s="612">
        <v>3701</v>
      </c>
      <c r="C219" s="121" t="s">
        <v>11</v>
      </c>
      <c r="D219" s="131"/>
      <c r="E219" s="55"/>
      <c r="F219" s="608"/>
      <c r="G219" s="121" t="s">
        <v>11</v>
      </c>
      <c r="H219" s="609"/>
      <c r="I219" s="55"/>
      <c r="J219" s="608"/>
      <c r="K219" s="121" t="s">
        <v>11</v>
      </c>
      <c r="L219" s="609"/>
      <c r="M219" s="55"/>
      <c r="N219" s="608"/>
      <c r="O219" s="121" t="s">
        <v>11</v>
      </c>
      <c r="P219" s="609"/>
      <c r="Q219" s="55"/>
      <c r="R219" s="608"/>
      <c r="S219" s="14" t="s">
        <v>12</v>
      </c>
      <c r="T219" s="609"/>
      <c r="U219" s="55"/>
      <c r="V219" s="608"/>
      <c r="W219" s="14"/>
      <c r="X219" s="609"/>
      <c r="Y219" s="55"/>
      <c r="Z219" s="608"/>
      <c r="AA219" s="14"/>
      <c r="AB219" s="609"/>
      <c r="AC219" s="55"/>
      <c r="AD219" s="55"/>
      <c r="AE219" s="610"/>
      <c r="AF219" s="55"/>
      <c r="AG219" s="55"/>
      <c r="AH219" s="55"/>
      <c r="AI219" s="611"/>
    </row>
    <row r="220" spans="1:35" ht="21" customHeight="1">
      <c r="B220" s="612">
        <v>3705</v>
      </c>
      <c r="C220" s="121" t="s">
        <v>147</v>
      </c>
      <c r="D220" s="131"/>
      <c r="E220" s="55"/>
      <c r="F220" s="608"/>
      <c r="G220" s="121" t="s">
        <v>147</v>
      </c>
      <c r="H220" s="609"/>
      <c r="I220" s="55"/>
      <c r="J220" s="608"/>
      <c r="K220" s="121" t="s">
        <v>147</v>
      </c>
      <c r="L220" s="609"/>
      <c r="M220" s="55"/>
      <c r="N220" s="608"/>
      <c r="O220" s="121" t="s">
        <v>147</v>
      </c>
      <c r="P220" s="609"/>
      <c r="Q220" s="55"/>
      <c r="R220" s="608"/>
      <c r="S220" s="121" t="s">
        <v>578</v>
      </c>
      <c r="T220" s="609"/>
      <c r="U220" s="55"/>
      <c r="V220" s="608"/>
      <c r="W220" s="14"/>
      <c r="X220" s="609"/>
      <c r="Y220" s="55"/>
      <c r="Z220" s="608"/>
      <c r="AA220" s="14"/>
      <c r="AB220" s="609"/>
      <c r="AC220" s="55"/>
      <c r="AD220" s="55"/>
      <c r="AE220" s="610"/>
      <c r="AF220" s="55"/>
      <c r="AG220" s="55"/>
      <c r="AH220" s="55"/>
      <c r="AI220" s="611"/>
    </row>
    <row r="221" spans="1:35" ht="21" customHeight="1">
      <c r="B221" s="612" t="s">
        <v>579</v>
      </c>
      <c r="C221" s="567" t="s">
        <v>580</v>
      </c>
      <c r="D221" s="131"/>
      <c r="E221" s="55"/>
      <c r="F221" s="608"/>
      <c r="G221" s="567" t="s">
        <v>580</v>
      </c>
      <c r="H221" s="609"/>
      <c r="I221" s="55"/>
      <c r="J221" s="608"/>
      <c r="K221" s="567" t="s">
        <v>580</v>
      </c>
      <c r="L221" s="609"/>
      <c r="M221" s="55"/>
      <c r="N221" s="608"/>
      <c r="O221" s="567" t="s">
        <v>580</v>
      </c>
      <c r="P221" s="609"/>
      <c r="Q221" s="55"/>
      <c r="R221" s="608"/>
      <c r="S221" s="567" t="s">
        <v>580</v>
      </c>
      <c r="T221" s="609"/>
      <c r="U221" s="55"/>
      <c r="V221" s="608"/>
      <c r="W221" s="14"/>
      <c r="X221" s="609"/>
      <c r="Y221" s="55"/>
      <c r="Z221" s="608"/>
      <c r="AA221" s="14"/>
      <c r="AB221" s="609"/>
      <c r="AC221" s="55"/>
      <c r="AD221" s="55"/>
      <c r="AE221" s="610"/>
      <c r="AF221" s="55"/>
      <c r="AG221" s="55"/>
      <c r="AH221" s="55"/>
      <c r="AI221" s="611"/>
    </row>
    <row r="222" spans="1:35" ht="21" customHeight="1">
      <c r="B222" s="612" t="s">
        <v>581</v>
      </c>
      <c r="C222" s="567" t="s">
        <v>582</v>
      </c>
      <c r="D222" s="131"/>
      <c r="E222" s="55"/>
      <c r="F222" s="608"/>
      <c r="G222" s="609" t="s">
        <v>583</v>
      </c>
      <c r="H222" s="609"/>
      <c r="I222" s="55"/>
      <c r="J222" s="608"/>
      <c r="K222" s="609" t="s">
        <v>584</v>
      </c>
      <c r="L222" s="609"/>
      <c r="M222" s="55"/>
      <c r="N222" s="608"/>
      <c r="O222" s="609" t="s">
        <v>584</v>
      </c>
      <c r="P222" s="609"/>
      <c r="Q222" s="55"/>
      <c r="R222" s="608"/>
      <c r="S222" s="609" t="s">
        <v>585</v>
      </c>
      <c r="T222" s="609"/>
      <c r="U222" s="55"/>
      <c r="V222" s="608"/>
      <c r="W222" s="14"/>
      <c r="X222" s="609"/>
      <c r="Y222" s="55"/>
      <c r="Z222" s="608"/>
      <c r="AA222" s="14"/>
      <c r="AB222" s="609"/>
      <c r="AC222" s="55"/>
      <c r="AD222" s="55"/>
      <c r="AE222" s="610"/>
      <c r="AF222" s="55"/>
      <c r="AG222" s="55"/>
      <c r="AH222" s="55"/>
      <c r="AI222" s="611"/>
    </row>
    <row r="223" spans="1:35" ht="21" customHeight="1">
      <c r="B223" s="612" t="s">
        <v>164</v>
      </c>
      <c r="C223" s="567" t="s">
        <v>518</v>
      </c>
      <c r="D223" s="131"/>
      <c r="E223" s="55"/>
      <c r="F223" s="608"/>
      <c r="G223" s="567" t="s">
        <v>518</v>
      </c>
      <c r="H223" s="131"/>
      <c r="I223" s="55"/>
      <c r="J223" s="608"/>
      <c r="K223" s="567" t="s">
        <v>518</v>
      </c>
      <c r="L223" s="131"/>
      <c r="M223" s="55"/>
      <c r="N223" s="608"/>
      <c r="O223" s="567" t="s">
        <v>518</v>
      </c>
      <c r="P223" s="131"/>
      <c r="Q223" s="55"/>
      <c r="R223" s="608"/>
      <c r="S223" s="609" t="s">
        <v>519</v>
      </c>
      <c r="T223" s="609"/>
      <c r="U223" s="55"/>
      <c r="V223" s="608"/>
      <c r="W223" s="14"/>
      <c r="X223" s="609"/>
      <c r="Y223" s="55"/>
      <c r="Z223" s="608"/>
      <c r="AA223" s="14"/>
      <c r="AB223" s="609"/>
      <c r="AC223" s="55"/>
      <c r="AD223" s="55"/>
      <c r="AE223" s="610"/>
      <c r="AF223" s="55"/>
      <c r="AG223" s="55"/>
      <c r="AH223" s="55"/>
      <c r="AI223" s="611"/>
    </row>
    <row r="224" spans="1:35" ht="21" customHeight="1">
      <c r="B224" s="612" t="s">
        <v>167</v>
      </c>
      <c r="C224" s="567" t="s">
        <v>521</v>
      </c>
      <c r="D224" s="131"/>
      <c r="E224" s="55"/>
      <c r="F224" s="608"/>
      <c r="G224" s="567" t="s">
        <v>521</v>
      </c>
      <c r="H224" s="131"/>
      <c r="I224" s="55"/>
      <c r="J224" s="608"/>
      <c r="K224" s="567" t="s">
        <v>521</v>
      </c>
      <c r="L224" s="131"/>
      <c r="M224" s="55"/>
      <c r="N224" s="608"/>
      <c r="O224" s="567" t="s">
        <v>521</v>
      </c>
      <c r="P224" s="131"/>
      <c r="Q224" s="55"/>
      <c r="R224" s="608"/>
      <c r="S224" s="609" t="s">
        <v>522</v>
      </c>
      <c r="T224" s="609"/>
      <c r="U224" s="55"/>
      <c r="V224" s="608"/>
      <c r="W224" s="14"/>
      <c r="X224" s="609"/>
      <c r="Y224" s="55"/>
      <c r="Z224" s="608"/>
      <c r="AA224" s="14"/>
      <c r="AB224" s="609"/>
      <c r="AC224" s="55"/>
      <c r="AD224" s="55"/>
      <c r="AE224" s="610"/>
      <c r="AF224" s="55"/>
      <c r="AG224" s="55"/>
      <c r="AH224" s="55"/>
      <c r="AI224" s="611"/>
    </row>
    <row r="225" spans="1:35" ht="21" customHeight="1" thickBot="1">
      <c r="B225" s="617" t="s">
        <v>170</v>
      </c>
      <c r="C225" s="574" t="s">
        <v>524</v>
      </c>
      <c r="D225" s="48"/>
      <c r="E225" s="622"/>
      <c r="F225" s="240"/>
      <c r="G225" s="574" t="s">
        <v>524</v>
      </c>
      <c r="H225" s="48"/>
      <c r="I225" s="622"/>
      <c r="J225" s="240"/>
      <c r="K225" s="574" t="s">
        <v>524</v>
      </c>
      <c r="L225" s="48"/>
      <c r="M225" s="622"/>
      <c r="N225" s="240"/>
      <c r="O225" s="574" t="s">
        <v>524</v>
      </c>
      <c r="P225" s="48"/>
      <c r="Q225" s="622"/>
      <c r="R225" s="240"/>
      <c r="S225" s="149" t="s">
        <v>525</v>
      </c>
      <c r="T225" s="149"/>
      <c r="U225" s="622"/>
      <c r="V225" s="240"/>
      <c r="W225" s="623"/>
      <c r="X225" s="149"/>
      <c r="Y225" s="622"/>
      <c r="Z225" s="240"/>
      <c r="AA225" s="623"/>
      <c r="AB225" s="149"/>
      <c r="AC225" s="622"/>
      <c r="AD225" s="622"/>
      <c r="AE225" s="624"/>
      <c r="AF225" s="622"/>
      <c r="AG225" s="622"/>
      <c r="AH225" s="622"/>
      <c r="AI225" s="625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6" t="s">
        <v>586</v>
      </c>
    </row>
    <row r="228" spans="1:35" ht="21" customHeight="1">
      <c r="A228" s="556"/>
      <c r="B228" s="297" t="s">
        <v>480</v>
      </c>
      <c r="C228" s="1234">
        <v>1</v>
      </c>
      <c r="D228" s="1234">
        <v>2</v>
      </c>
      <c r="E228" s="1235">
        <v>3</v>
      </c>
      <c r="F228" s="1235">
        <v>4</v>
      </c>
      <c r="G228" s="1234">
        <v>5</v>
      </c>
      <c r="H228" s="1234">
        <v>6</v>
      </c>
      <c r="I228" s="1213">
        <v>7</v>
      </c>
      <c r="J228" s="1213">
        <v>8</v>
      </c>
      <c r="K228" s="1234">
        <v>9</v>
      </c>
      <c r="L228" s="1235">
        <v>10</v>
      </c>
      <c r="M228" s="1235">
        <v>11</v>
      </c>
      <c r="N228" s="1234">
        <v>12</v>
      </c>
      <c r="O228" s="1234">
        <v>13</v>
      </c>
      <c r="P228" s="1213">
        <v>14</v>
      </c>
      <c r="Q228" s="1213">
        <v>15</v>
      </c>
      <c r="R228" s="1234">
        <v>16</v>
      </c>
      <c r="S228" s="1235">
        <v>17</v>
      </c>
      <c r="T228" s="1235">
        <v>18</v>
      </c>
      <c r="U228" s="1234">
        <v>19</v>
      </c>
      <c r="V228" s="1213">
        <v>20</v>
      </c>
      <c r="W228" s="1213">
        <v>21</v>
      </c>
      <c r="X228" s="1213">
        <v>22</v>
      </c>
      <c r="Y228" s="1234">
        <v>23</v>
      </c>
      <c r="Z228" s="1235">
        <v>24</v>
      </c>
      <c r="AA228" s="1235">
        <v>25</v>
      </c>
      <c r="AB228" s="1234">
        <v>26</v>
      </c>
      <c r="AC228" s="1234">
        <v>27</v>
      </c>
      <c r="AD228" s="1213">
        <v>28</v>
      </c>
      <c r="AE228" s="1213">
        <v>29</v>
      </c>
      <c r="AF228" s="1234">
        <v>30</v>
      </c>
      <c r="AG228" s="1235">
        <v>31</v>
      </c>
      <c r="AH228" s="498" t="s">
        <v>481</v>
      </c>
      <c r="AI228" s="499" t="s">
        <v>482</v>
      </c>
    </row>
    <row r="229" spans="1:35" ht="21" customHeight="1">
      <c r="A229" s="442">
        <v>3702</v>
      </c>
      <c r="B229" s="153" t="s">
        <v>587</v>
      </c>
      <c r="C229" s="1365">
        <v>2</v>
      </c>
      <c r="D229" s="1365">
        <v>2</v>
      </c>
      <c r="E229" s="1338"/>
      <c r="F229" s="1338"/>
      <c r="G229" s="1347">
        <v>1</v>
      </c>
      <c r="H229" s="1347">
        <v>1</v>
      </c>
      <c r="I229" s="1347">
        <v>1</v>
      </c>
      <c r="J229" s="1347">
        <v>1</v>
      </c>
      <c r="K229" s="1347">
        <v>1</v>
      </c>
      <c r="L229" s="1215"/>
      <c r="M229" s="557"/>
      <c r="N229" s="557">
        <v>2</v>
      </c>
      <c r="O229" s="557">
        <v>2</v>
      </c>
      <c r="P229" s="557">
        <v>2</v>
      </c>
      <c r="Q229" s="557">
        <v>2</v>
      </c>
      <c r="R229" s="557">
        <v>2</v>
      </c>
      <c r="S229" s="1215"/>
      <c r="T229" s="1215"/>
      <c r="U229" s="557">
        <v>1</v>
      </c>
      <c r="V229" s="557">
        <v>1</v>
      </c>
      <c r="W229" s="557">
        <v>1</v>
      </c>
      <c r="X229" s="557">
        <v>1</v>
      </c>
      <c r="Y229" s="557">
        <v>1</v>
      </c>
      <c r="Z229" s="1208"/>
      <c r="AA229" s="1208"/>
      <c r="AB229" s="1208">
        <v>2</v>
      </c>
      <c r="AC229" s="1208">
        <v>2</v>
      </c>
      <c r="AD229" s="1208">
        <v>2</v>
      </c>
      <c r="AE229" s="557">
        <v>2</v>
      </c>
      <c r="AF229" s="557">
        <v>2</v>
      </c>
      <c r="AG229" s="1215"/>
      <c r="AH229" s="504">
        <v>74</v>
      </c>
      <c r="AI229" s="505">
        <v>37</v>
      </c>
    </row>
    <row r="230" spans="1:35" ht="21" customHeight="1">
      <c r="A230" s="442">
        <v>3701</v>
      </c>
      <c r="B230" s="153" t="s">
        <v>588</v>
      </c>
      <c r="C230" s="557" t="s">
        <v>535</v>
      </c>
      <c r="D230" s="557" t="s">
        <v>535</v>
      </c>
      <c r="E230" s="1215"/>
      <c r="F230" s="1215"/>
      <c r="G230" s="1365" t="s">
        <v>535</v>
      </c>
      <c r="H230" s="1365" t="s">
        <v>535</v>
      </c>
      <c r="I230" s="1365" t="s">
        <v>535</v>
      </c>
      <c r="J230" s="1365" t="s">
        <v>535</v>
      </c>
      <c r="K230" s="1365" t="s">
        <v>535</v>
      </c>
      <c r="L230" s="1338"/>
      <c r="M230" s="1365"/>
      <c r="N230" s="1365" t="s">
        <v>535</v>
      </c>
      <c r="O230" s="1365" t="s">
        <v>535</v>
      </c>
      <c r="P230" s="1365" t="s">
        <v>535</v>
      </c>
      <c r="Q230" s="1365" t="s">
        <v>535</v>
      </c>
      <c r="R230" s="1365" t="s">
        <v>535</v>
      </c>
      <c r="S230" s="1338"/>
      <c r="T230" s="1338"/>
      <c r="U230" s="1365" t="s">
        <v>535</v>
      </c>
      <c r="V230" s="1365" t="s">
        <v>535</v>
      </c>
      <c r="W230" s="1365" t="s">
        <v>535</v>
      </c>
      <c r="X230" s="1365" t="s">
        <v>535</v>
      </c>
      <c r="Y230" s="1365" t="s">
        <v>535</v>
      </c>
      <c r="Z230" s="1365"/>
      <c r="AA230" s="1365"/>
      <c r="AB230" s="1208" t="s">
        <v>535</v>
      </c>
      <c r="AC230" s="1208" t="s">
        <v>535</v>
      </c>
      <c r="AD230" s="1208" t="s">
        <v>535</v>
      </c>
      <c r="AE230" s="557" t="s">
        <v>535</v>
      </c>
      <c r="AF230" s="557" t="s">
        <v>535</v>
      </c>
      <c r="AG230" s="1215"/>
      <c r="AH230" s="504">
        <v>74</v>
      </c>
      <c r="AI230" s="505">
        <v>37</v>
      </c>
    </row>
    <row r="231" spans="1:35" ht="21" customHeight="1">
      <c r="A231" s="442">
        <v>3702</v>
      </c>
      <c r="B231" s="153" t="s">
        <v>589</v>
      </c>
      <c r="C231" s="557">
        <v>1</v>
      </c>
      <c r="D231" s="557">
        <v>1</v>
      </c>
      <c r="E231" s="1215"/>
      <c r="F231" s="1215"/>
      <c r="G231" s="557">
        <v>2</v>
      </c>
      <c r="H231" s="557">
        <v>2</v>
      </c>
      <c r="I231" s="557">
        <v>2</v>
      </c>
      <c r="J231" s="557">
        <v>2</v>
      </c>
      <c r="K231" s="557">
        <v>2</v>
      </c>
      <c r="L231" s="1215"/>
      <c r="M231" s="557"/>
      <c r="N231" s="1365">
        <v>1</v>
      </c>
      <c r="O231" s="1365">
        <v>1</v>
      </c>
      <c r="P231" s="1365">
        <v>1</v>
      </c>
      <c r="Q231" s="1365">
        <v>1</v>
      </c>
      <c r="R231" s="1365">
        <v>1</v>
      </c>
      <c r="S231" s="1338"/>
      <c r="T231" s="1338"/>
      <c r="U231" s="1365">
        <v>2</v>
      </c>
      <c r="V231" s="1365">
        <v>2</v>
      </c>
      <c r="W231" s="1365">
        <v>2</v>
      </c>
      <c r="X231" s="1365">
        <v>2</v>
      </c>
      <c r="Y231" s="1365">
        <v>2</v>
      </c>
      <c r="Z231" s="1365"/>
      <c r="AA231" s="1365"/>
      <c r="AB231" s="1365">
        <v>1</v>
      </c>
      <c r="AC231" s="1365">
        <v>1</v>
      </c>
      <c r="AD231" s="1365">
        <v>1</v>
      </c>
      <c r="AE231" s="1365">
        <v>1</v>
      </c>
      <c r="AF231" s="1365">
        <v>1</v>
      </c>
      <c r="AG231" s="1338"/>
      <c r="AH231" s="504">
        <v>111</v>
      </c>
      <c r="AI231" s="505">
        <v>37</v>
      </c>
    </row>
    <row r="232" spans="1:35" ht="21" customHeight="1">
      <c r="A232" s="627">
        <v>3706</v>
      </c>
      <c r="B232" s="545"/>
      <c r="C232" s="1215"/>
      <c r="D232" s="1215"/>
      <c r="E232" s="1215"/>
      <c r="F232" s="1215"/>
      <c r="G232" s="1215"/>
      <c r="H232" s="1215"/>
      <c r="I232" s="1215"/>
      <c r="J232" s="1215"/>
      <c r="K232" s="1215"/>
      <c r="L232" s="1215"/>
      <c r="M232" s="1215"/>
      <c r="N232" s="1215"/>
      <c r="O232" s="1215"/>
      <c r="P232" s="1215"/>
      <c r="Q232" s="1215"/>
      <c r="R232" s="1215"/>
      <c r="S232" s="1215"/>
      <c r="T232" s="1215"/>
      <c r="U232" s="1215"/>
      <c r="V232" s="1215"/>
      <c r="W232" s="1215"/>
      <c r="X232" s="1215"/>
      <c r="Y232" s="1215"/>
      <c r="Z232" s="1215"/>
      <c r="AA232" s="1215"/>
      <c r="AB232" s="1215"/>
      <c r="AC232" s="1215"/>
      <c r="AD232" s="1215"/>
      <c r="AE232" s="1215"/>
      <c r="AF232" s="1215"/>
      <c r="AG232" s="1215"/>
      <c r="AH232" s="504"/>
      <c r="AI232" s="505"/>
    </row>
    <row r="233" spans="1:35" ht="21" customHeight="1">
      <c r="A233" s="628"/>
      <c r="B233" s="629" t="s">
        <v>590</v>
      </c>
      <c r="C233" s="630"/>
      <c r="D233" s="630"/>
      <c r="E233" s="630"/>
      <c r="F233" s="630"/>
      <c r="G233" s="630"/>
      <c r="H233" s="630"/>
      <c r="I233" s="630"/>
      <c r="J233" s="630"/>
      <c r="K233" s="630"/>
      <c r="L233" s="630"/>
      <c r="M233" s="630"/>
      <c r="N233" s="630"/>
      <c r="O233" s="630"/>
      <c r="P233" s="630"/>
      <c r="Q233" s="630"/>
      <c r="R233" s="630"/>
      <c r="S233" s="630"/>
      <c r="T233" s="630"/>
      <c r="U233" s="630"/>
      <c r="V233" s="630"/>
      <c r="W233" s="630"/>
      <c r="X233" s="630"/>
      <c r="Y233" s="630"/>
      <c r="Z233" s="630"/>
      <c r="AA233" s="630"/>
      <c r="AB233" s="630"/>
      <c r="AC233" s="630"/>
      <c r="AD233" s="630"/>
      <c r="AE233" s="630"/>
      <c r="AF233" s="630"/>
      <c r="AG233" s="631"/>
      <c r="AH233" s="632"/>
      <c r="AI233" s="633"/>
    </row>
    <row r="234" spans="1:35" ht="21" customHeight="1">
      <c r="A234" s="442">
        <v>3702</v>
      </c>
      <c r="B234" s="902" t="s">
        <v>520</v>
      </c>
      <c r="C234" s="557" t="s">
        <v>591</v>
      </c>
      <c r="D234" s="557" t="s">
        <v>591</v>
      </c>
      <c r="E234" s="557"/>
      <c r="F234" s="557"/>
      <c r="G234" s="557" t="s">
        <v>591</v>
      </c>
      <c r="H234" s="557" t="s">
        <v>591</v>
      </c>
      <c r="I234" s="1347" t="s">
        <v>591</v>
      </c>
      <c r="J234" s="557" t="s">
        <v>591</v>
      </c>
      <c r="K234" s="557" t="s">
        <v>591</v>
      </c>
      <c r="L234" s="1215"/>
      <c r="M234" s="1215"/>
      <c r="N234" s="557" t="s">
        <v>591</v>
      </c>
      <c r="O234" s="557" t="s">
        <v>591</v>
      </c>
      <c r="P234" s="557" t="s">
        <v>591</v>
      </c>
      <c r="Q234" s="557" t="s">
        <v>591</v>
      </c>
      <c r="R234" s="557" t="s">
        <v>591</v>
      </c>
      <c r="S234" s="502"/>
      <c r="T234" s="502"/>
      <c r="U234" s="557" t="s">
        <v>591</v>
      </c>
      <c r="V234" s="557" t="s">
        <v>591</v>
      </c>
      <c r="W234" s="557" t="s">
        <v>591</v>
      </c>
      <c r="X234" s="557" t="s">
        <v>591</v>
      </c>
      <c r="Y234" s="557" t="s">
        <v>591</v>
      </c>
      <c r="Z234" s="557"/>
      <c r="AA234" s="557"/>
      <c r="AB234" s="557" t="s">
        <v>591</v>
      </c>
      <c r="AC234" s="557" t="s">
        <v>591</v>
      </c>
      <c r="AD234" s="1368" t="s">
        <v>591</v>
      </c>
      <c r="AE234" s="557" t="s">
        <v>591</v>
      </c>
      <c r="AF234" s="557" t="s">
        <v>591</v>
      </c>
      <c r="AG234" s="1215"/>
      <c r="AH234" s="504">
        <v>98</v>
      </c>
      <c r="AI234" s="505">
        <v>37</v>
      </c>
    </row>
    <row r="235" spans="1:35" ht="21" customHeight="1">
      <c r="A235" s="442"/>
      <c r="B235" s="153" t="s">
        <v>517</v>
      </c>
      <c r="C235" s="557" t="s">
        <v>592</v>
      </c>
      <c r="D235" s="557" t="s">
        <v>592</v>
      </c>
      <c r="E235" s="557"/>
      <c r="F235" s="557"/>
      <c r="G235" s="557" t="s">
        <v>592</v>
      </c>
      <c r="H235" s="557" t="s">
        <v>592</v>
      </c>
      <c r="I235" s="557" t="s">
        <v>592</v>
      </c>
      <c r="J235" s="557" t="s">
        <v>592</v>
      </c>
      <c r="K235" s="557" t="s">
        <v>592</v>
      </c>
      <c r="L235" s="1215"/>
      <c r="M235" s="1215"/>
      <c r="N235" s="1368" t="s">
        <v>592</v>
      </c>
      <c r="O235" s="557" t="s">
        <v>592</v>
      </c>
      <c r="P235" s="557" t="s">
        <v>592</v>
      </c>
      <c r="Q235" s="557" t="s">
        <v>592</v>
      </c>
      <c r="R235" s="557" t="s">
        <v>592</v>
      </c>
      <c r="S235" s="502"/>
      <c r="T235" s="502"/>
      <c r="U235" s="557" t="s">
        <v>592</v>
      </c>
      <c r="V235" s="557" t="s">
        <v>592</v>
      </c>
      <c r="W235" s="557" t="s">
        <v>592</v>
      </c>
      <c r="X235" s="557" t="s">
        <v>592</v>
      </c>
      <c r="Y235" s="557" t="s">
        <v>592</v>
      </c>
      <c r="Z235" s="557"/>
      <c r="AA235" s="557"/>
      <c r="AB235" s="557" t="s">
        <v>592</v>
      </c>
      <c r="AC235" s="557" t="s">
        <v>592</v>
      </c>
      <c r="AD235" s="557" t="s">
        <v>592</v>
      </c>
      <c r="AE235" s="557" t="s">
        <v>592</v>
      </c>
      <c r="AF235" s="557" t="s">
        <v>592</v>
      </c>
      <c r="AG235" s="1215"/>
      <c r="AH235" s="504">
        <v>109</v>
      </c>
      <c r="AI235" s="505">
        <v>37</v>
      </c>
    </row>
    <row r="236" spans="1:35" ht="21" customHeight="1">
      <c r="A236" s="442"/>
      <c r="B236" s="153" t="s">
        <v>523</v>
      </c>
      <c r="C236" s="1365" t="s">
        <v>556</v>
      </c>
      <c r="D236" s="1365" t="s">
        <v>556</v>
      </c>
      <c r="E236" s="1365"/>
      <c r="F236" s="1365"/>
      <c r="G236" s="1365" t="s">
        <v>556</v>
      </c>
      <c r="H236" s="1365" t="s">
        <v>556</v>
      </c>
      <c r="I236" s="1365" t="s">
        <v>556</v>
      </c>
      <c r="J236" s="1365" t="s">
        <v>556</v>
      </c>
      <c r="K236" s="1365" t="s">
        <v>556</v>
      </c>
      <c r="L236" s="1338"/>
      <c r="M236" s="1338"/>
      <c r="N236" s="1365" t="s">
        <v>556</v>
      </c>
      <c r="O236" s="1365" t="s">
        <v>556</v>
      </c>
      <c r="P236" s="1365" t="s">
        <v>556</v>
      </c>
      <c r="Q236" s="1365" t="s">
        <v>556</v>
      </c>
      <c r="R236" s="1365" t="s">
        <v>556</v>
      </c>
      <c r="S236" s="1545"/>
      <c r="T236" s="1545"/>
      <c r="U236" s="557" t="s">
        <v>556</v>
      </c>
      <c r="V236" s="557" t="s">
        <v>556</v>
      </c>
      <c r="W236" s="557" t="s">
        <v>556</v>
      </c>
      <c r="X236" s="557" t="s">
        <v>556</v>
      </c>
      <c r="Y236" s="557" t="s">
        <v>556</v>
      </c>
      <c r="Z236" s="557"/>
      <c r="AA236" s="557"/>
      <c r="AB236" s="557" t="s">
        <v>556</v>
      </c>
      <c r="AC236" s="557" t="s">
        <v>556</v>
      </c>
      <c r="AD236" s="557" t="s">
        <v>556</v>
      </c>
      <c r="AE236" s="557" t="s">
        <v>556</v>
      </c>
      <c r="AF236" s="557" t="s">
        <v>556</v>
      </c>
      <c r="AG236" s="1215"/>
      <c r="AH236" s="504">
        <v>89</v>
      </c>
      <c r="AI236" s="505">
        <v>37</v>
      </c>
    </row>
    <row r="237" spans="1:35" ht="21" customHeight="1"/>
    <row r="238" spans="1:35" ht="21" customHeight="1"/>
    <row r="239" spans="1:35" ht="21" customHeight="1" thickBot="1">
      <c r="A239" s="1" t="s">
        <v>593</v>
      </c>
    </row>
    <row r="240" spans="1:35" ht="21" customHeight="1">
      <c r="B240" s="201" t="s">
        <v>516</v>
      </c>
      <c r="C240" s="7"/>
      <c r="D240" s="525" t="s">
        <v>2</v>
      </c>
      <c r="E240" s="51"/>
      <c r="F240" s="551"/>
      <c r="G240" s="7"/>
      <c r="H240" s="525" t="s">
        <v>3</v>
      </c>
      <c r="I240" s="51"/>
      <c r="J240" s="551"/>
      <c r="K240" s="7"/>
      <c r="L240" s="525" t="s">
        <v>4</v>
      </c>
      <c r="M240" s="51"/>
      <c r="N240" s="551"/>
      <c r="O240" s="7"/>
      <c r="P240" s="525" t="s">
        <v>5</v>
      </c>
      <c r="Q240" s="51"/>
      <c r="R240" s="551"/>
      <c r="S240" s="7"/>
      <c r="T240" s="525" t="s">
        <v>6</v>
      </c>
      <c r="U240" s="51"/>
      <c r="V240" s="551"/>
      <c r="W240" s="7"/>
      <c r="X240" s="525" t="s">
        <v>7</v>
      </c>
      <c r="Y240" s="51"/>
      <c r="Z240" s="551"/>
      <c r="AA240" s="7"/>
      <c r="AB240" s="525" t="s">
        <v>8</v>
      </c>
      <c r="AC240" s="51"/>
      <c r="AD240" s="51"/>
      <c r="AE240" s="425" t="s">
        <v>10</v>
      </c>
      <c r="AF240" s="51"/>
      <c r="AG240" s="51"/>
      <c r="AH240" s="51"/>
      <c r="AI240" s="526"/>
    </row>
    <row r="241" spans="1:35" ht="21" customHeight="1">
      <c r="B241" s="9">
        <v>8500</v>
      </c>
      <c r="C241" s="121" t="s">
        <v>33</v>
      </c>
      <c r="D241" s="609"/>
      <c r="E241" s="55"/>
      <c r="F241" s="608"/>
      <c r="G241" s="121" t="s">
        <v>33</v>
      </c>
      <c r="H241" s="609"/>
      <c r="I241" s="55"/>
      <c r="J241" s="608"/>
      <c r="K241" s="121" t="s">
        <v>33</v>
      </c>
      <c r="L241" s="609"/>
      <c r="M241" s="55"/>
      <c r="N241" s="608"/>
      <c r="O241" s="121" t="s">
        <v>33</v>
      </c>
      <c r="P241" s="609"/>
      <c r="Q241" s="55"/>
      <c r="R241" s="608"/>
      <c r="S241" s="121" t="s">
        <v>34</v>
      </c>
      <c r="T241" s="609"/>
      <c r="U241" s="55"/>
      <c r="V241" s="608"/>
      <c r="W241" s="14"/>
      <c r="X241" s="609"/>
      <c r="Y241" s="55"/>
      <c r="Z241" s="608"/>
      <c r="AA241" s="14"/>
      <c r="AB241" s="609"/>
      <c r="AC241" s="55"/>
      <c r="AD241" s="55"/>
      <c r="AE241" s="610"/>
      <c r="AF241" s="55"/>
      <c r="AG241" s="55"/>
      <c r="AH241" s="55"/>
      <c r="AI241" s="611"/>
    </row>
    <row r="242" spans="1:35" ht="21" customHeight="1" thickBot="1">
      <c r="B242" s="163" t="s">
        <v>594</v>
      </c>
      <c r="C242" s="634" t="s">
        <v>595</v>
      </c>
      <c r="D242" s="635"/>
      <c r="E242" s="622"/>
      <c r="F242" s="240"/>
      <c r="G242" s="634" t="s">
        <v>595</v>
      </c>
      <c r="H242" s="149"/>
      <c r="I242" s="622"/>
      <c r="J242" s="240"/>
      <c r="K242" s="634" t="s">
        <v>595</v>
      </c>
      <c r="L242" s="149"/>
      <c r="M242" s="622"/>
      <c r="N242" s="240"/>
      <c r="O242" s="634" t="s">
        <v>596</v>
      </c>
      <c r="P242" s="149"/>
      <c r="Q242" s="622"/>
      <c r="R242" s="240"/>
      <c r="S242" s="634" t="s">
        <v>16</v>
      </c>
      <c r="T242" s="149"/>
      <c r="U242" s="622"/>
      <c r="V242" s="240"/>
      <c r="W242" s="623"/>
      <c r="X242" s="149"/>
      <c r="Y242" s="622"/>
      <c r="Z242" s="240"/>
      <c r="AA242" s="623"/>
      <c r="AB242" s="149"/>
      <c r="AC242" s="622"/>
      <c r="AD242" s="622"/>
      <c r="AE242" s="624"/>
      <c r="AF242" s="622"/>
      <c r="AG242" s="622"/>
      <c r="AH242" s="622"/>
      <c r="AI242" s="625"/>
    </row>
    <row r="243" spans="1:35" ht="21" customHeight="1" thickBot="1">
      <c r="A243" s="60" t="s">
        <v>597</v>
      </c>
    </row>
    <row r="244" spans="1:35" ht="21" customHeight="1">
      <c r="A244" s="636"/>
      <c r="B244" s="297" t="s">
        <v>480</v>
      </c>
      <c r="C244" s="1234">
        <v>1</v>
      </c>
      <c r="D244" s="1234">
        <v>2</v>
      </c>
      <c r="E244" s="1235">
        <v>3</v>
      </c>
      <c r="F244" s="1235">
        <v>4</v>
      </c>
      <c r="G244" s="1234">
        <v>5</v>
      </c>
      <c r="H244" s="1234">
        <v>6</v>
      </c>
      <c r="I244" s="1213">
        <v>7</v>
      </c>
      <c r="J244" s="1213">
        <v>8</v>
      </c>
      <c r="K244" s="1234">
        <v>9</v>
      </c>
      <c r="L244" s="1235">
        <v>10</v>
      </c>
      <c r="M244" s="1235">
        <v>11</v>
      </c>
      <c r="N244" s="1234">
        <v>12</v>
      </c>
      <c r="O244" s="1234">
        <v>13</v>
      </c>
      <c r="P244" s="1213">
        <v>14</v>
      </c>
      <c r="Q244" s="1213">
        <v>15</v>
      </c>
      <c r="R244" s="1234">
        <v>16</v>
      </c>
      <c r="S244" s="1235">
        <v>17</v>
      </c>
      <c r="T244" s="1235">
        <v>18</v>
      </c>
      <c r="U244" s="1234">
        <v>19</v>
      </c>
      <c r="V244" s="1213">
        <v>20</v>
      </c>
      <c r="W244" s="1213">
        <v>21</v>
      </c>
      <c r="X244" s="1213">
        <v>22</v>
      </c>
      <c r="Y244" s="1234">
        <v>23</v>
      </c>
      <c r="Z244" s="1235">
        <v>24</v>
      </c>
      <c r="AA244" s="1235">
        <v>25</v>
      </c>
      <c r="AB244" s="1234">
        <v>26</v>
      </c>
      <c r="AC244" s="1234">
        <v>27</v>
      </c>
      <c r="AD244" s="1213">
        <v>28</v>
      </c>
      <c r="AE244" s="1213">
        <v>29</v>
      </c>
      <c r="AF244" s="1234">
        <v>30</v>
      </c>
      <c r="AG244" s="1235">
        <v>31</v>
      </c>
      <c r="AH244" s="498" t="s">
        <v>481</v>
      </c>
      <c r="AI244" s="499" t="s">
        <v>482</v>
      </c>
    </row>
    <row r="245" spans="1:35" ht="21" customHeight="1">
      <c r="A245" s="155">
        <v>8500</v>
      </c>
      <c r="B245" s="637" t="s">
        <v>598</v>
      </c>
      <c r="C245" s="557" t="s">
        <v>535</v>
      </c>
      <c r="D245" s="557" t="s">
        <v>535</v>
      </c>
      <c r="E245" s="1215"/>
      <c r="F245" s="1215"/>
      <c r="G245" s="557" t="s">
        <v>535</v>
      </c>
      <c r="H245" s="557" t="s">
        <v>535</v>
      </c>
      <c r="I245" s="557" t="s">
        <v>535</v>
      </c>
      <c r="J245" s="557" t="s">
        <v>535</v>
      </c>
      <c r="K245" s="557" t="s">
        <v>535</v>
      </c>
      <c r="L245" s="1215"/>
      <c r="M245" s="557"/>
      <c r="N245" s="557" t="s">
        <v>535</v>
      </c>
      <c r="O245" s="557" t="s">
        <v>535</v>
      </c>
      <c r="P245" s="557" t="s">
        <v>535</v>
      </c>
      <c r="Q245" s="557" t="s">
        <v>535</v>
      </c>
      <c r="R245" s="557" t="s">
        <v>535</v>
      </c>
      <c r="S245" s="1215"/>
      <c r="T245" s="1215"/>
      <c r="U245" s="1365" t="s">
        <v>535</v>
      </c>
      <c r="V245" s="557" t="s">
        <v>535</v>
      </c>
      <c r="W245" s="557" t="s">
        <v>535</v>
      </c>
      <c r="X245" s="557" t="s">
        <v>535</v>
      </c>
      <c r="Y245" s="557" t="s">
        <v>535</v>
      </c>
      <c r="Z245" s="1208"/>
      <c r="AA245" s="1208"/>
      <c r="AB245" s="1208" t="s">
        <v>535</v>
      </c>
      <c r="AC245" s="1208" t="s">
        <v>535</v>
      </c>
      <c r="AD245" s="1208" t="s">
        <v>535</v>
      </c>
      <c r="AE245" s="557" t="s">
        <v>535</v>
      </c>
      <c r="AF245" s="557" t="s">
        <v>535</v>
      </c>
      <c r="AG245" s="1215"/>
      <c r="AH245" s="638">
        <v>198</v>
      </c>
      <c r="AI245" s="639">
        <v>37</v>
      </c>
    </row>
    <row r="246" spans="1:35" ht="21" customHeight="1">
      <c r="A246" s="500" t="s">
        <v>599</v>
      </c>
      <c r="B246" s="153" t="s">
        <v>600</v>
      </c>
      <c r="C246" s="557" t="s">
        <v>535</v>
      </c>
      <c r="D246" s="557" t="s">
        <v>535</v>
      </c>
      <c r="E246" s="1215"/>
      <c r="F246" s="1215"/>
      <c r="G246" s="557" t="s">
        <v>535</v>
      </c>
      <c r="H246" s="557" t="s">
        <v>535</v>
      </c>
      <c r="I246" s="557" t="s">
        <v>535</v>
      </c>
      <c r="J246" s="557" t="s">
        <v>535</v>
      </c>
      <c r="K246" s="557" t="s">
        <v>535</v>
      </c>
      <c r="L246" s="1215"/>
      <c r="M246" s="557"/>
      <c r="N246" s="557" t="s">
        <v>535</v>
      </c>
      <c r="O246" s="557" t="s">
        <v>535</v>
      </c>
      <c r="P246" s="557" t="s">
        <v>535</v>
      </c>
      <c r="Q246" s="557" t="s">
        <v>535</v>
      </c>
      <c r="R246" s="557" t="s">
        <v>535</v>
      </c>
      <c r="S246" s="1215"/>
      <c r="T246" s="1215"/>
      <c r="U246" s="557" t="s">
        <v>535</v>
      </c>
      <c r="V246" s="557" t="s">
        <v>535</v>
      </c>
      <c r="W246" s="557" t="s">
        <v>535</v>
      </c>
      <c r="X246" s="557" t="s">
        <v>535</v>
      </c>
      <c r="Y246" s="557" t="s">
        <v>535</v>
      </c>
      <c r="Z246" s="1208"/>
      <c r="AA246" s="1208"/>
      <c r="AB246" s="1208" t="s">
        <v>535</v>
      </c>
      <c r="AC246" s="1208" t="s">
        <v>535</v>
      </c>
      <c r="AD246" s="1208" t="s">
        <v>535</v>
      </c>
      <c r="AE246" s="557" t="s">
        <v>535</v>
      </c>
      <c r="AF246" s="557" t="s">
        <v>535</v>
      </c>
      <c r="AG246" s="1215"/>
      <c r="AH246" s="638">
        <v>221</v>
      </c>
      <c r="AI246" s="639">
        <v>37</v>
      </c>
    </row>
    <row r="247" spans="1:35" ht="21" customHeight="1">
      <c r="A247" s="153">
        <v>8500</v>
      </c>
      <c r="B247" s="153"/>
      <c r="C247" s="557" t="s">
        <v>535</v>
      </c>
      <c r="D247" s="557" t="s">
        <v>535</v>
      </c>
      <c r="E247" s="1215"/>
      <c r="F247" s="1215"/>
      <c r="G247" s="557" t="s">
        <v>535</v>
      </c>
      <c r="H247" s="557" t="s">
        <v>535</v>
      </c>
      <c r="I247" s="557" t="s">
        <v>535</v>
      </c>
      <c r="J247" s="557" t="s">
        <v>535</v>
      </c>
      <c r="K247" s="557" t="s">
        <v>535</v>
      </c>
      <c r="L247" s="1215"/>
      <c r="M247" s="557"/>
      <c r="N247" s="557" t="s">
        <v>535</v>
      </c>
      <c r="O247" s="557" t="s">
        <v>535</v>
      </c>
      <c r="P247" s="557" t="s">
        <v>535</v>
      </c>
      <c r="Q247" s="557" t="s">
        <v>535</v>
      </c>
      <c r="R247" s="557" t="s">
        <v>535</v>
      </c>
      <c r="S247" s="1215"/>
      <c r="T247" s="1215"/>
      <c r="U247" s="557" t="s">
        <v>535</v>
      </c>
      <c r="V247" s="557" t="s">
        <v>535</v>
      </c>
      <c r="W247" s="557" t="s">
        <v>535</v>
      </c>
      <c r="X247" s="557" t="s">
        <v>535</v>
      </c>
      <c r="Y247" s="557" t="s">
        <v>535</v>
      </c>
      <c r="Z247" s="1208"/>
      <c r="AA247" s="1208"/>
      <c r="AB247" s="1208" t="s">
        <v>535</v>
      </c>
      <c r="AC247" s="1208" t="s">
        <v>535</v>
      </c>
      <c r="AD247" s="1208" t="s">
        <v>535</v>
      </c>
      <c r="AE247" s="557" t="s">
        <v>535</v>
      </c>
      <c r="AF247" s="557" t="s">
        <v>535</v>
      </c>
      <c r="AG247" s="1215"/>
      <c r="AH247" s="638">
        <v>185</v>
      </c>
      <c r="AI247" s="639">
        <v>37</v>
      </c>
    </row>
    <row r="248" spans="1:35" ht="21.95" customHeight="1">
      <c r="A248" s="442"/>
      <c r="B248" s="153" t="s">
        <v>601</v>
      </c>
      <c r="C248" s="557" t="s">
        <v>535</v>
      </c>
      <c r="D248" s="557" t="s">
        <v>535</v>
      </c>
      <c r="E248" s="1215"/>
      <c r="F248" s="1215"/>
      <c r="G248" s="557" t="s">
        <v>535</v>
      </c>
      <c r="H248" s="557" t="s">
        <v>535</v>
      </c>
      <c r="I248" s="557" t="s">
        <v>535</v>
      </c>
      <c r="J248" s="557" t="s">
        <v>535</v>
      </c>
      <c r="K248" s="557" t="s">
        <v>535</v>
      </c>
      <c r="L248" s="1215"/>
      <c r="M248" s="557"/>
      <c r="N248" s="557" t="s">
        <v>535</v>
      </c>
      <c r="O248" s="557" t="s">
        <v>535</v>
      </c>
      <c r="P248" s="557" t="s">
        <v>535</v>
      </c>
      <c r="Q248" s="557" t="s">
        <v>535</v>
      </c>
      <c r="R248" s="557" t="s">
        <v>535</v>
      </c>
      <c r="S248" s="1215"/>
      <c r="T248" s="1215"/>
      <c r="U248" s="1365" t="s">
        <v>535</v>
      </c>
      <c r="V248" s="1365" t="s">
        <v>535</v>
      </c>
      <c r="W248" s="1365" t="s">
        <v>535</v>
      </c>
      <c r="X248" s="1365" t="s">
        <v>535</v>
      </c>
      <c r="Y248" s="1365" t="s">
        <v>535</v>
      </c>
      <c r="Z248" s="1365"/>
      <c r="AA248" s="1365"/>
      <c r="AB248" s="1365" t="s">
        <v>535</v>
      </c>
      <c r="AC248" s="1365" t="s">
        <v>535</v>
      </c>
      <c r="AD248" s="1365" t="s">
        <v>535</v>
      </c>
      <c r="AE248" s="1365" t="s">
        <v>535</v>
      </c>
      <c r="AF248" s="1365" t="s">
        <v>535</v>
      </c>
      <c r="AG248" s="1338"/>
      <c r="AH248" s="638">
        <v>140</v>
      </c>
      <c r="AI248" s="639">
        <v>37</v>
      </c>
    </row>
    <row r="249" spans="1:35" ht="21.95" customHeight="1">
      <c r="A249" s="511">
        <v>3350</v>
      </c>
      <c r="B249" s="54" t="s">
        <v>602</v>
      </c>
      <c r="C249" s="1439" t="s">
        <v>535</v>
      </c>
      <c r="D249" s="1439" t="s">
        <v>535</v>
      </c>
      <c r="E249" s="1392"/>
      <c r="F249" s="1392"/>
      <c r="G249" s="1439" t="s">
        <v>535</v>
      </c>
      <c r="H249" s="1439" t="s">
        <v>535</v>
      </c>
      <c r="I249" s="1439" t="s">
        <v>535</v>
      </c>
      <c r="J249" s="1439" t="s">
        <v>535</v>
      </c>
      <c r="K249" s="1439" t="s">
        <v>535</v>
      </c>
      <c r="L249" s="1392"/>
      <c r="M249" s="1439"/>
      <c r="N249" s="1439" t="s">
        <v>535</v>
      </c>
      <c r="O249" s="1439" t="s">
        <v>535</v>
      </c>
      <c r="P249" s="1439" t="s">
        <v>535</v>
      </c>
      <c r="Q249" s="1439" t="s">
        <v>535</v>
      </c>
      <c r="R249" s="1439" t="s">
        <v>535</v>
      </c>
      <c r="S249" s="1392"/>
      <c r="T249" s="1392"/>
      <c r="U249" s="1439" t="s">
        <v>535</v>
      </c>
      <c r="V249" s="1439" t="s">
        <v>535</v>
      </c>
      <c r="W249" s="1439" t="s">
        <v>535</v>
      </c>
      <c r="X249" s="1439" t="s">
        <v>535</v>
      </c>
      <c r="Y249" s="1439" t="s">
        <v>535</v>
      </c>
      <c r="Z249" s="1439"/>
      <c r="AA249" s="1439"/>
      <c r="AB249" s="1439" t="s">
        <v>535</v>
      </c>
      <c r="AC249" s="1439" t="s">
        <v>535</v>
      </c>
      <c r="AD249" s="1439" t="s">
        <v>535</v>
      </c>
      <c r="AE249" s="1439" t="s">
        <v>535</v>
      </c>
      <c r="AF249" s="1439" t="s">
        <v>535</v>
      </c>
      <c r="AG249" s="1215"/>
      <c r="AH249" s="638">
        <v>37</v>
      </c>
      <c r="AI249" s="639">
        <v>37</v>
      </c>
    </row>
    <row r="250" spans="1:35" ht="21.95" customHeight="1">
      <c r="A250" s="519">
        <v>3701</v>
      </c>
      <c r="B250" s="153" t="s">
        <v>603</v>
      </c>
      <c r="C250" s="557" t="s">
        <v>535</v>
      </c>
      <c r="D250" s="557" t="s">
        <v>535</v>
      </c>
      <c r="E250" s="1215"/>
      <c r="F250" s="1215"/>
      <c r="G250" s="557" t="s">
        <v>535</v>
      </c>
      <c r="H250" s="557" t="s">
        <v>535</v>
      </c>
      <c r="I250" s="557" t="s">
        <v>535</v>
      </c>
      <c r="J250" s="557" t="s">
        <v>535</v>
      </c>
      <c r="K250" s="557" t="s">
        <v>535</v>
      </c>
      <c r="L250" s="1215"/>
      <c r="M250" s="557"/>
      <c r="N250" s="557" t="s">
        <v>535</v>
      </c>
      <c r="O250" s="557" t="s">
        <v>535</v>
      </c>
      <c r="P250" s="557" t="s">
        <v>535</v>
      </c>
      <c r="Q250" s="557" t="s">
        <v>535</v>
      </c>
      <c r="R250" s="557" t="s">
        <v>535</v>
      </c>
      <c r="S250" s="1215"/>
      <c r="T250" s="1215"/>
      <c r="U250" s="1365" t="s">
        <v>535</v>
      </c>
      <c r="V250" s="1365" t="s">
        <v>535</v>
      </c>
      <c r="W250" s="1365" t="s">
        <v>535</v>
      </c>
      <c r="X250" s="1365" t="s">
        <v>535</v>
      </c>
      <c r="Y250" s="1365" t="s">
        <v>535</v>
      </c>
      <c r="Z250" s="1365"/>
      <c r="AA250" s="1365"/>
      <c r="AB250" s="1365" t="s">
        <v>535</v>
      </c>
      <c r="AC250" s="1365" t="s">
        <v>535</v>
      </c>
      <c r="AD250" s="1365" t="s">
        <v>535</v>
      </c>
      <c r="AE250" s="1365" t="s">
        <v>535</v>
      </c>
      <c r="AF250" s="1365" t="s">
        <v>535</v>
      </c>
      <c r="AG250" s="1338"/>
      <c r="AH250" s="638">
        <v>141</v>
      </c>
      <c r="AI250" s="639">
        <v>37</v>
      </c>
    </row>
    <row r="251" spans="1:35" ht="25.5" customHeight="1" thickBot="1">
      <c r="A251" s="1" t="s">
        <v>604</v>
      </c>
    </row>
    <row r="252" spans="1:35" ht="21" customHeight="1">
      <c r="A252" s="1"/>
      <c r="B252" s="201" t="s">
        <v>516</v>
      </c>
      <c r="C252" s="7"/>
      <c r="D252" s="525" t="s">
        <v>2</v>
      </c>
      <c r="E252" s="51"/>
      <c r="F252" s="551"/>
      <c r="G252" s="7"/>
      <c r="H252" s="525" t="s">
        <v>3</v>
      </c>
      <c r="I252" s="51"/>
      <c r="J252" s="551"/>
      <c r="K252" s="7"/>
      <c r="L252" s="525" t="s">
        <v>4</v>
      </c>
      <c r="M252" s="51"/>
      <c r="N252" s="551"/>
      <c r="O252" s="7"/>
      <c r="P252" s="525" t="s">
        <v>5</v>
      </c>
      <c r="Q252" s="51"/>
      <c r="R252" s="551"/>
      <c r="S252" s="7"/>
      <c r="T252" s="525" t="s">
        <v>6</v>
      </c>
      <c r="U252" s="51"/>
      <c r="V252" s="551"/>
      <c r="W252" s="7"/>
      <c r="X252" s="525" t="s">
        <v>7</v>
      </c>
      <c r="Y252" s="51"/>
      <c r="Z252" s="551"/>
      <c r="AA252" s="7"/>
      <c r="AB252" s="525" t="s">
        <v>8</v>
      </c>
      <c r="AC252" s="51"/>
      <c r="AD252" s="51"/>
      <c r="AE252" s="425" t="s">
        <v>10</v>
      </c>
      <c r="AF252" s="51"/>
      <c r="AG252" s="51"/>
      <c r="AH252" s="51"/>
      <c r="AI252" s="526"/>
    </row>
    <row r="253" spans="1:35" ht="21" customHeight="1">
      <c r="A253" s="1"/>
      <c r="B253" s="9"/>
      <c r="C253" s="14"/>
      <c r="D253" s="609"/>
      <c r="E253" s="55"/>
      <c r="F253" s="608"/>
      <c r="G253" s="14"/>
      <c r="H253" s="609"/>
      <c r="I253" s="55"/>
      <c r="J253" s="608"/>
      <c r="K253" s="14"/>
      <c r="L253" s="609"/>
      <c r="M253" s="55"/>
      <c r="N253" s="608"/>
      <c r="O253" s="14"/>
      <c r="P253" s="609"/>
      <c r="Q253" s="55"/>
      <c r="R253" s="608"/>
      <c r="S253" s="14"/>
      <c r="T253" s="609"/>
      <c r="U253" s="55"/>
      <c r="V253" s="608"/>
      <c r="W253" s="14"/>
      <c r="X253" s="609"/>
      <c r="Y253" s="55"/>
      <c r="Z253" s="608"/>
      <c r="AA253" s="14"/>
      <c r="AB253" s="609"/>
      <c r="AC253" s="55"/>
      <c r="AD253" s="55"/>
      <c r="AE253" s="610"/>
      <c r="AF253" s="55"/>
      <c r="AG253" s="55"/>
      <c r="AH253" s="55"/>
      <c r="AI253" s="611"/>
    </row>
    <row r="254" spans="1:35" ht="21" customHeight="1">
      <c r="B254" s="612"/>
      <c r="C254" s="121"/>
      <c r="D254" s="157"/>
      <c r="E254" s="157"/>
      <c r="F254" s="568"/>
      <c r="G254" s="121"/>
      <c r="H254" s="157"/>
      <c r="I254" s="157"/>
      <c r="J254" s="568"/>
      <c r="K254" s="121"/>
      <c r="L254" s="157"/>
      <c r="M254" s="157"/>
      <c r="N254" s="568"/>
      <c r="O254" s="121"/>
      <c r="P254" s="157"/>
      <c r="Q254" s="157"/>
      <c r="R254" s="568"/>
      <c r="S254" s="121"/>
      <c r="T254" s="157"/>
      <c r="U254" s="157"/>
      <c r="V254" s="568"/>
      <c r="W254" s="121"/>
      <c r="X254" s="157"/>
      <c r="Y254" s="157"/>
      <c r="Z254" s="568"/>
      <c r="AA254" s="567"/>
      <c r="AB254" s="157"/>
      <c r="AC254" s="157"/>
      <c r="AD254" s="569"/>
      <c r="AE254" s="613"/>
      <c r="AF254" s="157"/>
      <c r="AG254" s="157" t="s">
        <v>28</v>
      </c>
      <c r="AH254" s="569"/>
      <c r="AI254" s="490"/>
    </row>
    <row r="255" spans="1:35" ht="21" customHeight="1" thickBot="1">
      <c r="A255" s="1"/>
      <c r="B255" s="47"/>
      <c r="C255" s="574"/>
      <c r="D255" s="53"/>
      <c r="E255" s="53"/>
      <c r="F255" s="575"/>
      <c r="G255" s="574"/>
      <c r="H255" s="53"/>
      <c r="I255" s="53"/>
      <c r="J255" s="575"/>
      <c r="K255" s="574"/>
      <c r="L255" s="53"/>
      <c r="M255" s="53"/>
      <c r="N255" s="575"/>
      <c r="O255" s="574"/>
      <c r="P255" s="53"/>
      <c r="Q255" s="53"/>
      <c r="R255" s="575"/>
      <c r="S255" s="574"/>
      <c r="T255" s="53"/>
      <c r="U255" s="53"/>
      <c r="V255" s="575"/>
      <c r="W255" s="57"/>
      <c r="X255" s="53"/>
      <c r="Y255" s="53"/>
      <c r="Z255" s="575"/>
      <c r="AA255" s="57"/>
      <c r="AB255" s="53"/>
      <c r="AC255" s="53"/>
      <c r="AD255" s="577"/>
      <c r="AE255" s="57"/>
      <c r="AF255" s="53"/>
      <c r="AG255" s="53"/>
      <c r="AH255" s="577"/>
      <c r="AI255" s="539"/>
    </row>
    <row r="256" spans="1:35" ht="33" customHeight="1" thickBot="1">
      <c r="A256" s="1" t="s">
        <v>605</v>
      </c>
      <c r="B256" s="72"/>
      <c r="C256" s="312"/>
      <c r="F256" s="354"/>
      <c r="G256" s="312"/>
      <c r="J256" s="354"/>
      <c r="K256" s="312"/>
      <c r="N256" s="354"/>
      <c r="O256" s="312"/>
      <c r="R256" s="354"/>
      <c r="S256" s="312"/>
      <c r="V256" s="354"/>
      <c r="W256" s="354"/>
      <c r="Z256" s="354"/>
      <c r="AA256" s="354"/>
      <c r="AD256" s="354"/>
      <c r="AE256" s="354"/>
      <c r="AH256" s="354"/>
    </row>
    <row r="257" spans="1:35" ht="21" customHeight="1">
      <c r="A257" s="556" t="s">
        <v>528</v>
      </c>
      <c r="B257" s="297" t="s">
        <v>480</v>
      </c>
      <c r="C257" s="1234">
        <v>1</v>
      </c>
      <c r="D257" s="1234">
        <v>2</v>
      </c>
      <c r="E257" s="1235">
        <v>3</v>
      </c>
      <c r="F257" s="1235">
        <v>4</v>
      </c>
      <c r="G257" s="1234">
        <v>5</v>
      </c>
      <c r="H257" s="1234">
        <v>6</v>
      </c>
      <c r="I257" s="1213">
        <v>7</v>
      </c>
      <c r="J257" s="1213">
        <v>8</v>
      </c>
      <c r="K257" s="1234">
        <v>9</v>
      </c>
      <c r="L257" s="1235">
        <v>10</v>
      </c>
      <c r="M257" s="1235">
        <v>11</v>
      </c>
      <c r="N257" s="1234">
        <v>12</v>
      </c>
      <c r="O257" s="1234">
        <v>13</v>
      </c>
      <c r="P257" s="1213">
        <v>14</v>
      </c>
      <c r="Q257" s="1213">
        <v>15</v>
      </c>
      <c r="R257" s="1234">
        <v>16</v>
      </c>
      <c r="S257" s="1235">
        <v>17</v>
      </c>
      <c r="T257" s="1235">
        <v>18</v>
      </c>
      <c r="U257" s="1234">
        <v>19</v>
      </c>
      <c r="V257" s="1213">
        <v>20</v>
      </c>
      <c r="W257" s="1213">
        <v>21</v>
      </c>
      <c r="X257" s="1213">
        <v>22</v>
      </c>
      <c r="Y257" s="1234">
        <v>23</v>
      </c>
      <c r="Z257" s="1235">
        <v>24</v>
      </c>
      <c r="AA257" s="1235">
        <v>25</v>
      </c>
      <c r="AB257" s="1234">
        <v>26</v>
      </c>
      <c r="AC257" s="1234">
        <v>27</v>
      </c>
      <c r="AD257" s="1213">
        <v>28</v>
      </c>
      <c r="AE257" s="1213">
        <v>29</v>
      </c>
      <c r="AF257" s="1234">
        <v>30</v>
      </c>
      <c r="AG257" s="1235">
        <v>31</v>
      </c>
      <c r="AH257" s="498" t="s">
        <v>481</v>
      </c>
      <c r="AI257" s="499" t="s">
        <v>482</v>
      </c>
    </row>
    <row r="258" spans="1:35" ht="21" customHeight="1">
      <c r="A258" s="442"/>
      <c r="B258" s="619" t="s">
        <v>606</v>
      </c>
      <c r="C258" s="557" t="s">
        <v>535</v>
      </c>
      <c r="D258" s="557" t="s">
        <v>535</v>
      </c>
      <c r="E258" s="1215"/>
      <c r="F258" s="1215"/>
      <c r="G258" s="557" t="s">
        <v>535</v>
      </c>
      <c r="H258" s="557" t="s">
        <v>535</v>
      </c>
      <c r="I258" s="557" t="s">
        <v>535</v>
      </c>
      <c r="J258" s="557" t="s">
        <v>535</v>
      </c>
      <c r="K258" s="557" t="s">
        <v>535</v>
      </c>
      <c r="L258" s="1215"/>
      <c r="M258" s="557"/>
      <c r="N258" s="557" t="s">
        <v>535</v>
      </c>
      <c r="O258" s="557" t="s">
        <v>535</v>
      </c>
      <c r="P258" s="557" t="s">
        <v>535</v>
      </c>
      <c r="Q258" s="557" t="s">
        <v>535</v>
      </c>
      <c r="R258" s="557" t="s">
        <v>535</v>
      </c>
      <c r="S258" s="1215"/>
      <c r="T258" s="1215"/>
      <c r="U258" s="557" t="s">
        <v>535</v>
      </c>
      <c r="V258" s="557" t="s">
        <v>535</v>
      </c>
      <c r="W258" s="557" t="s">
        <v>535</v>
      </c>
      <c r="X258" s="557" t="s">
        <v>535</v>
      </c>
      <c r="Y258" s="557" t="s">
        <v>535</v>
      </c>
      <c r="Z258" s="1208"/>
      <c r="AA258" s="1208"/>
      <c r="AB258" s="1208" t="s">
        <v>535</v>
      </c>
      <c r="AC258" s="1208" t="s">
        <v>535</v>
      </c>
      <c r="AD258" s="1208" t="s">
        <v>535</v>
      </c>
      <c r="AE258" s="557" t="s">
        <v>535</v>
      </c>
      <c r="AF258" s="557" t="s">
        <v>535</v>
      </c>
      <c r="AG258" s="1215"/>
      <c r="AH258" s="638">
        <v>148</v>
      </c>
      <c r="AI258" s="639">
        <v>37</v>
      </c>
    </row>
    <row r="259" spans="1:35" ht="21" customHeight="1">
      <c r="A259" s="442"/>
      <c r="B259" s="619" t="s">
        <v>607</v>
      </c>
      <c r="C259" s="1365" t="s">
        <v>535</v>
      </c>
      <c r="D259" s="1365" t="s">
        <v>535</v>
      </c>
      <c r="E259" s="1338"/>
      <c r="F259" s="1338"/>
      <c r="G259" s="1365" t="s">
        <v>535</v>
      </c>
      <c r="H259" s="1365" t="s">
        <v>535</v>
      </c>
      <c r="I259" s="1365" t="s">
        <v>535</v>
      </c>
      <c r="J259" s="1365" t="s">
        <v>535</v>
      </c>
      <c r="K259" s="1365" t="s">
        <v>535</v>
      </c>
      <c r="L259" s="1338"/>
      <c r="M259" s="1365"/>
      <c r="N259" s="557" t="s">
        <v>535</v>
      </c>
      <c r="O259" s="557" t="s">
        <v>535</v>
      </c>
      <c r="P259" s="557" t="s">
        <v>535</v>
      </c>
      <c r="Q259" s="557" t="s">
        <v>535</v>
      </c>
      <c r="R259" s="557" t="s">
        <v>535</v>
      </c>
      <c r="S259" s="1215"/>
      <c r="T259" s="1215"/>
      <c r="U259" s="557" t="s">
        <v>535</v>
      </c>
      <c r="V259" s="557" t="s">
        <v>535</v>
      </c>
      <c r="W259" s="557" t="s">
        <v>535</v>
      </c>
      <c r="X259" s="557" t="s">
        <v>535</v>
      </c>
      <c r="Y259" s="557" t="s">
        <v>535</v>
      </c>
      <c r="Z259" s="1208"/>
      <c r="AA259" s="1208"/>
      <c r="AB259" s="1368" t="s">
        <v>535</v>
      </c>
      <c r="AC259" s="1368" t="s">
        <v>535</v>
      </c>
      <c r="AD259" s="1368" t="s">
        <v>535</v>
      </c>
      <c r="AE259" s="1368" t="s">
        <v>535</v>
      </c>
      <c r="AF259" s="1368" t="s">
        <v>535</v>
      </c>
      <c r="AG259" s="1215"/>
      <c r="AH259" s="638">
        <v>62</v>
      </c>
      <c r="AI259" s="639">
        <v>37</v>
      </c>
    </row>
    <row r="260" spans="1:35" ht="21" customHeight="1">
      <c r="A260" s="442"/>
      <c r="B260" s="619" t="s">
        <v>608</v>
      </c>
      <c r="C260" s="557" t="s">
        <v>535</v>
      </c>
      <c r="D260" s="557" t="s">
        <v>535</v>
      </c>
      <c r="E260" s="1215"/>
      <c r="F260" s="1215"/>
      <c r="G260" s="557" t="s">
        <v>535</v>
      </c>
      <c r="H260" s="557" t="s">
        <v>535</v>
      </c>
      <c r="I260" s="557" t="s">
        <v>535</v>
      </c>
      <c r="J260" s="557" t="s">
        <v>535</v>
      </c>
      <c r="K260" s="557" t="s">
        <v>535</v>
      </c>
      <c r="L260" s="1215"/>
      <c r="M260" s="557"/>
      <c r="N260" s="557" t="s">
        <v>535</v>
      </c>
      <c r="O260" s="557" t="s">
        <v>535</v>
      </c>
      <c r="P260" s="557" t="s">
        <v>535</v>
      </c>
      <c r="Q260" s="557" t="s">
        <v>535</v>
      </c>
      <c r="R260" s="557" t="s">
        <v>535</v>
      </c>
      <c r="S260" s="1215"/>
      <c r="T260" s="1215"/>
      <c r="U260" s="557" t="s">
        <v>535</v>
      </c>
      <c r="V260" s="557" t="s">
        <v>535</v>
      </c>
      <c r="W260" s="557" t="s">
        <v>535</v>
      </c>
      <c r="X260" s="557" t="s">
        <v>535</v>
      </c>
      <c r="Y260" s="557" t="s">
        <v>535</v>
      </c>
      <c r="Z260" s="1208"/>
      <c r="AA260" s="1208"/>
      <c r="AB260" s="1208" t="s">
        <v>535</v>
      </c>
      <c r="AC260" s="1208" t="s">
        <v>535</v>
      </c>
      <c r="AD260" s="1208" t="s">
        <v>535</v>
      </c>
      <c r="AE260" s="557" t="s">
        <v>535</v>
      </c>
      <c r="AF260" s="557" t="s">
        <v>535</v>
      </c>
      <c r="AG260" s="1215"/>
      <c r="AH260" s="638">
        <v>37</v>
      </c>
      <c r="AI260" s="639">
        <v>37</v>
      </c>
    </row>
    <row r="261" spans="1:35" ht="21" customHeight="1">
      <c r="A261" s="442"/>
      <c r="B261" s="619" t="s">
        <v>609</v>
      </c>
      <c r="C261" s="557" t="s">
        <v>535</v>
      </c>
      <c r="D261" s="557" t="s">
        <v>535</v>
      </c>
      <c r="E261" s="1215"/>
      <c r="F261" s="1215"/>
      <c r="G261" s="557" t="s">
        <v>535</v>
      </c>
      <c r="H261" s="557" t="s">
        <v>535</v>
      </c>
      <c r="I261" s="557" t="s">
        <v>535</v>
      </c>
      <c r="J261" s="557" t="s">
        <v>535</v>
      </c>
      <c r="K261" s="557" t="s">
        <v>535</v>
      </c>
      <c r="L261" s="1215"/>
      <c r="M261" s="557"/>
      <c r="N261" s="557" t="s">
        <v>535</v>
      </c>
      <c r="O261" s="557" t="s">
        <v>535</v>
      </c>
      <c r="P261" s="557" t="s">
        <v>535</v>
      </c>
      <c r="Q261" s="557" t="s">
        <v>535</v>
      </c>
      <c r="R261" s="557" t="s">
        <v>535</v>
      </c>
      <c r="S261" s="1215"/>
      <c r="T261" s="1215"/>
      <c r="U261" s="1365" t="s">
        <v>535</v>
      </c>
      <c r="V261" s="1365" t="s">
        <v>535</v>
      </c>
      <c r="W261" s="1365" t="s">
        <v>535</v>
      </c>
      <c r="X261" s="1365" t="s">
        <v>535</v>
      </c>
      <c r="Y261" s="1365" t="s">
        <v>535</v>
      </c>
      <c r="Z261" s="1208"/>
      <c r="AA261" s="1208"/>
      <c r="AB261" s="1387" t="s">
        <v>535</v>
      </c>
      <c r="AC261" s="1387" t="s">
        <v>535</v>
      </c>
      <c r="AD261" s="1387" t="s">
        <v>535</v>
      </c>
      <c r="AE261" s="1387" t="s">
        <v>535</v>
      </c>
      <c r="AF261" s="1387" t="s">
        <v>535</v>
      </c>
      <c r="AG261" s="1215"/>
      <c r="AH261" s="638">
        <v>123</v>
      </c>
      <c r="AI261" s="639">
        <v>0</v>
      </c>
    </row>
    <row r="262" spans="1:35" ht="21" customHeight="1">
      <c r="A262" s="442"/>
      <c r="B262" s="619" t="s">
        <v>610</v>
      </c>
      <c r="C262" s="1365" t="s">
        <v>535</v>
      </c>
      <c r="D262" s="1365" t="s">
        <v>535</v>
      </c>
      <c r="E262" s="1215"/>
      <c r="F262" s="1215"/>
      <c r="G262" s="1365" t="s">
        <v>535</v>
      </c>
      <c r="H262" s="1365" t="s">
        <v>535</v>
      </c>
      <c r="I262" s="1365" t="s">
        <v>535</v>
      </c>
      <c r="J262" s="1365" t="s">
        <v>535</v>
      </c>
      <c r="K262" s="1365" t="s">
        <v>535</v>
      </c>
      <c r="L262" s="1215"/>
      <c r="M262" s="557"/>
      <c r="N262" s="1365" t="s">
        <v>535</v>
      </c>
      <c r="O262" s="1365" t="s">
        <v>535</v>
      </c>
      <c r="P262" s="1365" t="s">
        <v>535</v>
      </c>
      <c r="Q262" s="1365" t="s">
        <v>535</v>
      </c>
      <c r="R262" s="1365" t="s">
        <v>535</v>
      </c>
      <c r="S262" s="1215"/>
      <c r="T262" s="1215"/>
      <c r="U262" s="557" t="s">
        <v>535</v>
      </c>
      <c r="V262" s="557" t="s">
        <v>535</v>
      </c>
      <c r="W262" s="557" t="s">
        <v>535</v>
      </c>
      <c r="X262" s="557" t="s">
        <v>535</v>
      </c>
      <c r="Y262" s="557" t="s">
        <v>535</v>
      </c>
      <c r="Z262" s="1208"/>
      <c r="AA262" s="1208"/>
      <c r="AB262" s="1208" t="s">
        <v>535</v>
      </c>
      <c r="AC262" s="1208" t="s">
        <v>535</v>
      </c>
      <c r="AD262" s="1208" t="s">
        <v>535</v>
      </c>
      <c r="AE262" s="557" t="s">
        <v>535</v>
      </c>
      <c r="AF262" s="557" t="s">
        <v>535</v>
      </c>
      <c r="AG262" s="1215"/>
      <c r="AH262" s="638">
        <v>79</v>
      </c>
      <c r="AI262" s="639">
        <v>37</v>
      </c>
    </row>
    <row r="263" spans="1:35" ht="21" customHeight="1">
      <c r="A263" s="442"/>
      <c r="B263" s="619" t="s">
        <v>611</v>
      </c>
      <c r="C263" s="557" t="s">
        <v>535</v>
      </c>
      <c r="D263" s="557" t="s">
        <v>535</v>
      </c>
      <c r="E263" s="1344"/>
      <c r="F263" s="1344"/>
      <c r="G263" s="557" t="s">
        <v>535</v>
      </c>
      <c r="H263" s="557" t="s">
        <v>535</v>
      </c>
      <c r="I263" s="557" t="s">
        <v>535</v>
      </c>
      <c r="J263" s="557" t="s">
        <v>535</v>
      </c>
      <c r="K263" s="557" t="s">
        <v>535</v>
      </c>
      <c r="L263" s="1215"/>
      <c r="M263" s="557"/>
      <c r="N263" s="557" t="s">
        <v>535</v>
      </c>
      <c r="O263" s="557" t="s">
        <v>535</v>
      </c>
      <c r="P263" s="557" t="s">
        <v>535</v>
      </c>
      <c r="Q263" s="557" t="s">
        <v>535</v>
      </c>
      <c r="R263" s="557" t="s">
        <v>535</v>
      </c>
      <c r="S263" s="1215"/>
      <c r="T263" s="1215"/>
      <c r="U263" s="557" t="s">
        <v>535</v>
      </c>
      <c r="V263" s="557" t="s">
        <v>535</v>
      </c>
      <c r="W263" s="557" t="s">
        <v>535</v>
      </c>
      <c r="X263" s="557" t="s">
        <v>535</v>
      </c>
      <c r="Y263" s="557" t="s">
        <v>535</v>
      </c>
      <c r="Z263" s="1208"/>
      <c r="AA263" s="1208"/>
      <c r="AB263" s="1208" t="s">
        <v>535</v>
      </c>
      <c r="AC263" s="1208" t="s">
        <v>535</v>
      </c>
      <c r="AD263" s="1208" t="s">
        <v>535</v>
      </c>
      <c r="AE263" s="557" t="s">
        <v>535</v>
      </c>
      <c r="AF263" s="557" t="s">
        <v>535</v>
      </c>
      <c r="AG263" s="1215"/>
      <c r="AH263" s="638">
        <v>99</v>
      </c>
      <c r="AI263" s="639">
        <v>37</v>
      </c>
    </row>
    <row r="264" spans="1:35" ht="21" customHeight="1">
      <c r="A264" s="442"/>
      <c r="B264" s="619" t="s">
        <v>612</v>
      </c>
      <c r="C264" s="557" t="s">
        <v>535</v>
      </c>
      <c r="D264" s="557" t="s">
        <v>535</v>
      </c>
      <c r="E264" s="1215"/>
      <c r="F264" s="1215"/>
      <c r="G264" s="557" t="s">
        <v>535</v>
      </c>
      <c r="H264" s="557" t="s">
        <v>535</v>
      </c>
      <c r="I264" s="557" t="s">
        <v>535</v>
      </c>
      <c r="J264" s="557" t="s">
        <v>535</v>
      </c>
      <c r="K264" s="557" t="s">
        <v>535</v>
      </c>
      <c r="L264" s="1215"/>
      <c r="M264" s="557"/>
      <c r="N264" s="557" t="s">
        <v>535</v>
      </c>
      <c r="O264" s="557" t="s">
        <v>535</v>
      </c>
      <c r="P264" s="557" t="s">
        <v>535</v>
      </c>
      <c r="Q264" s="557" t="s">
        <v>535</v>
      </c>
      <c r="R264" s="557" t="s">
        <v>535</v>
      </c>
      <c r="S264" s="1215"/>
      <c r="T264" s="1215"/>
      <c r="U264" s="1365" t="s">
        <v>535</v>
      </c>
      <c r="V264" s="1365" t="s">
        <v>535</v>
      </c>
      <c r="W264" s="1365" t="s">
        <v>535</v>
      </c>
      <c r="X264" s="1365" t="s">
        <v>535</v>
      </c>
      <c r="Y264" s="1365" t="s">
        <v>535</v>
      </c>
      <c r="Z264" s="1365"/>
      <c r="AA264" s="1365"/>
      <c r="AB264" s="1365" t="s">
        <v>535</v>
      </c>
      <c r="AC264" s="1365" t="s">
        <v>535</v>
      </c>
      <c r="AD264" s="1365" t="s">
        <v>535</v>
      </c>
      <c r="AE264" s="1365" t="s">
        <v>535</v>
      </c>
      <c r="AF264" s="1365" t="s">
        <v>535</v>
      </c>
      <c r="AG264" s="1215"/>
      <c r="AH264" s="638">
        <v>71</v>
      </c>
      <c r="AI264" s="639">
        <v>37</v>
      </c>
    </row>
    <row r="265" spans="1:35" ht="21" customHeight="1">
      <c r="A265" s="442"/>
      <c r="B265" s="619" t="s">
        <v>613</v>
      </c>
      <c r="C265" s="557" t="s">
        <v>535</v>
      </c>
      <c r="D265" s="557" t="s">
        <v>535</v>
      </c>
      <c r="E265" s="1215"/>
      <c r="F265" s="1215"/>
      <c r="G265" s="1365" t="s">
        <v>535</v>
      </c>
      <c r="H265" s="1365" t="s">
        <v>535</v>
      </c>
      <c r="I265" s="1365" t="s">
        <v>535</v>
      </c>
      <c r="J265" s="1365" t="s">
        <v>535</v>
      </c>
      <c r="K265" s="1365" t="s">
        <v>535</v>
      </c>
      <c r="L265" s="1338"/>
      <c r="M265" s="1365"/>
      <c r="N265" s="1365" t="s">
        <v>535</v>
      </c>
      <c r="O265" s="1365" t="s">
        <v>535</v>
      </c>
      <c r="P265" s="1365" t="s">
        <v>535</v>
      </c>
      <c r="Q265" s="1365" t="s">
        <v>535</v>
      </c>
      <c r="R265" s="1365" t="s">
        <v>535</v>
      </c>
      <c r="S265" s="1338"/>
      <c r="T265" s="1338"/>
      <c r="U265" s="1365" t="s">
        <v>535</v>
      </c>
      <c r="V265" s="1365" t="s">
        <v>535</v>
      </c>
      <c r="W265" s="1365" t="s">
        <v>535</v>
      </c>
      <c r="X265" s="1365" t="s">
        <v>535</v>
      </c>
      <c r="Y265" s="1365" t="s">
        <v>535</v>
      </c>
      <c r="Z265" s="1208"/>
      <c r="AA265" s="1208"/>
      <c r="AB265" s="1208" t="s">
        <v>535</v>
      </c>
      <c r="AC265" s="1208" t="s">
        <v>535</v>
      </c>
      <c r="AD265" s="1208" t="s">
        <v>535</v>
      </c>
      <c r="AE265" s="557" t="s">
        <v>535</v>
      </c>
      <c r="AF265" s="557" t="s">
        <v>535</v>
      </c>
      <c r="AG265" s="1215"/>
      <c r="AH265" s="638">
        <v>74</v>
      </c>
      <c r="AI265" s="639">
        <v>37</v>
      </c>
    </row>
    <row r="266" spans="1:35" ht="21" customHeight="1">
      <c r="A266" s="442"/>
      <c r="B266" s="619" t="s">
        <v>614</v>
      </c>
      <c r="C266" s="557" t="s">
        <v>535</v>
      </c>
      <c r="D266" s="557" t="s">
        <v>535</v>
      </c>
      <c r="E266" s="1215"/>
      <c r="F266" s="1215"/>
      <c r="G266" s="557" t="s">
        <v>535</v>
      </c>
      <c r="H266" s="557" t="s">
        <v>535</v>
      </c>
      <c r="I266" s="557" t="s">
        <v>535</v>
      </c>
      <c r="J266" s="557" t="s">
        <v>535</v>
      </c>
      <c r="K266" s="557" t="s">
        <v>535</v>
      </c>
      <c r="L266" s="1215"/>
      <c r="M266" s="557"/>
      <c r="N266" s="557" t="s">
        <v>535</v>
      </c>
      <c r="O266" s="557" t="s">
        <v>535</v>
      </c>
      <c r="P266" s="557" t="s">
        <v>535</v>
      </c>
      <c r="Q266" s="557" t="s">
        <v>535</v>
      </c>
      <c r="R266" s="557" t="s">
        <v>535</v>
      </c>
      <c r="S266" s="1215"/>
      <c r="T266" s="1215"/>
      <c r="U266" s="557" t="s">
        <v>535</v>
      </c>
      <c r="V266" s="557" t="s">
        <v>535</v>
      </c>
      <c r="W266" s="557" t="s">
        <v>535</v>
      </c>
      <c r="X266" s="557" t="s">
        <v>535</v>
      </c>
      <c r="Y266" s="557" t="s">
        <v>535</v>
      </c>
      <c r="Z266" s="1208"/>
      <c r="AA266" s="1208"/>
      <c r="AB266" s="1365" t="s">
        <v>535</v>
      </c>
      <c r="AC266" s="1365" t="s">
        <v>535</v>
      </c>
      <c r="AD266" s="1365" t="s">
        <v>535</v>
      </c>
      <c r="AE266" s="1365" t="s">
        <v>535</v>
      </c>
      <c r="AF266" s="1365" t="s">
        <v>535</v>
      </c>
      <c r="AG266" s="1338"/>
      <c r="AH266" s="638">
        <v>179</v>
      </c>
      <c r="AI266" s="639">
        <v>37</v>
      </c>
    </row>
    <row r="267" spans="1:35" ht="21" customHeight="1">
      <c r="A267" s="442"/>
      <c r="B267" s="619" t="s">
        <v>615</v>
      </c>
      <c r="C267" s="1365" t="s">
        <v>535</v>
      </c>
      <c r="D267" s="1365" t="s">
        <v>535</v>
      </c>
      <c r="E267" s="1338"/>
      <c r="F267" s="1338"/>
      <c r="G267" s="1365" t="s">
        <v>535</v>
      </c>
      <c r="H267" s="1365" t="s">
        <v>535</v>
      </c>
      <c r="I267" s="1365" t="s">
        <v>535</v>
      </c>
      <c r="J267" s="1365" t="s">
        <v>535</v>
      </c>
      <c r="K267" s="1365" t="s">
        <v>535</v>
      </c>
      <c r="L267" s="1215"/>
      <c r="M267" s="557"/>
      <c r="N267" s="557" t="s">
        <v>535</v>
      </c>
      <c r="O267" s="557" t="s">
        <v>535</v>
      </c>
      <c r="P267" s="557" t="s">
        <v>535</v>
      </c>
      <c r="Q267" s="557" t="s">
        <v>535</v>
      </c>
      <c r="R267" s="557" t="s">
        <v>535</v>
      </c>
      <c r="S267" s="1215"/>
      <c r="T267" s="1215"/>
      <c r="U267" s="557" t="s">
        <v>535</v>
      </c>
      <c r="V267" s="557" t="s">
        <v>535</v>
      </c>
      <c r="W267" s="557" t="s">
        <v>535</v>
      </c>
      <c r="X267" s="557" t="s">
        <v>535</v>
      </c>
      <c r="Y267" s="557" t="s">
        <v>535</v>
      </c>
      <c r="Z267" s="1208"/>
      <c r="AA267" s="1208"/>
      <c r="AB267" s="1208" t="s">
        <v>535</v>
      </c>
      <c r="AC267" s="1208" t="s">
        <v>535</v>
      </c>
      <c r="AD267" s="1208" t="s">
        <v>535</v>
      </c>
      <c r="AE267" s="557" t="s">
        <v>535</v>
      </c>
      <c r="AF267" s="557" t="s">
        <v>535</v>
      </c>
      <c r="AG267" s="1215"/>
      <c r="AH267" s="638">
        <v>60</v>
      </c>
      <c r="AI267" s="639">
        <v>37</v>
      </c>
    </row>
    <row r="268" spans="1:35" ht="21" customHeight="1">
      <c r="A268" s="442"/>
      <c r="B268" s="153" t="s">
        <v>616</v>
      </c>
      <c r="C268" s="1365" t="s">
        <v>535</v>
      </c>
      <c r="D268" s="1365" t="s">
        <v>535</v>
      </c>
      <c r="E268" s="1338"/>
      <c r="F268" s="1338"/>
      <c r="G268" s="1365" t="s">
        <v>535</v>
      </c>
      <c r="H268" s="1365" t="s">
        <v>535</v>
      </c>
      <c r="I268" s="1365" t="s">
        <v>535</v>
      </c>
      <c r="J268" s="1365" t="s">
        <v>535</v>
      </c>
      <c r="K268" s="1365" t="s">
        <v>535</v>
      </c>
      <c r="L268" s="1215"/>
      <c r="M268" s="557"/>
      <c r="N268" s="557" t="s">
        <v>535</v>
      </c>
      <c r="O268" s="557" t="s">
        <v>535</v>
      </c>
      <c r="P268" s="557" t="s">
        <v>535</v>
      </c>
      <c r="Q268" s="557" t="s">
        <v>535</v>
      </c>
      <c r="R268" s="557" t="s">
        <v>535</v>
      </c>
      <c r="S268" s="1215"/>
      <c r="T268" s="1215"/>
      <c r="U268" s="557" t="s">
        <v>535</v>
      </c>
      <c r="V268" s="557" t="s">
        <v>535</v>
      </c>
      <c r="W268" s="557" t="s">
        <v>535</v>
      </c>
      <c r="X268" s="557" t="s">
        <v>535</v>
      </c>
      <c r="Y268" s="557" t="s">
        <v>535</v>
      </c>
      <c r="Z268" s="1208"/>
      <c r="AA268" s="1208"/>
      <c r="AB268" s="1208" t="s">
        <v>535</v>
      </c>
      <c r="AC268" s="1208" t="s">
        <v>535</v>
      </c>
      <c r="AD268" s="1208" t="s">
        <v>535</v>
      </c>
      <c r="AE268" s="557" t="s">
        <v>535</v>
      </c>
      <c r="AF268" s="557" t="s">
        <v>535</v>
      </c>
      <c r="AG268" s="1215"/>
      <c r="AH268" s="638">
        <v>74</v>
      </c>
      <c r="AI268" s="639">
        <v>37</v>
      </c>
    </row>
    <row r="269" spans="1:35" ht="21" customHeight="1">
      <c r="A269" s="442"/>
      <c r="B269" s="153" t="s">
        <v>617</v>
      </c>
      <c r="C269" s="1365" t="s">
        <v>535</v>
      </c>
      <c r="D269" s="1365" t="s">
        <v>535</v>
      </c>
      <c r="E269" s="1365" t="s">
        <v>535</v>
      </c>
      <c r="F269" s="1215"/>
      <c r="G269" s="557" t="s">
        <v>535</v>
      </c>
      <c r="H269" s="557" t="s">
        <v>535</v>
      </c>
      <c r="I269" s="557" t="s">
        <v>535</v>
      </c>
      <c r="J269" s="557" t="s">
        <v>535</v>
      </c>
      <c r="K269" s="557" t="s">
        <v>535</v>
      </c>
      <c r="L269" s="1215"/>
      <c r="M269" s="557"/>
      <c r="N269" s="557" t="s">
        <v>535</v>
      </c>
      <c r="O269" s="557" t="s">
        <v>535</v>
      </c>
      <c r="P269" s="557" t="s">
        <v>535</v>
      </c>
      <c r="Q269" s="557" t="s">
        <v>535</v>
      </c>
      <c r="R269" s="557" t="s">
        <v>535</v>
      </c>
      <c r="S269" s="1215"/>
      <c r="T269" s="1215"/>
      <c r="U269" s="557" t="s">
        <v>535</v>
      </c>
      <c r="V269" s="557" t="s">
        <v>535</v>
      </c>
      <c r="W269" s="557" t="s">
        <v>535</v>
      </c>
      <c r="X269" s="557" t="s">
        <v>535</v>
      </c>
      <c r="Y269" s="557" t="s">
        <v>535</v>
      </c>
      <c r="Z269" s="1208"/>
      <c r="AA269" s="1208"/>
      <c r="AB269" s="1208" t="s">
        <v>535</v>
      </c>
      <c r="AC269" s="1208" t="s">
        <v>535</v>
      </c>
      <c r="AD269" s="1208" t="s">
        <v>535</v>
      </c>
      <c r="AE269" s="557" t="s">
        <v>535</v>
      </c>
      <c r="AF269" s="557" t="s">
        <v>535</v>
      </c>
      <c r="AG269" s="1215"/>
      <c r="AH269" s="638">
        <v>62</v>
      </c>
      <c r="AI269" s="639">
        <v>37</v>
      </c>
    </row>
    <row r="270" spans="1:35" ht="21" customHeight="1">
      <c r="A270" s="442"/>
      <c r="B270" s="153" t="s">
        <v>618</v>
      </c>
      <c r="C270" s="1208"/>
      <c r="D270" s="1208"/>
      <c r="E270" s="1208"/>
      <c r="F270" s="1215"/>
      <c r="G270" s="1365"/>
      <c r="H270" s="1365"/>
      <c r="I270" s="1365"/>
      <c r="J270" s="1365"/>
      <c r="K270" s="1365"/>
      <c r="L270" s="1338"/>
      <c r="M270" s="1365"/>
      <c r="N270" s="1365"/>
      <c r="O270" s="1365"/>
      <c r="P270" s="1365"/>
      <c r="Q270" s="1365"/>
      <c r="R270" s="1365"/>
      <c r="S270" s="1338"/>
      <c r="T270" s="1338"/>
      <c r="U270" s="1365"/>
      <c r="V270" s="1365"/>
      <c r="W270" s="1365"/>
      <c r="X270" s="1365"/>
      <c r="Y270" s="1365"/>
      <c r="Z270" s="1365"/>
      <c r="AA270" s="1365"/>
      <c r="AB270" s="1208" t="s">
        <v>535</v>
      </c>
      <c r="AC270" s="1208" t="s">
        <v>535</v>
      </c>
      <c r="AD270" s="1208" t="s">
        <v>535</v>
      </c>
      <c r="AE270" s="557" t="s">
        <v>535</v>
      </c>
      <c r="AF270" s="557" t="s">
        <v>535</v>
      </c>
      <c r="AG270" s="1215"/>
      <c r="AH270" s="638">
        <v>74</v>
      </c>
      <c r="AI270" s="639">
        <v>37</v>
      </c>
    </row>
    <row r="271" spans="1:35" ht="21" customHeight="1">
      <c r="A271" s="153"/>
      <c r="B271" s="153" t="s">
        <v>619</v>
      </c>
      <c r="C271" s="557" t="s">
        <v>535</v>
      </c>
      <c r="D271" s="557" t="s">
        <v>535</v>
      </c>
      <c r="E271" s="1215"/>
      <c r="F271" s="1215"/>
      <c r="G271" s="1387" t="s">
        <v>535</v>
      </c>
      <c r="H271" s="557" t="s">
        <v>535</v>
      </c>
      <c r="I271" s="557" t="s">
        <v>535</v>
      </c>
      <c r="J271" s="557" t="s">
        <v>535</v>
      </c>
      <c r="K271" s="557" t="s">
        <v>535</v>
      </c>
      <c r="L271" s="1215"/>
      <c r="M271" s="557"/>
      <c r="N271" s="557" t="s">
        <v>535</v>
      </c>
      <c r="O271" s="557" t="s">
        <v>535</v>
      </c>
      <c r="P271" s="557" t="s">
        <v>535</v>
      </c>
      <c r="Q271" s="557" t="s">
        <v>535</v>
      </c>
      <c r="R271" s="557" t="s">
        <v>535</v>
      </c>
      <c r="S271" s="1215"/>
      <c r="T271" s="1215"/>
      <c r="U271" s="557" t="s">
        <v>535</v>
      </c>
      <c r="V271" s="557" t="s">
        <v>535</v>
      </c>
      <c r="W271" s="557" t="s">
        <v>535</v>
      </c>
      <c r="X271" s="557" t="s">
        <v>535</v>
      </c>
      <c r="Y271" s="557" t="s">
        <v>535</v>
      </c>
      <c r="Z271" s="1208"/>
      <c r="AA271" s="1208"/>
      <c r="AB271" s="1208" t="s">
        <v>535</v>
      </c>
      <c r="AC271" s="1208" t="s">
        <v>535</v>
      </c>
      <c r="AD271" s="1208" t="s">
        <v>535</v>
      </c>
      <c r="AE271" s="1439" t="s">
        <v>535</v>
      </c>
      <c r="AF271" s="1439" t="s">
        <v>535</v>
      </c>
      <c r="AG271" s="1215"/>
      <c r="AH271" s="638">
        <v>72</v>
      </c>
      <c r="AI271" s="639">
        <v>31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26"/>
  <dimension ref="A1:AL271"/>
  <sheetViews>
    <sheetView topLeftCell="I71" zoomScale="70" zoomScaleNormal="70" workbookViewId="0">
      <selection activeCell="AM84" sqref="AM84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620</v>
      </c>
      <c r="B6" s="157"/>
      <c r="C6" s="489"/>
      <c r="D6" s="488" t="s">
        <v>621</v>
      </c>
      <c r="E6" s="157"/>
      <c r="F6" s="157"/>
      <c r="G6" s="157"/>
      <c r="H6" s="490"/>
      <c r="I6" s="157"/>
      <c r="J6" s="157"/>
      <c r="K6" s="157"/>
      <c r="L6" s="488" t="s">
        <v>622</v>
      </c>
      <c r="M6" s="157"/>
      <c r="N6" s="157"/>
      <c r="O6" s="157"/>
      <c r="P6" s="157"/>
      <c r="Q6" s="157"/>
      <c r="R6" s="157"/>
      <c r="S6" s="489"/>
      <c r="T6" s="491" t="s">
        <v>623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624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625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626</v>
      </c>
      <c r="L8" s="496"/>
      <c r="AB8" s="1"/>
    </row>
    <row r="9" spans="1:35" ht="21.95" customHeight="1" thickBot="1">
      <c r="B9" s="497" t="s">
        <v>627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528</v>
      </c>
      <c r="B10" s="297" t="s">
        <v>480</v>
      </c>
      <c r="C10" s="1235">
        <v>1</v>
      </c>
      <c r="D10" s="1234">
        <v>2</v>
      </c>
      <c r="E10" s="1234">
        <v>3</v>
      </c>
      <c r="F10" s="1234">
        <v>4</v>
      </c>
      <c r="G10" s="1234">
        <v>5</v>
      </c>
      <c r="H10" s="1234">
        <v>6</v>
      </c>
      <c r="I10" s="1330">
        <v>7</v>
      </c>
      <c r="J10" s="1330">
        <v>8</v>
      </c>
      <c r="K10" s="1234">
        <v>9</v>
      </c>
      <c r="L10" s="1234">
        <v>10</v>
      </c>
      <c r="M10" s="1234">
        <v>11</v>
      </c>
      <c r="N10" s="1234">
        <v>12</v>
      </c>
      <c r="O10" s="1234">
        <v>13</v>
      </c>
      <c r="P10" s="1330">
        <v>14</v>
      </c>
      <c r="Q10" s="1330">
        <v>15</v>
      </c>
      <c r="R10" s="1234">
        <v>16</v>
      </c>
      <c r="S10" s="1234">
        <v>17</v>
      </c>
      <c r="T10" s="1234">
        <v>18</v>
      </c>
      <c r="U10" s="1234">
        <v>19</v>
      </c>
      <c r="V10" s="1213">
        <v>20</v>
      </c>
      <c r="W10" s="1330">
        <v>21</v>
      </c>
      <c r="X10" s="1330">
        <v>22</v>
      </c>
      <c r="Y10" s="1234">
        <v>23</v>
      </c>
      <c r="Z10" s="1234">
        <v>24</v>
      </c>
      <c r="AA10" s="1234">
        <v>25</v>
      </c>
      <c r="AB10" s="1234">
        <v>26</v>
      </c>
      <c r="AC10" s="1234">
        <v>27</v>
      </c>
      <c r="AD10" s="1330">
        <v>28</v>
      </c>
      <c r="AE10" s="1330">
        <v>29</v>
      </c>
      <c r="AF10" s="1234">
        <v>30</v>
      </c>
      <c r="AG10" s="1234"/>
      <c r="AH10" s="498" t="s">
        <v>481</v>
      </c>
      <c r="AI10" s="499" t="s">
        <v>482</v>
      </c>
    </row>
    <row r="11" spans="1:35" ht="21.95" customHeight="1">
      <c r="A11" s="500"/>
      <c r="B11" s="501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1215"/>
      <c r="N11" s="1215"/>
      <c r="O11" s="1215"/>
      <c r="P11" s="1215"/>
      <c r="Q11" s="1215"/>
      <c r="R11" s="1215"/>
      <c r="S11" s="1215"/>
      <c r="T11" s="1215"/>
      <c r="U11" s="1215"/>
      <c r="V11" s="1215"/>
      <c r="W11" s="1215"/>
      <c r="X11" s="1215"/>
      <c r="Y11" s="1215"/>
      <c r="Z11" s="1215"/>
      <c r="AA11" s="1215"/>
      <c r="AB11" s="1215"/>
      <c r="AC11" s="1215"/>
      <c r="AD11" s="1215"/>
      <c r="AE11" s="1215"/>
      <c r="AF11" s="1215"/>
      <c r="AG11" s="503"/>
      <c r="AH11" s="504"/>
      <c r="AI11" s="505"/>
    </row>
    <row r="12" spans="1:35" ht="21.95" customHeight="1">
      <c r="A12" s="506" t="s">
        <v>628</v>
      </c>
      <c r="B12" s="45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509"/>
      <c r="AI12" s="510"/>
    </row>
    <row r="13" spans="1:35" ht="21.95" customHeight="1">
      <c r="A13" s="511">
        <v>8546</v>
      </c>
      <c r="B13" s="512" t="s">
        <v>629</v>
      </c>
      <c r="C13" s="1349"/>
      <c r="D13" s="1349">
        <v>4</v>
      </c>
      <c r="E13" s="1349">
        <v>4</v>
      </c>
      <c r="F13" s="1349">
        <v>4</v>
      </c>
      <c r="G13" s="1349">
        <v>4</v>
      </c>
      <c r="H13" s="1338">
        <v>4</v>
      </c>
      <c r="I13" s="1349" t="s">
        <v>630</v>
      </c>
      <c r="J13" s="1349" t="s">
        <v>630</v>
      </c>
      <c r="K13" s="1211" t="s">
        <v>487</v>
      </c>
      <c r="L13" s="1211" t="s">
        <v>487</v>
      </c>
      <c r="M13" s="1211" t="s">
        <v>487</v>
      </c>
      <c r="N13" s="1211" t="s">
        <v>487</v>
      </c>
      <c r="O13" s="1211" t="s">
        <v>487</v>
      </c>
      <c r="P13" s="1211"/>
      <c r="Q13" s="1211"/>
      <c r="R13" s="1211">
        <v>1</v>
      </c>
      <c r="S13" s="1211">
        <v>1</v>
      </c>
      <c r="T13" s="1211">
        <v>1</v>
      </c>
      <c r="U13" s="1211">
        <v>1</v>
      </c>
      <c r="V13" s="1211">
        <v>1</v>
      </c>
      <c r="W13" s="1211"/>
      <c r="X13" s="1211"/>
      <c r="Y13" s="1211">
        <v>2</v>
      </c>
      <c r="Z13" s="1211">
        <v>2</v>
      </c>
      <c r="AA13" s="1500">
        <v>2</v>
      </c>
      <c r="AB13" s="1211">
        <v>2</v>
      </c>
      <c r="AC13" s="1211">
        <v>2</v>
      </c>
      <c r="AD13" s="1211" t="s">
        <v>631</v>
      </c>
      <c r="AE13" s="1211" t="s">
        <v>631</v>
      </c>
      <c r="AF13" s="1211" t="s">
        <v>487</v>
      </c>
      <c r="AG13" s="1218"/>
      <c r="AH13" s="513">
        <v>83</v>
      </c>
      <c r="AI13" s="514">
        <v>37</v>
      </c>
    </row>
    <row r="14" spans="1:35" ht="21.95" customHeight="1">
      <c r="A14" s="500">
        <v>8546</v>
      </c>
      <c r="B14" s="347" t="s">
        <v>632</v>
      </c>
      <c r="C14" s="1358" t="s">
        <v>631</v>
      </c>
      <c r="D14" s="1358" t="s">
        <v>487</v>
      </c>
      <c r="E14" s="1358" t="s">
        <v>487</v>
      </c>
      <c r="F14" s="1358" t="s">
        <v>487</v>
      </c>
      <c r="G14" s="1358" t="s">
        <v>487</v>
      </c>
      <c r="H14" s="1358" t="s">
        <v>487</v>
      </c>
      <c r="I14" s="1358"/>
      <c r="J14" s="1358"/>
      <c r="K14" s="1215">
        <v>3</v>
      </c>
      <c r="L14" s="1215">
        <v>3</v>
      </c>
      <c r="M14" s="1215">
        <v>3</v>
      </c>
      <c r="N14" s="1215">
        <v>3</v>
      </c>
      <c r="O14" s="1215">
        <v>3</v>
      </c>
      <c r="P14" s="1215"/>
      <c r="Q14" s="1215"/>
      <c r="R14" s="1215">
        <v>4</v>
      </c>
      <c r="S14" s="1215">
        <v>4</v>
      </c>
      <c r="T14" s="1215">
        <v>4</v>
      </c>
      <c r="U14" s="1215">
        <v>4</v>
      </c>
      <c r="V14" s="1215">
        <v>4</v>
      </c>
      <c r="W14" s="1215" t="s">
        <v>630</v>
      </c>
      <c r="X14" s="1215" t="s">
        <v>630</v>
      </c>
      <c r="Y14" s="1215" t="s">
        <v>487</v>
      </c>
      <c r="Z14" s="1215" t="s">
        <v>487</v>
      </c>
      <c r="AA14" s="1215" t="s">
        <v>487</v>
      </c>
      <c r="AB14" s="1215" t="s">
        <v>487</v>
      </c>
      <c r="AC14" s="1215" t="s">
        <v>487</v>
      </c>
      <c r="AD14" s="1215"/>
      <c r="AE14" s="1215"/>
      <c r="AF14" s="1215" t="s">
        <v>514</v>
      </c>
      <c r="AG14" s="1216"/>
      <c r="AH14" s="513">
        <v>79</v>
      </c>
      <c r="AI14" s="514">
        <v>37</v>
      </c>
    </row>
    <row r="15" spans="1:35" ht="21.95" customHeight="1">
      <c r="A15" s="500">
        <v>8546</v>
      </c>
      <c r="B15" s="347" t="s">
        <v>171</v>
      </c>
      <c r="C15" s="1215"/>
      <c r="D15" s="1215">
        <v>3</v>
      </c>
      <c r="E15" s="1215">
        <v>3</v>
      </c>
      <c r="F15" s="1215">
        <v>3</v>
      </c>
      <c r="G15" s="1215">
        <v>3</v>
      </c>
      <c r="H15" s="1215">
        <v>3</v>
      </c>
      <c r="I15" s="1215"/>
      <c r="J15" s="1215"/>
      <c r="K15" s="1215">
        <v>4</v>
      </c>
      <c r="L15" s="1215">
        <v>4</v>
      </c>
      <c r="M15" s="1215">
        <v>4</v>
      </c>
      <c r="N15" s="1215">
        <v>4</v>
      </c>
      <c r="O15" s="1215">
        <v>4</v>
      </c>
      <c r="P15" s="1215" t="s">
        <v>630</v>
      </c>
      <c r="Q15" s="1215" t="s">
        <v>630</v>
      </c>
      <c r="R15" s="1215" t="s">
        <v>487</v>
      </c>
      <c r="S15" s="1215" t="s">
        <v>487</v>
      </c>
      <c r="T15" s="1215" t="s">
        <v>487</v>
      </c>
      <c r="U15" s="1215" t="s">
        <v>487</v>
      </c>
      <c r="V15" s="1215" t="s">
        <v>487</v>
      </c>
      <c r="W15" s="1215"/>
      <c r="X15" s="1215"/>
      <c r="Y15" s="1215">
        <v>1</v>
      </c>
      <c r="Z15" s="1215">
        <v>1</v>
      </c>
      <c r="AA15" s="1500">
        <v>1</v>
      </c>
      <c r="AB15" s="1335">
        <v>1</v>
      </c>
      <c r="AC15" s="1335">
        <v>1</v>
      </c>
      <c r="AD15" s="1215"/>
      <c r="AE15" s="1215"/>
      <c r="AF15" s="1215" t="s">
        <v>514</v>
      </c>
      <c r="AG15" s="1216"/>
      <c r="AH15" s="513">
        <v>69</v>
      </c>
      <c r="AI15" s="514">
        <v>37</v>
      </c>
    </row>
    <row r="16" spans="1:35" ht="21.95" customHeight="1">
      <c r="A16" s="500">
        <v>8546</v>
      </c>
      <c r="B16" s="347" t="s">
        <v>633</v>
      </c>
      <c r="C16" s="1215"/>
      <c r="D16" s="1215">
        <v>1</v>
      </c>
      <c r="E16" s="1335">
        <v>1</v>
      </c>
      <c r="F16" s="1335">
        <v>1</v>
      </c>
      <c r="G16" s="1215">
        <v>1</v>
      </c>
      <c r="H16" s="1215">
        <v>1</v>
      </c>
      <c r="I16" s="1215"/>
      <c r="J16" s="1215"/>
      <c r="K16" s="1215">
        <v>2</v>
      </c>
      <c r="L16" s="1215">
        <v>2</v>
      </c>
      <c r="M16" s="1215">
        <v>2</v>
      </c>
      <c r="N16" s="1215">
        <v>2</v>
      </c>
      <c r="O16" s="1215">
        <v>2</v>
      </c>
      <c r="P16" s="1215" t="s">
        <v>631</v>
      </c>
      <c r="Q16" s="1215" t="s">
        <v>631</v>
      </c>
      <c r="R16" s="1215" t="s">
        <v>487</v>
      </c>
      <c r="S16" s="1215" t="s">
        <v>487</v>
      </c>
      <c r="T16" s="1215" t="s">
        <v>487</v>
      </c>
      <c r="U16" s="1215" t="s">
        <v>487</v>
      </c>
      <c r="V16" s="1215" t="s">
        <v>487</v>
      </c>
      <c r="W16" s="1215"/>
      <c r="X16" s="1215"/>
      <c r="Y16" s="1215">
        <v>3</v>
      </c>
      <c r="Z16" s="1215">
        <v>3</v>
      </c>
      <c r="AA16" s="1500">
        <v>3</v>
      </c>
      <c r="AB16" s="1215">
        <v>3</v>
      </c>
      <c r="AC16" s="1215">
        <v>3</v>
      </c>
      <c r="AD16" s="1215"/>
      <c r="AE16" s="1215"/>
      <c r="AF16" s="1215">
        <v>4</v>
      </c>
      <c r="AG16" s="1216"/>
      <c r="AH16" s="513">
        <v>78</v>
      </c>
      <c r="AI16" s="514">
        <v>37</v>
      </c>
    </row>
    <row r="17" spans="1:37" ht="21.95" customHeight="1">
      <c r="A17" s="500">
        <v>8546</v>
      </c>
      <c r="B17" s="347" t="s">
        <v>634</v>
      </c>
      <c r="C17" s="1215" t="s">
        <v>630</v>
      </c>
      <c r="D17" s="1215" t="s">
        <v>487</v>
      </c>
      <c r="E17" s="1215" t="s">
        <v>487</v>
      </c>
      <c r="F17" s="1215" t="s">
        <v>487</v>
      </c>
      <c r="G17" s="1215" t="s">
        <v>487</v>
      </c>
      <c r="H17" s="1215" t="s">
        <v>487</v>
      </c>
      <c r="I17" s="1215"/>
      <c r="J17" s="1215"/>
      <c r="K17" s="1215">
        <v>1</v>
      </c>
      <c r="L17" s="1215">
        <v>1</v>
      </c>
      <c r="M17" s="1215">
        <v>1</v>
      </c>
      <c r="N17" s="1215">
        <v>1</v>
      </c>
      <c r="O17" s="1215">
        <v>1</v>
      </c>
      <c r="P17" s="1215"/>
      <c r="Q17" s="1215"/>
      <c r="R17" s="1215">
        <v>2</v>
      </c>
      <c r="S17" s="1215">
        <v>2</v>
      </c>
      <c r="T17" s="1215">
        <v>2</v>
      </c>
      <c r="U17" s="1215">
        <v>2</v>
      </c>
      <c r="V17" s="1215">
        <v>2</v>
      </c>
      <c r="W17" s="1335" t="s">
        <v>631</v>
      </c>
      <c r="X17" s="1335" t="s">
        <v>631</v>
      </c>
      <c r="Y17" s="1215" t="s">
        <v>487</v>
      </c>
      <c r="Z17" s="1215" t="s">
        <v>487</v>
      </c>
      <c r="AA17" s="1500" t="s">
        <v>514</v>
      </c>
      <c r="AB17" s="1215" t="s">
        <v>487</v>
      </c>
      <c r="AC17" s="1215" t="s">
        <v>487</v>
      </c>
      <c r="AD17" s="1215"/>
      <c r="AE17" s="1215"/>
      <c r="AF17" s="1215">
        <v>3</v>
      </c>
      <c r="AG17" s="1216"/>
      <c r="AH17" s="513">
        <v>79</v>
      </c>
      <c r="AI17" s="514">
        <v>37</v>
      </c>
    </row>
    <row r="18" spans="1:37" ht="21.95" customHeight="1">
      <c r="A18" s="500">
        <v>8546</v>
      </c>
      <c r="B18" s="347" t="s">
        <v>635</v>
      </c>
      <c r="C18" s="1215"/>
      <c r="D18" s="1215">
        <v>2</v>
      </c>
      <c r="E18" s="1215">
        <v>2</v>
      </c>
      <c r="F18" s="1215">
        <v>2</v>
      </c>
      <c r="G18" s="1215">
        <v>2</v>
      </c>
      <c r="H18" s="1215">
        <v>2</v>
      </c>
      <c r="I18" s="1215" t="s">
        <v>631</v>
      </c>
      <c r="J18" s="1215" t="s">
        <v>631</v>
      </c>
      <c r="K18" s="1215" t="s">
        <v>487</v>
      </c>
      <c r="L18" s="1215" t="s">
        <v>487</v>
      </c>
      <c r="M18" s="1215" t="s">
        <v>487</v>
      </c>
      <c r="N18" s="1215" t="s">
        <v>487</v>
      </c>
      <c r="O18" s="1215" t="s">
        <v>487</v>
      </c>
      <c r="P18" s="1215"/>
      <c r="Q18" s="1215"/>
      <c r="R18" s="1215" t="s">
        <v>514</v>
      </c>
      <c r="S18" s="1215" t="s">
        <v>514</v>
      </c>
      <c r="T18" s="1215" t="s">
        <v>514</v>
      </c>
      <c r="U18" s="1215" t="s">
        <v>514</v>
      </c>
      <c r="V18" s="1215" t="s">
        <v>514</v>
      </c>
      <c r="W18" s="1215"/>
      <c r="X18" s="1215"/>
      <c r="Y18" s="1215">
        <v>4</v>
      </c>
      <c r="Z18" s="1215">
        <v>4</v>
      </c>
      <c r="AA18" s="1215">
        <v>4</v>
      </c>
      <c r="AB18" s="1215">
        <v>4</v>
      </c>
      <c r="AC18" s="1215">
        <v>4</v>
      </c>
      <c r="AD18" s="1215" t="s">
        <v>630</v>
      </c>
      <c r="AE18" s="1215" t="s">
        <v>630</v>
      </c>
      <c r="AF18" s="1215" t="s">
        <v>487</v>
      </c>
      <c r="AG18" s="1216"/>
      <c r="AH18" s="513">
        <v>83</v>
      </c>
      <c r="AI18" s="514">
        <v>37</v>
      </c>
    </row>
    <row r="19" spans="1:37" ht="21.95" customHeight="1">
      <c r="A19" s="515" t="s">
        <v>636</v>
      </c>
      <c r="B19" s="516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507"/>
      <c r="AE19" s="507"/>
      <c r="AF19" s="507"/>
      <c r="AG19" s="508"/>
      <c r="AH19" s="509"/>
      <c r="AI19" s="510"/>
    </row>
    <row r="20" spans="1:37" ht="21.95" customHeight="1">
      <c r="A20" s="500">
        <v>8500</v>
      </c>
      <c r="B20" s="186" t="s">
        <v>192</v>
      </c>
      <c r="C20" s="1215" t="s">
        <v>631</v>
      </c>
      <c r="D20" s="1215" t="s">
        <v>487</v>
      </c>
      <c r="E20" s="1215" t="s">
        <v>487</v>
      </c>
      <c r="F20" s="1215" t="s">
        <v>487</v>
      </c>
      <c r="G20" s="1215" t="s">
        <v>487</v>
      </c>
      <c r="H20" s="1215" t="s">
        <v>487</v>
      </c>
      <c r="I20" s="1215" t="s">
        <v>637</v>
      </c>
      <c r="J20" s="1215" t="s">
        <v>637</v>
      </c>
      <c r="K20" s="1335" t="s">
        <v>535</v>
      </c>
      <c r="L20" s="1215" t="s">
        <v>535</v>
      </c>
      <c r="M20" s="1393" t="s">
        <v>484</v>
      </c>
      <c r="N20" s="1215" t="s">
        <v>484</v>
      </c>
      <c r="O20" s="1215" t="s">
        <v>484</v>
      </c>
      <c r="P20" s="1215" t="s">
        <v>637</v>
      </c>
      <c r="Q20" s="1215" t="s">
        <v>637</v>
      </c>
      <c r="R20" s="1215">
        <v>3</v>
      </c>
      <c r="S20" s="1215">
        <v>3</v>
      </c>
      <c r="T20" s="1215">
        <v>3</v>
      </c>
      <c r="U20" s="1215">
        <v>3</v>
      </c>
      <c r="V20" s="1215">
        <v>3</v>
      </c>
      <c r="W20" s="1215"/>
      <c r="X20" s="1215"/>
      <c r="Y20" s="1215" t="s">
        <v>535</v>
      </c>
      <c r="Z20" s="1215" t="s">
        <v>535</v>
      </c>
      <c r="AA20" s="1500">
        <v>1</v>
      </c>
      <c r="AB20" s="1344">
        <v>1</v>
      </c>
      <c r="AC20" s="1215">
        <v>1</v>
      </c>
      <c r="AD20" s="1215"/>
      <c r="AE20" s="1215"/>
      <c r="AF20" s="1215">
        <v>2</v>
      </c>
      <c r="AG20" s="1215"/>
      <c r="AH20" s="504">
        <v>95</v>
      </c>
      <c r="AI20" s="505">
        <v>37</v>
      </c>
    </row>
    <row r="21" spans="1:37" ht="21.95" customHeight="1">
      <c r="A21" s="500">
        <v>8500</v>
      </c>
      <c r="B21" s="153" t="s">
        <v>638</v>
      </c>
      <c r="C21" s="1215"/>
      <c r="D21" s="1215">
        <v>4</v>
      </c>
      <c r="E21" s="1215">
        <v>4</v>
      </c>
      <c r="F21" s="1215">
        <v>4</v>
      </c>
      <c r="G21" s="1215">
        <v>4</v>
      </c>
      <c r="H21" s="1215">
        <v>4</v>
      </c>
      <c r="I21" s="1215" t="s">
        <v>630</v>
      </c>
      <c r="J21" s="1215" t="s">
        <v>630</v>
      </c>
      <c r="K21" s="1215" t="s">
        <v>487</v>
      </c>
      <c r="L21" s="1215" t="s">
        <v>487</v>
      </c>
      <c r="M21" s="1215" t="s">
        <v>487</v>
      </c>
      <c r="N21" s="1215" t="s">
        <v>487</v>
      </c>
      <c r="O21" s="1215" t="s">
        <v>487</v>
      </c>
      <c r="P21" s="1215"/>
      <c r="Q21" s="1215"/>
      <c r="R21" s="1215" t="s">
        <v>535</v>
      </c>
      <c r="S21" s="1215" t="s">
        <v>535</v>
      </c>
      <c r="T21" s="1215" t="s">
        <v>535</v>
      </c>
      <c r="U21" s="1215" t="s">
        <v>535</v>
      </c>
      <c r="V21" s="1215" t="s">
        <v>535</v>
      </c>
      <c r="W21" s="1215" t="s">
        <v>631</v>
      </c>
      <c r="X21" s="1215" t="s">
        <v>631</v>
      </c>
      <c r="Y21" s="1215" t="s">
        <v>487</v>
      </c>
      <c r="Z21" s="1215" t="s">
        <v>487</v>
      </c>
      <c r="AA21" s="1500" t="s">
        <v>514</v>
      </c>
      <c r="AB21" s="1215" t="s">
        <v>487</v>
      </c>
      <c r="AC21" s="1215" t="s">
        <v>487</v>
      </c>
      <c r="AD21" s="1215"/>
      <c r="AE21" s="1215"/>
      <c r="AF21" s="1215">
        <v>1</v>
      </c>
      <c r="AG21" s="1215"/>
      <c r="AH21" s="504">
        <v>74</v>
      </c>
      <c r="AI21" s="505">
        <v>37</v>
      </c>
    </row>
    <row r="22" spans="1:37" ht="21.95" customHeight="1" thickBot="1">
      <c r="A22" s="500"/>
      <c r="B22" s="153"/>
      <c r="C22" s="1215"/>
      <c r="D22" s="1215"/>
      <c r="E22" s="1215"/>
      <c r="F22" s="1215"/>
      <c r="G22" s="1215"/>
      <c r="H22" s="1215"/>
      <c r="I22" s="1215"/>
      <c r="J22" s="1215"/>
      <c r="K22" s="1215"/>
      <c r="L22" s="1215"/>
      <c r="M22" s="1215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15"/>
      <c r="AA22" s="1215"/>
      <c r="AB22" s="1215"/>
      <c r="AC22" s="1215"/>
      <c r="AD22" s="1215"/>
      <c r="AE22" s="1215"/>
      <c r="AF22" s="1215"/>
      <c r="AG22" s="1215"/>
      <c r="AH22" s="517"/>
      <c r="AI22" s="518"/>
    </row>
    <row r="23" spans="1:37" ht="21.95" customHeight="1">
      <c r="A23" s="519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</row>
    <row r="24" spans="1:37" ht="21.95" customHeight="1">
      <c r="A24" s="519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</row>
    <row r="25" spans="1:37" ht="21.95" customHeight="1">
      <c r="A25" s="519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</row>
    <row r="26" spans="1:37" ht="21.95" customHeight="1">
      <c r="A26" s="519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</row>
    <row r="27" spans="1:37" ht="21.95" customHeight="1">
      <c r="A27" s="519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</row>
    <row r="28" spans="1:37" ht="21.95" customHeight="1">
      <c r="A28" s="519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</row>
    <row r="29" spans="1:37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7" ht="21.95" customHeight="1" thickBot="1">
      <c r="A30" s="1" t="s">
        <v>639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640</v>
      </c>
      <c r="B31" s="521"/>
      <c r="C31" s="521"/>
      <c r="D31" s="425" t="s">
        <v>641</v>
      </c>
      <c r="E31" s="522"/>
      <c r="F31" s="522"/>
      <c r="G31" s="522"/>
      <c r="H31" s="522"/>
      <c r="I31" s="522"/>
      <c r="J31" s="522"/>
      <c r="K31" s="522"/>
      <c r="L31" s="522"/>
      <c r="M31" s="523" t="s">
        <v>642</v>
      </c>
      <c r="N31" s="522"/>
      <c r="O31" s="522"/>
      <c r="P31" s="522"/>
      <c r="Q31" s="522"/>
      <c r="R31" s="522"/>
      <c r="S31" s="524"/>
      <c r="T31" s="524" t="s">
        <v>643</v>
      </c>
      <c r="U31" s="522"/>
      <c r="V31" s="522"/>
      <c r="W31" s="522"/>
      <c r="X31" s="522"/>
      <c r="Y31" s="522"/>
      <c r="Z31" s="238"/>
      <c r="AA31" s="525" t="s">
        <v>644</v>
      </c>
      <c r="AB31" s="51"/>
      <c r="AC31" s="51"/>
      <c r="AD31" s="51"/>
      <c r="AE31" s="51"/>
      <c r="AF31" s="51"/>
      <c r="AG31" s="526"/>
      <c r="AK31" s="1"/>
    </row>
    <row r="32" spans="1:37" ht="21.95" customHeight="1">
      <c r="A32" s="527" t="s">
        <v>645</v>
      </c>
      <c r="B32" s="135"/>
      <c r="C32" s="135"/>
      <c r="D32" s="495" t="s">
        <v>646</v>
      </c>
      <c r="E32" s="491"/>
      <c r="F32" s="157"/>
      <c r="G32" s="157"/>
      <c r="H32" s="157"/>
      <c r="I32" s="157"/>
      <c r="J32" s="157"/>
      <c r="K32" s="157"/>
      <c r="L32" s="489"/>
      <c r="M32" s="528" t="s">
        <v>647</v>
      </c>
      <c r="N32" s="135"/>
      <c r="O32" s="529"/>
      <c r="P32" s="135"/>
      <c r="Q32" s="135"/>
      <c r="R32" s="135"/>
      <c r="S32" s="530"/>
      <c r="T32" s="495" t="s">
        <v>648</v>
      </c>
      <c r="U32" s="157"/>
      <c r="V32" s="491"/>
      <c r="W32" s="157"/>
      <c r="X32" s="157"/>
      <c r="Y32" s="157"/>
      <c r="Z32" s="489"/>
      <c r="AA32" s="1" t="s">
        <v>649</v>
      </c>
      <c r="AD32" s="496"/>
      <c r="AG32" s="531"/>
      <c r="AK32" s="1"/>
    </row>
    <row r="33" spans="1:38" ht="21.95" customHeight="1">
      <c r="A33" s="532" t="s">
        <v>650</v>
      </c>
      <c r="B33" s="157"/>
      <c r="C33" s="157"/>
      <c r="D33" s="157"/>
      <c r="E33" s="157"/>
      <c r="F33" s="157"/>
      <c r="G33" s="489"/>
      <c r="H33" s="495" t="s">
        <v>651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3" t="s">
        <v>652</v>
      </c>
      <c r="AA33" s="529"/>
      <c r="AB33" s="135"/>
      <c r="AC33" s="135"/>
      <c r="AD33" s="135"/>
      <c r="AE33" s="135"/>
      <c r="AF33" s="135"/>
      <c r="AG33" s="534"/>
      <c r="AK33" s="312"/>
    </row>
    <row r="34" spans="1:38" ht="21.95" customHeight="1" thickBot="1">
      <c r="A34" s="535" t="s">
        <v>653</v>
      </c>
      <c r="B34" s="53"/>
      <c r="C34" s="53"/>
      <c r="D34" s="53"/>
      <c r="E34" s="53"/>
      <c r="F34" s="53"/>
      <c r="G34" s="536"/>
      <c r="H34" s="537" t="s">
        <v>654</v>
      </c>
      <c r="I34" s="536"/>
      <c r="J34" s="53"/>
      <c r="K34" s="53"/>
      <c r="L34" s="53"/>
      <c r="M34" s="53"/>
      <c r="N34" s="53"/>
      <c r="O34" s="53"/>
      <c r="P34" s="53"/>
      <c r="Q34" s="538"/>
      <c r="R34" s="538"/>
      <c r="S34" s="538"/>
      <c r="T34" s="53"/>
      <c r="U34" s="537" t="s">
        <v>655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9"/>
      <c r="AK34" s="1"/>
    </row>
    <row r="35" spans="1:38" ht="21.95" customHeight="1" thickBot="1">
      <c r="B35" s="540" t="s">
        <v>627</v>
      </c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41"/>
      <c r="Y35" s="541"/>
      <c r="Z35" s="541"/>
      <c r="AA35" s="541"/>
      <c r="AB35" s="541"/>
      <c r="AC35" s="541"/>
      <c r="AD35" s="541"/>
      <c r="AE35" s="541"/>
      <c r="AF35" s="541"/>
      <c r="AG35" s="541"/>
      <c r="AH35" s="1"/>
    </row>
    <row r="36" spans="1:38" ht="21.95" customHeight="1" thickBot="1">
      <c r="A36" s="542" t="s">
        <v>528</v>
      </c>
      <c r="B36" s="182" t="s">
        <v>480</v>
      </c>
      <c r="C36" s="1235">
        <v>1</v>
      </c>
      <c r="D36" s="1234">
        <v>2</v>
      </c>
      <c r="E36" s="1234">
        <v>3</v>
      </c>
      <c r="F36" s="1234">
        <v>4</v>
      </c>
      <c r="G36" s="1234">
        <v>5</v>
      </c>
      <c r="H36" s="1234">
        <v>6</v>
      </c>
      <c r="I36" s="1330">
        <v>7</v>
      </c>
      <c r="J36" s="1330">
        <v>8</v>
      </c>
      <c r="K36" s="1234">
        <v>9</v>
      </c>
      <c r="L36" s="1234">
        <v>10</v>
      </c>
      <c r="M36" s="1234">
        <v>11</v>
      </c>
      <c r="N36" s="1234">
        <v>12</v>
      </c>
      <c r="O36" s="1234">
        <v>13</v>
      </c>
      <c r="P36" s="1330">
        <v>14</v>
      </c>
      <c r="Q36" s="1330">
        <v>15</v>
      </c>
      <c r="R36" s="1234">
        <v>16</v>
      </c>
      <c r="S36" s="1234">
        <v>17</v>
      </c>
      <c r="T36" s="1234">
        <v>18</v>
      </c>
      <c r="U36" s="1234">
        <v>19</v>
      </c>
      <c r="V36" s="1213">
        <v>20</v>
      </c>
      <c r="W36" s="1330">
        <v>21</v>
      </c>
      <c r="X36" s="1330">
        <v>22</v>
      </c>
      <c r="Y36" s="1234">
        <v>23</v>
      </c>
      <c r="Z36" s="1234">
        <v>24</v>
      </c>
      <c r="AA36" s="1234">
        <v>25</v>
      </c>
      <c r="AB36" s="1234">
        <v>26</v>
      </c>
      <c r="AC36" s="1234">
        <v>27</v>
      </c>
      <c r="AD36" s="1330">
        <v>28</v>
      </c>
      <c r="AE36" s="1330">
        <v>29</v>
      </c>
      <c r="AF36" s="1234">
        <v>30</v>
      </c>
      <c r="AG36" s="1234"/>
      <c r="AH36" s="498" t="s">
        <v>481</v>
      </c>
      <c r="AI36" s="499" t="s">
        <v>482</v>
      </c>
      <c r="AL36" t="s">
        <v>28</v>
      </c>
    </row>
    <row r="37" spans="1:38" ht="21.95" customHeight="1">
      <c r="A37" s="543">
        <v>1</v>
      </c>
      <c r="B37" s="45" t="s">
        <v>656</v>
      </c>
      <c r="C37" s="1209" t="s">
        <v>533</v>
      </c>
      <c r="D37" s="1209" t="s">
        <v>487</v>
      </c>
      <c r="E37" s="1209" t="s">
        <v>487</v>
      </c>
      <c r="F37" s="1209" t="s">
        <v>487</v>
      </c>
      <c r="G37" s="1209" t="s">
        <v>487</v>
      </c>
      <c r="H37" s="1209" t="s">
        <v>487</v>
      </c>
      <c r="I37" s="1209"/>
      <c r="J37" s="1209"/>
      <c r="K37" s="1209">
        <v>1</v>
      </c>
      <c r="L37" s="1209">
        <v>1</v>
      </c>
      <c r="M37" s="1575">
        <v>1</v>
      </c>
      <c r="N37" s="1209">
        <v>1</v>
      </c>
      <c r="O37" s="1209">
        <v>1</v>
      </c>
      <c r="P37" s="1209"/>
      <c r="Q37" s="1209"/>
      <c r="R37" s="1209">
        <v>9</v>
      </c>
      <c r="S37" s="1209">
        <v>9</v>
      </c>
      <c r="T37" s="1209">
        <v>9</v>
      </c>
      <c r="U37" s="1209">
        <v>9</v>
      </c>
      <c r="V37" s="1209">
        <v>9</v>
      </c>
      <c r="W37" s="1209" t="s">
        <v>543</v>
      </c>
      <c r="X37" s="1209" t="s">
        <v>555</v>
      </c>
      <c r="Y37" s="1209" t="s">
        <v>487</v>
      </c>
      <c r="Z37" s="1209" t="s">
        <v>487</v>
      </c>
      <c r="AA37" s="1500" t="s">
        <v>514</v>
      </c>
      <c r="AB37" s="1209" t="s">
        <v>487</v>
      </c>
      <c r="AC37" s="1209" t="s">
        <v>487</v>
      </c>
      <c r="AD37" s="1209"/>
      <c r="AE37" s="1209"/>
      <c r="AF37" s="1209">
        <v>6</v>
      </c>
      <c r="AG37" s="1220"/>
      <c r="AH37" s="504">
        <v>56</v>
      </c>
      <c r="AI37" s="505">
        <v>37</v>
      </c>
    </row>
    <row r="38" spans="1:38" ht="21.95" customHeight="1">
      <c r="A38" s="544">
        <v>6</v>
      </c>
      <c r="B38" s="545" t="s">
        <v>658</v>
      </c>
      <c r="C38" s="1376" t="s">
        <v>533</v>
      </c>
      <c r="D38" s="1376" t="s">
        <v>487</v>
      </c>
      <c r="E38" s="1376" t="s">
        <v>487</v>
      </c>
      <c r="F38" s="1376" t="s">
        <v>487</v>
      </c>
      <c r="G38" s="1376" t="s">
        <v>487</v>
      </c>
      <c r="H38" s="1376" t="s">
        <v>487</v>
      </c>
      <c r="I38" s="1376"/>
      <c r="J38" s="1376"/>
      <c r="K38" s="1376">
        <v>5</v>
      </c>
      <c r="L38" s="1376">
        <v>5</v>
      </c>
      <c r="M38" s="1376">
        <v>5</v>
      </c>
      <c r="N38" s="1376">
        <v>5</v>
      </c>
      <c r="O38" s="1376">
        <v>5</v>
      </c>
      <c r="P38" s="1376"/>
      <c r="Q38" s="1376"/>
      <c r="R38" s="1376">
        <v>10</v>
      </c>
      <c r="S38" s="1376">
        <v>10</v>
      </c>
      <c r="T38" s="1376">
        <v>10</v>
      </c>
      <c r="U38" s="1376">
        <v>10</v>
      </c>
      <c r="V38" s="1376">
        <v>10</v>
      </c>
      <c r="W38" s="1376" t="s">
        <v>555</v>
      </c>
      <c r="X38" s="1376" t="s">
        <v>555</v>
      </c>
      <c r="Y38" s="1376" t="s">
        <v>487</v>
      </c>
      <c r="Z38" s="1376" t="s">
        <v>487</v>
      </c>
      <c r="AA38" s="1376" t="s">
        <v>487</v>
      </c>
      <c r="AB38" s="1376" t="s">
        <v>487</v>
      </c>
      <c r="AC38" s="1376" t="s">
        <v>487</v>
      </c>
      <c r="AD38" s="1376" t="s">
        <v>660</v>
      </c>
      <c r="AE38" s="1376" t="s">
        <v>660</v>
      </c>
      <c r="AF38" s="1376">
        <v>7</v>
      </c>
      <c r="AG38" s="1221"/>
      <c r="AH38" s="504">
        <v>185</v>
      </c>
      <c r="AI38" s="505">
        <v>37</v>
      </c>
    </row>
    <row r="39" spans="1:38" ht="21.95" customHeight="1" thickBot="1">
      <c r="A39" s="546">
        <v>11</v>
      </c>
      <c r="B39" s="1242" t="s">
        <v>659</v>
      </c>
      <c r="C39" s="1207"/>
      <c r="D39" s="1207">
        <v>4</v>
      </c>
      <c r="E39" s="1207">
        <v>4</v>
      </c>
      <c r="F39" s="1207">
        <v>4</v>
      </c>
      <c r="G39" s="1207">
        <v>4</v>
      </c>
      <c r="H39" s="1207">
        <v>4</v>
      </c>
      <c r="I39" s="1207"/>
      <c r="J39" s="1207"/>
      <c r="K39" s="1207">
        <v>3</v>
      </c>
      <c r="L39" s="1207">
        <v>3</v>
      </c>
      <c r="M39" s="1207">
        <v>3</v>
      </c>
      <c r="N39" s="1207">
        <v>3</v>
      </c>
      <c r="O39" s="1207">
        <v>3</v>
      </c>
      <c r="P39" s="1207"/>
      <c r="Q39" s="1207"/>
      <c r="R39" s="1207">
        <v>11</v>
      </c>
      <c r="S39" s="1207">
        <v>11</v>
      </c>
      <c r="T39" s="1207">
        <v>11</v>
      </c>
      <c r="U39" s="1207">
        <v>11</v>
      </c>
      <c r="V39" s="1207">
        <v>11</v>
      </c>
      <c r="W39" s="1207" t="s">
        <v>657</v>
      </c>
      <c r="X39" s="1207" t="s">
        <v>657</v>
      </c>
      <c r="Y39" s="1207" t="s">
        <v>487</v>
      </c>
      <c r="Z39" s="1207" t="s">
        <v>487</v>
      </c>
      <c r="AA39" s="1500" t="s">
        <v>514</v>
      </c>
      <c r="AB39" s="1207" t="s">
        <v>487</v>
      </c>
      <c r="AC39" s="1207" t="s">
        <v>487</v>
      </c>
      <c r="AD39" s="1207"/>
      <c r="AE39" s="1207"/>
      <c r="AF39" s="1207">
        <v>8</v>
      </c>
      <c r="AG39" s="1222"/>
      <c r="AH39" s="504">
        <v>94</v>
      </c>
      <c r="AI39" s="505">
        <v>37</v>
      </c>
    </row>
    <row r="40" spans="1:38" ht="21.95" customHeight="1">
      <c r="A40" s="543">
        <v>2</v>
      </c>
      <c r="B40" s="45" t="s">
        <v>662</v>
      </c>
      <c r="C40" s="1209"/>
      <c r="D40" s="1438">
        <v>1</v>
      </c>
      <c r="E40" s="1438">
        <v>1</v>
      </c>
      <c r="F40" s="1570">
        <v>1</v>
      </c>
      <c r="G40" s="1570">
        <v>1</v>
      </c>
      <c r="H40" s="1438" t="s">
        <v>769</v>
      </c>
      <c r="I40" s="1209"/>
      <c r="J40" s="1209"/>
      <c r="K40" s="1209">
        <v>9</v>
      </c>
      <c r="L40" s="1209">
        <v>9</v>
      </c>
      <c r="M40" s="1209">
        <v>9</v>
      </c>
      <c r="N40" s="1209">
        <v>9</v>
      </c>
      <c r="O40" s="1209">
        <v>9</v>
      </c>
      <c r="P40" s="1209" t="s">
        <v>543</v>
      </c>
      <c r="Q40" s="1209" t="s">
        <v>555</v>
      </c>
      <c r="R40" s="1209" t="s">
        <v>487</v>
      </c>
      <c r="S40" s="1209" t="s">
        <v>487</v>
      </c>
      <c r="T40" s="1223" t="s">
        <v>487</v>
      </c>
      <c r="U40" s="1223" t="s">
        <v>487</v>
      </c>
      <c r="V40" s="1209" t="s">
        <v>487</v>
      </c>
      <c r="W40" s="1209"/>
      <c r="X40" s="1209"/>
      <c r="Y40" s="1209">
        <v>6</v>
      </c>
      <c r="Z40" s="1209">
        <v>6</v>
      </c>
      <c r="AA40" s="1500">
        <v>6</v>
      </c>
      <c r="AB40" s="1209">
        <v>6</v>
      </c>
      <c r="AC40" s="1209">
        <v>6</v>
      </c>
      <c r="AD40" s="1209" t="s">
        <v>532</v>
      </c>
      <c r="AE40" s="1209" t="s">
        <v>533</v>
      </c>
      <c r="AF40" s="1209" t="s">
        <v>487</v>
      </c>
      <c r="AG40" s="1209"/>
      <c r="AH40" s="504">
        <v>83</v>
      </c>
      <c r="AI40" s="505">
        <v>37</v>
      </c>
    </row>
    <row r="41" spans="1:38" ht="21.95" customHeight="1">
      <c r="A41" s="544">
        <v>7</v>
      </c>
      <c r="B41" s="153" t="s">
        <v>664</v>
      </c>
      <c r="C41" s="1215"/>
      <c r="D41" s="1335">
        <v>5</v>
      </c>
      <c r="E41" s="1335">
        <v>5</v>
      </c>
      <c r="F41" s="1344">
        <v>5</v>
      </c>
      <c r="G41" s="1335">
        <v>5</v>
      </c>
      <c r="H41" s="1335">
        <v>5</v>
      </c>
      <c r="I41" s="1215"/>
      <c r="J41" s="1215"/>
      <c r="K41" s="1338">
        <v>10</v>
      </c>
      <c r="L41" s="1338">
        <v>10</v>
      </c>
      <c r="M41" s="1338">
        <v>10</v>
      </c>
      <c r="N41" s="1338">
        <v>10</v>
      </c>
      <c r="O41" s="1338">
        <v>10</v>
      </c>
      <c r="P41" s="1338" t="s">
        <v>555</v>
      </c>
      <c r="Q41" s="1338" t="s">
        <v>555</v>
      </c>
      <c r="R41" s="1338" t="s">
        <v>487</v>
      </c>
      <c r="S41" s="1338" t="s">
        <v>487</v>
      </c>
      <c r="T41" s="1338" t="s">
        <v>487</v>
      </c>
      <c r="U41" s="1338" t="s">
        <v>487</v>
      </c>
      <c r="V41" s="1338" t="s">
        <v>487</v>
      </c>
      <c r="W41" s="1338" t="s">
        <v>660</v>
      </c>
      <c r="X41" s="1338" t="s">
        <v>660</v>
      </c>
      <c r="Y41" s="1338">
        <v>7</v>
      </c>
      <c r="Z41" s="1338">
        <v>7</v>
      </c>
      <c r="AA41" s="1338">
        <v>7</v>
      </c>
      <c r="AB41" s="1338">
        <v>7</v>
      </c>
      <c r="AC41" s="1338">
        <v>7</v>
      </c>
      <c r="AD41" s="1338"/>
      <c r="AE41" s="1338"/>
      <c r="AF41" s="1335">
        <v>4</v>
      </c>
      <c r="AG41" s="1221"/>
      <c r="AH41" s="504">
        <v>206</v>
      </c>
      <c r="AI41" s="505">
        <v>37</v>
      </c>
    </row>
    <row r="42" spans="1:38" ht="21.95" customHeight="1" thickBot="1">
      <c r="A42" s="546">
        <v>12</v>
      </c>
      <c r="B42" s="547" t="s">
        <v>665</v>
      </c>
      <c r="C42" s="1207"/>
      <c r="D42" s="1207">
        <v>3</v>
      </c>
      <c r="E42" s="1207">
        <v>3</v>
      </c>
      <c r="F42" s="1207">
        <v>3</v>
      </c>
      <c r="G42" s="1207">
        <v>3</v>
      </c>
      <c r="H42" s="1207">
        <v>3</v>
      </c>
      <c r="I42" s="1207"/>
      <c r="J42" s="1207"/>
      <c r="K42" s="1207">
        <v>11</v>
      </c>
      <c r="L42" s="1207">
        <v>11</v>
      </c>
      <c r="M42" s="1207">
        <v>11</v>
      </c>
      <c r="N42" s="1207">
        <v>11</v>
      </c>
      <c r="O42" s="1207">
        <v>11</v>
      </c>
      <c r="P42" s="1207" t="s">
        <v>657</v>
      </c>
      <c r="Q42" s="1207" t="s">
        <v>657</v>
      </c>
      <c r="R42" s="1207" t="s">
        <v>487</v>
      </c>
      <c r="S42" s="1207" t="s">
        <v>487</v>
      </c>
      <c r="T42" s="1207" t="s">
        <v>487</v>
      </c>
      <c r="U42" s="1207" t="s">
        <v>487</v>
      </c>
      <c r="V42" s="1207" t="s">
        <v>487</v>
      </c>
      <c r="W42" s="1207"/>
      <c r="X42" s="1207"/>
      <c r="Y42" s="1207">
        <v>8</v>
      </c>
      <c r="Z42" s="1207">
        <v>8</v>
      </c>
      <c r="AA42" s="1500">
        <v>8</v>
      </c>
      <c r="AB42" s="1207">
        <v>8</v>
      </c>
      <c r="AC42" s="1207">
        <v>8</v>
      </c>
      <c r="AD42" s="1207" t="s">
        <v>533</v>
      </c>
      <c r="AE42" s="1207" t="s">
        <v>533</v>
      </c>
      <c r="AF42" s="1207" t="s">
        <v>487</v>
      </c>
      <c r="AG42" s="1222"/>
      <c r="AH42" s="504">
        <v>34.299999999999997</v>
      </c>
      <c r="AI42" s="505">
        <v>37</v>
      </c>
    </row>
    <row r="43" spans="1:38" ht="21.95" customHeight="1">
      <c r="A43" s="548">
        <v>3</v>
      </c>
      <c r="B43" s="1373" t="s">
        <v>666</v>
      </c>
      <c r="C43" s="1211"/>
      <c r="D43" s="1211">
        <v>9</v>
      </c>
      <c r="E43" s="1211">
        <v>9</v>
      </c>
      <c r="F43" s="1211">
        <v>9</v>
      </c>
      <c r="G43" s="1211">
        <v>9</v>
      </c>
      <c r="H43" s="1211">
        <v>9</v>
      </c>
      <c r="I43" s="1211" t="s">
        <v>543</v>
      </c>
      <c r="J43" s="1211" t="s">
        <v>555</v>
      </c>
      <c r="K43" s="1359" t="s">
        <v>487</v>
      </c>
      <c r="L43" s="1359" t="s">
        <v>487</v>
      </c>
      <c r="M43" s="1359" t="s">
        <v>487</v>
      </c>
      <c r="N43" s="1359" t="s">
        <v>487</v>
      </c>
      <c r="O43" s="1359" t="s">
        <v>487</v>
      </c>
      <c r="P43" s="1359"/>
      <c r="Q43" s="1359"/>
      <c r="R43" s="1501">
        <v>6</v>
      </c>
      <c r="S43" s="1359">
        <v>6</v>
      </c>
      <c r="T43" s="1359">
        <v>6</v>
      </c>
      <c r="U43" s="1359">
        <v>6</v>
      </c>
      <c r="V43" s="1359">
        <v>6</v>
      </c>
      <c r="W43" s="1359" t="s">
        <v>532</v>
      </c>
      <c r="X43" s="1359" t="s">
        <v>533</v>
      </c>
      <c r="Y43" s="1359" t="s">
        <v>487</v>
      </c>
      <c r="Z43" s="1359" t="s">
        <v>487</v>
      </c>
      <c r="AA43" s="1359" t="s">
        <v>487</v>
      </c>
      <c r="AB43" s="1359" t="s">
        <v>487</v>
      </c>
      <c r="AC43" s="1359" t="s">
        <v>487</v>
      </c>
      <c r="AD43" s="1359"/>
      <c r="AE43" s="1359"/>
      <c r="AF43" s="1211" t="s">
        <v>550</v>
      </c>
      <c r="AG43" s="1224"/>
      <c r="AH43" s="504">
        <v>185</v>
      </c>
      <c r="AI43" s="505">
        <v>37</v>
      </c>
    </row>
    <row r="44" spans="1:38" ht="21.95" customHeight="1">
      <c r="A44" s="544">
        <v>8</v>
      </c>
      <c r="B44" s="319" t="s">
        <v>667</v>
      </c>
      <c r="C44" s="1358"/>
      <c r="D44" s="1358">
        <v>10</v>
      </c>
      <c r="E44" s="1358">
        <v>10</v>
      </c>
      <c r="F44" s="1358">
        <v>10</v>
      </c>
      <c r="G44" s="1361">
        <v>10</v>
      </c>
      <c r="H44" s="1358">
        <v>10</v>
      </c>
      <c r="I44" s="1358" t="s">
        <v>555</v>
      </c>
      <c r="J44" s="1358" t="s">
        <v>555</v>
      </c>
      <c r="K44" s="1215" t="s">
        <v>487</v>
      </c>
      <c r="L44" s="1215" t="s">
        <v>487</v>
      </c>
      <c r="M44" s="1215" t="s">
        <v>487</v>
      </c>
      <c r="N44" s="1215" t="s">
        <v>487</v>
      </c>
      <c r="O44" s="1215" t="s">
        <v>487</v>
      </c>
      <c r="P44" s="1215" t="s">
        <v>660</v>
      </c>
      <c r="Q44" s="1216" t="s">
        <v>660</v>
      </c>
      <c r="R44" s="1215">
        <v>7</v>
      </c>
      <c r="S44" s="1226">
        <v>7</v>
      </c>
      <c r="T44" s="1215">
        <v>7</v>
      </c>
      <c r="U44" s="1215">
        <v>7</v>
      </c>
      <c r="V44" s="1215">
        <v>7</v>
      </c>
      <c r="W44" s="1215"/>
      <c r="X44" s="1215"/>
      <c r="Y44" s="1335">
        <v>4</v>
      </c>
      <c r="Z44" s="1335">
        <v>4</v>
      </c>
      <c r="AA44" s="1335">
        <v>4</v>
      </c>
      <c r="AB44" s="1335">
        <v>4</v>
      </c>
      <c r="AC44" s="1335">
        <v>4</v>
      </c>
      <c r="AD44" s="1215"/>
      <c r="AE44" s="1215"/>
      <c r="AF44" s="1215">
        <v>3</v>
      </c>
      <c r="AG44" s="1215"/>
      <c r="AH44" s="504">
        <v>83</v>
      </c>
      <c r="AI44" s="505">
        <v>37</v>
      </c>
    </row>
    <row r="45" spans="1:38" ht="21.95" customHeight="1" thickBot="1">
      <c r="A45" s="546">
        <v>13</v>
      </c>
      <c r="B45" s="52" t="s">
        <v>668</v>
      </c>
      <c r="C45" s="1207"/>
      <c r="D45" s="1207">
        <v>11</v>
      </c>
      <c r="E45" s="1207">
        <v>11</v>
      </c>
      <c r="F45" s="1207">
        <v>11</v>
      </c>
      <c r="G45" s="1207">
        <v>11</v>
      </c>
      <c r="H45" s="1207">
        <v>11</v>
      </c>
      <c r="I45" s="1207" t="s">
        <v>657</v>
      </c>
      <c r="J45" s="1207" t="s">
        <v>657</v>
      </c>
      <c r="K45" s="1207" t="s">
        <v>487</v>
      </c>
      <c r="L45" s="1207" t="s">
        <v>487</v>
      </c>
      <c r="M45" s="1207" t="s">
        <v>487</v>
      </c>
      <c r="N45" s="1207" t="s">
        <v>487</v>
      </c>
      <c r="O45" s="1207" t="s">
        <v>487</v>
      </c>
      <c r="P45" s="1207"/>
      <c r="Q45" s="1207"/>
      <c r="R45" s="1217">
        <v>8</v>
      </c>
      <c r="S45" s="1207">
        <v>8</v>
      </c>
      <c r="T45" s="1207">
        <v>8</v>
      </c>
      <c r="U45" s="1207">
        <v>8</v>
      </c>
      <c r="V45" s="1207">
        <v>8</v>
      </c>
      <c r="W45" s="1207" t="s">
        <v>533</v>
      </c>
      <c r="X45" s="1207" t="s">
        <v>533</v>
      </c>
      <c r="Y45" s="1207" t="s">
        <v>487</v>
      </c>
      <c r="Z45" s="1207" t="s">
        <v>487</v>
      </c>
      <c r="AA45" s="1344" t="s">
        <v>487</v>
      </c>
      <c r="AB45" s="1207" t="s">
        <v>487</v>
      </c>
      <c r="AC45" s="1207" t="s">
        <v>487</v>
      </c>
      <c r="AD45" s="1207"/>
      <c r="AE45" s="1207"/>
      <c r="AF45" s="1207">
        <v>1</v>
      </c>
      <c r="AG45" s="1207"/>
      <c r="AH45" s="504">
        <v>136</v>
      </c>
      <c r="AI45" s="505">
        <v>37</v>
      </c>
    </row>
    <row r="46" spans="1:38" ht="21.95" customHeight="1">
      <c r="A46" s="548">
        <v>4</v>
      </c>
      <c r="B46" s="319" t="s">
        <v>669</v>
      </c>
      <c r="C46" s="1215" t="s">
        <v>555</v>
      </c>
      <c r="D46" s="1215" t="s">
        <v>487</v>
      </c>
      <c r="E46" s="1215" t="s">
        <v>487</v>
      </c>
      <c r="F46" s="1215" t="s">
        <v>487</v>
      </c>
      <c r="G46" s="1215" t="s">
        <v>487</v>
      </c>
      <c r="H46" s="1215" t="s">
        <v>487</v>
      </c>
      <c r="I46" s="1215"/>
      <c r="J46" s="1211"/>
      <c r="K46" s="1211">
        <v>6</v>
      </c>
      <c r="L46" s="1211">
        <v>6</v>
      </c>
      <c r="M46" s="1211">
        <v>6</v>
      </c>
      <c r="N46" s="1211">
        <v>6</v>
      </c>
      <c r="O46" s="1211">
        <v>6</v>
      </c>
      <c r="P46" s="1211" t="s">
        <v>532</v>
      </c>
      <c r="Q46" s="1211" t="s">
        <v>533</v>
      </c>
      <c r="R46" s="1341" t="s">
        <v>487</v>
      </c>
      <c r="S46" s="1341" t="s">
        <v>487</v>
      </c>
      <c r="T46" s="1341" t="s">
        <v>487</v>
      </c>
      <c r="U46" s="1341" t="s">
        <v>487</v>
      </c>
      <c r="V46" s="1211" t="s">
        <v>487</v>
      </c>
      <c r="W46" s="1211"/>
      <c r="X46" s="1211"/>
      <c r="Y46" s="1211">
        <v>4</v>
      </c>
      <c r="Z46" s="1211">
        <v>4</v>
      </c>
      <c r="AA46" s="1500">
        <v>4</v>
      </c>
      <c r="AB46" s="1211">
        <v>4</v>
      </c>
      <c r="AC46" s="1211">
        <v>4</v>
      </c>
      <c r="AD46" s="1211"/>
      <c r="AE46" s="1211"/>
      <c r="AF46" s="1211">
        <v>10</v>
      </c>
      <c r="AG46" s="1218"/>
      <c r="AH46" s="504">
        <v>51</v>
      </c>
      <c r="AI46" s="505">
        <v>37</v>
      </c>
    </row>
    <row r="47" spans="1:38" ht="21.95" customHeight="1">
      <c r="A47" s="544">
        <v>9</v>
      </c>
      <c r="B47" s="319" t="s">
        <v>670</v>
      </c>
      <c r="C47" s="1215" t="s">
        <v>555</v>
      </c>
      <c r="D47" s="1215" t="s">
        <v>487</v>
      </c>
      <c r="E47" s="1215" t="s">
        <v>487</v>
      </c>
      <c r="F47" s="1215" t="s">
        <v>487</v>
      </c>
      <c r="G47" s="1215" t="s">
        <v>487</v>
      </c>
      <c r="H47" s="1215" t="s">
        <v>487</v>
      </c>
      <c r="I47" s="1215" t="s">
        <v>660</v>
      </c>
      <c r="J47" s="1215" t="s">
        <v>660</v>
      </c>
      <c r="K47" s="1215">
        <v>7</v>
      </c>
      <c r="L47" s="1215">
        <v>7</v>
      </c>
      <c r="M47" s="1215">
        <v>7</v>
      </c>
      <c r="N47" s="1215">
        <v>7</v>
      </c>
      <c r="O47" s="1215">
        <v>7</v>
      </c>
      <c r="P47" s="1215"/>
      <c r="Q47" s="1215"/>
      <c r="R47" s="1215">
        <v>4</v>
      </c>
      <c r="S47" s="1215">
        <v>4</v>
      </c>
      <c r="T47" s="1215">
        <v>4</v>
      </c>
      <c r="U47" s="1215">
        <v>4</v>
      </c>
      <c r="V47" s="1215">
        <v>4</v>
      </c>
      <c r="W47" s="1215"/>
      <c r="X47" s="1215"/>
      <c r="Y47" s="1215">
        <v>3</v>
      </c>
      <c r="Z47" s="1215">
        <v>3</v>
      </c>
      <c r="AA47" s="1500">
        <v>3</v>
      </c>
      <c r="AB47" s="1215">
        <v>3</v>
      </c>
      <c r="AC47" s="1215">
        <v>3</v>
      </c>
      <c r="AD47" s="1215"/>
      <c r="AE47" s="1215"/>
      <c r="AF47" s="1215">
        <v>11</v>
      </c>
      <c r="AG47" s="1216"/>
      <c r="AH47" s="504">
        <v>130</v>
      </c>
      <c r="AI47" s="505">
        <v>37</v>
      </c>
    </row>
    <row r="48" spans="1:38" ht="21.95" customHeight="1" thickBot="1">
      <c r="A48" s="546">
        <v>14</v>
      </c>
      <c r="B48" s="547" t="s">
        <v>671</v>
      </c>
      <c r="C48" s="1207" t="s">
        <v>657</v>
      </c>
      <c r="D48" s="1207" t="s">
        <v>487</v>
      </c>
      <c r="E48" s="1211" t="s">
        <v>487</v>
      </c>
      <c r="F48" s="1211" t="s">
        <v>487</v>
      </c>
      <c r="G48" s="1211" t="s">
        <v>487</v>
      </c>
      <c r="H48" s="1211" t="s">
        <v>487</v>
      </c>
      <c r="I48" s="1211"/>
      <c r="J48" s="1211"/>
      <c r="K48" s="1442">
        <v>8</v>
      </c>
      <c r="L48" s="1443">
        <v>8</v>
      </c>
      <c r="M48" s="1443" t="s">
        <v>663</v>
      </c>
      <c r="N48" s="1445">
        <v>8</v>
      </c>
      <c r="O48" s="1445">
        <v>8</v>
      </c>
      <c r="P48" s="1207" t="s">
        <v>533</v>
      </c>
      <c r="Q48" s="1207" t="s">
        <v>533</v>
      </c>
      <c r="R48" s="1207" t="s">
        <v>487</v>
      </c>
      <c r="S48" s="1207" t="s">
        <v>487</v>
      </c>
      <c r="T48" s="1207" t="s">
        <v>487</v>
      </c>
      <c r="U48" s="1207" t="s">
        <v>487</v>
      </c>
      <c r="V48" s="1207" t="s">
        <v>487</v>
      </c>
      <c r="W48" s="1207"/>
      <c r="X48" s="1207"/>
      <c r="Y48" s="1207">
        <v>1</v>
      </c>
      <c r="Z48" s="1207">
        <v>1</v>
      </c>
      <c r="AA48" s="1500">
        <v>1</v>
      </c>
      <c r="AB48" s="1207">
        <v>1</v>
      </c>
      <c r="AC48" s="1207">
        <v>1</v>
      </c>
      <c r="AD48" s="1207"/>
      <c r="AE48" s="1207"/>
      <c r="AF48" s="1207">
        <v>9</v>
      </c>
      <c r="AG48" s="1227"/>
      <c r="AH48" s="504">
        <v>72</v>
      </c>
      <c r="AI48" s="505">
        <v>37</v>
      </c>
    </row>
    <row r="49" spans="1:35" ht="21.95" customHeight="1">
      <c r="A49" s="543">
        <v>5</v>
      </c>
      <c r="B49" s="545" t="s">
        <v>672</v>
      </c>
      <c r="C49" s="1351"/>
      <c r="D49" s="1351">
        <v>6</v>
      </c>
      <c r="E49" s="1351">
        <v>6</v>
      </c>
      <c r="F49" s="1351">
        <v>6</v>
      </c>
      <c r="G49" s="1351">
        <v>6</v>
      </c>
      <c r="H49" s="1351">
        <v>6</v>
      </c>
      <c r="I49" s="1351" t="s">
        <v>532</v>
      </c>
      <c r="J49" s="1351" t="s">
        <v>533</v>
      </c>
      <c r="K49" s="1209" t="s">
        <v>487</v>
      </c>
      <c r="L49" s="1209" t="s">
        <v>487</v>
      </c>
      <c r="M49" s="1209" t="s">
        <v>487</v>
      </c>
      <c r="N49" s="1209" t="s">
        <v>487</v>
      </c>
      <c r="O49" s="1209" t="s">
        <v>487</v>
      </c>
      <c r="P49" s="1209"/>
      <c r="Q49" s="1209"/>
      <c r="R49" s="1351">
        <v>5</v>
      </c>
      <c r="S49" s="1338">
        <v>5</v>
      </c>
      <c r="T49" s="1338">
        <v>5</v>
      </c>
      <c r="U49" s="1338">
        <v>5</v>
      </c>
      <c r="V49" s="1338">
        <v>5</v>
      </c>
      <c r="W49" s="1215"/>
      <c r="X49" s="1215"/>
      <c r="Y49" s="1215">
        <v>10</v>
      </c>
      <c r="Z49" s="1215">
        <v>10</v>
      </c>
      <c r="AA49" s="1215">
        <v>10</v>
      </c>
      <c r="AB49" s="1215">
        <v>10</v>
      </c>
      <c r="AC49" s="1215">
        <v>10</v>
      </c>
      <c r="AD49" s="1215" t="s">
        <v>555</v>
      </c>
      <c r="AE49" s="1228" t="s">
        <v>555</v>
      </c>
      <c r="AF49" s="1209" t="s">
        <v>487</v>
      </c>
      <c r="AG49" s="1228"/>
      <c r="AH49" s="504">
        <v>72</v>
      </c>
      <c r="AI49" s="505">
        <v>37</v>
      </c>
    </row>
    <row r="50" spans="1:35" ht="21.95" customHeight="1">
      <c r="A50" s="544">
        <v>10</v>
      </c>
      <c r="B50" s="319" t="s">
        <v>673</v>
      </c>
      <c r="C50" s="1215" t="s">
        <v>660</v>
      </c>
      <c r="D50" s="1215">
        <v>7</v>
      </c>
      <c r="E50" s="1215">
        <v>7</v>
      </c>
      <c r="F50" s="1215">
        <v>7</v>
      </c>
      <c r="G50" s="1215">
        <v>7</v>
      </c>
      <c r="H50" s="1215">
        <v>7</v>
      </c>
      <c r="I50" s="1215"/>
      <c r="J50" s="1215"/>
      <c r="K50" s="1215">
        <v>4</v>
      </c>
      <c r="L50" s="1215">
        <v>4</v>
      </c>
      <c r="M50" s="1215">
        <v>4</v>
      </c>
      <c r="N50" s="1215">
        <v>4</v>
      </c>
      <c r="O50" s="1215">
        <v>4</v>
      </c>
      <c r="P50" s="1215"/>
      <c r="Q50" s="1215"/>
      <c r="R50" s="1215">
        <v>3</v>
      </c>
      <c r="S50" s="1215">
        <v>3</v>
      </c>
      <c r="T50" s="1215">
        <v>3</v>
      </c>
      <c r="U50" s="1215">
        <v>3</v>
      </c>
      <c r="V50" s="1215">
        <v>3</v>
      </c>
      <c r="W50" s="1215"/>
      <c r="X50" s="1215"/>
      <c r="Y50" s="1215">
        <v>11</v>
      </c>
      <c r="Z50" s="1215">
        <v>11</v>
      </c>
      <c r="AA50" s="1215">
        <v>11</v>
      </c>
      <c r="AB50" s="1215">
        <v>11</v>
      </c>
      <c r="AC50" s="1215">
        <v>11</v>
      </c>
      <c r="AD50" s="1215" t="s">
        <v>657</v>
      </c>
      <c r="AE50" s="1576" t="s">
        <v>657</v>
      </c>
      <c r="AF50" s="1215" t="s">
        <v>487</v>
      </c>
      <c r="AG50" s="1216"/>
      <c r="AH50" s="504">
        <v>112</v>
      </c>
      <c r="AI50" s="505">
        <v>37</v>
      </c>
    </row>
    <row r="51" spans="1:35" ht="21.95" customHeight="1" thickBot="1">
      <c r="A51" s="546">
        <v>15</v>
      </c>
      <c r="B51" s="52" t="s">
        <v>674</v>
      </c>
      <c r="C51" s="1207"/>
      <c r="D51" s="1207">
        <v>8</v>
      </c>
      <c r="E51" s="1207">
        <v>8</v>
      </c>
      <c r="F51" s="1207">
        <v>8</v>
      </c>
      <c r="G51" s="1207">
        <v>8</v>
      </c>
      <c r="H51" s="1207">
        <v>8</v>
      </c>
      <c r="I51" s="1207" t="s">
        <v>533</v>
      </c>
      <c r="J51" s="1207" t="s">
        <v>533</v>
      </c>
      <c r="K51" s="1207" t="s">
        <v>487</v>
      </c>
      <c r="L51" s="1207" t="s">
        <v>487</v>
      </c>
      <c r="M51" s="1207" t="s">
        <v>487</v>
      </c>
      <c r="N51" s="1207" t="s">
        <v>487</v>
      </c>
      <c r="O51" s="1207" t="s">
        <v>487</v>
      </c>
      <c r="P51" s="1207"/>
      <c r="Q51" s="1207"/>
      <c r="R51" s="1207">
        <v>1</v>
      </c>
      <c r="S51" s="1207">
        <v>1</v>
      </c>
      <c r="T51" s="1207">
        <v>1</v>
      </c>
      <c r="U51" s="1207">
        <v>1</v>
      </c>
      <c r="V51" s="1207">
        <v>1</v>
      </c>
      <c r="W51" s="1207"/>
      <c r="X51" s="1207"/>
      <c r="Y51" s="1207">
        <v>9</v>
      </c>
      <c r="Z51" s="1207">
        <v>9</v>
      </c>
      <c r="AA51" s="1207">
        <v>9</v>
      </c>
      <c r="AB51" s="1207">
        <v>9</v>
      </c>
      <c r="AC51" s="1207">
        <v>9</v>
      </c>
      <c r="AD51" s="1207" t="s">
        <v>543</v>
      </c>
      <c r="AE51" s="1227" t="s">
        <v>555</v>
      </c>
      <c r="AF51" s="1207" t="s">
        <v>487</v>
      </c>
      <c r="AG51" s="1227"/>
      <c r="AH51" s="504">
        <v>89</v>
      </c>
      <c r="AI51" s="505">
        <v>37</v>
      </c>
    </row>
    <row r="52" spans="1:35" ht="21.95" customHeight="1">
      <c r="A52" s="519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  <c r="T52" s="541"/>
      <c r="U52" s="541"/>
      <c r="V52" s="541"/>
      <c r="W52" s="541"/>
      <c r="X52" s="541"/>
      <c r="Y52" s="541"/>
      <c r="Z52" s="541"/>
      <c r="AA52" s="541"/>
      <c r="AB52" s="541"/>
      <c r="AC52" s="541"/>
      <c r="AD52" s="541"/>
      <c r="AE52" s="541"/>
      <c r="AF52" s="541"/>
      <c r="AG52" s="541"/>
      <c r="AH52" s="1"/>
    </row>
    <row r="53" spans="1:35" ht="21.95" customHeight="1">
      <c r="A53" s="519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1"/>
      <c r="W53" s="541"/>
      <c r="X53" s="541"/>
      <c r="Y53" s="541"/>
      <c r="Z53" s="541"/>
      <c r="AA53" s="541"/>
      <c r="AB53" s="541"/>
      <c r="AC53" s="541"/>
      <c r="AD53" s="541"/>
      <c r="AE53" s="541"/>
      <c r="AF53" s="541"/>
      <c r="AG53" s="541"/>
      <c r="AH53" s="1"/>
    </row>
    <row r="54" spans="1:35" ht="21.95" customHeight="1">
      <c r="A54" s="519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1"/>
      <c r="AA54" s="541"/>
      <c r="AB54" s="541"/>
      <c r="AC54" s="541"/>
      <c r="AD54" s="541"/>
      <c r="AE54" s="541"/>
      <c r="AF54" s="541"/>
      <c r="AG54" s="541"/>
      <c r="AH54" s="1"/>
    </row>
    <row r="55" spans="1:35" ht="21.95" customHeight="1" thickBot="1">
      <c r="A55" s="558"/>
      <c r="C55" s="559"/>
      <c r="D55" s="559"/>
      <c r="E55" s="559"/>
      <c r="F55" s="559"/>
      <c r="G55" s="559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59"/>
      <c r="AA55" s="559"/>
      <c r="AB55" s="559"/>
      <c r="AC55" s="559"/>
      <c r="AD55" s="559"/>
      <c r="AE55" s="559"/>
      <c r="AF55" s="559"/>
      <c r="AG55" s="559"/>
      <c r="AH55" s="560"/>
      <c r="AI55" s="560"/>
    </row>
    <row r="56" spans="1:35" ht="21.95" customHeight="1">
      <c r="A56" s="361"/>
      <c r="B56" s="23" t="s">
        <v>675</v>
      </c>
      <c r="C56" s="7"/>
      <c r="D56" s="414" t="s">
        <v>2</v>
      </c>
      <c r="E56" s="550"/>
      <c r="F56" s="7"/>
      <c r="G56" s="6" t="s">
        <v>3</v>
      </c>
      <c r="H56" s="551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52"/>
      <c r="R56" s="118"/>
      <c r="S56" s="6" t="s">
        <v>7</v>
      </c>
      <c r="T56" s="553"/>
      <c r="U56" s="118"/>
      <c r="V56" s="6" t="s">
        <v>8</v>
      </c>
      <c r="W56" s="552"/>
      <c r="X56" s="349" t="s">
        <v>9</v>
      </c>
      <c r="Y56" s="561"/>
      <c r="Z56" s="561"/>
      <c r="AA56" s="562"/>
      <c r="AB56" s="27" t="s">
        <v>10</v>
      </c>
      <c r="AC56" s="554"/>
      <c r="AD56" s="554"/>
      <c r="AE56" s="563"/>
      <c r="AF56" s="563"/>
      <c r="AG56" s="564"/>
    </row>
    <row r="57" spans="1:35" ht="21.95" customHeight="1">
      <c r="A57" s="361"/>
      <c r="B57" s="306" t="s">
        <v>676</v>
      </c>
      <c r="C57" s="565" t="s">
        <v>512</v>
      </c>
      <c r="D57" s="483"/>
      <c r="E57" s="484"/>
      <c r="F57" s="565" t="s">
        <v>512</v>
      </c>
      <c r="G57" s="483"/>
      <c r="H57" s="484"/>
      <c r="I57" s="565" t="s">
        <v>512</v>
      </c>
      <c r="J57" s="483"/>
      <c r="K57" s="484"/>
      <c r="L57" s="565" t="s">
        <v>512</v>
      </c>
      <c r="M57" s="483"/>
      <c r="N57" s="484"/>
      <c r="O57" s="565" t="s">
        <v>116</v>
      </c>
      <c r="P57" s="483"/>
      <c r="Q57" s="484"/>
      <c r="R57" s="565"/>
      <c r="S57" s="483"/>
      <c r="T57" s="484"/>
      <c r="U57" s="565"/>
      <c r="V57" s="483"/>
      <c r="W57" s="484"/>
      <c r="X57" s="565"/>
      <c r="Y57" s="483"/>
      <c r="Z57" s="483"/>
      <c r="AA57" s="483"/>
      <c r="AB57" s="476"/>
      <c r="AC57" s="483"/>
      <c r="AD57" s="483"/>
      <c r="AE57" s="483"/>
      <c r="AF57" s="483"/>
      <c r="AG57" s="566"/>
    </row>
    <row r="58" spans="1:35" ht="21.95" customHeight="1">
      <c r="A58" s="361"/>
      <c r="B58" s="306" t="s">
        <v>677</v>
      </c>
      <c r="C58" s="565" t="s">
        <v>147</v>
      </c>
      <c r="D58" s="483"/>
      <c r="E58" s="484"/>
      <c r="F58" s="565" t="s">
        <v>147</v>
      </c>
      <c r="G58" s="483"/>
      <c r="H58" s="484"/>
      <c r="I58" s="565" t="s">
        <v>147</v>
      </c>
      <c r="J58" s="483"/>
      <c r="K58" s="484"/>
      <c r="L58" s="565" t="s">
        <v>147</v>
      </c>
      <c r="M58" s="483"/>
      <c r="N58" s="484"/>
      <c r="O58" s="565" t="s">
        <v>578</v>
      </c>
      <c r="P58" s="483"/>
      <c r="Q58" s="484"/>
      <c r="R58" s="565"/>
      <c r="S58" s="483"/>
      <c r="T58" s="484"/>
      <c r="U58" s="565"/>
      <c r="V58" s="483"/>
      <c r="W58" s="484"/>
      <c r="X58" s="565"/>
      <c r="Y58" s="483"/>
      <c r="Z58" s="483"/>
      <c r="AA58" s="483"/>
      <c r="AB58" s="476"/>
      <c r="AC58" s="483"/>
      <c r="AD58" s="483"/>
      <c r="AE58" s="483"/>
      <c r="AF58" s="483"/>
      <c r="AG58" s="566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>
      <c r="A60" s="556" t="s">
        <v>528</v>
      </c>
      <c r="B60" s="297" t="s">
        <v>480</v>
      </c>
      <c r="C60" s="1235">
        <v>1</v>
      </c>
      <c r="D60" s="1234">
        <v>2</v>
      </c>
      <c r="E60" s="1234">
        <v>3</v>
      </c>
      <c r="F60" s="1234">
        <v>4</v>
      </c>
      <c r="G60" s="1234">
        <v>5</v>
      </c>
      <c r="H60" s="1234">
        <v>6</v>
      </c>
      <c r="I60" s="1330">
        <v>7</v>
      </c>
      <c r="J60" s="1330">
        <v>8</v>
      </c>
      <c r="K60" s="1234">
        <v>9</v>
      </c>
      <c r="L60" s="1234">
        <v>10</v>
      </c>
      <c r="M60" s="1234">
        <v>11</v>
      </c>
      <c r="N60" s="1234">
        <v>12</v>
      </c>
      <c r="O60" s="1234">
        <v>13</v>
      </c>
      <c r="P60" s="1330">
        <v>14</v>
      </c>
      <c r="Q60" s="1330">
        <v>15</v>
      </c>
      <c r="R60" s="1234">
        <v>16</v>
      </c>
      <c r="S60" s="1234">
        <v>17</v>
      </c>
      <c r="T60" s="1234">
        <v>18</v>
      </c>
      <c r="U60" s="1234">
        <v>19</v>
      </c>
      <c r="V60" s="1213">
        <v>20</v>
      </c>
      <c r="W60" s="1330">
        <v>21</v>
      </c>
      <c r="X60" s="1330">
        <v>22</v>
      </c>
      <c r="Y60" s="1234">
        <v>23</v>
      </c>
      <c r="Z60" s="1234">
        <v>24</v>
      </c>
      <c r="AA60" s="1234">
        <v>25</v>
      </c>
      <c r="AB60" s="1234">
        <v>26</v>
      </c>
      <c r="AC60" s="1234">
        <v>27</v>
      </c>
      <c r="AD60" s="1330">
        <v>28</v>
      </c>
      <c r="AE60" s="1330">
        <v>29</v>
      </c>
      <c r="AF60" s="1234">
        <v>30</v>
      </c>
      <c r="AG60" s="1234"/>
      <c r="AH60" s="498" t="s">
        <v>481</v>
      </c>
      <c r="AI60" s="499" t="s">
        <v>482</v>
      </c>
    </row>
    <row r="61" spans="1:35" ht="21.95" customHeight="1">
      <c r="A61" s="186">
        <v>8520</v>
      </c>
      <c r="B61" s="186" t="s">
        <v>678</v>
      </c>
      <c r="C61" s="1219"/>
      <c r="D61" s="1215" t="s">
        <v>679</v>
      </c>
      <c r="E61" s="1215" t="s">
        <v>679</v>
      </c>
      <c r="F61" s="1215" t="s">
        <v>679</v>
      </c>
      <c r="G61" s="1215" t="s">
        <v>679</v>
      </c>
      <c r="H61" s="1215" t="s">
        <v>679</v>
      </c>
      <c r="I61" s="1215"/>
      <c r="J61" s="1215"/>
      <c r="K61" s="1215" t="s">
        <v>679</v>
      </c>
      <c r="L61" s="1215" t="s">
        <v>679</v>
      </c>
      <c r="M61" s="1215" t="s">
        <v>679</v>
      </c>
      <c r="N61" s="1215" t="s">
        <v>679</v>
      </c>
      <c r="O61" s="1215" t="s">
        <v>679</v>
      </c>
      <c r="P61" s="1215"/>
      <c r="Q61" s="1215"/>
      <c r="R61" s="1215" t="s">
        <v>679</v>
      </c>
      <c r="S61" s="1215" t="s">
        <v>679</v>
      </c>
      <c r="T61" s="1215" t="s">
        <v>679</v>
      </c>
      <c r="U61" s="1215" t="s">
        <v>679</v>
      </c>
      <c r="V61" s="1215" t="s">
        <v>679</v>
      </c>
      <c r="W61" s="1215"/>
      <c r="X61" s="1215"/>
      <c r="Y61" s="1215" t="s">
        <v>679</v>
      </c>
      <c r="Z61" s="1215" t="s">
        <v>679</v>
      </c>
      <c r="AA61" s="1500" t="s">
        <v>514</v>
      </c>
      <c r="AB61" s="1215" t="s">
        <v>679</v>
      </c>
      <c r="AC61" s="1215" t="s">
        <v>679</v>
      </c>
      <c r="AD61" s="1215"/>
      <c r="AE61" s="1215"/>
      <c r="AF61" s="1215" t="s">
        <v>679</v>
      </c>
      <c r="AG61" s="1215"/>
      <c r="AH61" s="504">
        <v>74</v>
      </c>
      <c r="AI61" s="505">
        <v>31</v>
      </c>
    </row>
    <row r="62" spans="1:35" ht="21.95" customHeight="1">
      <c r="A62" s="186">
        <v>8521</v>
      </c>
      <c r="B62" s="186" t="s">
        <v>681</v>
      </c>
      <c r="C62" s="1215"/>
      <c r="D62" s="1342" t="s">
        <v>550</v>
      </c>
      <c r="E62" s="1215" t="s">
        <v>550</v>
      </c>
      <c r="F62" s="1215" t="s">
        <v>550</v>
      </c>
      <c r="G62" s="1215" t="s">
        <v>550</v>
      </c>
      <c r="H62" s="1215" t="s">
        <v>550</v>
      </c>
      <c r="I62" s="1215"/>
      <c r="J62" s="1215"/>
      <c r="K62" s="1342" t="s">
        <v>550</v>
      </c>
      <c r="L62" s="1215" t="s">
        <v>550</v>
      </c>
      <c r="M62" s="1215" t="s">
        <v>550</v>
      </c>
      <c r="N62" s="1215" t="s">
        <v>550</v>
      </c>
      <c r="O62" s="1215" t="s">
        <v>550</v>
      </c>
      <c r="P62" s="1215"/>
      <c r="Q62" s="1215"/>
      <c r="R62" s="1342" t="s">
        <v>550</v>
      </c>
      <c r="S62" s="1215" t="s">
        <v>550</v>
      </c>
      <c r="T62" s="1215" t="s">
        <v>550</v>
      </c>
      <c r="U62" s="1215" t="s">
        <v>550</v>
      </c>
      <c r="V62" s="1215" t="s">
        <v>550</v>
      </c>
      <c r="W62" s="1215"/>
      <c r="X62" s="1215"/>
      <c r="Y62" s="1500" t="s">
        <v>550</v>
      </c>
      <c r="Z62" s="1344" t="s">
        <v>550</v>
      </c>
      <c r="AA62" s="1215" t="s">
        <v>550</v>
      </c>
      <c r="AB62" s="1215" t="s">
        <v>550</v>
      </c>
      <c r="AC62" s="1344" t="s">
        <v>550</v>
      </c>
      <c r="AD62" s="1344"/>
      <c r="AE62" s="1344"/>
      <c r="AF62" s="1500" t="s">
        <v>550</v>
      </c>
      <c r="AG62" s="1215"/>
      <c r="AH62" s="504">
        <v>66</v>
      </c>
      <c r="AI62" s="505">
        <v>37</v>
      </c>
    </row>
    <row r="63" spans="1:35" ht="21.95" customHeight="1">
      <c r="A63" s="361"/>
      <c r="B63" s="361"/>
      <c r="C63" s="541"/>
      <c r="D63" s="520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520"/>
      <c r="AE63" s="520"/>
      <c r="AF63" s="520"/>
      <c r="AG63" s="520"/>
      <c r="AH63" s="560"/>
      <c r="AI63" s="560"/>
    </row>
    <row r="64" spans="1:35" ht="21.95" customHeight="1">
      <c r="A64" s="361"/>
      <c r="B64" s="361"/>
      <c r="C64" s="541"/>
      <c r="D64" s="520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520"/>
      <c r="AE64" s="520"/>
      <c r="AF64" s="520"/>
      <c r="AG64" s="520"/>
      <c r="AH64" s="560"/>
      <c r="AI64" s="560"/>
    </row>
    <row r="65" spans="1:35" ht="21.95" customHeight="1">
      <c r="A65" s="361"/>
      <c r="B65" s="361"/>
      <c r="C65" s="541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60"/>
      <c r="AI65" s="560"/>
    </row>
    <row r="66" spans="1:35" ht="21.95" customHeight="1" thickBot="1">
      <c r="A66" s="1" t="s">
        <v>468</v>
      </c>
      <c r="D66" s="361"/>
      <c r="E66" s="361"/>
      <c r="F66" s="361"/>
      <c r="G66" s="549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726</v>
      </c>
      <c r="C67" s="7"/>
      <c r="D67" s="525" t="s">
        <v>2</v>
      </c>
      <c r="E67" s="51"/>
      <c r="F67" s="551"/>
      <c r="G67" s="7"/>
      <c r="H67" s="525" t="s">
        <v>3</v>
      </c>
      <c r="I67" s="51"/>
      <c r="J67" s="551"/>
      <c r="K67" s="7"/>
      <c r="L67" s="525" t="s">
        <v>4</v>
      </c>
      <c r="M67" s="51"/>
      <c r="N67" s="551"/>
      <c r="O67" s="7"/>
      <c r="P67" s="525" t="s">
        <v>5</v>
      </c>
      <c r="Q67" s="51"/>
      <c r="R67" s="551"/>
      <c r="S67" s="7"/>
      <c r="T67" s="525" t="s">
        <v>6</v>
      </c>
      <c r="U67" s="51"/>
      <c r="V67" s="551"/>
      <c r="W67" s="27"/>
      <c r="X67" s="898" t="s">
        <v>7</v>
      </c>
      <c r="Y67" s="522"/>
      <c r="Z67" s="238"/>
      <c r="AA67" s="7"/>
      <c r="AB67" s="525" t="s">
        <v>8</v>
      </c>
      <c r="AC67" s="51"/>
      <c r="AD67" s="51"/>
      <c r="AE67" s="349" t="s">
        <v>9</v>
      </c>
      <c r="AF67" s="51"/>
      <c r="AG67" s="51"/>
      <c r="AH67" s="51"/>
      <c r="AI67" s="526"/>
    </row>
    <row r="68" spans="1:35" ht="21.95" customHeight="1">
      <c r="A68" s="1"/>
      <c r="B68" s="129" t="s">
        <v>164</v>
      </c>
      <c r="C68" s="567" t="s">
        <v>740</v>
      </c>
      <c r="E68" s="157"/>
      <c r="F68" s="568"/>
      <c r="G68" s="567" t="s">
        <v>740</v>
      </c>
      <c r="H68" s="157"/>
      <c r="I68" s="157"/>
      <c r="J68" s="568"/>
      <c r="K68" s="567" t="s">
        <v>740</v>
      </c>
      <c r="L68" s="157"/>
      <c r="M68" s="157"/>
      <c r="N68" s="568"/>
      <c r="O68" s="567" t="s">
        <v>740</v>
      </c>
      <c r="P68" s="157"/>
      <c r="Q68" s="157"/>
      <c r="R68" s="568"/>
      <c r="S68" s="567" t="s">
        <v>741</v>
      </c>
      <c r="T68" s="157"/>
      <c r="U68" s="157"/>
      <c r="V68" s="569"/>
      <c r="W68" s="899"/>
      <c r="X68" s="900"/>
      <c r="Y68" s="900"/>
      <c r="Z68" s="901"/>
      <c r="AA68" s="569"/>
      <c r="AB68" s="157"/>
      <c r="AC68" s="157"/>
      <c r="AD68" s="569"/>
      <c r="AE68" s="121">
        <v>37</v>
      </c>
      <c r="AG68" s="157"/>
      <c r="AH68" s="569"/>
      <c r="AI68" s="490"/>
    </row>
    <row r="69" spans="1:35" ht="21.95" customHeight="1">
      <c r="A69" s="1"/>
      <c r="B69" s="129" t="s">
        <v>167</v>
      </c>
      <c r="C69" s="567" t="s">
        <v>474</v>
      </c>
      <c r="D69" s="157"/>
      <c r="E69" s="157"/>
      <c r="F69" s="568"/>
      <c r="G69" s="567" t="s">
        <v>474</v>
      </c>
      <c r="H69" s="157"/>
      <c r="I69" s="157"/>
      <c r="J69" s="568"/>
      <c r="K69" s="567" t="s">
        <v>474</v>
      </c>
      <c r="L69" s="157"/>
      <c r="M69" s="157"/>
      <c r="N69" s="568"/>
      <c r="O69" s="567" t="s">
        <v>475</v>
      </c>
      <c r="P69" s="157"/>
      <c r="Q69" s="157"/>
      <c r="R69" s="568"/>
      <c r="S69" s="567" t="s">
        <v>477</v>
      </c>
      <c r="T69" s="157"/>
      <c r="U69" s="157"/>
      <c r="V69" s="568"/>
      <c r="W69" s="610" t="s">
        <v>478</v>
      </c>
      <c r="X69" s="55"/>
      <c r="Y69" s="55"/>
      <c r="Z69" s="55"/>
      <c r="AA69" s="567" t="s">
        <v>479</v>
      </c>
      <c r="AB69" s="567"/>
      <c r="AC69" s="567"/>
      <c r="AD69" s="567"/>
      <c r="AE69" s="155">
        <v>68.25</v>
      </c>
      <c r="AF69" s="157"/>
      <c r="AG69" s="571"/>
      <c r="AH69" s="572"/>
      <c r="AI69" s="573"/>
    </row>
    <row r="70" spans="1:35" ht="21.95" customHeight="1">
      <c r="A70" s="1"/>
      <c r="B70" s="129" t="s">
        <v>170</v>
      </c>
      <c r="C70" s="897" t="s">
        <v>162</v>
      </c>
      <c r="D70" s="157"/>
      <c r="E70" s="157"/>
      <c r="F70" s="568"/>
      <c r="G70" s="157" t="s">
        <v>162</v>
      </c>
      <c r="H70" s="157"/>
      <c r="I70" s="157"/>
      <c r="J70" s="568"/>
      <c r="K70" s="157" t="s">
        <v>162</v>
      </c>
      <c r="L70" s="157"/>
      <c r="M70" s="157"/>
      <c r="N70" s="568"/>
      <c r="O70" s="157" t="s">
        <v>162</v>
      </c>
      <c r="P70" s="157"/>
      <c r="Q70" s="157"/>
      <c r="R70" s="568"/>
      <c r="S70" s="157" t="s">
        <v>162</v>
      </c>
      <c r="T70" s="157"/>
      <c r="U70" s="157"/>
      <c r="V70" s="568"/>
      <c r="W70" s="567"/>
      <c r="X70" s="157"/>
      <c r="Y70" s="157"/>
      <c r="Z70" s="568"/>
      <c r="AA70" s="567"/>
      <c r="AB70" s="157"/>
      <c r="AC70" s="157"/>
      <c r="AD70" s="569"/>
      <c r="AE70" s="570">
        <v>0</v>
      </c>
      <c r="AF70" s="571"/>
      <c r="AG70" s="157"/>
      <c r="AH70" s="569"/>
      <c r="AI70" s="490"/>
    </row>
    <row r="71" spans="1:35" ht="21.95" customHeight="1" thickBot="1">
      <c r="A71" s="1"/>
      <c r="B71" s="47"/>
      <c r="C71" s="574"/>
      <c r="D71" s="53"/>
      <c r="E71" s="53"/>
      <c r="F71" s="575"/>
      <c r="G71" s="574"/>
      <c r="H71" s="53"/>
      <c r="I71" s="53"/>
      <c r="J71" s="575"/>
      <c r="K71" s="574"/>
      <c r="L71" s="53"/>
      <c r="M71" s="53"/>
      <c r="N71" s="575"/>
      <c r="O71" s="574"/>
      <c r="P71" s="53"/>
      <c r="Q71" s="53"/>
      <c r="R71" s="575"/>
      <c r="S71" s="574"/>
      <c r="T71" s="53"/>
      <c r="U71" s="53"/>
      <c r="V71" s="575"/>
      <c r="W71" s="53"/>
      <c r="X71" s="53"/>
      <c r="Y71" s="53"/>
      <c r="Z71" s="53"/>
      <c r="AA71" s="53"/>
      <c r="AB71" s="53"/>
      <c r="AC71" s="53"/>
      <c r="AD71" s="53"/>
      <c r="AE71" s="576"/>
      <c r="AF71" s="53"/>
      <c r="AG71" s="53"/>
      <c r="AH71" s="577"/>
      <c r="AI71" s="539"/>
    </row>
    <row r="72" spans="1:35" ht="21.95" customHeight="1" thickBot="1">
      <c r="A72" s="578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>
      <c r="A73" s="556"/>
      <c r="B73" s="297" t="s">
        <v>480</v>
      </c>
      <c r="C73" s="1235">
        <v>1</v>
      </c>
      <c r="D73" s="1234">
        <v>2</v>
      </c>
      <c r="E73" s="1234">
        <v>3</v>
      </c>
      <c r="F73" s="1234">
        <v>4</v>
      </c>
      <c r="G73" s="1234">
        <v>5</v>
      </c>
      <c r="H73" s="1234">
        <v>6</v>
      </c>
      <c r="I73" s="1330">
        <v>7</v>
      </c>
      <c r="J73" s="1330">
        <v>8</v>
      </c>
      <c r="K73" s="1234">
        <v>9</v>
      </c>
      <c r="L73" s="1234">
        <v>10</v>
      </c>
      <c r="M73" s="1234">
        <v>11</v>
      </c>
      <c r="N73" s="1234">
        <v>12</v>
      </c>
      <c r="O73" s="1234">
        <v>13</v>
      </c>
      <c r="P73" s="1330">
        <v>14</v>
      </c>
      <c r="Q73" s="1330">
        <v>15</v>
      </c>
      <c r="R73" s="1234">
        <v>16</v>
      </c>
      <c r="S73" s="1234">
        <v>17</v>
      </c>
      <c r="T73" s="1234">
        <v>18</v>
      </c>
      <c r="U73" s="1234">
        <v>19</v>
      </c>
      <c r="V73" s="1213">
        <v>20</v>
      </c>
      <c r="W73" s="1330">
        <v>21</v>
      </c>
      <c r="X73" s="1330">
        <v>22</v>
      </c>
      <c r="Y73" s="1234">
        <v>23</v>
      </c>
      <c r="Z73" s="1234">
        <v>24</v>
      </c>
      <c r="AA73" s="1234">
        <v>25</v>
      </c>
      <c r="AB73" s="1234">
        <v>26</v>
      </c>
      <c r="AC73" s="1234">
        <v>27</v>
      </c>
      <c r="AD73" s="1330">
        <v>28</v>
      </c>
      <c r="AE73" s="1330">
        <v>29</v>
      </c>
      <c r="AF73" s="1234">
        <v>30</v>
      </c>
      <c r="AG73" s="1234"/>
      <c r="AH73" s="498" t="s">
        <v>481</v>
      </c>
      <c r="AI73" s="499" t="s">
        <v>482</v>
      </c>
    </row>
    <row r="74" spans="1:35" ht="21.95" customHeight="1" thickBot="1">
      <c r="A74" s="579">
        <v>1</v>
      </c>
      <c r="B74" s="153" t="s">
        <v>483</v>
      </c>
      <c r="C74" s="1365"/>
      <c r="D74" s="1365" t="s">
        <v>484</v>
      </c>
      <c r="E74" s="1511" t="s">
        <v>484</v>
      </c>
      <c r="F74" s="1365" t="s">
        <v>484</v>
      </c>
      <c r="G74" s="1365" t="s">
        <v>485</v>
      </c>
      <c r="H74" s="1208" t="s">
        <v>682</v>
      </c>
      <c r="I74" s="1365" t="s">
        <v>486</v>
      </c>
      <c r="J74" s="1365" t="s">
        <v>486</v>
      </c>
      <c r="K74" s="1208" t="s">
        <v>487</v>
      </c>
      <c r="L74" s="1511" t="s">
        <v>487</v>
      </c>
      <c r="M74" s="1208" t="s">
        <v>487</v>
      </c>
      <c r="N74" s="1208" t="s">
        <v>708</v>
      </c>
      <c r="O74" s="1208" t="s">
        <v>708</v>
      </c>
      <c r="P74" s="1208"/>
      <c r="Q74" s="1208"/>
      <c r="R74" s="1208" t="s">
        <v>682</v>
      </c>
      <c r="S74" s="1511" t="s">
        <v>682</v>
      </c>
      <c r="T74" s="1208" t="s">
        <v>682</v>
      </c>
      <c r="U74" s="1208" t="s">
        <v>682</v>
      </c>
      <c r="V74" s="1208" t="s">
        <v>682</v>
      </c>
      <c r="W74" s="1208"/>
      <c r="X74" s="1208"/>
      <c r="Y74" s="1511" t="s">
        <v>484</v>
      </c>
      <c r="Z74" s="1511" t="s">
        <v>484</v>
      </c>
      <c r="AA74" s="1344" t="s">
        <v>484</v>
      </c>
      <c r="AB74" s="1208" t="s">
        <v>485</v>
      </c>
      <c r="AC74" s="1365" t="s">
        <v>485</v>
      </c>
      <c r="AD74" s="1365" t="s">
        <v>486</v>
      </c>
      <c r="AE74" s="1365" t="s">
        <v>486</v>
      </c>
      <c r="AF74" s="1208" t="s">
        <v>487</v>
      </c>
      <c r="AG74" s="1208"/>
      <c r="AH74" s="504">
        <v>102</v>
      </c>
      <c r="AI74" s="505">
        <v>16</v>
      </c>
    </row>
    <row r="75" spans="1:35" ht="21.95" customHeight="1">
      <c r="A75" s="579">
        <v>2</v>
      </c>
      <c r="B75" s="45" t="s">
        <v>489</v>
      </c>
      <c r="C75" s="1208" t="s">
        <v>486</v>
      </c>
      <c r="D75" s="1208" t="s">
        <v>487</v>
      </c>
      <c r="E75" s="1208" t="s">
        <v>487</v>
      </c>
      <c r="F75" s="1208" t="s">
        <v>487</v>
      </c>
      <c r="G75" s="1208" t="s">
        <v>487</v>
      </c>
      <c r="H75" s="1208" t="s">
        <v>487</v>
      </c>
      <c r="I75" s="1208"/>
      <c r="J75" s="1208"/>
      <c r="K75" s="1208" t="s">
        <v>682</v>
      </c>
      <c r="L75" s="1208" t="s">
        <v>682</v>
      </c>
      <c r="M75" s="1208" t="s">
        <v>682</v>
      </c>
      <c r="N75" s="1208" t="s">
        <v>682</v>
      </c>
      <c r="O75" s="1208" t="s">
        <v>682</v>
      </c>
      <c r="P75" s="1208"/>
      <c r="Q75" s="1208"/>
      <c r="R75" s="1208" t="s">
        <v>484</v>
      </c>
      <c r="S75" s="1208" t="s">
        <v>484</v>
      </c>
      <c r="T75" s="1208" t="s">
        <v>484</v>
      </c>
      <c r="U75" s="1208" t="s">
        <v>485</v>
      </c>
      <c r="V75" s="1208" t="s">
        <v>485</v>
      </c>
      <c r="W75" s="1208" t="s">
        <v>486</v>
      </c>
      <c r="X75" s="1208" t="s">
        <v>486</v>
      </c>
      <c r="Y75" s="1208" t="s">
        <v>487</v>
      </c>
      <c r="Z75" s="1208" t="s">
        <v>487</v>
      </c>
      <c r="AA75" s="1500" t="s">
        <v>514</v>
      </c>
      <c r="AB75" s="1208" t="s">
        <v>487</v>
      </c>
      <c r="AC75" s="1208" t="s">
        <v>487</v>
      </c>
      <c r="AD75" s="1208"/>
      <c r="AE75" s="1208"/>
      <c r="AF75" s="1396" t="s">
        <v>682</v>
      </c>
      <c r="AG75" s="1208"/>
      <c r="AH75" s="504">
        <v>185</v>
      </c>
      <c r="AI75" s="505">
        <v>37</v>
      </c>
    </row>
    <row r="76" spans="1:35" ht="21.95" customHeight="1">
      <c r="A76" s="579">
        <v>3</v>
      </c>
      <c r="B76" s="545" t="s">
        <v>490</v>
      </c>
      <c r="C76" s="1208"/>
      <c r="D76" s="1208" t="s">
        <v>682</v>
      </c>
      <c r="E76" s="1208" t="s">
        <v>682</v>
      </c>
      <c r="F76" s="1208" t="s">
        <v>682</v>
      </c>
      <c r="G76" s="1208" t="s">
        <v>682</v>
      </c>
      <c r="H76" s="1208" t="s">
        <v>682</v>
      </c>
      <c r="I76" s="1208"/>
      <c r="J76" s="1208"/>
      <c r="K76" s="1362" t="s">
        <v>484</v>
      </c>
      <c r="L76" s="1362" t="s">
        <v>484</v>
      </c>
      <c r="M76" s="1362" t="s">
        <v>484</v>
      </c>
      <c r="N76" s="1362" t="s">
        <v>485</v>
      </c>
      <c r="O76" s="1362" t="s">
        <v>485</v>
      </c>
      <c r="P76" s="1362" t="s">
        <v>486</v>
      </c>
      <c r="Q76" s="1362" t="s">
        <v>486</v>
      </c>
      <c r="R76" s="1362" t="s">
        <v>487</v>
      </c>
      <c r="S76" s="1362" t="s">
        <v>487</v>
      </c>
      <c r="T76" s="1362" t="s">
        <v>487</v>
      </c>
      <c r="U76" s="1362" t="s">
        <v>487</v>
      </c>
      <c r="V76" s="1362" t="s">
        <v>487</v>
      </c>
      <c r="W76" s="1362"/>
      <c r="X76" s="1362"/>
      <c r="Y76" s="1362" t="s">
        <v>682</v>
      </c>
      <c r="Z76" s="1362" t="s">
        <v>682</v>
      </c>
      <c r="AA76" s="1500" t="s">
        <v>514</v>
      </c>
      <c r="AB76" s="1362" t="s">
        <v>682</v>
      </c>
      <c r="AC76" s="1362" t="s">
        <v>682</v>
      </c>
      <c r="AD76" s="1362"/>
      <c r="AE76" s="1362"/>
      <c r="AF76" s="1362" t="s">
        <v>484</v>
      </c>
      <c r="AG76" s="1208"/>
      <c r="AH76" s="504">
        <v>195</v>
      </c>
      <c r="AI76" s="505">
        <v>37</v>
      </c>
    </row>
    <row r="77" spans="1:35" ht="21" customHeight="1"/>
    <row r="78" spans="1:35" ht="21.95" customHeight="1" thickBot="1">
      <c r="A78" s="312" t="s">
        <v>491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  <c r="O78" s="559"/>
      <c r="P78" s="559"/>
      <c r="Q78" s="559"/>
      <c r="R78" s="559"/>
      <c r="S78" s="559"/>
      <c r="T78" s="559"/>
      <c r="U78" s="559"/>
      <c r="V78" s="559"/>
      <c r="W78" s="559"/>
      <c r="X78" s="559"/>
      <c r="Y78" s="559"/>
      <c r="Z78" s="559"/>
      <c r="AA78" s="559"/>
      <c r="AB78" s="559"/>
      <c r="AC78" s="559"/>
      <c r="AD78" s="559"/>
      <c r="AE78" s="559"/>
      <c r="AF78" s="559"/>
      <c r="AH78" s="560"/>
      <c r="AI78" s="560"/>
    </row>
    <row r="79" spans="1:35" ht="21.95" customHeight="1">
      <c r="A79" s="580"/>
      <c r="B79" s="23" t="s">
        <v>726</v>
      </c>
      <c r="C79" s="7"/>
      <c r="D79" s="525" t="s">
        <v>2</v>
      </c>
      <c r="E79" s="51"/>
      <c r="F79" s="551"/>
      <c r="G79" s="7"/>
      <c r="H79" s="525" t="s">
        <v>3</v>
      </c>
      <c r="I79" s="51"/>
      <c r="J79" s="551"/>
      <c r="K79" s="7"/>
      <c r="L79" s="525" t="s">
        <v>4</v>
      </c>
      <c r="M79" s="51"/>
      <c r="N79" s="551"/>
      <c r="O79" s="7"/>
      <c r="P79" s="525" t="s">
        <v>5</v>
      </c>
      <c r="Q79" s="51"/>
      <c r="R79" s="551"/>
      <c r="S79" s="7"/>
      <c r="T79" s="525" t="s">
        <v>6</v>
      </c>
      <c r="U79" s="51"/>
      <c r="V79" s="551"/>
      <c r="W79" s="27"/>
      <c r="X79" s="898" t="s">
        <v>7</v>
      </c>
      <c r="Y79" s="522"/>
      <c r="Z79" s="238"/>
      <c r="AA79" s="7"/>
      <c r="AB79" s="525" t="s">
        <v>8</v>
      </c>
      <c r="AC79" s="51"/>
      <c r="AD79" s="51"/>
      <c r="AE79" s="349" t="s">
        <v>9</v>
      </c>
      <c r="AF79" s="51"/>
      <c r="AG79" s="51"/>
      <c r="AH79" s="51"/>
      <c r="AI79" s="526"/>
    </row>
    <row r="80" spans="1:35" ht="21.95" customHeight="1">
      <c r="B80" s="129" t="s">
        <v>164</v>
      </c>
      <c r="C80" s="593" t="s">
        <v>492</v>
      </c>
      <c r="E80" s="157"/>
      <c r="F80" s="568"/>
      <c r="G80" s="567" t="s">
        <v>488</v>
      </c>
      <c r="H80" s="483" t="s">
        <v>493</v>
      </c>
      <c r="I80" s="157"/>
      <c r="J80" s="568"/>
      <c r="K80" s="593" t="s">
        <v>492</v>
      </c>
      <c r="L80" s="483"/>
      <c r="M80" s="483"/>
      <c r="N80" s="592"/>
      <c r="O80" s="593" t="s">
        <v>494</v>
      </c>
      <c r="P80" s="483"/>
      <c r="Q80" s="483"/>
      <c r="R80" s="592"/>
      <c r="S80" s="593" t="s">
        <v>495</v>
      </c>
      <c r="T80" s="483"/>
      <c r="U80" s="483"/>
      <c r="V80" s="477"/>
      <c r="W80" s="899"/>
      <c r="X80" s="900"/>
      <c r="Y80" s="900"/>
      <c r="Z80" s="901"/>
      <c r="AA80" s="569"/>
      <c r="AB80" s="157"/>
      <c r="AC80" s="157"/>
      <c r="AD80" s="569"/>
      <c r="AE80" s="121">
        <v>37</v>
      </c>
      <c r="AG80" s="157"/>
      <c r="AH80" s="569"/>
      <c r="AI80" s="490"/>
    </row>
    <row r="81" spans="1:35" ht="21.95" customHeight="1">
      <c r="B81" s="129" t="s">
        <v>167</v>
      </c>
      <c r="C81" s="593" t="s">
        <v>496</v>
      </c>
      <c r="E81" s="157"/>
      <c r="F81" s="568"/>
      <c r="G81" s="593" t="s">
        <v>496</v>
      </c>
      <c r="I81" s="157"/>
      <c r="J81" s="568"/>
      <c r="K81" s="593" t="s">
        <v>496</v>
      </c>
      <c r="L81" s="157"/>
      <c r="M81" s="157"/>
      <c r="N81" s="568"/>
      <c r="O81" s="593" t="s">
        <v>497</v>
      </c>
      <c r="P81" s="157"/>
      <c r="Q81" s="157"/>
      <c r="R81" s="568"/>
      <c r="S81" s="567" t="s">
        <v>498</v>
      </c>
      <c r="T81" s="157"/>
      <c r="U81" s="157"/>
      <c r="V81" s="568"/>
      <c r="W81" s="610" t="s">
        <v>414</v>
      </c>
      <c r="X81" s="55"/>
      <c r="Y81" s="55"/>
      <c r="Z81" s="55"/>
      <c r="AA81" s="567" t="s">
        <v>28</v>
      </c>
      <c r="AB81" s="567"/>
      <c r="AC81" s="567"/>
      <c r="AD81" s="567"/>
      <c r="AE81" s="155">
        <v>37</v>
      </c>
      <c r="AF81" s="157"/>
      <c r="AG81" s="571"/>
      <c r="AH81" s="572"/>
      <c r="AI81" s="573"/>
    </row>
    <row r="82" spans="1:35" ht="21.95" customHeight="1">
      <c r="B82" s="129" t="s">
        <v>170</v>
      </c>
      <c r="C82" s="1336" t="s">
        <v>499</v>
      </c>
      <c r="D82" s="157"/>
      <c r="E82" s="157"/>
      <c r="F82" s="568"/>
      <c r="G82" s="157" t="s">
        <v>500</v>
      </c>
      <c r="H82" s="157"/>
      <c r="I82" s="157"/>
      <c r="J82" s="568"/>
      <c r="K82" s="1337" t="s">
        <v>501</v>
      </c>
      <c r="L82" s="157"/>
      <c r="M82" s="157"/>
      <c r="N82" s="568"/>
      <c r="O82" s="581" t="s">
        <v>502</v>
      </c>
      <c r="P82" s="157"/>
      <c r="Q82" s="157"/>
      <c r="R82" s="568"/>
      <c r="S82" s="581" t="s">
        <v>504</v>
      </c>
      <c r="T82" s="157"/>
      <c r="U82" s="157"/>
      <c r="V82" s="568"/>
      <c r="W82" s="567"/>
      <c r="X82" s="157"/>
      <c r="Y82" s="157"/>
      <c r="Z82" s="568"/>
      <c r="AA82" s="567"/>
      <c r="AB82" s="157"/>
      <c r="AC82" s="157"/>
      <c r="AD82" s="569"/>
      <c r="AE82" s="570">
        <v>36</v>
      </c>
      <c r="AF82" s="571"/>
      <c r="AG82" s="157"/>
      <c r="AH82" s="569"/>
      <c r="AI82" s="490"/>
    </row>
    <row r="83" spans="1:35" ht="21.95" customHeight="1" thickBot="1">
      <c r="B83" s="47"/>
      <c r="C83" s="574"/>
      <c r="D83" s="53"/>
      <c r="E83" s="53"/>
      <c r="F83" s="575"/>
      <c r="G83" s="574"/>
      <c r="H83" s="53"/>
      <c r="I83" s="53"/>
      <c r="J83" s="575"/>
      <c r="K83" s="574"/>
      <c r="L83" s="53"/>
      <c r="M83" s="53"/>
      <c r="N83" s="575"/>
      <c r="O83" s="574"/>
      <c r="P83" s="53"/>
      <c r="Q83" s="53"/>
      <c r="R83" s="575"/>
      <c r="S83" s="574"/>
      <c r="T83" s="53"/>
      <c r="U83" s="53"/>
      <c r="V83" s="575"/>
      <c r="W83" s="53"/>
      <c r="X83" s="53"/>
      <c r="Y83" s="53"/>
      <c r="Z83" s="53"/>
      <c r="AA83" s="53"/>
      <c r="AB83" s="53"/>
      <c r="AC83" s="53"/>
      <c r="AD83" s="53"/>
      <c r="AE83" s="576"/>
      <c r="AF83" s="53"/>
      <c r="AG83" s="53"/>
      <c r="AH83" s="577"/>
      <c r="AI83" s="539"/>
    </row>
    <row r="84" spans="1:35" ht="21.95" customHeight="1" thickBot="1"/>
    <row r="85" spans="1:35" ht="21.95" customHeight="1">
      <c r="A85" s="556"/>
      <c r="B85" s="297" t="s">
        <v>480</v>
      </c>
      <c r="C85" s="1235">
        <v>1</v>
      </c>
      <c r="D85" s="1234">
        <v>2</v>
      </c>
      <c r="E85" s="1234">
        <v>3</v>
      </c>
      <c r="F85" s="1234">
        <v>4</v>
      </c>
      <c r="G85" s="1234">
        <v>5</v>
      </c>
      <c r="H85" s="1234">
        <v>6</v>
      </c>
      <c r="I85" s="1330">
        <v>7</v>
      </c>
      <c r="J85" s="1330">
        <v>8</v>
      </c>
      <c r="K85" s="1234">
        <v>9</v>
      </c>
      <c r="L85" s="1234">
        <v>10</v>
      </c>
      <c r="M85" s="1234">
        <v>11</v>
      </c>
      <c r="N85" s="1234">
        <v>12</v>
      </c>
      <c r="O85" s="1234">
        <v>13</v>
      </c>
      <c r="P85" s="1330">
        <v>14</v>
      </c>
      <c r="Q85" s="1330">
        <v>15</v>
      </c>
      <c r="R85" s="1234">
        <v>16</v>
      </c>
      <c r="S85" s="1234">
        <v>17</v>
      </c>
      <c r="T85" s="1234">
        <v>18</v>
      </c>
      <c r="U85" s="1234">
        <v>19</v>
      </c>
      <c r="V85" s="1213">
        <v>20</v>
      </c>
      <c r="W85" s="1330">
        <v>21</v>
      </c>
      <c r="X85" s="1330">
        <v>22</v>
      </c>
      <c r="Y85" s="1234">
        <v>23</v>
      </c>
      <c r="Z85" s="1234">
        <v>24</v>
      </c>
      <c r="AA85" s="1234">
        <v>25</v>
      </c>
      <c r="AB85" s="1234">
        <v>26</v>
      </c>
      <c r="AC85" s="1234">
        <v>27</v>
      </c>
      <c r="AD85" s="1330">
        <v>28</v>
      </c>
      <c r="AE85" s="1330">
        <v>29</v>
      </c>
      <c r="AF85" s="1234">
        <v>30</v>
      </c>
      <c r="AG85" s="1234"/>
      <c r="AH85" s="498" t="s">
        <v>481</v>
      </c>
      <c r="AI85" s="499" t="s">
        <v>482</v>
      </c>
    </row>
    <row r="86" spans="1:35" ht="21.95" customHeight="1">
      <c r="A86" s="579">
        <v>1</v>
      </c>
      <c r="B86" s="153" t="s">
        <v>508</v>
      </c>
      <c r="C86" s="1208" t="s">
        <v>28</v>
      </c>
      <c r="D86" s="1208" t="s">
        <v>506</v>
      </c>
      <c r="E86" s="1208" t="s">
        <v>506</v>
      </c>
      <c r="F86" s="1208" t="s">
        <v>506</v>
      </c>
      <c r="G86" s="1208" t="s">
        <v>506</v>
      </c>
      <c r="H86" s="1208" t="s">
        <v>506</v>
      </c>
      <c r="I86" s="1208" t="s">
        <v>28</v>
      </c>
      <c r="J86" s="1208" t="s">
        <v>28</v>
      </c>
      <c r="K86" s="1208" t="s">
        <v>485</v>
      </c>
      <c r="L86" s="1208" t="s">
        <v>485</v>
      </c>
      <c r="M86" s="1208" t="s">
        <v>485</v>
      </c>
      <c r="N86" s="1208" t="s">
        <v>540</v>
      </c>
      <c r="O86" s="1208" t="s">
        <v>540</v>
      </c>
      <c r="P86" s="1208"/>
      <c r="Q86" s="1208"/>
      <c r="R86" s="1208" t="s">
        <v>488</v>
      </c>
      <c r="S86" s="1208" t="s">
        <v>488</v>
      </c>
      <c r="T86" s="1208" t="s">
        <v>488</v>
      </c>
      <c r="U86" s="1208" t="s">
        <v>488</v>
      </c>
      <c r="V86" s="1208" t="s">
        <v>488</v>
      </c>
      <c r="W86" s="1208" t="s">
        <v>28</v>
      </c>
      <c r="X86" s="1208" t="s">
        <v>28</v>
      </c>
      <c r="Y86" s="1208" t="s">
        <v>506</v>
      </c>
      <c r="Z86" s="1208" t="s">
        <v>506</v>
      </c>
      <c r="AA86" s="1208" t="s">
        <v>506</v>
      </c>
      <c r="AB86" s="1208" t="s">
        <v>506</v>
      </c>
      <c r="AC86" s="1208" t="s">
        <v>506</v>
      </c>
      <c r="AD86" s="1208" t="s">
        <v>28</v>
      </c>
      <c r="AE86" s="1208" t="s">
        <v>28</v>
      </c>
      <c r="AF86" s="1551" t="s">
        <v>485</v>
      </c>
      <c r="AG86" s="1208"/>
      <c r="AH86" s="504">
        <v>92</v>
      </c>
      <c r="AI86" s="505">
        <v>37</v>
      </c>
    </row>
    <row r="87" spans="1:35" ht="21.95" customHeight="1">
      <c r="A87" s="579">
        <v>2</v>
      </c>
      <c r="B87" s="319" t="s">
        <v>507</v>
      </c>
      <c r="C87" s="1208"/>
      <c r="D87" s="1208" t="s">
        <v>485</v>
      </c>
      <c r="E87" s="1208" t="s">
        <v>485</v>
      </c>
      <c r="F87" s="1208" t="s">
        <v>485</v>
      </c>
      <c r="G87" s="1208" t="s">
        <v>484</v>
      </c>
      <c r="H87" s="1208" t="s">
        <v>484</v>
      </c>
      <c r="I87" s="1208"/>
      <c r="J87" s="1208"/>
      <c r="K87" s="1208" t="s">
        <v>488</v>
      </c>
      <c r="L87" s="1208" t="s">
        <v>488</v>
      </c>
      <c r="M87" s="1208" t="s">
        <v>488</v>
      </c>
      <c r="N87" s="1208" t="s">
        <v>488</v>
      </c>
      <c r="O87" s="1208" t="s">
        <v>488</v>
      </c>
      <c r="P87" s="1208" t="s">
        <v>28</v>
      </c>
      <c r="Q87" s="1208" t="s">
        <v>28</v>
      </c>
      <c r="R87" s="1208" t="s">
        <v>506</v>
      </c>
      <c r="S87" s="1208" t="s">
        <v>506</v>
      </c>
      <c r="T87" s="1208" t="s">
        <v>506</v>
      </c>
      <c r="U87" s="1208" t="s">
        <v>506</v>
      </c>
      <c r="V87" s="1208" t="s">
        <v>506</v>
      </c>
      <c r="W87" s="1208"/>
      <c r="X87" s="1208"/>
      <c r="Y87" s="1208" t="s">
        <v>485</v>
      </c>
      <c r="Z87" s="1208" t="s">
        <v>485</v>
      </c>
      <c r="AA87" s="1208" t="s">
        <v>485</v>
      </c>
      <c r="AB87" s="1208" t="s">
        <v>484</v>
      </c>
      <c r="AC87" s="1208" t="s">
        <v>484</v>
      </c>
      <c r="AD87" s="1208"/>
      <c r="AE87" s="1208"/>
      <c r="AF87" s="1208" t="s">
        <v>488</v>
      </c>
      <c r="AG87" s="1208"/>
      <c r="AH87" s="504">
        <v>185</v>
      </c>
      <c r="AI87" s="505">
        <v>37</v>
      </c>
    </row>
    <row r="88" spans="1:35" ht="21.95" customHeight="1">
      <c r="A88" s="579">
        <v>3</v>
      </c>
      <c r="B88" s="545" t="s">
        <v>505</v>
      </c>
      <c r="C88" s="1208"/>
      <c r="D88" s="1208" t="s">
        <v>488</v>
      </c>
      <c r="E88" s="1208" t="s">
        <v>488</v>
      </c>
      <c r="F88" s="1208" t="s">
        <v>488</v>
      </c>
      <c r="G88" s="1208" t="s">
        <v>488</v>
      </c>
      <c r="H88" s="1208" t="s">
        <v>488</v>
      </c>
      <c r="I88" s="1208"/>
      <c r="J88" s="1208"/>
      <c r="K88" s="1208" t="s">
        <v>506</v>
      </c>
      <c r="L88" s="1208" t="s">
        <v>506</v>
      </c>
      <c r="M88" s="1208" t="s">
        <v>506</v>
      </c>
      <c r="N88" s="1208" t="s">
        <v>506</v>
      </c>
      <c r="O88" s="1208" t="s">
        <v>506</v>
      </c>
      <c r="P88" s="1208"/>
      <c r="Q88" s="1208"/>
      <c r="R88" s="1208" t="s">
        <v>485</v>
      </c>
      <c r="S88" s="1439" t="s">
        <v>485</v>
      </c>
      <c r="T88" s="1439" t="s">
        <v>485</v>
      </c>
      <c r="U88" s="1439" t="s">
        <v>484</v>
      </c>
      <c r="V88" s="1439" t="s">
        <v>770</v>
      </c>
      <c r="W88" s="1208"/>
      <c r="X88" s="1208"/>
      <c r="Y88" s="1208" t="s">
        <v>484</v>
      </c>
      <c r="Z88" s="1208" t="s">
        <v>484</v>
      </c>
      <c r="AA88" s="1208" t="s">
        <v>488</v>
      </c>
      <c r="AB88" s="1368" t="s">
        <v>488</v>
      </c>
      <c r="AC88" s="1396" t="s">
        <v>708</v>
      </c>
      <c r="AD88" s="1208"/>
      <c r="AE88" s="1208"/>
      <c r="AF88" s="1584" t="s">
        <v>484</v>
      </c>
      <c r="AG88" s="1208"/>
      <c r="AH88" s="504">
        <v>95</v>
      </c>
      <c r="AI88" s="505">
        <v>37</v>
      </c>
    </row>
    <row r="89" spans="1:35" ht="21.95" customHeight="1">
      <c r="A89" s="580"/>
      <c r="B89" s="354"/>
      <c r="C89" s="559"/>
      <c r="D89" s="559"/>
      <c r="E89" s="559"/>
      <c r="F89" s="559"/>
      <c r="G89" s="559"/>
      <c r="H89" s="559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H89" s="560"/>
      <c r="AI89" s="560"/>
    </row>
    <row r="90" spans="1:35" ht="21.95" customHeight="1">
      <c r="A90" s="580"/>
      <c r="B90" s="587"/>
      <c r="C90" s="559"/>
      <c r="D90" s="559"/>
      <c r="E90" s="559"/>
      <c r="F90" s="559"/>
      <c r="G90" s="559"/>
      <c r="H90" s="559"/>
      <c r="I90" s="559"/>
      <c r="J90" s="559"/>
      <c r="K90" s="559"/>
      <c r="L90" s="559"/>
      <c r="M90" s="559"/>
      <c r="N90" s="559"/>
      <c r="O90" s="559"/>
      <c r="P90" s="559"/>
      <c r="Q90" s="559"/>
      <c r="R90" s="559"/>
      <c r="S90" s="559"/>
      <c r="T90" s="559"/>
      <c r="U90" s="559"/>
      <c r="V90" s="559"/>
      <c r="W90" s="559"/>
      <c r="X90" s="559"/>
      <c r="Y90" s="559"/>
      <c r="Z90" s="559"/>
      <c r="AA90" s="559"/>
      <c r="AB90" s="559"/>
      <c r="AC90" s="559"/>
      <c r="AD90" s="559"/>
      <c r="AE90" s="559"/>
      <c r="AF90" s="559"/>
      <c r="AG90" s="559"/>
      <c r="AH90" s="560"/>
      <c r="AI90" s="560"/>
    </row>
    <row r="91" spans="1:35" ht="21.95" customHeight="1" thickBot="1">
      <c r="A91" s="1" t="s">
        <v>686</v>
      </c>
      <c r="D91" s="361"/>
      <c r="E91" s="361"/>
      <c r="F91" s="361"/>
      <c r="G91" s="549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687</v>
      </c>
      <c r="C92" s="7"/>
      <c r="D92" s="525" t="s">
        <v>2</v>
      </c>
      <c r="E92" s="51"/>
      <c r="F92" s="551"/>
      <c r="G92" s="7"/>
      <c r="H92" s="525" t="s">
        <v>3</v>
      </c>
      <c r="I92" s="51"/>
      <c r="J92" s="551"/>
      <c r="K92" s="7"/>
      <c r="L92" s="525" t="s">
        <v>4</v>
      </c>
      <c r="M92" s="51"/>
      <c r="N92" s="551"/>
      <c r="O92" s="7"/>
      <c r="P92" s="525" t="s">
        <v>5</v>
      </c>
      <c r="Q92" s="51"/>
      <c r="R92" s="551"/>
      <c r="S92" s="7"/>
      <c r="T92" s="525" t="s">
        <v>6</v>
      </c>
      <c r="U92" s="51"/>
      <c r="V92" s="551"/>
      <c r="W92" s="7"/>
      <c r="X92" s="525" t="s">
        <v>7</v>
      </c>
      <c r="Y92" s="51"/>
      <c r="Z92" s="551"/>
      <c r="AA92" s="7"/>
      <c r="AB92" s="525" t="s">
        <v>8</v>
      </c>
      <c r="AC92" s="51"/>
      <c r="AD92" s="51"/>
      <c r="AE92" s="425" t="s">
        <v>10</v>
      </c>
      <c r="AF92" s="51"/>
      <c r="AG92" s="51"/>
      <c r="AH92" s="51"/>
      <c r="AI92" s="526"/>
    </row>
    <row r="93" spans="1:35" ht="21.95" customHeight="1">
      <c r="A93" s="1"/>
      <c r="B93" s="129" t="s">
        <v>164</v>
      </c>
      <c r="C93" s="121" t="s">
        <v>162</v>
      </c>
      <c r="D93" s="157"/>
      <c r="E93" s="157"/>
      <c r="F93" s="568"/>
      <c r="G93" s="121" t="s">
        <v>688</v>
      </c>
      <c r="H93" s="157"/>
      <c r="I93" s="157"/>
      <c r="J93" s="568"/>
      <c r="K93" s="121" t="s">
        <v>688</v>
      </c>
      <c r="L93" s="157"/>
      <c r="M93" s="157"/>
      <c r="N93" s="568"/>
      <c r="O93" s="121" t="s">
        <v>688</v>
      </c>
      <c r="P93" s="157"/>
      <c r="Q93" s="157"/>
      <c r="R93" s="568"/>
      <c r="S93" s="121" t="s">
        <v>688</v>
      </c>
      <c r="T93" s="157"/>
      <c r="U93" s="157"/>
      <c r="V93" s="568"/>
      <c r="W93" s="1243" t="s">
        <v>689</v>
      </c>
      <c r="X93" s="581"/>
      <c r="Y93" s="581"/>
      <c r="Z93" s="582"/>
      <c r="AA93" s="567"/>
      <c r="AB93" s="157"/>
      <c r="AC93" s="157"/>
      <c r="AD93" s="569"/>
      <c r="AE93" s="128">
        <v>37</v>
      </c>
      <c r="AF93" s="157"/>
      <c r="AG93" s="157" t="s">
        <v>28</v>
      </c>
      <c r="AH93" s="569"/>
      <c r="AI93" s="490"/>
    </row>
    <row r="94" spans="1:35" ht="21.95" customHeight="1">
      <c r="A94" s="1"/>
      <c r="B94" s="129" t="s">
        <v>167</v>
      </c>
      <c r="C94" s="121" t="s">
        <v>688</v>
      </c>
      <c r="D94" s="157"/>
      <c r="E94" s="157"/>
      <c r="F94" s="568"/>
      <c r="G94" s="121" t="s">
        <v>688</v>
      </c>
      <c r="H94" s="157"/>
      <c r="I94" s="157"/>
      <c r="J94" s="568"/>
      <c r="K94" s="121" t="s">
        <v>688</v>
      </c>
      <c r="L94" s="157"/>
      <c r="M94" s="157"/>
      <c r="N94" s="568"/>
      <c r="O94" s="121" t="s">
        <v>688</v>
      </c>
      <c r="P94" s="157"/>
      <c r="Q94" s="157"/>
      <c r="R94" s="568"/>
      <c r="S94" s="121" t="s">
        <v>162</v>
      </c>
      <c r="T94" s="157"/>
      <c r="U94" s="157"/>
      <c r="V94" s="568"/>
      <c r="W94" s="121"/>
      <c r="X94" s="157"/>
      <c r="Y94" s="157"/>
      <c r="Z94" s="568"/>
      <c r="AA94" s="157"/>
      <c r="AB94" s="157"/>
      <c r="AC94" s="157"/>
      <c r="AD94" s="569"/>
      <c r="AE94" s="128">
        <v>32</v>
      </c>
      <c r="AF94" s="157"/>
      <c r="AG94" s="157"/>
      <c r="AH94" s="569"/>
      <c r="AI94" s="490"/>
    </row>
    <row r="95" spans="1:35" ht="21.95" customHeight="1">
      <c r="A95" s="1"/>
      <c r="B95" s="129" t="s">
        <v>170</v>
      </c>
      <c r="C95" s="121" t="s">
        <v>690</v>
      </c>
      <c r="D95" s="157"/>
      <c r="E95" s="157"/>
      <c r="F95" s="568"/>
      <c r="G95" s="121" t="s">
        <v>690</v>
      </c>
      <c r="H95" s="157"/>
      <c r="I95" s="157"/>
      <c r="J95" s="568"/>
      <c r="K95" s="121" t="s">
        <v>690</v>
      </c>
      <c r="L95" s="157"/>
      <c r="M95" s="157"/>
      <c r="N95" s="568"/>
      <c r="O95" s="121" t="s">
        <v>690</v>
      </c>
      <c r="P95" s="157"/>
      <c r="Q95" s="157"/>
      <c r="R95" s="568"/>
      <c r="S95" s="121" t="s">
        <v>690</v>
      </c>
      <c r="T95" s="157"/>
      <c r="U95" s="157"/>
      <c r="V95" s="568"/>
      <c r="W95" s="588" t="s">
        <v>689</v>
      </c>
      <c r="X95" s="135"/>
      <c r="Y95" s="135"/>
      <c r="Z95" s="584"/>
      <c r="AA95" s="583"/>
      <c r="AB95" s="135"/>
      <c r="AC95" s="135"/>
      <c r="AD95" s="585"/>
      <c r="AE95" s="128">
        <v>40</v>
      </c>
      <c r="AF95" s="157"/>
      <c r="AG95" s="157"/>
      <c r="AH95" s="569"/>
      <c r="AI95" s="490"/>
    </row>
    <row r="96" spans="1:35" ht="21.95" customHeight="1" thickBot="1">
      <c r="A96" s="1"/>
      <c r="B96" s="16" t="s">
        <v>173</v>
      </c>
      <c r="C96" s="57" t="s">
        <v>688</v>
      </c>
      <c r="D96" s="53"/>
      <c r="E96" s="53"/>
      <c r="F96" s="575"/>
      <c r="G96" s="57" t="s">
        <v>688</v>
      </c>
      <c r="H96" s="53"/>
      <c r="I96" s="53"/>
      <c r="J96" s="575"/>
      <c r="K96" s="57" t="s">
        <v>688</v>
      </c>
      <c r="L96" s="53"/>
      <c r="M96" s="53"/>
      <c r="N96" s="575"/>
      <c r="O96" s="57" t="s">
        <v>688</v>
      </c>
      <c r="P96" s="53"/>
      <c r="Q96" s="53"/>
      <c r="R96" s="575"/>
      <c r="S96" s="57" t="s">
        <v>691</v>
      </c>
      <c r="T96" s="53"/>
      <c r="U96" s="53"/>
      <c r="V96" s="577"/>
      <c r="W96" s="57"/>
      <c r="X96" s="577"/>
      <c r="Y96" s="53"/>
      <c r="Z96" s="575"/>
      <c r="AA96" s="57"/>
      <c r="AB96" s="577"/>
      <c r="AC96" s="53"/>
      <c r="AD96" s="575"/>
      <c r="AE96" s="586">
        <v>39</v>
      </c>
      <c r="AF96" s="53"/>
      <c r="AG96" s="53"/>
      <c r="AH96" s="577"/>
      <c r="AI96" s="539"/>
    </row>
    <row r="97" spans="1:35" ht="21.95" customHeight="1" thickBot="1">
      <c r="A97" s="578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>
      <c r="A98" s="556"/>
      <c r="B98" s="297" t="s">
        <v>480</v>
      </c>
      <c r="C98" s="1235">
        <v>1</v>
      </c>
      <c r="D98" s="1234">
        <v>2</v>
      </c>
      <c r="E98" s="1234">
        <v>3</v>
      </c>
      <c r="F98" s="1234">
        <v>4</v>
      </c>
      <c r="G98" s="1234">
        <v>5</v>
      </c>
      <c r="H98" s="1234">
        <v>6</v>
      </c>
      <c r="I98" s="1330">
        <v>7</v>
      </c>
      <c r="J98" s="1330">
        <v>8</v>
      </c>
      <c r="K98" s="1234">
        <v>9</v>
      </c>
      <c r="L98" s="1234">
        <v>10</v>
      </c>
      <c r="M98" s="1234">
        <v>11</v>
      </c>
      <c r="N98" s="1234">
        <v>12</v>
      </c>
      <c r="O98" s="1234">
        <v>13</v>
      </c>
      <c r="P98" s="1330">
        <v>14</v>
      </c>
      <c r="Q98" s="1330">
        <v>15</v>
      </c>
      <c r="R98" s="1234">
        <v>16</v>
      </c>
      <c r="S98" s="1234">
        <v>17</v>
      </c>
      <c r="T98" s="1234">
        <v>18</v>
      </c>
      <c r="U98" s="1234">
        <v>19</v>
      </c>
      <c r="V98" s="1213">
        <v>20</v>
      </c>
      <c r="W98" s="1330">
        <v>21</v>
      </c>
      <c r="X98" s="1330">
        <v>22</v>
      </c>
      <c r="Y98" s="1234">
        <v>23</v>
      </c>
      <c r="Z98" s="1234">
        <v>24</v>
      </c>
      <c r="AA98" s="1234">
        <v>25</v>
      </c>
      <c r="AB98" s="1234">
        <v>26</v>
      </c>
      <c r="AC98" s="1234">
        <v>27</v>
      </c>
      <c r="AD98" s="1330">
        <v>28</v>
      </c>
      <c r="AE98" s="1330">
        <v>29</v>
      </c>
      <c r="AF98" s="1234">
        <v>30</v>
      </c>
      <c r="AG98" s="1234"/>
      <c r="AH98" s="498" t="s">
        <v>481</v>
      </c>
      <c r="AI98" s="499" t="s">
        <v>482</v>
      </c>
    </row>
    <row r="99" spans="1:35" ht="21.95" customHeight="1">
      <c r="A99" s="579">
        <v>1</v>
      </c>
      <c r="B99" s="545" t="s">
        <v>692</v>
      </c>
      <c r="C99" s="1338"/>
      <c r="D99" s="1338" t="s">
        <v>487</v>
      </c>
      <c r="E99" s="1338">
        <v>1</v>
      </c>
      <c r="F99" s="1365">
        <v>1</v>
      </c>
      <c r="G99" s="1338">
        <v>1</v>
      </c>
      <c r="H99" s="1338">
        <v>1</v>
      </c>
      <c r="I99" s="1338">
        <v>1</v>
      </c>
      <c r="J99" s="1338"/>
      <c r="K99" s="1335">
        <v>2</v>
      </c>
      <c r="L99" s="1368">
        <v>2</v>
      </c>
      <c r="M99" s="1368">
        <v>2</v>
      </c>
      <c r="N99" s="1335">
        <v>2</v>
      </c>
      <c r="O99" s="1215" t="s">
        <v>487</v>
      </c>
      <c r="P99" s="1215"/>
      <c r="Q99" s="1215"/>
      <c r="R99" s="1354" t="s">
        <v>694</v>
      </c>
      <c r="S99" s="1215">
        <v>3</v>
      </c>
      <c r="T99" s="1208">
        <v>3</v>
      </c>
      <c r="U99" s="1346">
        <v>3</v>
      </c>
      <c r="V99" s="1215">
        <v>3</v>
      </c>
      <c r="W99" s="1215">
        <v>3</v>
      </c>
      <c r="X99" s="1215"/>
      <c r="Y99" s="1215">
        <v>4</v>
      </c>
      <c r="Z99" s="1354" t="s">
        <v>694</v>
      </c>
      <c r="AA99" s="1500" t="s">
        <v>514</v>
      </c>
      <c r="AB99" s="1215">
        <v>4</v>
      </c>
      <c r="AC99" s="1335">
        <v>4</v>
      </c>
      <c r="AD99" s="1215"/>
      <c r="AE99" s="1215"/>
      <c r="AF99" s="1215" t="s">
        <v>487</v>
      </c>
      <c r="AG99" s="1215"/>
      <c r="AH99" s="504">
        <v>69</v>
      </c>
      <c r="AI99" s="505">
        <v>37</v>
      </c>
    </row>
    <row r="100" spans="1:35" ht="21.95" customHeight="1">
      <c r="A100" s="579">
        <v>2</v>
      </c>
      <c r="B100" s="545"/>
      <c r="C100" s="1215"/>
      <c r="D100" s="1215">
        <v>2</v>
      </c>
      <c r="E100" s="1208">
        <v>2</v>
      </c>
      <c r="F100" s="1208">
        <v>2</v>
      </c>
      <c r="G100" s="1215">
        <v>2</v>
      </c>
      <c r="H100" s="1215" t="s">
        <v>487</v>
      </c>
      <c r="I100" s="1215"/>
      <c r="J100" s="1215"/>
      <c r="K100" s="1215">
        <v>3</v>
      </c>
      <c r="L100" s="1215">
        <v>3</v>
      </c>
      <c r="M100" s="1208">
        <v>3</v>
      </c>
      <c r="N100" s="1215">
        <v>3</v>
      </c>
      <c r="O100" s="1215">
        <v>3</v>
      </c>
      <c r="P100" s="1215">
        <v>3</v>
      </c>
      <c r="Q100" s="1215"/>
      <c r="R100" s="1215">
        <v>4</v>
      </c>
      <c r="S100" s="1208">
        <v>4</v>
      </c>
      <c r="T100" s="1208">
        <v>4</v>
      </c>
      <c r="U100" s="1215">
        <v>4</v>
      </c>
      <c r="V100" s="1215">
        <v>4</v>
      </c>
      <c r="W100" s="1215"/>
      <c r="X100" s="1215"/>
      <c r="Y100" s="1215" t="s">
        <v>487</v>
      </c>
      <c r="Z100" s="1215">
        <v>1</v>
      </c>
      <c r="AA100" s="1208">
        <v>1</v>
      </c>
      <c r="AB100" s="1215">
        <v>1</v>
      </c>
      <c r="AC100" s="1215">
        <v>1</v>
      </c>
      <c r="AD100" s="1215">
        <v>1</v>
      </c>
      <c r="AE100" s="1215"/>
      <c r="AF100" s="1215">
        <v>2</v>
      </c>
      <c r="AG100" s="1215"/>
      <c r="AH100" s="504">
        <v>185</v>
      </c>
      <c r="AI100" s="505">
        <v>37</v>
      </c>
    </row>
    <row r="101" spans="1:35" ht="21.95" customHeight="1">
      <c r="A101" s="579">
        <v>3</v>
      </c>
      <c r="B101" s="545"/>
      <c r="C101" s="1215"/>
      <c r="D101" s="1215">
        <v>3</v>
      </c>
      <c r="E101" s="1208">
        <v>3</v>
      </c>
      <c r="F101" s="1208">
        <v>3</v>
      </c>
      <c r="G101" s="1215">
        <v>3</v>
      </c>
      <c r="H101" s="1215">
        <v>3</v>
      </c>
      <c r="I101" s="1215">
        <v>3</v>
      </c>
      <c r="J101" s="1215"/>
      <c r="K101" s="1215">
        <v>4</v>
      </c>
      <c r="L101" s="1215">
        <v>4</v>
      </c>
      <c r="M101" s="1208">
        <v>4</v>
      </c>
      <c r="N101" s="1215">
        <v>4</v>
      </c>
      <c r="O101" s="1215">
        <v>4</v>
      </c>
      <c r="P101" s="1215"/>
      <c r="Q101" s="1215"/>
      <c r="R101" s="1215" t="s">
        <v>487</v>
      </c>
      <c r="S101" s="1208">
        <v>1</v>
      </c>
      <c r="T101" s="1208">
        <v>1</v>
      </c>
      <c r="U101" s="1215">
        <v>1</v>
      </c>
      <c r="V101" s="1215">
        <v>1</v>
      </c>
      <c r="W101" s="1215">
        <v>1</v>
      </c>
      <c r="X101" s="1215"/>
      <c r="Y101" s="1215">
        <v>2</v>
      </c>
      <c r="Z101" s="1215">
        <v>2</v>
      </c>
      <c r="AA101" s="1208">
        <v>2</v>
      </c>
      <c r="AB101" s="1215">
        <v>2</v>
      </c>
      <c r="AC101" s="1215" t="s">
        <v>487</v>
      </c>
      <c r="AD101" s="1215"/>
      <c r="AE101" s="1215"/>
      <c r="AF101" s="1215">
        <v>3</v>
      </c>
      <c r="AG101" s="1215"/>
      <c r="AH101" s="504">
        <v>185</v>
      </c>
      <c r="AI101" s="505">
        <v>37</v>
      </c>
    </row>
    <row r="102" spans="1:35" ht="21.95" customHeight="1">
      <c r="A102" s="579">
        <v>4</v>
      </c>
      <c r="B102" s="545" t="s">
        <v>412</v>
      </c>
      <c r="C102" s="1215"/>
      <c r="D102" s="1215">
        <v>4</v>
      </c>
      <c r="E102" s="1215">
        <v>4</v>
      </c>
      <c r="F102" s="1208">
        <v>4</v>
      </c>
      <c r="G102" s="1208">
        <v>4</v>
      </c>
      <c r="H102" s="1208">
        <v>4</v>
      </c>
      <c r="I102" s="1208"/>
      <c r="J102" s="1208"/>
      <c r="K102" s="1208" t="s">
        <v>487</v>
      </c>
      <c r="L102" s="1208">
        <v>1</v>
      </c>
      <c r="M102" s="1208">
        <v>1</v>
      </c>
      <c r="N102" s="1215">
        <v>1</v>
      </c>
      <c r="O102" s="1215">
        <v>1</v>
      </c>
      <c r="P102" s="1215">
        <v>1</v>
      </c>
      <c r="Q102" s="1215"/>
      <c r="R102" s="1215">
        <v>2</v>
      </c>
      <c r="S102" s="1215">
        <v>2</v>
      </c>
      <c r="T102" s="1208">
        <v>2</v>
      </c>
      <c r="U102" s="1215">
        <v>2</v>
      </c>
      <c r="V102" s="1215" t="s">
        <v>487</v>
      </c>
      <c r="W102" s="1215"/>
      <c r="X102" s="1215"/>
      <c r="Y102" s="1215">
        <v>3</v>
      </c>
      <c r="Z102" s="1208">
        <v>3</v>
      </c>
      <c r="AA102" s="1208">
        <v>3</v>
      </c>
      <c r="AB102" s="1215">
        <v>3</v>
      </c>
      <c r="AC102" s="1215">
        <v>3</v>
      </c>
      <c r="AD102" s="1215">
        <v>3</v>
      </c>
      <c r="AE102" s="1215"/>
      <c r="AF102" s="1335">
        <v>4</v>
      </c>
      <c r="AG102" s="1215"/>
      <c r="AH102" s="504">
        <v>95</v>
      </c>
      <c r="AI102" s="505">
        <v>37</v>
      </c>
    </row>
    <row r="103" spans="1:35" ht="21.95" customHeight="1">
      <c r="A103" s="580"/>
      <c r="B103" s="587"/>
      <c r="C103" s="559"/>
      <c r="D103" s="541"/>
      <c r="E103" s="541"/>
      <c r="F103" s="541"/>
      <c r="G103" s="541"/>
      <c r="H103" s="541"/>
      <c r="I103" s="559"/>
      <c r="J103" s="559"/>
      <c r="K103" s="541"/>
      <c r="L103" s="541"/>
      <c r="M103" s="541"/>
      <c r="N103" s="541"/>
      <c r="O103" s="541"/>
      <c r="P103" s="541"/>
      <c r="Q103" s="559"/>
      <c r="R103" s="541"/>
      <c r="S103" s="1315"/>
      <c r="T103" s="1315"/>
      <c r="U103" s="1315"/>
      <c r="V103" s="1315"/>
      <c r="W103" s="559"/>
      <c r="X103" s="559"/>
      <c r="Y103" s="541"/>
      <c r="Z103" s="541"/>
      <c r="AA103" s="541"/>
      <c r="AB103" s="541"/>
      <c r="AC103" s="541"/>
      <c r="AD103" s="541"/>
      <c r="AE103" s="559"/>
      <c r="AF103" s="541"/>
      <c r="AG103" s="541"/>
      <c r="AH103" s="560"/>
      <c r="AI103" s="560"/>
    </row>
    <row r="104" spans="1:35" ht="21.95" customHeight="1" thickBot="1">
      <c r="A104" s="1303" t="s">
        <v>695</v>
      </c>
      <c r="B104" s="541"/>
      <c r="C104" s="559"/>
      <c r="D104" s="541"/>
      <c r="E104" s="541"/>
      <c r="F104" s="541"/>
      <c r="G104" s="541"/>
      <c r="H104" s="541"/>
      <c r="I104" s="559"/>
      <c r="J104" s="559"/>
      <c r="K104" s="541"/>
      <c r="L104" s="541"/>
      <c r="M104" s="541"/>
      <c r="N104" s="541"/>
      <c r="O104" s="541"/>
      <c r="P104" s="541"/>
      <c r="Q104" s="559"/>
      <c r="R104" s="541"/>
      <c r="S104" s="541"/>
      <c r="T104" s="541"/>
      <c r="U104" s="541"/>
      <c r="V104" s="541"/>
      <c r="W104" s="559"/>
      <c r="X104" s="559"/>
      <c r="Y104" s="541"/>
      <c r="Z104" s="541"/>
      <c r="AA104" s="541"/>
      <c r="AB104" s="541"/>
      <c r="AC104" s="541"/>
      <c r="AD104" s="541"/>
      <c r="AE104" s="559"/>
      <c r="AF104" s="541"/>
      <c r="AG104" s="541"/>
      <c r="AH104" s="560"/>
      <c r="AI104" s="560"/>
    </row>
    <row r="105" spans="1:35" ht="21.95" customHeight="1">
      <c r="A105" s="580"/>
      <c r="B105" s="1304" t="s">
        <v>696</v>
      </c>
      <c r="C105" s="1312"/>
      <c r="D105" s="1305" t="s">
        <v>2</v>
      </c>
      <c r="E105" s="1306"/>
      <c r="F105" s="1307"/>
      <c r="G105" s="1308"/>
      <c r="H105" s="1305" t="s">
        <v>3</v>
      </c>
      <c r="I105" s="1306"/>
      <c r="J105" s="1307"/>
      <c r="K105" s="1308"/>
      <c r="L105" s="1305" t="s">
        <v>4</v>
      </c>
      <c r="M105" s="1306"/>
      <c r="N105" s="1307"/>
      <c r="O105" s="1308"/>
      <c r="P105" s="1305" t="s">
        <v>5</v>
      </c>
      <c r="Q105" s="1306"/>
      <c r="R105" s="1307"/>
      <c r="S105" s="1308"/>
      <c r="T105" s="1305" t="s">
        <v>6</v>
      </c>
      <c r="U105" s="1306"/>
      <c r="V105" s="1307"/>
      <c r="W105" s="1308"/>
      <c r="X105" s="1305" t="s">
        <v>7</v>
      </c>
      <c r="Y105" s="1306"/>
      <c r="Z105" s="1307"/>
      <c r="AA105" s="1308"/>
      <c r="AB105" s="1305" t="s">
        <v>8</v>
      </c>
      <c r="AC105" s="1306"/>
      <c r="AD105" s="1306"/>
      <c r="AE105" s="1309" t="s">
        <v>10</v>
      </c>
      <c r="AF105" s="1306"/>
      <c r="AG105" s="1306"/>
      <c r="AH105" s="1306"/>
      <c r="AI105" s="1310"/>
    </row>
    <row r="106" spans="1:35" ht="21.95" customHeight="1">
      <c r="A106" s="580"/>
      <c r="B106" s="1332" t="s">
        <v>697</v>
      </c>
      <c r="C106" s="1313" t="s">
        <v>698</v>
      </c>
      <c r="D106" s="1331" t="s">
        <v>699</v>
      </c>
      <c r="E106" s="1314"/>
      <c r="F106" s="1311"/>
      <c r="G106" s="1313"/>
      <c r="H106" s="1331" t="s">
        <v>699</v>
      </c>
      <c r="I106" s="1314"/>
      <c r="J106" s="1311"/>
      <c r="K106" s="1313"/>
      <c r="L106" s="1331" t="s">
        <v>699</v>
      </c>
      <c r="M106" s="1314"/>
      <c r="N106" s="1311"/>
      <c r="O106" s="1313"/>
      <c r="P106" s="1331" t="s">
        <v>700</v>
      </c>
      <c r="Q106" s="1314"/>
      <c r="R106" s="1311"/>
      <c r="S106" s="1313"/>
      <c r="T106" s="1331" t="s">
        <v>701</v>
      </c>
      <c r="U106" s="1314"/>
      <c r="V106" s="1311"/>
      <c r="W106" s="1313"/>
      <c r="X106" s="1314"/>
      <c r="Y106" s="1314"/>
      <c r="Z106" s="1311"/>
      <c r="AA106" s="1313"/>
      <c r="AB106" s="1314"/>
      <c r="AC106" s="1314"/>
      <c r="AD106" s="1314"/>
      <c r="AE106" s="1313"/>
      <c r="AF106" s="1314"/>
      <c r="AG106" s="1314"/>
      <c r="AH106" s="1316"/>
      <c r="AI106" s="1317"/>
    </row>
    <row r="107" spans="1:35" ht="21.95" customHeight="1">
      <c r="A107" s="580"/>
      <c r="B107" s="1333" t="s">
        <v>702</v>
      </c>
      <c r="C107" s="1313" t="s">
        <v>683</v>
      </c>
      <c r="D107" s="1331" t="s">
        <v>699</v>
      </c>
      <c r="E107" s="1314"/>
      <c r="F107" s="1311"/>
      <c r="G107" s="1313"/>
      <c r="H107" s="1331" t="s">
        <v>699</v>
      </c>
      <c r="I107" s="1314"/>
      <c r="J107" s="1311"/>
      <c r="K107" s="1313"/>
      <c r="L107" s="1331" t="s">
        <v>699</v>
      </c>
      <c r="M107" s="1314"/>
      <c r="N107" s="1311"/>
      <c r="O107" s="1313"/>
      <c r="P107" s="1331" t="s">
        <v>700</v>
      </c>
      <c r="Q107" s="1314"/>
      <c r="R107" s="1311"/>
      <c r="S107" s="1313"/>
      <c r="T107" s="1331" t="s">
        <v>701</v>
      </c>
      <c r="U107" s="1314"/>
      <c r="V107" s="1311"/>
      <c r="W107" s="1313"/>
      <c r="X107" s="1314"/>
      <c r="Y107" s="1314"/>
      <c r="Z107" s="1311"/>
      <c r="AA107" s="1313"/>
      <c r="AB107" s="1314"/>
      <c r="AC107" s="1314"/>
      <c r="AD107" s="1314"/>
      <c r="AE107" s="1313"/>
      <c r="AF107" s="1314"/>
      <c r="AG107" s="1314"/>
      <c r="AH107" s="1316"/>
      <c r="AI107" s="1317"/>
    </row>
    <row r="108" spans="1:35" ht="21.95" customHeight="1">
      <c r="A108" s="580"/>
      <c r="B108" s="1333" t="s">
        <v>703</v>
      </c>
      <c r="C108" s="1313" t="s">
        <v>547</v>
      </c>
      <c r="D108" s="1331" t="s">
        <v>699</v>
      </c>
      <c r="E108" s="1314"/>
      <c r="F108" s="1311"/>
      <c r="G108" s="1313"/>
      <c r="H108" s="1331" t="s">
        <v>699</v>
      </c>
      <c r="I108" s="1314"/>
      <c r="J108" s="1311"/>
      <c r="K108" s="1313"/>
      <c r="L108" s="1331" t="s">
        <v>699</v>
      </c>
      <c r="M108" s="1314"/>
      <c r="N108" s="1311"/>
      <c r="O108" s="1313"/>
      <c r="P108" s="1331" t="s">
        <v>700</v>
      </c>
      <c r="Q108" s="1314"/>
      <c r="R108" s="1311"/>
      <c r="S108" s="1313"/>
      <c r="T108" s="1331" t="s">
        <v>701</v>
      </c>
      <c r="U108" s="1314"/>
      <c r="V108" s="1311"/>
      <c r="W108" s="1313"/>
      <c r="X108" s="1314"/>
      <c r="Y108" s="1314"/>
      <c r="Z108" s="1311"/>
      <c r="AA108" s="1313"/>
      <c r="AB108" s="1314"/>
      <c r="AC108" s="1314"/>
      <c r="AD108" s="1314"/>
      <c r="AE108" s="1313"/>
      <c r="AF108" s="1314"/>
      <c r="AG108" s="1314"/>
      <c r="AH108" s="1316"/>
      <c r="AI108" s="1317"/>
    </row>
    <row r="109" spans="1:35" ht="21.95" customHeight="1">
      <c r="A109" s="580"/>
      <c r="B109" s="1333" t="s">
        <v>704</v>
      </c>
      <c r="C109" s="1313" t="s">
        <v>685</v>
      </c>
      <c r="D109" s="1331" t="s">
        <v>699</v>
      </c>
      <c r="E109" s="1314"/>
      <c r="F109" s="1311"/>
      <c r="G109" s="1313"/>
      <c r="H109" s="1331" t="s">
        <v>699</v>
      </c>
      <c r="I109" s="1314"/>
      <c r="J109" s="1311"/>
      <c r="K109" s="1313"/>
      <c r="L109" s="1331" t="s">
        <v>699</v>
      </c>
      <c r="M109" s="1314"/>
      <c r="N109" s="1311"/>
      <c r="O109" s="1313"/>
      <c r="P109" s="1331" t="s">
        <v>700</v>
      </c>
      <c r="Q109" s="1314"/>
      <c r="R109" s="1311"/>
      <c r="S109" s="1313"/>
      <c r="T109" s="1331" t="s">
        <v>701</v>
      </c>
      <c r="U109" s="1314"/>
      <c r="V109" s="1311"/>
      <c r="W109" s="1313"/>
      <c r="X109" s="1314"/>
      <c r="Y109" s="1314"/>
      <c r="Z109" s="1311"/>
      <c r="AA109" s="1313"/>
      <c r="AB109" s="1314"/>
      <c r="AC109" s="1314"/>
      <c r="AD109" s="1314"/>
      <c r="AE109" s="1313"/>
      <c r="AF109" s="1314"/>
      <c r="AG109" s="1314"/>
      <c r="AH109" s="1316"/>
      <c r="AI109" s="1317"/>
    </row>
    <row r="110" spans="1:35" ht="21.95" customHeight="1">
      <c r="A110" s="580"/>
      <c r="B110" s="1333" t="s">
        <v>705</v>
      </c>
      <c r="C110" s="1313" t="s">
        <v>684</v>
      </c>
      <c r="D110" s="1331" t="s">
        <v>699</v>
      </c>
      <c r="E110" s="1314"/>
      <c r="F110" s="1311"/>
      <c r="G110" s="1313"/>
      <c r="H110" s="1331" t="s">
        <v>699</v>
      </c>
      <c r="I110" s="1314"/>
      <c r="J110" s="1311"/>
      <c r="K110" s="1313"/>
      <c r="L110" s="1331" t="s">
        <v>699</v>
      </c>
      <c r="M110" s="1314"/>
      <c r="N110" s="1311"/>
      <c r="O110" s="1313"/>
      <c r="P110" s="1331" t="s">
        <v>700</v>
      </c>
      <c r="Q110" s="1314"/>
      <c r="R110" s="1311"/>
      <c r="S110" s="1313"/>
      <c r="T110" s="1331" t="s">
        <v>701</v>
      </c>
      <c r="U110" s="1314"/>
      <c r="V110" s="1311"/>
      <c r="W110" s="1313"/>
      <c r="X110" s="1314"/>
      <c r="Y110" s="1314"/>
      <c r="Z110" s="1311"/>
      <c r="AA110" s="1313"/>
      <c r="AB110" s="1314"/>
      <c r="AC110" s="1314"/>
      <c r="AD110" s="1314"/>
      <c r="AE110" s="1313"/>
      <c r="AF110" s="1314"/>
      <c r="AG110" s="1314"/>
      <c r="AH110" s="1316"/>
      <c r="AI110" s="1317"/>
    </row>
    <row r="111" spans="1:35" ht="21.95" customHeight="1">
      <c r="A111" s="580"/>
      <c r="B111" s="1333" t="s">
        <v>706</v>
      </c>
      <c r="C111" s="1313" t="s">
        <v>539</v>
      </c>
      <c r="D111" s="1331" t="s">
        <v>699</v>
      </c>
      <c r="E111" s="1314"/>
      <c r="F111" s="1311"/>
      <c r="G111" s="1313"/>
      <c r="H111" s="1331" t="s">
        <v>699</v>
      </c>
      <c r="I111" s="1314"/>
      <c r="J111" s="1311"/>
      <c r="K111" s="1313"/>
      <c r="L111" s="1331" t="s">
        <v>699</v>
      </c>
      <c r="M111" s="1314"/>
      <c r="N111" s="1311"/>
      <c r="O111" s="1313"/>
      <c r="P111" s="1331" t="s">
        <v>700</v>
      </c>
      <c r="Q111" s="1314"/>
      <c r="R111" s="1311"/>
      <c r="S111" s="1313"/>
      <c r="T111" s="1331" t="s">
        <v>701</v>
      </c>
      <c r="U111" s="1314"/>
      <c r="V111" s="1311"/>
      <c r="W111" s="1313"/>
      <c r="X111" s="1314"/>
      <c r="Y111" s="1314"/>
      <c r="Z111" s="1311"/>
      <c r="AA111" s="1313"/>
      <c r="AB111" s="1314"/>
      <c r="AC111" s="1314"/>
      <c r="AD111" s="1314"/>
      <c r="AE111" s="1313"/>
      <c r="AF111" s="1314"/>
      <c r="AG111" s="1314"/>
      <c r="AH111" s="1316"/>
      <c r="AI111" s="1317"/>
    </row>
    <row r="112" spans="1:35" ht="21.95" customHeight="1">
      <c r="A112" s="580"/>
      <c r="B112" s="1333" t="s">
        <v>707</v>
      </c>
      <c r="C112" s="1313" t="s">
        <v>540</v>
      </c>
      <c r="D112" s="1331" t="s">
        <v>699</v>
      </c>
      <c r="E112" s="1314"/>
      <c r="F112" s="1311"/>
      <c r="G112" s="1313"/>
      <c r="H112" s="1331" t="s">
        <v>699</v>
      </c>
      <c r="I112" s="1314"/>
      <c r="J112" s="1311"/>
      <c r="K112" s="1313"/>
      <c r="L112" s="1331" t="s">
        <v>699</v>
      </c>
      <c r="M112" s="1314"/>
      <c r="N112" s="1311"/>
      <c r="O112" s="1313"/>
      <c r="P112" s="1331" t="s">
        <v>700</v>
      </c>
      <c r="Q112" s="1314"/>
      <c r="R112" s="1311"/>
      <c r="S112" s="1313"/>
      <c r="T112" s="1331" t="s">
        <v>701</v>
      </c>
      <c r="U112" s="1314"/>
      <c r="V112" s="1311"/>
      <c r="W112" s="1313"/>
      <c r="X112" s="1314"/>
      <c r="Y112" s="1314"/>
      <c r="Z112" s="1311"/>
      <c r="AA112" s="1313"/>
      <c r="AB112" s="1314"/>
      <c r="AC112" s="1314"/>
      <c r="AD112" s="1314"/>
      <c r="AE112" s="1313"/>
      <c r="AF112" s="1314"/>
      <c r="AG112" s="1314"/>
      <c r="AH112" s="1316"/>
      <c r="AI112" s="1317"/>
    </row>
    <row r="113" spans="1:35" ht="21.95" customHeight="1">
      <c r="A113" s="580"/>
      <c r="B113" s="1333" t="s">
        <v>707</v>
      </c>
      <c r="C113" s="1313" t="s">
        <v>708</v>
      </c>
      <c r="D113" s="1331" t="s">
        <v>699</v>
      </c>
      <c r="E113" s="1314"/>
      <c r="F113" s="1311"/>
      <c r="G113" s="1313"/>
      <c r="H113" s="1331" t="s">
        <v>699</v>
      </c>
      <c r="I113" s="1314"/>
      <c r="J113" s="1311"/>
      <c r="K113" s="1313"/>
      <c r="L113" s="1331" t="s">
        <v>699</v>
      </c>
      <c r="M113" s="1314"/>
      <c r="N113" s="1311"/>
      <c r="O113" s="1313"/>
      <c r="P113" s="1331" t="s">
        <v>700</v>
      </c>
      <c r="Q113" s="1314"/>
      <c r="R113" s="1311"/>
      <c r="S113" s="1313"/>
      <c r="T113" s="1331" t="s">
        <v>701</v>
      </c>
      <c r="U113" s="1314"/>
      <c r="V113" s="1311"/>
      <c r="W113" s="1313"/>
      <c r="X113" s="1314"/>
      <c r="Y113" s="1314"/>
      <c r="Z113" s="1311"/>
      <c r="AA113" s="1313"/>
      <c r="AB113" s="1314"/>
      <c r="AC113" s="1314"/>
      <c r="AD113" s="1314"/>
      <c r="AE113" s="1313"/>
      <c r="AF113" s="1314"/>
      <c r="AG113" s="1314"/>
      <c r="AH113" s="1316"/>
      <c r="AI113" s="1317"/>
    </row>
    <row r="114" spans="1:35" ht="21.95" customHeight="1">
      <c r="A114" s="580"/>
      <c r="B114" s="1333" t="s">
        <v>709</v>
      </c>
      <c r="C114" s="1313" t="s">
        <v>538</v>
      </c>
      <c r="D114" s="1331" t="s">
        <v>699</v>
      </c>
      <c r="E114" s="1314"/>
      <c r="F114" s="1311"/>
      <c r="G114" s="1313"/>
      <c r="H114" s="1331" t="s">
        <v>699</v>
      </c>
      <c r="I114" s="1314"/>
      <c r="J114" s="1311"/>
      <c r="K114" s="1313"/>
      <c r="L114" s="1331" t="s">
        <v>699</v>
      </c>
      <c r="M114" s="1314"/>
      <c r="N114" s="1311"/>
      <c r="O114" s="1313"/>
      <c r="P114" s="1331" t="s">
        <v>700</v>
      </c>
      <c r="Q114" s="1314"/>
      <c r="R114" s="1311"/>
      <c r="S114" s="1313"/>
      <c r="T114" s="1331" t="s">
        <v>701</v>
      </c>
      <c r="U114" s="1314"/>
      <c r="V114" s="1311"/>
      <c r="W114" s="1313"/>
      <c r="X114" s="1314"/>
      <c r="Y114" s="1314"/>
      <c r="Z114" s="1311"/>
      <c r="AA114" s="1313"/>
      <c r="AB114" s="1314"/>
      <c r="AC114" s="1314"/>
      <c r="AD114" s="1314"/>
      <c r="AE114" s="1313"/>
      <c r="AF114" s="1314"/>
      <c r="AG114" s="1314"/>
      <c r="AH114" s="1316"/>
      <c r="AI114" s="1317"/>
    </row>
    <row r="115" spans="1:35" ht="21.95" customHeight="1">
      <c r="A115" s="580"/>
      <c r="B115" s="1333" t="s">
        <v>710</v>
      </c>
      <c r="C115" s="1313" t="s">
        <v>711</v>
      </c>
      <c r="D115" s="1331" t="s">
        <v>699</v>
      </c>
      <c r="E115" s="1314"/>
      <c r="F115" s="1311"/>
      <c r="G115" s="1313"/>
      <c r="H115" s="1331" t="s">
        <v>699</v>
      </c>
      <c r="I115" s="1314"/>
      <c r="J115" s="1311"/>
      <c r="K115" s="1313"/>
      <c r="L115" s="1331" t="s">
        <v>699</v>
      </c>
      <c r="M115" s="1314"/>
      <c r="N115" s="1311"/>
      <c r="O115" s="1313"/>
      <c r="P115" s="1331" t="s">
        <v>700</v>
      </c>
      <c r="Q115" s="1314"/>
      <c r="R115" s="1311"/>
      <c r="S115" s="1313"/>
      <c r="T115" s="1331" t="s">
        <v>701</v>
      </c>
      <c r="U115" s="1314"/>
      <c r="V115" s="1311"/>
      <c r="W115" s="1313"/>
      <c r="X115" s="1314"/>
      <c r="Y115" s="1314"/>
      <c r="Z115" s="1311"/>
      <c r="AA115" s="1313"/>
      <c r="AB115" s="1314"/>
      <c r="AC115" s="1314"/>
      <c r="AD115" s="1314"/>
      <c r="AE115" s="1313"/>
      <c r="AF115" s="1314"/>
      <c r="AG115" s="1314"/>
      <c r="AH115" s="1316"/>
      <c r="AI115" s="1317"/>
    </row>
    <row r="116" spans="1:35" ht="21.95" customHeight="1">
      <c r="A116" s="580"/>
      <c r="B116" s="1333" t="s">
        <v>712</v>
      </c>
      <c r="C116" s="1313" t="s">
        <v>544</v>
      </c>
      <c r="D116" s="1331" t="s">
        <v>699</v>
      </c>
      <c r="E116" s="1314"/>
      <c r="F116" s="1311"/>
      <c r="G116" s="1313"/>
      <c r="H116" s="1331" t="s">
        <v>699</v>
      </c>
      <c r="I116" s="1314"/>
      <c r="J116" s="1311"/>
      <c r="K116" s="1313"/>
      <c r="L116" s="1331" t="s">
        <v>699</v>
      </c>
      <c r="M116" s="1314"/>
      <c r="N116" s="1311"/>
      <c r="O116" s="1313"/>
      <c r="P116" s="1331" t="s">
        <v>700</v>
      </c>
      <c r="Q116" s="1314"/>
      <c r="R116" s="1311"/>
      <c r="S116" s="1313"/>
      <c r="T116" s="1331" t="s">
        <v>701</v>
      </c>
      <c r="U116" s="1314"/>
      <c r="V116" s="1311"/>
      <c r="W116" s="1313"/>
      <c r="X116" s="1314"/>
      <c r="Y116" s="1314"/>
      <c r="Z116" s="1311"/>
      <c r="AA116" s="1313"/>
      <c r="AB116" s="1314"/>
      <c r="AC116" s="1314"/>
      <c r="AD116" s="1314"/>
      <c r="AE116" s="1313"/>
      <c r="AF116" s="1314"/>
      <c r="AG116" s="1314"/>
      <c r="AH116" s="1316"/>
      <c r="AI116" s="1317"/>
    </row>
    <row r="117" spans="1:35" ht="21.95" customHeight="1" thickBot="1">
      <c r="A117" s="580"/>
      <c r="B117" s="587"/>
      <c r="C117" s="559"/>
      <c r="D117" s="541"/>
      <c r="E117" s="541"/>
      <c r="F117" s="541"/>
      <c r="G117" s="541"/>
      <c r="H117" s="541"/>
      <c r="I117" s="559"/>
      <c r="J117" s="559"/>
      <c r="K117" s="541"/>
      <c r="L117" s="541"/>
      <c r="M117" s="541"/>
      <c r="N117" s="541"/>
      <c r="O117" s="541"/>
      <c r="P117" s="541"/>
      <c r="Q117" s="559"/>
      <c r="R117" s="541"/>
      <c r="S117" s="541"/>
      <c r="T117" s="541"/>
      <c r="U117" s="541"/>
      <c r="V117" s="541"/>
      <c r="W117" s="559"/>
      <c r="X117" s="559"/>
      <c r="Y117" s="541"/>
      <c r="Z117" s="541"/>
      <c r="AA117" s="541"/>
      <c r="AB117" s="541"/>
      <c r="AC117" s="541"/>
      <c r="AD117" s="541"/>
      <c r="AE117" s="559"/>
      <c r="AF117" s="541"/>
      <c r="AG117" s="541"/>
      <c r="AH117" s="560"/>
      <c r="AI117" s="560"/>
    </row>
    <row r="118" spans="1:35" ht="21.95" customHeight="1">
      <c r="A118" s="1232"/>
      <c r="B118" s="1298" t="s">
        <v>480</v>
      </c>
      <c r="C118" s="1235">
        <v>1</v>
      </c>
      <c r="D118" s="1234">
        <v>2</v>
      </c>
      <c r="E118" s="1234">
        <v>3</v>
      </c>
      <c r="F118" s="1234">
        <v>4</v>
      </c>
      <c r="G118" s="1234">
        <v>5</v>
      </c>
      <c r="H118" s="1234">
        <v>6</v>
      </c>
      <c r="I118" s="1330">
        <v>7</v>
      </c>
      <c r="J118" s="1330">
        <v>8</v>
      </c>
      <c r="K118" s="1234">
        <v>9</v>
      </c>
      <c r="L118" s="1234">
        <v>10</v>
      </c>
      <c r="M118" s="1234">
        <v>11</v>
      </c>
      <c r="N118" s="1234">
        <v>12</v>
      </c>
      <c r="O118" s="1234">
        <v>13</v>
      </c>
      <c r="P118" s="1330">
        <v>14</v>
      </c>
      <c r="Q118" s="1330">
        <v>15</v>
      </c>
      <c r="R118" s="1234">
        <v>16</v>
      </c>
      <c r="S118" s="1234">
        <v>17</v>
      </c>
      <c r="T118" s="1234">
        <v>18</v>
      </c>
      <c r="U118" s="1234">
        <v>19</v>
      </c>
      <c r="V118" s="1213">
        <v>20</v>
      </c>
      <c r="W118" s="1330">
        <v>21</v>
      </c>
      <c r="X118" s="1330">
        <v>22</v>
      </c>
      <c r="Y118" s="1234">
        <v>23</v>
      </c>
      <c r="Z118" s="1234">
        <v>24</v>
      </c>
      <c r="AA118" s="1234">
        <v>25</v>
      </c>
      <c r="AB118" s="1234">
        <v>26</v>
      </c>
      <c r="AC118" s="1234">
        <v>27</v>
      </c>
      <c r="AD118" s="1330">
        <v>28</v>
      </c>
      <c r="AE118" s="1330">
        <v>29</v>
      </c>
      <c r="AF118" s="1234">
        <v>30</v>
      </c>
      <c r="AG118" s="1234"/>
      <c r="AH118" s="1301" t="s">
        <v>481</v>
      </c>
      <c r="AI118" s="1302" t="s">
        <v>482</v>
      </c>
    </row>
    <row r="119" spans="1:35" ht="21.95" customHeight="1">
      <c r="A119" s="580"/>
      <c r="B119" s="1299" t="s">
        <v>713</v>
      </c>
      <c r="C119" s="1299"/>
      <c r="D119" s="1384" t="s">
        <v>698</v>
      </c>
      <c r="E119" s="1313" t="s">
        <v>698</v>
      </c>
      <c r="F119" s="1313" t="s">
        <v>698</v>
      </c>
      <c r="G119" s="1313" t="s">
        <v>698</v>
      </c>
      <c r="H119" s="1313" t="s">
        <v>698</v>
      </c>
      <c r="I119" s="1313"/>
      <c r="J119" s="1313"/>
      <c r="K119" s="1313" t="s">
        <v>698</v>
      </c>
      <c r="L119" s="1313" t="s">
        <v>698</v>
      </c>
      <c r="M119" s="1313" t="s">
        <v>698</v>
      </c>
      <c r="N119" s="1313" t="s">
        <v>698</v>
      </c>
      <c r="O119" s="1313" t="s">
        <v>698</v>
      </c>
      <c r="P119" s="1313"/>
      <c r="Q119" s="1313"/>
      <c r="R119" s="1313" t="s">
        <v>698</v>
      </c>
      <c r="S119" s="1313" t="s">
        <v>698</v>
      </c>
      <c r="T119" s="1313" t="s">
        <v>698</v>
      </c>
      <c r="U119" s="1313" t="s">
        <v>698</v>
      </c>
      <c r="V119" s="1313" t="s">
        <v>698</v>
      </c>
      <c r="W119" s="1313"/>
      <c r="X119" s="1313"/>
      <c r="Y119" s="1313" t="s">
        <v>698</v>
      </c>
      <c r="Z119" s="1313" t="s">
        <v>698</v>
      </c>
      <c r="AA119" s="1313" t="s">
        <v>698</v>
      </c>
      <c r="AB119" s="1313" t="s">
        <v>698</v>
      </c>
      <c r="AC119" s="1313" t="s">
        <v>698</v>
      </c>
      <c r="AD119" s="1313"/>
      <c r="AE119" s="1313"/>
      <c r="AF119" s="1313" t="s">
        <v>698</v>
      </c>
      <c r="AG119" s="1313"/>
      <c r="AH119" s="504">
        <v>74</v>
      </c>
      <c r="AI119" s="505">
        <v>37</v>
      </c>
    </row>
    <row r="120" spans="1:35" ht="21.95" customHeight="1">
      <c r="A120" s="580"/>
      <c r="B120" s="1299" t="s">
        <v>714</v>
      </c>
      <c r="C120" s="1299"/>
      <c r="D120" s="1313" t="s">
        <v>698</v>
      </c>
      <c r="E120" s="1313" t="s">
        <v>698</v>
      </c>
      <c r="F120" s="1313" t="s">
        <v>698</v>
      </c>
      <c r="G120" s="1313" t="s">
        <v>698</v>
      </c>
      <c r="H120" s="1313" t="s">
        <v>698</v>
      </c>
      <c r="I120" s="1313"/>
      <c r="J120" s="1313"/>
      <c r="K120" s="1313" t="s">
        <v>698</v>
      </c>
      <c r="L120" s="1313" t="s">
        <v>698</v>
      </c>
      <c r="M120" s="1313" t="s">
        <v>698</v>
      </c>
      <c r="N120" s="1378" t="s">
        <v>698</v>
      </c>
      <c r="O120" s="1378" t="s">
        <v>698</v>
      </c>
      <c r="P120" s="1313"/>
      <c r="Q120" s="1313"/>
      <c r="R120" s="1313" t="s">
        <v>698</v>
      </c>
      <c r="S120" s="1313" t="s">
        <v>698</v>
      </c>
      <c r="T120" s="1313" t="s">
        <v>698</v>
      </c>
      <c r="U120" s="1313" t="s">
        <v>698</v>
      </c>
      <c r="V120" s="1313" t="s">
        <v>698</v>
      </c>
      <c r="W120" s="1313"/>
      <c r="X120" s="1313"/>
      <c r="Y120" s="1313" t="s">
        <v>698</v>
      </c>
      <c r="Z120" s="1313" t="s">
        <v>698</v>
      </c>
      <c r="AA120" s="1500" t="s">
        <v>514</v>
      </c>
      <c r="AB120" s="1313" t="s">
        <v>698</v>
      </c>
      <c r="AC120" s="1354" t="s">
        <v>694</v>
      </c>
      <c r="AD120" s="1313"/>
      <c r="AE120" s="1313"/>
      <c r="AF120" s="1354" t="s">
        <v>694</v>
      </c>
      <c r="AG120" s="1313"/>
      <c r="AH120" s="504">
        <v>133</v>
      </c>
      <c r="AI120" s="505">
        <v>29</v>
      </c>
    </row>
    <row r="121" spans="1:35" ht="21.95" customHeight="1">
      <c r="A121" s="580"/>
      <c r="B121" s="1299" t="s">
        <v>715</v>
      </c>
      <c r="C121" s="1299"/>
      <c r="D121" s="1379" t="s">
        <v>683</v>
      </c>
      <c r="E121" s="1379" t="s">
        <v>683</v>
      </c>
      <c r="F121" s="1379" t="s">
        <v>683</v>
      </c>
      <c r="G121" s="1379" t="s">
        <v>683</v>
      </c>
      <c r="H121" s="1379" t="s">
        <v>683</v>
      </c>
      <c r="I121" s="1379"/>
      <c r="J121" s="1379"/>
      <c r="K121" s="1379" t="s">
        <v>683</v>
      </c>
      <c r="L121" s="1379" t="s">
        <v>683</v>
      </c>
      <c r="M121" s="1379" t="s">
        <v>683</v>
      </c>
      <c r="N121" s="1379" t="s">
        <v>683</v>
      </c>
      <c r="O121" s="1379" t="s">
        <v>683</v>
      </c>
      <c r="P121" s="1379"/>
      <c r="Q121" s="1379"/>
      <c r="R121" s="1379" t="s">
        <v>683</v>
      </c>
      <c r="S121" s="1379" t="s">
        <v>683</v>
      </c>
      <c r="T121" s="1379" t="s">
        <v>683</v>
      </c>
      <c r="U121" s="1379" t="s">
        <v>683</v>
      </c>
      <c r="V121" s="1379" t="s">
        <v>683</v>
      </c>
      <c r="W121" s="1313"/>
      <c r="X121" s="1313"/>
      <c r="Y121" s="1313" t="s">
        <v>683</v>
      </c>
      <c r="Z121" s="1313" t="s">
        <v>683</v>
      </c>
      <c r="AA121" s="1313" t="s">
        <v>683</v>
      </c>
      <c r="AB121" s="1313" t="s">
        <v>683</v>
      </c>
      <c r="AC121" s="1313" t="s">
        <v>683</v>
      </c>
      <c r="AD121" s="1313"/>
      <c r="AE121" s="1313"/>
      <c r="AF121" s="1313" t="s">
        <v>683</v>
      </c>
      <c r="AG121" s="1313"/>
      <c r="AH121" s="504">
        <v>148</v>
      </c>
      <c r="AI121" s="505">
        <v>37</v>
      </c>
    </row>
    <row r="122" spans="1:35" ht="21.95" customHeight="1">
      <c r="A122" s="580"/>
      <c r="B122" s="1299" t="s">
        <v>730</v>
      </c>
      <c r="C122" s="1299"/>
      <c r="D122" s="1313" t="s">
        <v>547</v>
      </c>
      <c r="E122" s="1313" t="s">
        <v>547</v>
      </c>
      <c r="F122" s="1313" t="s">
        <v>547</v>
      </c>
      <c r="G122" s="1313" t="s">
        <v>547</v>
      </c>
      <c r="H122" s="1313" t="s">
        <v>547</v>
      </c>
      <c r="I122" s="1313"/>
      <c r="J122" s="1313"/>
      <c r="K122" s="1313" t="s">
        <v>547</v>
      </c>
      <c r="L122" s="1313" t="s">
        <v>547</v>
      </c>
      <c r="M122" s="1313" t="s">
        <v>547</v>
      </c>
      <c r="N122" s="1313" t="s">
        <v>547</v>
      </c>
      <c r="O122" s="1313" t="s">
        <v>547</v>
      </c>
      <c r="P122" s="1313"/>
      <c r="Q122" s="1313"/>
      <c r="R122" s="1313" t="s">
        <v>547</v>
      </c>
      <c r="S122" s="1313" t="s">
        <v>547</v>
      </c>
      <c r="T122" s="1313" t="s">
        <v>547</v>
      </c>
      <c r="U122" s="1313" t="s">
        <v>547</v>
      </c>
      <c r="V122" s="1313" t="s">
        <v>547</v>
      </c>
      <c r="W122" s="1313"/>
      <c r="X122" s="1313"/>
      <c r="Y122" s="1313" t="s">
        <v>547</v>
      </c>
      <c r="Z122" s="1313" t="s">
        <v>547</v>
      </c>
      <c r="AA122" s="1500" t="s">
        <v>514</v>
      </c>
      <c r="AB122" s="1313" t="s">
        <v>547</v>
      </c>
      <c r="AC122" s="1313" t="s">
        <v>547</v>
      </c>
      <c r="AD122" s="1313"/>
      <c r="AE122" s="1313"/>
      <c r="AF122" s="1313" t="s">
        <v>547</v>
      </c>
      <c r="AG122" s="1313"/>
      <c r="AH122" s="504">
        <v>95</v>
      </c>
      <c r="AI122" s="505">
        <v>37</v>
      </c>
    </row>
    <row r="123" spans="1:35" ht="21.95" customHeight="1">
      <c r="A123" s="580"/>
      <c r="B123" s="1300" t="s">
        <v>717</v>
      </c>
      <c r="C123" s="1562"/>
      <c r="D123" s="1446" t="s">
        <v>685</v>
      </c>
      <c r="E123" s="1379" t="s">
        <v>685</v>
      </c>
      <c r="F123" s="1379" t="s">
        <v>685</v>
      </c>
      <c r="G123" s="1379" t="s">
        <v>685</v>
      </c>
      <c r="H123" s="1379" t="s">
        <v>685</v>
      </c>
      <c r="I123" s="1313"/>
      <c r="J123" s="1313"/>
      <c r="K123" s="1313" t="s">
        <v>685</v>
      </c>
      <c r="L123" s="1313" t="s">
        <v>685</v>
      </c>
      <c r="M123" s="1313" t="s">
        <v>685</v>
      </c>
      <c r="N123" s="1313" t="s">
        <v>685</v>
      </c>
      <c r="O123" s="1313" t="s">
        <v>685</v>
      </c>
      <c r="P123" s="1313"/>
      <c r="Q123" s="1313"/>
      <c r="R123" s="1313" t="s">
        <v>685</v>
      </c>
      <c r="S123" s="1313" t="s">
        <v>685</v>
      </c>
      <c r="T123" s="1313" t="s">
        <v>685</v>
      </c>
      <c r="U123" s="1313" t="s">
        <v>685</v>
      </c>
      <c r="V123" s="1313" t="s">
        <v>685</v>
      </c>
      <c r="W123" s="1313"/>
      <c r="X123" s="1313"/>
      <c r="Y123" s="1384" t="s">
        <v>685</v>
      </c>
      <c r="Z123" s="1384" t="s">
        <v>685</v>
      </c>
      <c r="AA123" s="1500" t="s">
        <v>514</v>
      </c>
      <c r="AB123" s="1384" t="s">
        <v>685</v>
      </c>
      <c r="AC123" s="1313" t="s">
        <v>685</v>
      </c>
      <c r="AD123" s="1313"/>
      <c r="AE123" s="1313"/>
      <c r="AF123" s="1313" t="s">
        <v>685</v>
      </c>
      <c r="AG123" s="1313"/>
      <c r="AH123" s="504">
        <v>54</v>
      </c>
      <c r="AI123" s="505">
        <v>37</v>
      </c>
    </row>
    <row r="124" spans="1:35" ht="21.95" customHeight="1">
      <c r="A124" s="580"/>
      <c r="B124" s="1299" t="s">
        <v>718</v>
      </c>
      <c r="C124" s="1562"/>
      <c r="D124" s="1446" t="s">
        <v>684</v>
      </c>
      <c r="E124" s="1446" t="s">
        <v>684</v>
      </c>
      <c r="F124" s="1446" t="s">
        <v>684</v>
      </c>
      <c r="G124" s="1446" t="s">
        <v>684</v>
      </c>
      <c r="H124" s="1446" t="s">
        <v>684</v>
      </c>
      <c r="I124" s="1446"/>
      <c r="J124" s="1446"/>
      <c r="K124" s="1446" t="s">
        <v>684</v>
      </c>
      <c r="L124" s="1446" t="s">
        <v>684</v>
      </c>
      <c r="M124" s="1446" t="s">
        <v>684</v>
      </c>
      <c r="N124" s="1446" t="s">
        <v>684</v>
      </c>
      <c r="O124" s="1446" t="s">
        <v>684</v>
      </c>
      <c r="P124" s="1446"/>
      <c r="Q124" s="1446"/>
      <c r="R124" s="1446" t="s">
        <v>684</v>
      </c>
      <c r="S124" s="1446" t="s">
        <v>684</v>
      </c>
      <c r="T124" s="1446" t="s">
        <v>684</v>
      </c>
      <c r="U124" s="1446" t="s">
        <v>684</v>
      </c>
      <c r="V124" s="1446" t="s">
        <v>684</v>
      </c>
      <c r="W124" s="1446"/>
      <c r="X124" s="1446"/>
      <c r="Y124" s="1446" t="s">
        <v>684</v>
      </c>
      <c r="Z124" s="1446" t="s">
        <v>684</v>
      </c>
      <c r="AA124" s="1446" t="s">
        <v>684</v>
      </c>
      <c r="AB124" s="1446" t="s">
        <v>684</v>
      </c>
      <c r="AC124" s="1446" t="s">
        <v>684</v>
      </c>
      <c r="AD124" s="1446"/>
      <c r="AE124" s="1446"/>
      <c r="AF124" s="1446" t="s">
        <v>684</v>
      </c>
      <c r="AG124" s="1446"/>
      <c r="AH124" s="504">
        <v>185</v>
      </c>
      <c r="AI124" s="505">
        <v>37</v>
      </c>
    </row>
    <row r="125" spans="1:35" ht="21.95" customHeight="1">
      <c r="A125" s="580"/>
      <c r="B125" s="1300" t="s">
        <v>719</v>
      </c>
      <c r="C125" s="1364"/>
      <c r="D125" s="1313" t="s">
        <v>539</v>
      </c>
      <c r="E125" s="1313" t="s">
        <v>539</v>
      </c>
      <c r="F125" s="1313" t="s">
        <v>539</v>
      </c>
      <c r="G125" s="1313" t="s">
        <v>539</v>
      </c>
      <c r="H125" s="1313" t="s">
        <v>539</v>
      </c>
      <c r="I125" s="1313"/>
      <c r="J125" s="1313"/>
      <c r="K125" s="1313" t="s">
        <v>539</v>
      </c>
      <c r="L125" s="1313" t="s">
        <v>539</v>
      </c>
      <c r="M125" s="1313" t="s">
        <v>539</v>
      </c>
      <c r="N125" s="1313" t="s">
        <v>539</v>
      </c>
      <c r="O125" s="1313" t="s">
        <v>539</v>
      </c>
      <c r="P125" s="1313"/>
      <c r="Q125" s="1313"/>
      <c r="R125" s="1313" t="s">
        <v>539</v>
      </c>
      <c r="S125" s="1313" t="s">
        <v>539</v>
      </c>
      <c r="T125" s="1313" t="s">
        <v>539</v>
      </c>
      <c r="U125" s="1313" t="s">
        <v>539</v>
      </c>
      <c r="V125" s="1313" t="s">
        <v>539</v>
      </c>
      <c r="W125" s="1313"/>
      <c r="X125" s="1313"/>
      <c r="Y125" s="1313" t="s">
        <v>539</v>
      </c>
      <c r="Z125" s="1313" t="s">
        <v>539</v>
      </c>
      <c r="AA125" s="1313" t="s">
        <v>539</v>
      </c>
      <c r="AB125" s="1313" t="s">
        <v>539</v>
      </c>
      <c r="AC125" s="1313" t="s">
        <v>539</v>
      </c>
      <c r="AD125" s="1313"/>
      <c r="AE125" s="1313"/>
      <c r="AF125" s="1313" t="s">
        <v>539</v>
      </c>
      <c r="AG125" s="1313"/>
      <c r="AH125" s="504">
        <v>111</v>
      </c>
      <c r="AI125" s="505">
        <v>37</v>
      </c>
    </row>
    <row r="126" spans="1:35" ht="21.95" customHeight="1">
      <c r="A126" s="580"/>
      <c r="B126" s="1299" t="s">
        <v>720</v>
      </c>
      <c r="C126" s="1386"/>
      <c r="D126" s="1379" t="s">
        <v>540</v>
      </c>
      <c r="E126" s="1379" t="s">
        <v>540</v>
      </c>
      <c r="F126" s="1379" t="s">
        <v>540</v>
      </c>
      <c r="G126" s="1379" t="s">
        <v>540</v>
      </c>
      <c r="H126" s="1379" t="s">
        <v>540</v>
      </c>
      <c r="I126" s="1379"/>
      <c r="J126" s="1379"/>
      <c r="K126" s="1313" t="s">
        <v>540</v>
      </c>
      <c r="L126" s="1446" t="s">
        <v>540</v>
      </c>
      <c r="M126" s="1446" t="s">
        <v>540</v>
      </c>
      <c r="N126" s="1446" t="s">
        <v>540</v>
      </c>
      <c r="O126" s="1446" t="s">
        <v>540</v>
      </c>
      <c r="P126" s="1313"/>
      <c r="Q126" s="1313"/>
      <c r="R126" s="1486" t="s">
        <v>540</v>
      </c>
      <c r="S126" s="1486" t="s">
        <v>540</v>
      </c>
      <c r="T126" s="1446" t="s">
        <v>731</v>
      </c>
      <c r="U126" s="1313" t="s">
        <v>540</v>
      </c>
      <c r="V126" s="1313" t="s">
        <v>540</v>
      </c>
      <c r="W126" s="1313"/>
      <c r="X126" s="1313"/>
      <c r="Y126" s="1313" t="s">
        <v>540</v>
      </c>
      <c r="Z126" s="1313" t="s">
        <v>540</v>
      </c>
      <c r="AA126" s="1313" t="s">
        <v>540</v>
      </c>
      <c r="AB126" s="1313" t="s">
        <v>540</v>
      </c>
      <c r="AC126" s="1313" t="s">
        <v>540</v>
      </c>
      <c r="AD126" s="1313"/>
      <c r="AE126" s="1313"/>
      <c r="AF126" s="1313" t="s">
        <v>540</v>
      </c>
      <c r="AG126" s="1313"/>
      <c r="AH126" s="504">
        <v>74</v>
      </c>
      <c r="AI126" s="505">
        <v>37</v>
      </c>
    </row>
    <row r="127" spans="1:35" ht="21.95" customHeight="1">
      <c r="A127" s="580"/>
      <c r="B127" s="1299" t="s">
        <v>721</v>
      </c>
      <c r="C127" s="1299"/>
      <c r="D127" s="1313" t="s">
        <v>708</v>
      </c>
      <c r="E127" s="1313" t="s">
        <v>708</v>
      </c>
      <c r="F127" s="1313" t="s">
        <v>708</v>
      </c>
      <c r="G127" s="1313" t="s">
        <v>708</v>
      </c>
      <c r="H127" s="1313" t="s">
        <v>708</v>
      </c>
      <c r="I127" s="1313"/>
      <c r="J127" s="1313"/>
      <c r="K127" s="1313" t="s">
        <v>708</v>
      </c>
      <c r="L127" s="1313" t="s">
        <v>708</v>
      </c>
      <c r="M127" s="1313" t="s">
        <v>708</v>
      </c>
      <c r="N127" s="1354" t="s">
        <v>694</v>
      </c>
      <c r="O127" s="1354" t="s">
        <v>694</v>
      </c>
      <c r="P127" s="1313"/>
      <c r="Q127" s="1313"/>
      <c r="R127" s="1313" t="s">
        <v>708</v>
      </c>
      <c r="S127" s="1313" t="s">
        <v>708</v>
      </c>
      <c r="T127" s="1313" t="s">
        <v>708</v>
      </c>
      <c r="U127" s="1313" t="s">
        <v>708</v>
      </c>
      <c r="V127" s="1313" t="s">
        <v>708</v>
      </c>
      <c r="W127" s="1313"/>
      <c r="X127" s="1313"/>
      <c r="Y127" s="1313" t="s">
        <v>708</v>
      </c>
      <c r="Z127" s="1313" t="s">
        <v>708</v>
      </c>
      <c r="AA127" s="1500" t="s">
        <v>708</v>
      </c>
      <c r="AB127" s="1313" t="s">
        <v>708</v>
      </c>
      <c r="AC127" s="1313" t="s">
        <v>708</v>
      </c>
      <c r="AD127" s="1313"/>
      <c r="AE127" s="1313"/>
      <c r="AF127" s="1313" t="s">
        <v>708</v>
      </c>
      <c r="AG127" s="1313"/>
      <c r="AH127" s="504">
        <v>132</v>
      </c>
      <c r="AI127" s="505">
        <v>37</v>
      </c>
    </row>
    <row r="128" spans="1:35" ht="21.95" customHeight="1">
      <c r="A128" s="580"/>
      <c r="B128" s="1299" t="s">
        <v>722</v>
      </c>
      <c r="C128" s="1299"/>
      <c r="D128" s="1313" t="s">
        <v>538</v>
      </c>
      <c r="E128" s="1313" t="s">
        <v>538</v>
      </c>
      <c r="F128" s="1313" t="s">
        <v>538</v>
      </c>
      <c r="G128" s="1313" t="s">
        <v>538</v>
      </c>
      <c r="H128" s="1313" t="s">
        <v>538</v>
      </c>
      <c r="I128" s="1313"/>
      <c r="J128" s="1313"/>
      <c r="K128" s="1313" t="s">
        <v>538</v>
      </c>
      <c r="L128" s="1313" t="s">
        <v>538</v>
      </c>
      <c r="M128" s="1313" t="s">
        <v>538</v>
      </c>
      <c r="N128" s="1313" t="s">
        <v>538</v>
      </c>
      <c r="O128" s="1313" t="s">
        <v>538</v>
      </c>
      <c r="P128" s="1313"/>
      <c r="Q128" s="1313"/>
      <c r="R128" s="1313" t="s">
        <v>538</v>
      </c>
      <c r="S128" s="1313" t="s">
        <v>538</v>
      </c>
      <c r="T128" s="1313" t="s">
        <v>538</v>
      </c>
      <c r="U128" s="1313" t="s">
        <v>538</v>
      </c>
      <c r="V128" s="1313" t="s">
        <v>538</v>
      </c>
      <c r="W128" s="1313"/>
      <c r="X128" s="1313"/>
      <c r="Y128" s="1313" t="s">
        <v>538</v>
      </c>
      <c r="Z128" s="1313" t="s">
        <v>538</v>
      </c>
      <c r="AA128" s="1313" t="s">
        <v>538</v>
      </c>
      <c r="AB128" s="1313" t="s">
        <v>538</v>
      </c>
      <c r="AC128" s="1313" t="s">
        <v>538</v>
      </c>
      <c r="AD128" s="1313"/>
      <c r="AE128" s="1313"/>
      <c r="AF128" s="1313" t="s">
        <v>538</v>
      </c>
      <c r="AG128" s="1313"/>
      <c r="AH128" s="504">
        <v>96</v>
      </c>
      <c r="AI128" s="505">
        <v>37</v>
      </c>
    </row>
    <row r="129" spans="1:35" ht="21.95" customHeight="1">
      <c r="A129" s="580"/>
      <c r="B129" s="1299" t="s">
        <v>723</v>
      </c>
      <c r="C129" s="1299"/>
      <c r="D129" s="1313" t="s">
        <v>711</v>
      </c>
      <c r="E129" s="1313" t="s">
        <v>711</v>
      </c>
      <c r="F129" s="1313" t="s">
        <v>711</v>
      </c>
      <c r="G129" s="1313" t="s">
        <v>711</v>
      </c>
      <c r="H129" s="1313" t="s">
        <v>711</v>
      </c>
      <c r="I129" s="1313"/>
      <c r="J129" s="1313"/>
      <c r="K129" s="1379" t="s">
        <v>711</v>
      </c>
      <c r="L129" s="1379" t="s">
        <v>711</v>
      </c>
      <c r="M129" s="1379" t="s">
        <v>711</v>
      </c>
      <c r="N129" s="1379" t="s">
        <v>711</v>
      </c>
      <c r="O129" s="1379" t="s">
        <v>711</v>
      </c>
      <c r="P129" s="1379"/>
      <c r="Q129" s="1379"/>
      <c r="R129" s="1379" t="s">
        <v>711</v>
      </c>
      <c r="S129" s="1379" t="s">
        <v>711</v>
      </c>
      <c r="T129" s="1379" t="s">
        <v>711</v>
      </c>
      <c r="U129" s="1379" t="s">
        <v>711</v>
      </c>
      <c r="V129" s="1379" t="s">
        <v>711</v>
      </c>
      <c r="W129" s="1379"/>
      <c r="X129" s="1379"/>
      <c r="Y129" s="1313" t="s">
        <v>711</v>
      </c>
      <c r="Z129" s="1313" t="s">
        <v>711</v>
      </c>
      <c r="AA129" s="1313" t="s">
        <v>711</v>
      </c>
      <c r="AB129" s="1313" t="s">
        <v>711</v>
      </c>
      <c r="AC129" s="1313" t="s">
        <v>711</v>
      </c>
      <c r="AD129" s="1313"/>
      <c r="AE129" s="1313"/>
      <c r="AF129" s="1446" t="s">
        <v>711</v>
      </c>
      <c r="AG129" s="1313"/>
      <c r="AH129" s="504">
        <v>185</v>
      </c>
      <c r="AI129" s="505">
        <v>37</v>
      </c>
    </row>
    <row r="130" spans="1:35" ht="21.95" customHeight="1">
      <c r="A130" s="580"/>
      <c r="B130" s="1299" t="s">
        <v>724</v>
      </c>
      <c r="C130" s="1299"/>
      <c r="D130" s="1313" t="s">
        <v>544</v>
      </c>
      <c r="E130" s="1313" t="s">
        <v>544</v>
      </c>
      <c r="F130" s="1313" t="s">
        <v>544</v>
      </c>
      <c r="G130" s="1313" t="s">
        <v>544</v>
      </c>
      <c r="H130" s="1313" t="s">
        <v>544</v>
      </c>
      <c r="I130" s="1313"/>
      <c r="J130" s="1313"/>
      <c r="K130" s="1313" t="s">
        <v>544</v>
      </c>
      <c r="L130" s="1313" t="s">
        <v>544</v>
      </c>
      <c r="M130" s="1313" t="s">
        <v>544</v>
      </c>
      <c r="N130" s="1313" t="s">
        <v>544</v>
      </c>
      <c r="O130" s="1313" t="s">
        <v>544</v>
      </c>
      <c r="P130" s="1313"/>
      <c r="Q130" s="1313"/>
      <c r="R130" s="1313" t="s">
        <v>544</v>
      </c>
      <c r="S130" s="1313" t="s">
        <v>544</v>
      </c>
      <c r="T130" s="1313" t="s">
        <v>544</v>
      </c>
      <c r="U130" s="1313" t="s">
        <v>544</v>
      </c>
      <c r="V130" s="1313" t="s">
        <v>544</v>
      </c>
      <c r="W130" s="1313"/>
      <c r="X130" s="1313"/>
      <c r="Y130" s="1313" t="s">
        <v>544</v>
      </c>
      <c r="Z130" s="1313" t="s">
        <v>544</v>
      </c>
      <c r="AA130" s="1313" t="s">
        <v>544</v>
      </c>
      <c r="AB130" s="1313" t="s">
        <v>544</v>
      </c>
      <c r="AC130" s="1313" t="s">
        <v>544</v>
      </c>
      <c r="AD130" s="1313"/>
      <c r="AE130" s="1313"/>
      <c r="AF130" s="1313" t="s">
        <v>544</v>
      </c>
      <c r="AG130" s="1313"/>
      <c r="AH130" s="504">
        <v>185</v>
      </c>
      <c r="AI130" s="505">
        <v>37</v>
      </c>
    </row>
    <row r="131" spans="1:35" ht="21.95" customHeight="1">
      <c r="A131" s="580"/>
      <c r="B131" s="1502"/>
      <c r="C131" s="1502"/>
      <c r="D131" s="559"/>
      <c r="E131" s="559"/>
      <c r="F131" s="559"/>
      <c r="G131" s="559"/>
      <c r="H131" s="559"/>
      <c r="I131" s="559"/>
      <c r="J131" s="559"/>
      <c r="K131" s="559"/>
      <c r="L131" s="559"/>
      <c r="M131" s="559"/>
      <c r="N131" s="559"/>
      <c r="O131" s="559"/>
      <c r="P131" s="559"/>
      <c r="Q131" s="559"/>
      <c r="R131" s="559"/>
      <c r="S131" s="559"/>
      <c r="T131" s="559"/>
      <c r="U131" s="559"/>
      <c r="V131" s="559"/>
      <c r="W131" s="559"/>
      <c r="X131" s="559"/>
      <c r="Y131" s="559"/>
      <c r="Z131" s="559"/>
      <c r="AA131" s="559"/>
      <c r="AB131" s="559"/>
      <c r="AC131" s="559"/>
      <c r="AD131" s="559"/>
      <c r="AE131" s="559"/>
      <c r="AF131" s="559"/>
      <c r="AG131" s="559"/>
      <c r="AH131" s="560"/>
      <c r="AI131" s="560"/>
    </row>
    <row r="132" spans="1:35" ht="21.95" customHeight="1" thickBot="1">
      <c r="A132" s="1303" t="s">
        <v>744</v>
      </c>
      <c r="B132" s="541" t="s">
        <v>763</v>
      </c>
      <c r="C132" s="559"/>
      <c r="D132" s="541"/>
      <c r="E132" s="541"/>
      <c r="F132" s="541"/>
      <c r="G132" s="541"/>
      <c r="H132" s="541"/>
      <c r="I132" s="559"/>
      <c r="J132" s="559"/>
      <c r="K132" s="541"/>
      <c r="L132" s="541"/>
      <c r="M132" s="541"/>
      <c r="N132" s="541"/>
      <c r="O132" s="541"/>
      <c r="P132" s="541"/>
      <c r="Q132" s="559"/>
      <c r="R132" s="541"/>
      <c r="S132" s="541"/>
      <c r="T132" s="541"/>
      <c r="U132" s="541"/>
      <c r="V132" s="541"/>
      <c r="W132" s="559"/>
      <c r="X132" s="559"/>
      <c r="Y132" s="541"/>
      <c r="Z132" s="541"/>
      <c r="AA132" s="541"/>
      <c r="AB132" s="541"/>
      <c r="AC132" s="541"/>
      <c r="AD132" s="541"/>
      <c r="AE132" s="559"/>
      <c r="AF132" s="541"/>
      <c r="AG132" s="541"/>
      <c r="AH132" s="560"/>
      <c r="AI132" s="560"/>
    </row>
    <row r="133" spans="1:35" ht="21.95" customHeight="1">
      <c r="A133" s="580"/>
      <c r="B133" s="1304" t="s">
        <v>696</v>
      </c>
      <c r="C133" s="1312"/>
      <c r="D133" s="1305" t="s">
        <v>2</v>
      </c>
      <c r="E133" s="1306"/>
      <c r="F133" s="1307"/>
      <c r="G133" s="1308"/>
      <c r="H133" s="1305" t="s">
        <v>3</v>
      </c>
      <c r="I133" s="1306"/>
      <c r="J133" s="1307"/>
      <c r="K133" s="1308"/>
      <c r="L133" s="1305" t="s">
        <v>4</v>
      </c>
      <c r="M133" s="1306"/>
      <c r="N133" s="1307"/>
      <c r="O133" s="1308"/>
      <c r="P133" s="1305" t="s">
        <v>5</v>
      </c>
      <c r="Q133" s="1306"/>
      <c r="R133" s="1307"/>
      <c r="S133" s="1308"/>
      <c r="T133" s="1305" t="s">
        <v>6</v>
      </c>
      <c r="U133" s="1306"/>
      <c r="V133" s="1307"/>
      <c r="W133" s="1308"/>
      <c r="X133" s="1305" t="s">
        <v>7</v>
      </c>
      <c r="Y133" s="1306"/>
      <c r="Z133" s="1307"/>
      <c r="AA133" s="1308"/>
      <c r="AB133" s="1305" t="s">
        <v>8</v>
      </c>
      <c r="AC133" s="1306"/>
      <c r="AD133" s="1306"/>
      <c r="AE133" s="1309" t="s">
        <v>10</v>
      </c>
      <c r="AF133" s="1306"/>
      <c r="AG133" s="1306"/>
      <c r="AH133" s="1306"/>
      <c r="AI133" s="1310"/>
    </row>
    <row r="134" spans="1:35" ht="21.95" customHeight="1">
      <c r="A134" s="580"/>
      <c r="B134" s="1332"/>
      <c r="C134" s="1313"/>
      <c r="D134" s="1331"/>
      <c r="E134" s="1314"/>
      <c r="F134" s="1311"/>
      <c r="G134" s="1313"/>
      <c r="H134" s="1331"/>
      <c r="I134" s="1314"/>
      <c r="J134" s="1311"/>
      <c r="K134" s="1313"/>
      <c r="L134" s="1331"/>
      <c r="M134" s="1314"/>
      <c r="N134" s="1311"/>
      <c r="O134" s="1313"/>
      <c r="P134" s="1331"/>
      <c r="Q134" s="1314"/>
      <c r="R134" s="1311"/>
      <c r="S134" s="1313"/>
      <c r="T134" s="1331"/>
      <c r="U134" s="1314"/>
      <c r="V134" s="1311"/>
      <c r="W134" s="1313"/>
      <c r="X134" s="1314"/>
      <c r="Y134" s="1314"/>
      <c r="Z134" s="1311"/>
      <c r="AA134" s="1313"/>
      <c r="AB134" s="1314"/>
      <c r="AC134" s="1314"/>
      <c r="AD134" s="1314"/>
      <c r="AE134" s="1313"/>
      <c r="AF134" s="1314"/>
      <c r="AG134" s="1314"/>
      <c r="AH134" s="1316"/>
      <c r="AI134" s="1317"/>
    </row>
    <row r="135" spans="1:35" ht="21.95" customHeight="1">
      <c r="A135" s="580"/>
      <c r="B135" s="1333"/>
      <c r="C135" s="1313"/>
      <c r="D135" s="1331"/>
      <c r="E135" s="1314"/>
      <c r="F135" s="1311"/>
      <c r="G135" s="1313"/>
      <c r="H135" s="1331"/>
      <c r="I135" s="1314"/>
      <c r="J135" s="1311"/>
      <c r="K135" s="1313"/>
      <c r="L135" s="1331"/>
      <c r="M135" s="1314"/>
      <c r="N135" s="1311"/>
      <c r="O135" s="1313"/>
      <c r="P135" s="1331"/>
      <c r="Q135" s="1314"/>
      <c r="R135" s="1311"/>
      <c r="S135" s="1313"/>
      <c r="T135" s="1331"/>
      <c r="U135" s="1314"/>
      <c r="V135" s="1311"/>
      <c r="W135" s="1313"/>
      <c r="X135" s="1314"/>
      <c r="Y135" s="1314"/>
      <c r="Z135" s="1311"/>
      <c r="AA135" s="1313"/>
      <c r="AB135" s="1314"/>
      <c r="AC135" s="1314"/>
      <c r="AD135" s="1314"/>
      <c r="AE135" s="1313"/>
      <c r="AF135" s="1314"/>
      <c r="AG135" s="1314"/>
      <c r="AH135" s="1316"/>
      <c r="AI135" s="1317"/>
    </row>
    <row r="136" spans="1:35" ht="21.95" customHeight="1">
      <c r="A136" s="580"/>
      <c r="B136" s="1333"/>
      <c r="C136" s="1313"/>
      <c r="D136" s="1331"/>
      <c r="E136" s="1314"/>
      <c r="F136" s="1311"/>
      <c r="G136" s="1313"/>
      <c r="H136" s="1331"/>
      <c r="I136" s="1314"/>
      <c r="J136" s="1311"/>
      <c r="K136" s="1313"/>
      <c r="L136" s="1331"/>
      <c r="M136" s="1314"/>
      <c r="N136" s="1311"/>
      <c r="O136" s="1313"/>
      <c r="P136" s="1331"/>
      <c r="Q136" s="1314"/>
      <c r="R136" s="1311"/>
      <c r="S136" s="1313"/>
      <c r="T136" s="1331"/>
      <c r="U136" s="1314"/>
      <c r="V136" s="1311"/>
      <c r="W136" s="1313"/>
      <c r="X136" s="1314"/>
      <c r="Y136" s="1314"/>
      <c r="Z136" s="1311"/>
      <c r="AA136" s="1313"/>
      <c r="AB136" s="1314"/>
      <c r="AC136" s="1314"/>
      <c r="AD136" s="1314"/>
      <c r="AE136" s="1313"/>
      <c r="AF136" s="1314"/>
      <c r="AG136" s="1314"/>
      <c r="AH136" s="1316"/>
      <c r="AI136" s="1317"/>
    </row>
    <row r="137" spans="1:35" ht="21.95" customHeight="1" thickBot="1">
      <c r="A137" s="580"/>
      <c r="B137" s="1502"/>
      <c r="C137" s="1502"/>
      <c r="D137" s="559"/>
      <c r="E137" s="559"/>
      <c r="F137" s="559"/>
      <c r="G137" s="559"/>
      <c r="H137" s="559"/>
      <c r="I137" s="559"/>
      <c r="J137" s="559"/>
      <c r="K137" s="559"/>
      <c r="L137" s="559"/>
      <c r="M137" s="559"/>
      <c r="N137" s="559"/>
      <c r="O137" s="559"/>
      <c r="P137" s="559"/>
      <c r="Q137" s="559"/>
      <c r="R137" s="559"/>
      <c r="S137" s="559"/>
      <c r="T137" s="559"/>
      <c r="U137" s="559"/>
      <c r="V137" s="559"/>
      <c r="W137" s="559"/>
      <c r="X137" s="559"/>
      <c r="Y137" s="559"/>
      <c r="Z137" s="559"/>
      <c r="AA137" s="559"/>
      <c r="AB137" s="559"/>
      <c r="AC137" s="559"/>
      <c r="AD137" s="559"/>
      <c r="AE137" s="559"/>
      <c r="AF137" s="559"/>
      <c r="AG137" s="559"/>
      <c r="AH137" s="560"/>
      <c r="AI137" s="560"/>
    </row>
    <row r="138" spans="1:35" ht="21.95" customHeight="1">
      <c r="A138" s="1232"/>
      <c r="B138" s="1298" t="s">
        <v>480</v>
      </c>
      <c r="C138" s="1235">
        <v>1</v>
      </c>
      <c r="D138" s="1234">
        <v>2</v>
      </c>
      <c r="E138" s="1234">
        <v>3</v>
      </c>
      <c r="F138" s="1234">
        <v>4</v>
      </c>
      <c r="G138" s="1234">
        <v>5</v>
      </c>
      <c r="H138" s="1234">
        <v>6</v>
      </c>
      <c r="I138" s="1330">
        <v>7</v>
      </c>
      <c r="J138" s="1330">
        <v>8</v>
      </c>
      <c r="K138" s="1234">
        <v>9</v>
      </c>
      <c r="L138" s="1234">
        <v>10</v>
      </c>
      <c r="M138" s="1234">
        <v>11</v>
      </c>
      <c r="N138" s="1234">
        <v>12</v>
      </c>
      <c r="O138" s="1234">
        <v>13</v>
      </c>
      <c r="P138" s="1330">
        <v>14</v>
      </c>
      <c r="Q138" s="1330">
        <v>15</v>
      </c>
      <c r="R138" s="1234">
        <v>16</v>
      </c>
      <c r="S138" s="1234">
        <v>17</v>
      </c>
      <c r="T138" s="1234">
        <v>18</v>
      </c>
      <c r="U138" s="1234">
        <v>19</v>
      </c>
      <c r="V138" s="1213">
        <v>20</v>
      </c>
      <c r="W138" s="1330">
        <v>21</v>
      </c>
      <c r="X138" s="1330">
        <v>22</v>
      </c>
      <c r="Y138" s="1234">
        <v>23</v>
      </c>
      <c r="Z138" s="1234">
        <v>24</v>
      </c>
      <c r="AA138" s="1234">
        <v>25</v>
      </c>
      <c r="AB138" s="1234">
        <v>26</v>
      </c>
      <c r="AC138" s="1234">
        <v>27</v>
      </c>
      <c r="AD138" s="1330">
        <v>28</v>
      </c>
      <c r="AE138" s="1330">
        <v>29</v>
      </c>
      <c r="AF138" s="1234">
        <v>30</v>
      </c>
      <c r="AG138" s="1234"/>
      <c r="AH138" s="1301" t="s">
        <v>481</v>
      </c>
      <c r="AI138" s="1302" t="s">
        <v>482</v>
      </c>
    </row>
    <row r="139" spans="1:35" ht="21.95" customHeight="1">
      <c r="A139" s="580"/>
      <c r="B139" s="1300" t="s">
        <v>746</v>
      </c>
      <c r="C139" s="1215"/>
      <c r="D139" s="1215" t="s">
        <v>535</v>
      </c>
      <c r="E139" s="1215" t="s">
        <v>535</v>
      </c>
      <c r="F139" s="1215" t="s">
        <v>535</v>
      </c>
      <c r="G139" s="1215" t="s">
        <v>535</v>
      </c>
      <c r="H139" s="1215" t="s">
        <v>535</v>
      </c>
      <c r="I139" s="1215"/>
      <c r="J139" s="1215"/>
      <c r="K139" s="1215" t="s">
        <v>535</v>
      </c>
      <c r="L139" s="1215" t="s">
        <v>535</v>
      </c>
      <c r="M139" s="1215" t="s">
        <v>535</v>
      </c>
      <c r="N139" s="1215" t="s">
        <v>535</v>
      </c>
      <c r="O139" s="1215" t="s">
        <v>535</v>
      </c>
      <c r="P139" s="1215"/>
      <c r="Q139" s="1215"/>
      <c r="R139" s="1215" t="s">
        <v>535</v>
      </c>
      <c r="S139" s="1215" t="s">
        <v>535</v>
      </c>
      <c r="T139" s="1215" t="s">
        <v>535</v>
      </c>
      <c r="U139" s="1215" t="s">
        <v>535</v>
      </c>
      <c r="V139" s="1215" t="s">
        <v>535</v>
      </c>
      <c r="W139" s="1215"/>
      <c r="X139" s="1215"/>
      <c r="Y139" s="1215" t="s">
        <v>535</v>
      </c>
      <c r="Z139" s="1215" t="s">
        <v>535</v>
      </c>
      <c r="AA139" s="1215" t="s">
        <v>535</v>
      </c>
      <c r="AB139" s="1215" t="s">
        <v>535</v>
      </c>
      <c r="AC139" s="1215" t="s">
        <v>535</v>
      </c>
      <c r="AD139" s="1215"/>
      <c r="AE139" s="1215"/>
      <c r="AF139" s="1215" t="s">
        <v>535</v>
      </c>
      <c r="AG139" s="1216"/>
      <c r="AH139" s="504">
        <v>104</v>
      </c>
      <c r="AI139" s="505">
        <v>37</v>
      </c>
    </row>
    <row r="140" spans="1:35" ht="21.95" customHeight="1">
      <c r="A140" s="580"/>
      <c r="B140" s="1300" t="s">
        <v>764</v>
      </c>
      <c r="C140" s="1374"/>
      <c r="D140" s="1374" t="s">
        <v>535</v>
      </c>
      <c r="E140" s="1374" t="s">
        <v>535</v>
      </c>
      <c r="F140" s="1374" t="s">
        <v>535</v>
      </c>
      <c r="G140" s="1374" t="s">
        <v>535</v>
      </c>
      <c r="H140" s="1374" t="s">
        <v>535</v>
      </c>
      <c r="I140" s="1374"/>
      <c r="J140" s="1374"/>
      <c r="K140" s="1215" t="s">
        <v>535</v>
      </c>
      <c r="L140" s="1215" t="s">
        <v>535</v>
      </c>
      <c r="M140" s="1215" t="s">
        <v>535</v>
      </c>
      <c r="N140" s="1215" t="s">
        <v>535</v>
      </c>
      <c r="O140" s="1215" t="s">
        <v>535</v>
      </c>
      <c r="P140" s="1215"/>
      <c r="Q140" s="1215"/>
      <c r="R140" s="1215" t="s">
        <v>535</v>
      </c>
      <c r="S140" s="1215" t="s">
        <v>535</v>
      </c>
      <c r="T140" s="1215" t="s">
        <v>535</v>
      </c>
      <c r="U140" s="1215" t="s">
        <v>535</v>
      </c>
      <c r="V140" s="1215" t="s">
        <v>535</v>
      </c>
      <c r="W140" s="1215"/>
      <c r="X140" s="1215"/>
      <c r="Y140" s="1215" t="s">
        <v>535</v>
      </c>
      <c r="Z140" s="1215" t="s">
        <v>535</v>
      </c>
      <c r="AA140" s="1500" t="s">
        <v>514</v>
      </c>
      <c r="AB140" s="1215" t="s">
        <v>535</v>
      </c>
      <c r="AC140" s="1215" t="s">
        <v>535</v>
      </c>
      <c r="AD140" s="1215"/>
      <c r="AE140" s="1215"/>
      <c r="AF140" s="1215" t="s">
        <v>535</v>
      </c>
      <c r="AG140" s="1216"/>
      <c r="AH140" s="504">
        <v>74</v>
      </c>
      <c r="AI140" s="505">
        <v>37</v>
      </c>
    </row>
    <row r="141" spans="1:35" ht="21.95" customHeight="1">
      <c r="A141" s="580"/>
      <c r="B141" s="1300" t="s">
        <v>748</v>
      </c>
      <c r="C141" s="1215"/>
      <c r="D141" s="1215" t="s">
        <v>535</v>
      </c>
      <c r="E141" s="1215" t="s">
        <v>535</v>
      </c>
      <c r="F141" s="1215" t="s">
        <v>535</v>
      </c>
      <c r="G141" s="1215" t="s">
        <v>535</v>
      </c>
      <c r="H141" s="1215" t="s">
        <v>535</v>
      </c>
      <c r="I141" s="1215"/>
      <c r="J141" s="1215"/>
      <c r="K141" s="1215" t="s">
        <v>535</v>
      </c>
      <c r="L141" s="1215" t="s">
        <v>535</v>
      </c>
      <c r="M141" s="1215" t="s">
        <v>535</v>
      </c>
      <c r="N141" s="1215" t="s">
        <v>535</v>
      </c>
      <c r="O141" s="1215" t="s">
        <v>535</v>
      </c>
      <c r="P141" s="1215"/>
      <c r="Q141" s="1215"/>
      <c r="R141" s="1215" t="s">
        <v>535</v>
      </c>
      <c r="S141" s="1215" t="s">
        <v>535</v>
      </c>
      <c r="T141" s="1215" t="s">
        <v>535</v>
      </c>
      <c r="U141" s="1215" t="s">
        <v>535</v>
      </c>
      <c r="V141" s="1215" t="s">
        <v>535</v>
      </c>
      <c r="W141" s="1215"/>
      <c r="X141" s="1215"/>
      <c r="Y141" s="1215" t="s">
        <v>535</v>
      </c>
      <c r="Z141" s="1215" t="s">
        <v>535</v>
      </c>
      <c r="AA141" s="1500" t="s">
        <v>514</v>
      </c>
      <c r="AB141" s="1215" t="s">
        <v>535</v>
      </c>
      <c r="AC141" s="1215" t="s">
        <v>535</v>
      </c>
      <c r="AD141" s="1215"/>
      <c r="AE141" s="1215"/>
      <c r="AF141" s="1215" t="s">
        <v>535</v>
      </c>
      <c r="AG141" s="1216"/>
      <c r="AH141" s="504">
        <v>59</v>
      </c>
      <c r="AI141" s="505">
        <v>37</v>
      </c>
    </row>
    <row r="142" spans="1:35" ht="21.95" customHeight="1">
      <c r="A142" s="580"/>
      <c r="B142" s="1509" t="s">
        <v>750</v>
      </c>
      <c r="C142" s="1215"/>
      <c r="D142" s="1215" t="s">
        <v>535</v>
      </c>
      <c r="E142" s="1215" t="s">
        <v>535</v>
      </c>
      <c r="F142" s="1215" t="s">
        <v>535</v>
      </c>
      <c r="G142" s="1215" t="s">
        <v>535</v>
      </c>
      <c r="H142" s="1215" t="s">
        <v>535</v>
      </c>
      <c r="I142" s="1215"/>
      <c r="J142" s="1215"/>
      <c r="K142" s="1215" t="s">
        <v>535</v>
      </c>
      <c r="L142" s="1215" t="s">
        <v>535</v>
      </c>
      <c r="M142" s="1215" t="s">
        <v>535</v>
      </c>
      <c r="N142" s="1215" t="s">
        <v>535</v>
      </c>
      <c r="O142" s="1215" t="s">
        <v>535</v>
      </c>
      <c r="P142" s="1215"/>
      <c r="Q142" s="1215"/>
      <c r="R142" s="1215" t="s">
        <v>535</v>
      </c>
      <c r="S142" s="1215" t="s">
        <v>535</v>
      </c>
      <c r="T142" s="1215" t="s">
        <v>535</v>
      </c>
      <c r="U142" s="1215" t="s">
        <v>535</v>
      </c>
      <c r="V142" s="1215" t="s">
        <v>535</v>
      </c>
      <c r="W142" s="1215"/>
      <c r="X142" s="1215"/>
      <c r="Y142" s="1215" t="s">
        <v>535</v>
      </c>
      <c r="Z142" s="1215" t="s">
        <v>535</v>
      </c>
      <c r="AA142" s="1215" t="s">
        <v>535</v>
      </c>
      <c r="AB142" s="1215" t="s">
        <v>535</v>
      </c>
      <c r="AC142" s="1215" t="s">
        <v>535</v>
      </c>
      <c r="AD142" s="1215"/>
      <c r="AE142" s="1215"/>
      <c r="AF142" s="1215" t="s">
        <v>535</v>
      </c>
      <c r="AG142" s="1216"/>
      <c r="AH142" s="504">
        <v>74</v>
      </c>
      <c r="AI142" s="505">
        <v>37</v>
      </c>
    </row>
    <row r="143" spans="1:35" ht="21.95" customHeight="1">
      <c r="A143" s="580"/>
      <c r="B143" s="1505"/>
      <c r="C143" s="1215"/>
      <c r="D143" s="1215" t="s">
        <v>535</v>
      </c>
      <c r="E143" s="1215" t="s">
        <v>535</v>
      </c>
      <c r="F143" s="1215" t="s">
        <v>535</v>
      </c>
      <c r="G143" s="1215" t="s">
        <v>535</v>
      </c>
      <c r="H143" s="1215" t="s">
        <v>535</v>
      </c>
      <c r="I143" s="1215"/>
      <c r="J143" s="1215"/>
      <c r="K143" s="1215" t="s">
        <v>535</v>
      </c>
      <c r="L143" s="1215" t="s">
        <v>535</v>
      </c>
      <c r="M143" s="1215" t="s">
        <v>535</v>
      </c>
      <c r="N143" s="1215" t="s">
        <v>535</v>
      </c>
      <c r="O143" s="1215" t="s">
        <v>535</v>
      </c>
      <c r="P143" s="1215"/>
      <c r="Q143" s="1215"/>
      <c r="R143" s="1215" t="s">
        <v>535</v>
      </c>
      <c r="S143" s="1215" t="s">
        <v>535</v>
      </c>
      <c r="T143" s="1215" t="s">
        <v>535</v>
      </c>
      <c r="U143" s="1215" t="s">
        <v>535</v>
      </c>
      <c r="V143" s="1215" t="s">
        <v>535</v>
      </c>
      <c r="W143" s="1215"/>
      <c r="X143" s="1215"/>
      <c r="Y143" s="1215" t="s">
        <v>535</v>
      </c>
      <c r="Z143" s="1215" t="s">
        <v>535</v>
      </c>
      <c r="AA143" s="1215" t="s">
        <v>535</v>
      </c>
      <c r="AB143" s="1215" t="s">
        <v>535</v>
      </c>
      <c r="AC143" s="1215" t="s">
        <v>535</v>
      </c>
      <c r="AD143" s="1215"/>
      <c r="AE143" s="1215"/>
      <c r="AF143" s="1215" t="s">
        <v>535</v>
      </c>
      <c r="AG143" s="1216"/>
      <c r="AH143" s="504">
        <v>185</v>
      </c>
      <c r="AI143" s="505">
        <v>37</v>
      </c>
    </row>
    <row r="144" spans="1:35" ht="21.95" customHeight="1">
      <c r="A144" s="580"/>
      <c r="B144" s="1505"/>
      <c r="C144" s="1215"/>
      <c r="D144" s="1215" t="s">
        <v>535</v>
      </c>
      <c r="E144" s="1215" t="s">
        <v>535</v>
      </c>
      <c r="F144" s="1215" t="s">
        <v>535</v>
      </c>
      <c r="G144" s="1215" t="s">
        <v>535</v>
      </c>
      <c r="H144" s="1215" t="s">
        <v>535</v>
      </c>
      <c r="I144" s="1215"/>
      <c r="J144" s="1215"/>
      <c r="K144" s="1215" t="s">
        <v>535</v>
      </c>
      <c r="L144" s="1215" t="s">
        <v>535</v>
      </c>
      <c r="M144" s="1215" t="s">
        <v>535</v>
      </c>
      <c r="N144" s="1215" t="s">
        <v>535</v>
      </c>
      <c r="O144" s="1215" t="s">
        <v>535</v>
      </c>
      <c r="P144" s="1215"/>
      <c r="Q144" s="1215"/>
      <c r="R144" s="1215" t="s">
        <v>535</v>
      </c>
      <c r="S144" s="1215" t="s">
        <v>535</v>
      </c>
      <c r="T144" s="1215" t="s">
        <v>535</v>
      </c>
      <c r="U144" s="1215" t="s">
        <v>535</v>
      </c>
      <c r="V144" s="1215" t="s">
        <v>535</v>
      </c>
      <c r="W144" s="1215"/>
      <c r="X144" s="1215"/>
      <c r="Y144" s="1215" t="s">
        <v>535</v>
      </c>
      <c r="Z144" s="1215" t="s">
        <v>535</v>
      </c>
      <c r="AA144" s="1215" t="s">
        <v>535</v>
      </c>
      <c r="AB144" s="1215" t="s">
        <v>535</v>
      </c>
      <c r="AC144" s="1215" t="s">
        <v>535</v>
      </c>
      <c r="AD144" s="1215"/>
      <c r="AE144" s="1215"/>
      <c r="AF144" s="1215" t="s">
        <v>535</v>
      </c>
      <c r="AG144" s="1216"/>
      <c r="AH144" s="504">
        <v>185</v>
      </c>
      <c r="AI144" s="505">
        <v>37</v>
      </c>
    </row>
    <row r="145" spans="1:36" ht="21.95" customHeight="1">
      <c r="A145" s="580"/>
      <c r="B145" s="1502"/>
      <c r="C145" s="1502"/>
      <c r="D145" s="559"/>
      <c r="E145" s="559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59"/>
      <c r="AE145" s="559"/>
      <c r="AF145" s="559"/>
      <c r="AG145" s="559"/>
      <c r="AH145" s="560"/>
      <c r="AI145" s="560"/>
    </row>
    <row r="146" spans="1:36" ht="21.95" customHeight="1" thickBot="1">
      <c r="A146" s="1303" t="s">
        <v>751</v>
      </c>
      <c r="B146" s="541"/>
      <c r="C146" s="559"/>
      <c r="D146" s="541"/>
      <c r="E146" s="541"/>
      <c r="F146" s="541"/>
      <c r="G146" s="541"/>
      <c r="H146" s="541"/>
      <c r="I146" s="559"/>
      <c r="J146" s="559"/>
      <c r="K146" s="541"/>
      <c r="L146" s="541"/>
      <c r="M146" s="541"/>
      <c r="N146" s="541"/>
      <c r="O146" s="541"/>
      <c r="P146" s="541"/>
      <c r="Q146" s="559"/>
      <c r="R146" s="541"/>
      <c r="S146" s="541"/>
      <c r="T146" s="541"/>
      <c r="U146" s="541"/>
      <c r="V146" s="541"/>
      <c r="W146" s="559"/>
      <c r="X146" s="559"/>
      <c r="Y146" s="541"/>
      <c r="Z146" s="541"/>
      <c r="AA146" s="541"/>
      <c r="AB146" s="541"/>
      <c r="AC146" s="541"/>
      <c r="AD146" s="541"/>
      <c r="AE146" s="559"/>
      <c r="AF146" s="541"/>
      <c r="AG146" s="541"/>
      <c r="AH146" s="560"/>
      <c r="AI146" s="560"/>
    </row>
    <row r="147" spans="1:36" ht="21.95" customHeight="1">
      <c r="A147" s="580"/>
      <c r="B147" s="1304" t="s">
        <v>696</v>
      </c>
      <c r="C147" s="1312"/>
      <c r="D147" s="1305" t="s">
        <v>2</v>
      </c>
      <c r="E147" s="1306"/>
      <c r="F147" s="1307"/>
      <c r="G147" s="1308"/>
      <c r="H147" s="1305" t="s">
        <v>3</v>
      </c>
      <c r="I147" s="1306"/>
      <c r="J147" s="1307"/>
      <c r="K147" s="1308"/>
      <c r="L147" s="1305" t="s">
        <v>4</v>
      </c>
      <c r="M147" s="1306"/>
      <c r="N147" s="1307"/>
      <c r="O147" s="1308"/>
      <c r="P147" s="1305" t="s">
        <v>5</v>
      </c>
      <c r="Q147" s="1306"/>
      <c r="R147" s="1307"/>
      <c r="S147" s="1308"/>
      <c r="T147" s="1305" t="s">
        <v>6</v>
      </c>
      <c r="U147" s="1306"/>
      <c r="V147" s="1307"/>
      <c r="W147" s="1308"/>
      <c r="X147" s="1305" t="s">
        <v>7</v>
      </c>
      <c r="Y147" s="1306"/>
      <c r="Z147" s="1307"/>
      <c r="AA147" s="1308"/>
      <c r="AB147" s="1305" t="s">
        <v>8</v>
      </c>
      <c r="AC147" s="1306"/>
      <c r="AD147" s="1306"/>
      <c r="AE147" s="1309" t="s">
        <v>10</v>
      </c>
      <c r="AF147" s="1306"/>
      <c r="AG147" s="1306"/>
      <c r="AH147" s="1306"/>
      <c r="AI147" s="1310"/>
    </row>
    <row r="148" spans="1:36" ht="21.95" customHeight="1">
      <c r="A148" s="580"/>
      <c r="B148" s="1332"/>
      <c r="C148" s="1313"/>
      <c r="D148" s="1331"/>
      <c r="E148" s="1314"/>
      <c r="F148" s="1311"/>
      <c r="G148" s="1313"/>
      <c r="H148" s="1331"/>
      <c r="I148" s="1314"/>
      <c r="J148" s="1311"/>
      <c r="K148" s="1313"/>
      <c r="L148" s="1331"/>
      <c r="M148" s="1314"/>
      <c r="N148" s="1311"/>
      <c r="O148" s="1313"/>
      <c r="P148" s="1331"/>
      <c r="Q148" s="1314"/>
      <c r="R148" s="1311"/>
      <c r="S148" s="1313"/>
      <c r="T148" s="1331"/>
      <c r="U148" s="1314"/>
      <c r="V148" s="1311"/>
      <c r="W148" s="1313"/>
      <c r="X148" s="1314"/>
      <c r="Y148" s="1314"/>
      <c r="Z148" s="1311"/>
      <c r="AA148" s="1313"/>
      <c r="AB148" s="1314"/>
      <c r="AC148" s="1314"/>
      <c r="AD148" s="1314"/>
      <c r="AE148" s="1313"/>
      <c r="AF148" s="1314"/>
      <c r="AG148" s="1314"/>
      <c r="AH148" s="1316"/>
      <c r="AI148" s="1317"/>
    </row>
    <row r="149" spans="1:36" ht="21.95" customHeight="1">
      <c r="A149" s="580"/>
      <c r="B149" s="1333"/>
      <c r="C149" s="1313"/>
      <c r="D149" s="1331"/>
      <c r="E149" s="1314"/>
      <c r="F149" s="1311"/>
      <c r="G149" s="1313"/>
      <c r="H149" s="1331"/>
      <c r="I149" s="1314"/>
      <c r="J149" s="1311"/>
      <c r="K149" s="1313"/>
      <c r="L149" s="1331"/>
      <c r="M149" s="1314"/>
      <c r="N149" s="1311"/>
      <c r="O149" s="1313"/>
      <c r="P149" s="1331"/>
      <c r="Q149" s="1314"/>
      <c r="R149" s="1311"/>
      <c r="S149" s="1313"/>
      <c r="T149" s="1331"/>
      <c r="U149" s="1314"/>
      <c r="V149" s="1311"/>
      <c r="W149" s="1313"/>
      <c r="X149" s="1314"/>
      <c r="Y149" s="1314"/>
      <c r="Z149" s="1311"/>
      <c r="AA149" s="1313"/>
      <c r="AB149" s="1314"/>
      <c r="AC149" s="1314"/>
      <c r="AD149" s="1314"/>
      <c r="AE149" s="1313"/>
      <c r="AF149" s="1314"/>
      <c r="AG149" s="1314"/>
      <c r="AH149" s="1316"/>
      <c r="AI149" s="1317"/>
    </row>
    <row r="150" spans="1:36" ht="21.95" customHeight="1">
      <c r="A150" s="580"/>
      <c r="B150" s="1333"/>
      <c r="C150" s="1313"/>
      <c r="D150" s="1331"/>
      <c r="E150" s="1314"/>
      <c r="F150" s="1311"/>
      <c r="G150" s="1313"/>
      <c r="H150" s="1331"/>
      <c r="I150" s="1314"/>
      <c r="J150" s="1311"/>
      <c r="K150" s="1313"/>
      <c r="L150" s="1331"/>
      <c r="M150" s="1314"/>
      <c r="N150" s="1311"/>
      <c r="O150" s="1313"/>
      <c r="P150" s="1331"/>
      <c r="Q150" s="1314"/>
      <c r="R150" s="1311"/>
      <c r="S150" s="1313"/>
      <c r="T150" s="1331"/>
      <c r="U150" s="1314"/>
      <c r="V150" s="1311"/>
      <c r="W150" s="1313"/>
      <c r="X150" s="1314"/>
      <c r="Y150" s="1314"/>
      <c r="Z150" s="1311"/>
      <c r="AA150" s="1313"/>
      <c r="AB150" s="1314"/>
      <c r="AC150" s="1314"/>
      <c r="AD150" s="1314"/>
      <c r="AE150" s="1313"/>
      <c r="AF150" s="1314"/>
      <c r="AG150" s="1314"/>
      <c r="AH150" s="1316"/>
      <c r="AI150" s="1317"/>
    </row>
    <row r="151" spans="1:36" ht="21.95" customHeight="1" thickBot="1">
      <c r="A151" s="580"/>
      <c r="B151" s="1502"/>
      <c r="C151" s="1502"/>
      <c r="D151" s="559"/>
      <c r="E151" s="559"/>
      <c r="F151" s="559"/>
      <c r="G151" s="559"/>
      <c r="H151" s="559"/>
      <c r="I151" s="559"/>
      <c r="J151" s="559"/>
      <c r="K151" s="559"/>
      <c r="L151" s="559"/>
      <c r="M151" s="559"/>
      <c r="N151" s="559"/>
      <c r="O151" s="559"/>
      <c r="P151" s="559"/>
      <c r="Q151" s="559"/>
      <c r="R151" s="559"/>
      <c r="S151" s="559"/>
      <c r="T151" s="559"/>
      <c r="U151" s="559"/>
      <c r="V151" s="559"/>
      <c r="W151" s="559"/>
      <c r="X151" s="559"/>
      <c r="Y151" s="559"/>
      <c r="Z151" s="559"/>
      <c r="AA151" s="559"/>
      <c r="AB151" s="559"/>
      <c r="AC151" s="559"/>
      <c r="AD151" s="559"/>
      <c r="AE151" s="559"/>
      <c r="AF151" s="559"/>
      <c r="AG151" s="559"/>
      <c r="AH151" s="560"/>
      <c r="AI151" s="560"/>
    </row>
    <row r="152" spans="1:36" ht="21.95" customHeight="1">
      <c r="A152" s="1232"/>
      <c r="B152" s="1298" t="s">
        <v>480</v>
      </c>
      <c r="C152" s="1235">
        <v>1</v>
      </c>
      <c r="D152" s="1234">
        <v>2</v>
      </c>
      <c r="E152" s="1234">
        <v>3</v>
      </c>
      <c r="F152" s="1234">
        <v>4</v>
      </c>
      <c r="G152" s="1234">
        <v>5</v>
      </c>
      <c r="H152" s="1234">
        <v>6</v>
      </c>
      <c r="I152" s="1330">
        <v>7</v>
      </c>
      <c r="J152" s="1330">
        <v>8</v>
      </c>
      <c r="K152" s="1234">
        <v>9</v>
      </c>
      <c r="L152" s="1234">
        <v>10</v>
      </c>
      <c r="M152" s="1234">
        <v>11</v>
      </c>
      <c r="N152" s="1234">
        <v>12</v>
      </c>
      <c r="O152" s="1234">
        <v>13</v>
      </c>
      <c r="P152" s="1330">
        <v>14</v>
      </c>
      <c r="Q152" s="1330">
        <v>15</v>
      </c>
      <c r="R152" s="1234">
        <v>16</v>
      </c>
      <c r="S152" s="1234">
        <v>17</v>
      </c>
      <c r="T152" s="1234">
        <v>18</v>
      </c>
      <c r="U152" s="1234">
        <v>19</v>
      </c>
      <c r="V152" s="1213">
        <v>20</v>
      </c>
      <c r="W152" s="1330">
        <v>21</v>
      </c>
      <c r="X152" s="1330">
        <v>22</v>
      </c>
      <c r="Y152" s="1234">
        <v>23</v>
      </c>
      <c r="Z152" s="1234">
        <v>24</v>
      </c>
      <c r="AA152" s="1234">
        <v>25</v>
      </c>
      <c r="AB152" s="1234">
        <v>26</v>
      </c>
      <c r="AC152" s="1234">
        <v>27</v>
      </c>
      <c r="AD152" s="1330">
        <v>28</v>
      </c>
      <c r="AE152" s="1330">
        <v>29</v>
      </c>
      <c r="AF152" s="1234">
        <v>30</v>
      </c>
      <c r="AG152" s="1234"/>
      <c r="AH152" s="1301" t="s">
        <v>481</v>
      </c>
      <c r="AI152" s="1302" t="s">
        <v>482</v>
      </c>
    </row>
    <row r="153" spans="1:36" ht="21.95" customHeight="1">
      <c r="A153" s="580"/>
      <c r="B153" s="1319" t="s">
        <v>752</v>
      </c>
      <c r="C153" s="1215"/>
      <c r="D153" s="1215" t="s">
        <v>535</v>
      </c>
      <c r="E153" s="1215" t="s">
        <v>535</v>
      </c>
      <c r="F153" s="1215" t="s">
        <v>535</v>
      </c>
      <c r="G153" s="1215" t="s">
        <v>535</v>
      </c>
      <c r="H153" s="1215" t="s">
        <v>535</v>
      </c>
      <c r="I153" s="1215"/>
      <c r="J153" s="1215"/>
      <c r="K153" s="1215" t="s">
        <v>535</v>
      </c>
      <c r="L153" s="1215" t="s">
        <v>535</v>
      </c>
      <c r="M153" s="1215" t="s">
        <v>535</v>
      </c>
      <c r="N153" s="1215" t="s">
        <v>535</v>
      </c>
      <c r="O153" s="1215" t="s">
        <v>535</v>
      </c>
      <c r="P153" s="1215"/>
      <c r="Q153" s="1215"/>
      <c r="R153" s="1392" t="s">
        <v>535</v>
      </c>
      <c r="S153" s="1392" t="s">
        <v>535</v>
      </c>
      <c r="T153" s="1392" t="s">
        <v>535</v>
      </c>
      <c r="U153" s="1392" t="s">
        <v>749</v>
      </c>
      <c r="V153" s="1215" t="s">
        <v>535</v>
      </c>
      <c r="W153" s="1215"/>
      <c r="X153" s="1215"/>
      <c r="Y153" s="1215" t="s">
        <v>535</v>
      </c>
      <c r="Z153" s="1215" t="s">
        <v>535</v>
      </c>
      <c r="AA153" s="1215" t="s">
        <v>535</v>
      </c>
      <c r="AB153" s="1215" t="s">
        <v>535</v>
      </c>
      <c r="AC153" s="1215" t="s">
        <v>535</v>
      </c>
      <c r="AD153" s="1215"/>
      <c r="AE153" s="1215"/>
      <c r="AF153" s="1215" t="s">
        <v>535</v>
      </c>
      <c r="AG153" s="1216"/>
      <c r="AH153" s="504">
        <v>111</v>
      </c>
      <c r="AI153" s="505">
        <v>37</v>
      </c>
    </row>
    <row r="154" spans="1:36" ht="21.95" customHeight="1">
      <c r="A154" s="580"/>
      <c r="B154" s="1319" t="s">
        <v>753</v>
      </c>
      <c r="C154" s="1215"/>
      <c r="D154" s="1392" t="s">
        <v>570</v>
      </c>
      <c r="E154" s="1344" t="s">
        <v>535</v>
      </c>
      <c r="F154" s="1344" t="s">
        <v>535</v>
      </c>
      <c r="G154" s="1344" t="s">
        <v>535</v>
      </c>
      <c r="H154" s="1344" t="s">
        <v>535</v>
      </c>
      <c r="I154" s="1215"/>
      <c r="J154" s="1215"/>
      <c r="K154" s="1215" t="s">
        <v>535</v>
      </c>
      <c r="L154" s="1215" t="s">
        <v>535</v>
      </c>
      <c r="M154" s="1215" t="s">
        <v>535</v>
      </c>
      <c r="N154" s="1215" t="s">
        <v>535</v>
      </c>
      <c r="O154" s="1215" t="s">
        <v>535</v>
      </c>
      <c r="P154" s="1215"/>
      <c r="Q154" s="1215"/>
      <c r="R154" s="1215" t="s">
        <v>535</v>
      </c>
      <c r="S154" s="1215" t="s">
        <v>535</v>
      </c>
      <c r="T154" s="1215" t="s">
        <v>535</v>
      </c>
      <c r="U154" s="1215" t="s">
        <v>535</v>
      </c>
      <c r="V154" s="1215" t="s">
        <v>535</v>
      </c>
      <c r="W154" s="1215"/>
      <c r="X154" s="1215"/>
      <c r="Y154" s="1215" t="s">
        <v>535</v>
      </c>
      <c r="Z154" s="1215" t="s">
        <v>535</v>
      </c>
      <c r="AA154" s="1215" t="s">
        <v>535</v>
      </c>
      <c r="AB154" s="1215" t="s">
        <v>535</v>
      </c>
      <c r="AC154" s="1215" t="s">
        <v>535</v>
      </c>
      <c r="AD154" s="1215"/>
      <c r="AE154" s="1215"/>
      <c r="AF154" s="1215" t="s">
        <v>535</v>
      </c>
      <c r="AG154" s="1216"/>
      <c r="AH154" s="504">
        <v>13</v>
      </c>
      <c r="AI154" s="505">
        <v>0</v>
      </c>
    </row>
    <row r="155" spans="1:36" ht="21.95" customHeight="1">
      <c r="A155" s="580"/>
      <c r="B155" s="1510" t="s">
        <v>754</v>
      </c>
      <c r="C155" s="1215"/>
      <c r="D155" s="1392" t="s">
        <v>535</v>
      </c>
      <c r="E155" s="1392" t="s">
        <v>570</v>
      </c>
      <c r="F155" s="1344" t="s">
        <v>535</v>
      </c>
      <c r="G155" s="1344" t="s">
        <v>535</v>
      </c>
      <c r="H155" s="1344" t="s">
        <v>535</v>
      </c>
      <c r="I155" s="1215"/>
      <c r="J155" s="1215"/>
      <c r="K155" s="1215" t="s">
        <v>535</v>
      </c>
      <c r="L155" s="1215" t="s">
        <v>535</v>
      </c>
      <c r="M155" s="1215" t="s">
        <v>535</v>
      </c>
      <c r="N155" s="1215" t="s">
        <v>535</v>
      </c>
      <c r="O155" s="1215" t="s">
        <v>535</v>
      </c>
      <c r="P155" s="1215"/>
      <c r="Q155" s="1215"/>
      <c r="R155" s="1215" t="s">
        <v>535</v>
      </c>
      <c r="S155" s="1215" t="s">
        <v>535</v>
      </c>
      <c r="T155" s="1215" t="s">
        <v>535</v>
      </c>
      <c r="U155" s="1215" t="s">
        <v>535</v>
      </c>
      <c r="V155" s="1215" t="s">
        <v>535</v>
      </c>
      <c r="W155" s="1215"/>
      <c r="X155" s="1215"/>
      <c r="Y155" s="1215" t="s">
        <v>535</v>
      </c>
      <c r="Z155" s="1215" t="s">
        <v>535</v>
      </c>
      <c r="AA155" s="1500" t="s">
        <v>514</v>
      </c>
      <c r="AB155" s="1215" t="s">
        <v>535</v>
      </c>
      <c r="AC155" s="1215" t="s">
        <v>535</v>
      </c>
      <c r="AD155" s="1215"/>
      <c r="AE155" s="1215"/>
      <c r="AF155" s="1392" t="s">
        <v>535</v>
      </c>
      <c r="AG155" s="1216"/>
      <c r="AH155" s="504">
        <v>53</v>
      </c>
      <c r="AI155" s="505">
        <v>37</v>
      </c>
    </row>
    <row r="156" spans="1:36" ht="21.95" customHeight="1">
      <c r="A156" s="580"/>
      <c r="B156" s="1299" t="s">
        <v>755</v>
      </c>
      <c r="C156" s="1215"/>
      <c r="D156" s="1338" t="s">
        <v>535</v>
      </c>
      <c r="E156" s="1338" t="s">
        <v>535</v>
      </c>
      <c r="F156" s="1338" t="s">
        <v>535</v>
      </c>
      <c r="G156" s="1338" t="s">
        <v>535</v>
      </c>
      <c r="H156" s="1338" t="s">
        <v>535</v>
      </c>
      <c r="I156" s="1338"/>
      <c r="J156" s="1338"/>
      <c r="K156" s="1338" t="s">
        <v>535</v>
      </c>
      <c r="L156" s="1338" t="s">
        <v>535</v>
      </c>
      <c r="M156" s="1338" t="s">
        <v>535</v>
      </c>
      <c r="N156" s="1338" t="s">
        <v>535</v>
      </c>
      <c r="O156" s="1338" t="s">
        <v>535</v>
      </c>
      <c r="P156" s="1338"/>
      <c r="Q156" s="1338"/>
      <c r="R156" s="1215" t="s">
        <v>535</v>
      </c>
      <c r="S156" s="1215" t="s">
        <v>535</v>
      </c>
      <c r="T156" s="1215" t="s">
        <v>535</v>
      </c>
      <c r="U156" s="1215" t="s">
        <v>535</v>
      </c>
      <c r="V156" s="1215" t="s">
        <v>535</v>
      </c>
      <c r="W156" s="1215"/>
      <c r="X156" s="1215"/>
      <c r="Y156" s="1215" t="s">
        <v>535</v>
      </c>
      <c r="Z156" s="1215" t="s">
        <v>535</v>
      </c>
      <c r="AA156" s="1500" t="s">
        <v>514</v>
      </c>
      <c r="AB156" s="1215" t="s">
        <v>535</v>
      </c>
      <c r="AC156" s="1215" t="s">
        <v>535</v>
      </c>
      <c r="AD156" s="1215"/>
      <c r="AE156" s="1215"/>
      <c r="AF156" s="1215" t="s">
        <v>535</v>
      </c>
      <c r="AG156" s="1216"/>
      <c r="AH156" s="504">
        <v>148</v>
      </c>
      <c r="AI156" s="505">
        <v>37</v>
      </c>
    </row>
    <row r="157" spans="1:36" ht="21.95" customHeight="1">
      <c r="A157" s="580"/>
      <c r="B157" s="1300" t="s">
        <v>756</v>
      </c>
      <c r="C157" s="1215"/>
      <c r="D157" s="1215" t="s">
        <v>535</v>
      </c>
      <c r="E157" s="1215" t="s">
        <v>535</v>
      </c>
      <c r="F157" s="1215" t="s">
        <v>535</v>
      </c>
      <c r="G157" s="1215" t="s">
        <v>535</v>
      </c>
      <c r="H157" s="1215" t="s">
        <v>535</v>
      </c>
      <c r="I157" s="1215"/>
      <c r="J157" s="1215"/>
      <c r="K157" s="1215" t="s">
        <v>535</v>
      </c>
      <c r="L157" s="1215" t="s">
        <v>535</v>
      </c>
      <c r="M157" s="1215" t="s">
        <v>535</v>
      </c>
      <c r="N157" s="1215" t="s">
        <v>535</v>
      </c>
      <c r="O157" s="1215" t="s">
        <v>535</v>
      </c>
      <c r="P157" s="1215"/>
      <c r="Q157" s="1215"/>
      <c r="R157" s="1215" t="s">
        <v>535</v>
      </c>
      <c r="S157" s="1215" t="s">
        <v>535</v>
      </c>
      <c r="T157" s="1215" t="s">
        <v>535</v>
      </c>
      <c r="U157" s="1215" t="s">
        <v>535</v>
      </c>
      <c r="V157" s="1215" t="s">
        <v>535</v>
      </c>
      <c r="W157" s="1215"/>
      <c r="X157" s="1215"/>
      <c r="Y157" s="1215" t="s">
        <v>535</v>
      </c>
      <c r="Z157" s="1215" t="s">
        <v>535</v>
      </c>
      <c r="AA157" s="1215" t="s">
        <v>535</v>
      </c>
      <c r="AB157" s="1215" t="s">
        <v>535</v>
      </c>
      <c r="AC157" s="1215" t="s">
        <v>535</v>
      </c>
      <c r="AD157" s="1215"/>
      <c r="AE157" s="1215"/>
      <c r="AF157" s="1215" t="s">
        <v>535</v>
      </c>
      <c r="AG157" s="1216"/>
      <c r="AH157" s="504">
        <v>45</v>
      </c>
      <c r="AI157" s="505">
        <v>37</v>
      </c>
    </row>
    <row r="158" spans="1:36" ht="21.95" customHeight="1">
      <c r="A158" s="580"/>
      <c r="B158" s="1505"/>
      <c r="C158" s="1215"/>
      <c r="D158" s="1215" t="s">
        <v>535</v>
      </c>
      <c r="E158" s="1215" t="s">
        <v>535</v>
      </c>
      <c r="F158" s="1215" t="s">
        <v>535</v>
      </c>
      <c r="G158" s="1215" t="s">
        <v>535</v>
      </c>
      <c r="H158" s="1215" t="s">
        <v>535</v>
      </c>
      <c r="I158" s="1215"/>
      <c r="J158" s="1215"/>
      <c r="K158" s="1215" t="s">
        <v>535</v>
      </c>
      <c r="L158" s="1215" t="s">
        <v>535</v>
      </c>
      <c r="M158" s="1215" t="s">
        <v>535</v>
      </c>
      <c r="N158" s="1215" t="s">
        <v>535</v>
      </c>
      <c r="O158" s="1215" t="s">
        <v>535</v>
      </c>
      <c r="P158" s="1215"/>
      <c r="Q158" s="1215"/>
      <c r="R158" s="1215" t="s">
        <v>535</v>
      </c>
      <c r="S158" s="1215" t="s">
        <v>535</v>
      </c>
      <c r="T158" s="1215" t="s">
        <v>535</v>
      </c>
      <c r="U158" s="1215" t="s">
        <v>535</v>
      </c>
      <c r="V158" s="1215" t="s">
        <v>535</v>
      </c>
      <c r="W158" s="1215"/>
      <c r="X158" s="1215"/>
      <c r="Y158" s="1215" t="s">
        <v>535</v>
      </c>
      <c r="Z158" s="1215" t="s">
        <v>535</v>
      </c>
      <c r="AA158" s="1215" t="s">
        <v>535</v>
      </c>
      <c r="AB158" s="1215" t="s">
        <v>535</v>
      </c>
      <c r="AC158" s="1215" t="s">
        <v>535</v>
      </c>
      <c r="AD158" s="1215"/>
      <c r="AE158" s="1215"/>
      <c r="AF158" s="1215" t="s">
        <v>535</v>
      </c>
      <c r="AG158" s="1216"/>
      <c r="AH158" s="504"/>
      <c r="AI158" s="505"/>
    </row>
    <row r="159" spans="1:36" ht="21.95" customHeight="1">
      <c r="A159" s="580"/>
      <c r="B159" s="1502"/>
      <c r="C159" s="1503"/>
      <c r="D159" s="559"/>
      <c r="E159" s="559"/>
      <c r="F159" s="559"/>
      <c r="G159" s="559"/>
      <c r="H159" s="559"/>
      <c r="I159" s="559"/>
      <c r="J159" s="559"/>
      <c r="K159" s="559"/>
      <c r="L159" s="559"/>
      <c r="M159" s="559"/>
      <c r="N159" s="559"/>
      <c r="O159" s="559"/>
      <c r="P159" s="559"/>
      <c r="Q159" s="559"/>
      <c r="R159" s="559"/>
      <c r="S159" s="559"/>
      <c r="T159" s="559"/>
      <c r="U159" s="559"/>
      <c r="V159" s="559"/>
      <c r="W159" s="559"/>
      <c r="X159" s="559"/>
      <c r="Y159" s="559"/>
      <c r="Z159" s="559"/>
      <c r="AA159" s="559"/>
      <c r="AB159" s="559"/>
      <c r="AC159" s="559"/>
      <c r="AD159" s="559"/>
      <c r="AE159" s="559"/>
      <c r="AF159" s="559"/>
      <c r="AG159" s="559"/>
      <c r="AH159" s="560"/>
      <c r="AI159" s="560"/>
    </row>
    <row r="160" spans="1:36" ht="21.95" customHeight="1">
      <c r="A160" s="312" t="s">
        <v>527</v>
      </c>
      <c r="C160" s="559"/>
      <c r="D160" s="559"/>
      <c r="E160" s="559"/>
      <c r="F160" s="559"/>
      <c r="G160" s="559"/>
      <c r="H160" s="559"/>
      <c r="I160" s="559"/>
      <c r="J160" s="559"/>
      <c r="K160" s="559"/>
      <c r="L160" s="559"/>
      <c r="M160" s="559"/>
      <c r="N160" s="559"/>
      <c r="O160" s="559"/>
      <c r="P160" s="559"/>
      <c r="Q160" s="559"/>
      <c r="R160" s="559"/>
      <c r="S160" s="559"/>
      <c r="T160" s="559"/>
      <c r="U160" s="559"/>
      <c r="V160" s="559"/>
      <c r="W160" s="559"/>
      <c r="X160" s="559"/>
      <c r="Y160" s="559"/>
      <c r="Z160" s="559"/>
      <c r="AA160" s="559"/>
      <c r="AB160" s="559"/>
      <c r="AC160" s="559"/>
      <c r="AD160" s="559"/>
      <c r="AE160" s="559"/>
      <c r="AF160" s="559"/>
      <c r="AG160" s="559"/>
      <c r="AH160" s="560"/>
      <c r="AI160" s="560"/>
      <c r="AJ160" s="361"/>
    </row>
    <row r="161" spans="1:36" ht="21.95" customHeight="1">
      <c r="A161" s="299" t="s">
        <v>528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9" t="s">
        <v>10</v>
      </c>
      <c r="Y161" s="186"/>
      <c r="Z161" s="186"/>
      <c r="AA161" s="565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529</v>
      </c>
      <c r="C162" s="588" t="s">
        <v>124</v>
      </c>
      <c r="D162" s="585"/>
      <c r="E162" s="590"/>
      <c r="F162" s="588" t="s">
        <v>124</v>
      </c>
      <c r="G162" s="591"/>
      <c r="H162" s="590"/>
      <c r="I162" s="121" t="s">
        <v>124</v>
      </c>
      <c r="J162" s="569"/>
      <c r="K162" s="592"/>
      <c r="L162" s="121" t="s">
        <v>124</v>
      </c>
      <c r="M162" s="569"/>
      <c r="N162" s="592"/>
      <c r="O162" s="121" t="s">
        <v>125</v>
      </c>
      <c r="P162" s="569"/>
      <c r="Q162" s="477"/>
      <c r="R162" s="593" t="s">
        <v>28</v>
      </c>
      <c r="S162" s="569"/>
      <c r="T162" s="592"/>
      <c r="U162" s="569" t="s">
        <v>28</v>
      </c>
      <c r="V162" s="569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4"/>
      <c r="AH162" s="361"/>
      <c r="AI162" s="361"/>
      <c r="AJ162" s="361"/>
    </row>
    <row r="163" spans="1:36" ht="21.95" customHeight="1">
      <c r="A163" s="595">
        <v>8502</v>
      </c>
      <c r="B163" s="596" t="s">
        <v>530</v>
      </c>
      <c r="C163" s="121" t="s">
        <v>11</v>
      </c>
      <c r="D163" s="569"/>
      <c r="E163" s="477"/>
      <c r="F163" s="121" t="s">
        <v>11</v>
      </c>
      <c r="G163" s="569"/>
      <c r="H163" s="592"/>
      <c r="I163" s="121" t="s">
        <v>11</v>
      </c>
      <c r="J163" s="569"/>
      <c r="K163" s="592"/>
      <c r="L163" s="121" t="s">
        <v>11</v>
      </c>
      <c r="M163" s="569"/>
      <c r="N163" s="592"/>
      <c r="O163" s="121" t="s">
        <v>12</v>
      </c>
      <c r="P163" s="569"/>
      <c r="Q163" s="477"/>
      <c r="R163" s="597"/>
      <c r="S163" s="598"/>
      <c r="T163" s="592"/>
      <c r="U163" s="569"/>
      <c r="V163" s="569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9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9"/>
      <c r="B165" s="182" t="s">
        <v>480</v>
      </c>
      <c r="C165" s="1235">
        <v>1</v>
      </c>
      <c r="D165" s="1234">
        <v>2</v>
      </c>
      <c r="E165" s="1234">
        <v>3</v>
      </c>
      <c r="F165" s="1234">
        <v>4</v>
      </c>
      <c r="G165" s="1234">
        <v>5</v>
      </c>
      <c r="H165" s="1234">
        <v>6</v>
      </c>
      <c r="I165" s="1330">
        <v>7</v>
      </c>
      <c r="J165" s="1330">
        <v>8</v>
      </c>
      <c r="K165" s="1234">
        <v>9</v>
      </c>
      <c r="L165" s="1234">
        <v>10</v>
      </c>
      <c r="M165" s="1234">
        <v>11</v>
      </c>
      <c r="N165" s="1234">
        <v>12</v>
      </c>
      <c r="O165" s="1234">
        <v>13</v>
      </c>
      <c r="P165" s="1330">
        <v>14</v>
      </c>
      <c r="Q165" s="1330">
        <v>15</v>
      </c>
      <c r="R165" s="1234">
        <v>16</v>
      </c>
      <c r="S165" s="1234">
        <v>17</v>
      </c>
      <c r="T165" s="1234">
        <v>18</v>
      </c>
      <c r="U165" s="1234">
        <v>19</v>
      </c>
      <c r="V165" s="1213">
        <v>20</v>
      </c>
      <c r="W165" s="1330">
        <v>21</v>
      </c>
      <c r="X165" s="1330">
        <v>22</v>
      </c>
      <c r="Y165" s="1234">
        <v>23</v>
      </c>
      <c r="Z165" s="1234">
        <v>24</v>
      </c>
      <c r="AA165" s="1234">
        <v>25</v>
      </c>
      <c r="AB165" s="1234">
        <v>26</v>
      </c>
      <c r="AC165" s="1234">
        <v>27</v>
      </c>
      <c r="AD165" s="1330">
        <v>28</v>
      </c>
      <c r="AE165" s="1330">
        <v>29</v>
      </c>
      <c r="AF165" s="1234">
        <v>30</v>
      </c>
      <c r="AG165" s="1234"/>
      <c r="AH165" s="600" t="s">
        <v>481</v>
      </c>
      <c r="AI165" s="601" t="s">
        <v>482</v>
      </c>
    </row>
    <row r="166" spans="1:36" ht="21.95" customHeight="1">
      <c r="A166" s="602">
        <v>1</v>
      </c>
      <c r="B166" s="153" t="s">
        <v>531</v>
      </c>
      <c r="C166" s="1338"/>
      <c r="D166" s="1338" t="s">
        <v>514</v>
      </c>
      <c r="E166" s="1338" t="s">
        <v>514</v>
      </c>
      <c r="F166" s="1338" t="s">
        <v>514</v>
      </c>
      <c r="G166" s="1338" t="s">
        <v>514</v>
      </c>
      <c r="H166" s="1338" t="s">
        <v>514</v>
      </c>
      <c r="I166" s="1338"/>
      <c r="J166" s="1338"/>
      <c r="K166" s="1346" t="s">
        <v>535</v>
      </c>
      <c r="L166" s="1346" t="s">
        <v>535</v>
      </c>
      <c r="M166" s="1346" t="s">
        <v>535</v>
      </c>
      <c r="N166" s="1346" t="s">
        <v>535</v>
      </c>
      <c r="O166" s="1346" t="s">
        <v>535</v>
      </c>
      <c r="P166" s="1346"/>
      <c r="Q166" s="1346"/>
      <c r="R166" s="1346" t="s">
        <v>535</v>
      </c>
      <c r="S166" s="1346" t="s">
        <v>535</v>
      </c>
      <c r="T166" s="1346" t="s">
        <v>535</v>
      </c>
      <c r="U166" s="1346" t="s">
        <v>535</v>
      </c>
      <c r="V166" s="1346" t="s">
        <v>535</v>
      </c>
      <c r="W166" s="1346"/>
      <c r="X166" s="1346"/>
      <c r="Y166" s="1346" t="s">
        <v>535</v>
      </c>
      <c r="Z166" s="1346" t="s">
        <v>535</v>
      </c>
      <c r="AA166" s="1392" t="s">
        <v>535</v>
      </c>
      <c r="AB166" s="1392" t="s">
        <v>535</v>
      </c>
      <c r="AC166" s="1392" t="s">
        <v>535</v>
      </c>
      <c r="AD166" s="1392"/>
      <c r="AE166" s="1392"/>
      <c r="AF166" s="1392" t="s">
        <v>535</v>
      </c>
      <c r="AG166" s="1216"/>
      <c r="AH166" s="1320">
        <v>74</v>
      </c>
      <c r="AI166" s="1321">
        <v>37</v>
      </c>
    </row>
    <row r="167" spans="1:36" ht="21.95" customHeight="1" thickBot="1">
      <c r="A167" s="602">
        <v>2</v>
      </c>
      <c r="B167" s="153" t="s">
        <v>534</v>
      </c>
      <c r="C167" s="1215"/>
      <c r="D167" s="1215" t="s">
        <v>487</v>
      </c>
      <c r="E167" s="1215">
        <v>1</v>
      </c>
      <c r="F167" s="1208">
        <v>1</v>
      </c>
      <c r="G167" s="1215">
        <v>1</v>
      </c>
      <c r="H167" s="1215">
        <v>1</v>
      </c>
      <c r="I167" s="1215">
        <v>1</v>
      </c>
      <c r="J167" s="1215"/>
      <c r="K167" s="1215">
        <v>2</v>
      </c>
      <c r="L167" s="1208">
        <v>2</v>
      </c>
      <c r="M167" s="1208">
        <v>2</v>
      </c>
      <c r="N167" s="1215">
        <v>2</v>
      </c>
      <c r="O167" s="1215" t="s">
        <v>487</v>
      </c>
      <c r="P167" s="1215"/>
      <c r="Q167" s="1215"/>
      <c r="R167" s="1215">
        <v>3</v>
      </c>
      <c r="S167" s="1215" t="s">
        <v>485</v>
      </c>
      <c r="T167" s="1346">
        <v>3</v>
      </c>
      <c r="U167" s="1346">
        <v>3</v>
      </c>
      <c r="V167" s="1346">
        <v>3</v>
      </c>
      <c r="W167" s="1215"/>
      <c r="X167" s="1215"/>
      <c r="Y167" s="1215" t="s">
        <v>537</v>
      </c>
      <c r="Z167" s="1215">
        <v>4</v>
      </c>
      <c r="AA167" s="1215" t="s">
        <v>679</v>
      </c>
      <c r="AB167" s="1215" t="s">
        <v>537</v>
      </c>
      <c r="AC167" s="1215">
        <v>4</v>
      </c>
      <c r="AD167" s="1215"/>
      <c r="AE167" s="1215"/>
      <c r="AF167" s="1215">
        <v>3</v>
      </c>
      <c r="AG167" s="1216"/>
      <c r="AH167" s="1322">
        <v>117</v>
      </c>
      <c r="AI167" s="1323">
        <v>37</v>
      </c>
    </row>
    <row r="168" spans="1:36" ht="21.95" customHeight="1">
      <c r="A168" s="602">
        <v>3</v>
      </c>
      <c r="B168" s="153" t="s">
        <v>536</v>
      </c>
      <c r="C168" s="1215" t="s">
        <v>533</v>
      </c>
      <c r="D168" s="1215" t="s">
        <v>487</v>
      </c>
      <c r="E168" s="1215" t="s">
        <v>487</v>
      </c>
      <c r="F168" s="1215" t="s">
        <v>487</v>
      </c>
      <c r="G168" s="1215" t="s">
        <v>487</v>
      </c>
      <c r="H168" s="1215" t="s">
        <v>487</v>
      </c>
      <c r="I168" s="1215"/>
      <c r="J168" s="1215"/>
      <c r="K168" s="1338">
        <v>5</v>
      </c>
      <c r="L168" s="1338">
        <v>5</v>
      </c>
      <c r="M168" s="1338">
        <v>5</v>
      </c>
      <c r="N168" s="1338">
        <v>5</v>
      </c>
      <c r="O168" s="1338">
        <v>5</v>
      </c>
      <c r="P168" s="1338"/>
      <c r="Q168" s="1338"/>
      <c r="R168" s="1338">
        <v>10</v>
      </c>
      <c r="S168" s="1338">
        <v>10</v>
      </c>
      <c r="T168" s="1338">
        <v>10</v>
      </c>
      <c r="U168" s="1338">
        <v>10</v>
      </c>
      <c r="V168" s="1338">
        <v>10</v>
      </c>
      <c r="W168" s="1338" t="s">
        <v>555</v>
      </c>
      <c r="X168" s="1352" t="s">
        <v>555</v>
      </c>
      <c r="Y168" s="1338" t="s">
        <v>487</v>
      </c>
      <c r="Z168" s="1338" t="s">
        <v>487</v>
      </c>
      <c r="AA168" s="1338" t="s">
        <v>487</v>
      </c>
      <c r="AB168" s="1338" t="s">
        <v>487</v>
      </c>
      <c r="AC168" s="1338" t="s">
        <v>487</v>
      </c>
      <c r="AD168" s="1338" t="s">
        <v>660</v>
      </c>
      <c r="AE168" s="1338" t="s">
        <v>660</v>
      </c>
      <c r="AF168" s="1215">
        <v>7</v>
      </c>
      <c r="AG168" s="1216"/>
      <c r="AH168" s="1322">
        <v>117</v>
      </c>
      <c r="AI168" s="1323">
        <v>37</v>
      </c>
    </row>
    <row r="169" spans="1:36" ht="21.95" customHeight="1">
      <c r="A169" s="602">
        <v>4</v>
      </c>
      <c r="B169" s="1241" t="s">
        <v>542</v>
      </c>
      <c r="C169" s="1338"/>
      <c r="D169" s="1338" t="s">
        <v>535</v>
      </c>
      <c r="E169" s="1338" t="s">
        <v>535</v>
      </c>
      <c r="F169" s="1335" t="s">
        <v>535</v>
      </c>
      <c r="G169" s="1335" t="s">
        <v>535</v>
      </c>
      <c r="H169" s="1335" t="s">
        <v>535</v>
      </c>
      <c r="I169" s="1344"/>
      <c r="J169" s="1344"/>
      <c r="K169" s="1344" t="s">
        <v>484</v>
      </c>
      <c r="L169" s="1344" t="s">
        <v>484</v>
      </c>
      <c r="M169" s="1344" t="s">
        <v>484</v>
      </c>
      <c r="N169" s="1344" t="s">
        <v>485</v>
      </c>
      <c r="O169" s="1344" t="s">
        <v>485</v>
      </c>
      <c r="P169" s="1344" t="s">
        <v>486</v>
      </c>
      <c r="Q169" s="1344" t="s">
        <v>486</v>
      </c>
      <c r="R169" s="1344" t="s">
        <v>487</v>
      </c>
      <c r="S169" s="1344" t="s">
        <v>487</v>
      </c>
      <c r="T169" s="1344" t="s">
        <v>487</v>
      </c>
      <c r="U169" s="1344" t="s">
        <v>487</v>
      </c>
      <c r="V169" s="1344" t="s">
        <v>487</v>
      </c>
      <c r="W169" s="1344"/>
      <c r="X169" s="1344"/>
      <c r="Y169" s="1344">
        <v>7</v>
      </c>
      <c r="Z169" s="1344">
        <v>7</v>
      </c>
      <c r="AA169" s="1344">
        <v>7</v>
      </c>
      <c r="AB169" s="1344">
        <v>7</v>
      </c>
      <c r="AC169" s="1344">
        <v>7</v>
      </c>
      <c r="AD169" s="1344" t="s">
        <v>660</v>
      </c>
      <c r="AE169" s="1344" t="s">
        <v>660</v>
      </c>
      <c r="AF169" s="1215" t="s">
        <v>487</v>
      </c>
      <c r="AG169" s="1216"/>
      <c r="AH169" s="1322">
        <v>0</v>
      </c>
      <c r="AI169" s="1323">
        <v>0</v>
      </c>
    </row>
    <row r="170" spans="1:36" ht="21.95" customHeight="1">
      <c r="A170" s="602">
        <v>5</v>
      </c>
      <c r="B170" s="319" t="s">
        <v>771</v>
      </c>
      <c r="C170" s="1215"/>
      <c r="D170" s="1215">
        <v>10</v>
      </c>
      <c r="E170" s="1215">
        <v>10</v>
      </c>
      <c r="F170" s="1215">
        <v>10</v>
      </c>
      <c r="G170" s="1215">
        <v>10</v>
      </c>
      <c r="H170" s="1215">
        <v>10</v>
      </c>
      <c r="I170" s="1215" t="s">
        <v>555</v>
      </c>
      <c r="J170" s="1215" t="s">
        <v>555</v>
      </c>
      <c r="K170" s="1215" t="s">
        <v>487</v>
      </c>
      <c r="L170" s="1215" t="s">
        <v>487</v>
      </c>
      <c r="M170" s="1215" t="s">
        <v>487</v>
      </c>
      <c r="N170" s="1215" t="s">
        <v>487</v>
      </c>
      <c r="O170" s="1215" t="s">
        <v>487</v>
      </c>
      <c r="P170" s="1215"/>
      <c r="Q170" s="1215"/>
      <c r="R170" s="1392" t="s">
        <v>772</v>
      </c>
      <c r="S170" s="1215">
        <v>6</v>
      </c>
      <c r="T170" s="1215">
        <v>6</v>
      </c>
      <c r="U170" s="1215">
        <v>6</v>
      </c>
      <c r="V170" s="1215">
        <v>6</v>
      </c>
      <c r="W170" s="1215" t="s">
        <v>532</v>
      </c>
      <c r="X170" s="1215" t="s">
        <v>533</v>
      </c>
      <c r="Y170" s="1215" t="s">
        <v>487</v>
      </c>
      <c r="Z170" s="1215" t="s">
        <v>487</v>
      </c>
      <c r="AA170" s="1500" t="s">
        <v>514</v>
      </c>
      <c r="AB170" s="1215" t="s">
        <v>487</v>
      </c>
      <c r="AC170" s="1215" t="s">
        <v>487</v>
      </c>
      <c r="AD170" s="1215"/>
      <c r="AE170" s="1215"/>
      <c r="AF170" s="1215">
        <v>4</v>
      </c>
      <c r="AG170" s="1216"/>
      <c r="AH170" s="1324">
        <v>0</v>
      </c>
      <c r="AI170" s="1325">
        <v>13</v>
      </c>
    </row>
    <row r="171" spans="1:36" ht="21.95" customHeight="1">
      <c r="A171" s="602">
        <v>6</v>
      </c>
      <c r="B171" s="153" t="s">
        <v>773</v>
      </c>
      <c r="C171" s="1215"/>
      <c r="D171" s="1444" t="s">
        <v>485</v>
      </c>
      <c r="E171" s="1444" t="s">
        <v>485</v>
      </c>
      <c r="F171" s="1444" t="s">
        <v>485</v>
      </c>
      <c r="G171" s="1215" t="s">
        <v>484</v>
      </c>
      <c r="H171" s="1215" t="s">
        <v>484</v>
      </c>
      <c r="I171" s="1215"/>
      <c r="J171" s="1215"/>
      <c r="K171" s="1215">
        <v>10</v>
      </c>
      <c r="L171" s="1215">
        <v>10</v>
      </c>
      <c r="M171" s="1215">
        <v>10</v>
      </c>
      <c r="N171" s="1215">
        <v>10</v>
      </c>
      <c r="O171" s="1215">
        <v>10</v>
      </c>
      <c r="P171" s="1215" t="s">
        <v>555</v>
      </c>
      <c r="Q171" s="1215" t="s">
        <v>555</v>
      </c>
      <c r="R171" s="1215" t="s">
        <v>487</v>
      </c>
      <c r="S171" s="1215" t="s">
        <v>487</v>
      </c>
      <c r="T171" s="1444" t="s">
        <v>487</v>
      </c>
      <c r="U171" s="1444" t="s">
        <v>487</v>
      </c>
      <c r="V171" s="1215" t="s">
        <v>514</v>
      </c>
      <c r="W171" s="1215"/>
      <c r="X171" s="1215"/>
      <c r="Y171" s="1215" t="s">
        <v>485</v>
      </c>
      <c r="Z171" s="1215" t="s">
        <v>485</v>
      </c>
      <c r="AA171" s="1500" t="s">
        <v>485</v>
      </c>
      <c r="AB171" s="1215" t="s">
        <v>484</v>
      </c>
      <c r="AC171" s="1215" t="s">
        <v>484</v>
      </c>
      <c r="AD171" s="1215" t="s">
        <v>486</v>
      </c>
      <c r="AE171" s="1215" t="s">
        <v>486</v>
      </c>
      <c r="AF171" s="1215" t="s">
        <v>487</v>
      </c>
      <c r="AG171" s="1216"/>
      <c r="AH171" s="1326">
        <v>0</v>
      </c>
      <c r="AI171" s="1327">
        <v>0</v>
      </c>
    </row>
    <row r="172" spans="1:36" ht="21.95" customHeight="1">
      <c r="A172" s="602">
        <v>7</v>
      </c>
      <c r="B172" s="319"/>
      <c r="C172" s="1215"/>
      <c r="D172" s="1215"/>
      <c r="E172" s="1215"/>
      <c r="F172" s="1215"/>
      <c r="G172" s="1215"/>
      <c r="H172" s="1215"/>
      <c r="I172" s="1215"/>
      <c r="J172" s="1215"/>
      <c r="K172" s="1215"/>
      <c r="L172" s="1215"/>
      <c r="M172" s="1215"/>
      <c r="N172" s="1215"/>
      <c r="O172" s="1215"/>
      <c r="P172" s="1215"/>
      <c r="Q172" s="1215"/>
      <c r="R172" s="1215"/>
      <c r="S172" s="1215"/>
      <c r="T172" s="1215"/>
      <c r="U172" s="1215"/>
      <c r="V172" s="1215"/>
      <c r="W172" s="1215"/>
      <c r="X172" s="1215"/>
      <c r="Y172" s="1215"/>
      <c r="Z172" s="1215"/>
      <c r="AA172" s="1215"/>
      <c r="AB172" s="1215"/>
      <c r="AC172" s="1215"/>
      <c r="AD172" s="1215"/>
      <c r="AE172" s="1215"/>
      <c r="AF172" s="1215"/>
      <c r="AG172" s="1216"/>
      <c r="AH172" s="1326"/>
      <c r="AI172" s="1327"/>
    </row>
    <row r="173" spans="1:36" ht="21.95" customHeight="1">
      <c r="A173" s="602">
        <v>8</v>
      </c>
      <c r="B173" s="902"/>
      <c r="C173" s="1215"/>
      <c r="D173" s="1215"/>
      <c r="E173" s="1215"/>
      <c r="F173" s="1215"/>
      <c r="G173" s="1215"/>
      <c r="H173" s="1215"/>
      <c r="I173" s="1215"/>
      <c r="J173" s="1215"/>
      <c r="K173" s="1215"/>
      <c r="L173" s="1215"/>
      <c r="M173" s="1215"/>
      <c r="N173" s="1215"/>
      <c r="O173" s="1215"/>
      <c r="P173" s="1215"/>
      <c r="Q173" s="1215"/>
      <c r="R173" s="1215"/>
      <c r="S173" s="1215"/>
      <c r="T173" s="1215"/>
      <c r="U173" s="1215"/>
      <c r="V173" s="1215"/>
      <c r="W173" s="1215"/>
      <c r="X173" s="1215"/>
      <c r="Y173" s="1215"/>
      <c r="Z173" s="1215"/>
      <c r="AA173" s="1215"/>
      <c r="AB173" s="1215"/>
      <c r="AC173" s="1215"/>
      <c r="AD173" s="1215"/>
      <c r="AE173" s="1215"/>
      <c r="AF173" s="1215"/>
      <c r="AG173" s="1216"/>
      <c r="AH173" s="1326"/>
      <c r="AI173" s="1327"/>
    </row>
    <row r="174" spans="1:36" ht="21.95" customHeight="1">
      <c r="A174" s="602">
        <v>9</v>
      </c>
      <c r="B174" s="153"/>
      <c r="C174" s="1215"/>
      <c r="D174" s="1215"/>
      <c r="E174" s="1215"/>
      <c r="F174" s="1215"/>
      <c r="G174" s="1215"/>
      <c r="H174" s="1215"/>
      <c r="I174" s="1215"/>
      <c r="J174" s="1215"/>
      <c r="K174" s="1215"/>
      <c r="L174" s="1215"/>
      <c r="M174" s="1215"/>
      <c r="N174" s="1215"/>
      <c r="O174" s="1215"/>
      <c r="P174" s="1215"/>
      <c r="Q174" s="1215"/>
      <c r="R174" s="1215"/>
      <c r="S174" s="1215"/>
      <c r="T174" s="1215"/>
      <c r="U174" s="1215"/>
      <c r="V174" s="1215"/>
      <c r="W174" s="1215"/>
      <c r="X174" s="1215"/>
      <c r="Y174" s="1215"/>
      <c r="Z174" s="1215"/>
      <c r="AA174" s="1215"/>
      <c r="AB174" s="1215"/>
      <c r="AC174" s="1215"/>
      <c r="AD174" s="1215"/>
      <c r="AE174" s="1215"/>
      <c r="AF174" s="1215"/>
      <c r="AG174" s="1216"/>
      <c r="AH174" s="1326"/>
      <c r="AI174" s="1327"/>
    </row>
    <row r="175" spans="1:36" ht="21.95" customHeight="1">
      <c r="A175" s="602">
        <v>10</v>
      </c>
      <c r="B175" s="153"/>
      <c r="C175" s="1213"/>
      <c r="D175" s="1213"/>
      <c r="E175" s="1213"/>
      <c r="F175" s="1213"/>
      <c r="G175" s="1213"/>
      <c r="H175" s="1213"/>
      <c r="I175" s="1213"/>
      <c r="J175" s="1213"/>
      <c r="K175" s="1213"/>
      <c r="L175" s="1213"/>
      <c r="M175" s="1213"/>
      <c r="N175" s="1213"/>
      <c r="O175" s="1213"/>
      <c r="P175" s="1213"/>
      <c r="Q175" s="1213"/>
      <c r="R175" s="1213"/>
      <c r="S175" s="1213"/>
      <c r="T175" s="1213"/>
      <c r="U175" s="1213"/>
      <c r="V175" s="1213"/>
      <c r="W175" s="1215"/>
      <c r="X175" s="1213"/>
      <c r="Y175" s="1213"/>
      <c r="Z175" s="1213"/>
      <c r="AA175" s="1213"/>
      <c r="AB175" s="1213"/>
      <c r="AC175" s="1213"/>
      <c r="AD175" s="1213"/>
      <c r="AE175" s="1213"/>
      <c r="AF175" s="1213"/>
      <c r="AG175" s="1230"/>
      <c r="AH175" s="1326"/>
      <c r="AI175" s="1327"/>
    </row>
    <row r="176" spans="1:36" ht="21.95" customHeight="1">
      <c r="A176" s="602">
        <v>11</v>
      </c>
      <c r="B176" s="153"/>
      <c r="C176" s="1213"/>
      <c r="D176" s="1213"/>
      <c r="E176" s="1213"/>
      <c r="F176" s="1213"/>
      <c r="G176" s="1213"/>
      <c r="H176" s="1213"/>
      <c r="I176" s="1213"/>
      <c r="J176" s="1213"/>
      <c r="K176" s="1213"/>
      <c r="L176" s="1213"/>
      <c r="M176" s="1213"/>
      <c r="N176" s="1213"/>
      <c r="O176" s="1213"/>
      <c r="P176" s="1213"/>
      <c r="Q176" s="1213"/>
      <c r="R176" s="1213"/>
      <c r="S176" s="1213"/>
      <c r="T176" s="1213"/>
      <c r="U176" s="1213"/>
      <c r="V176" s="1213"/>
      <c r="W176" s="1215"/>
      <c r="X176" s="1213"/>
      <c r="Y176" s="1213"/>
      <c r="Z176" s="1213"/>
      <c r="AA176" s="1213"/>
      <c r="AB176" s="1213"/>
      <c r="AC176" s="1213"/>
      <c r="AD176" s="1213"/>
      <c r="AE176" s="1213"/>
      <c r="AF176" s="1213"/>
      <c r="AG176" s="1230"/>
      <c r="AH176" s="1326"/>
      <c r="AI176" s="1327"/>
    </row>
    <row r="177" spans="1:35" ht="21.95" customHeight="1" thickBot="1">
      <c r="A177" s="602">
        <v>12</v>
      </c>
      <c r="B177" s="153"/>
      <c r="C177" s="1213"/>
      <c r="D177" s="1213"/>
      <c r="E177" s="1213"/>
      <c r="F177" s="1213"/>
      <c r="G177" s="1213"/>
      <c r="H177" s="1213"/>
      <c r="I177" s="1213"/>
      <c r="J177" s="1213"/>
      <c r="K177" s="1213"/>
      <c r="L177" s="1213"/>
      <c r="M177" s="1213"/>
      <c r="N177" s="1213"/>
      <c r="O177" s="1213"/>
      <c r="P177" s="1213"/>
      <c r="Q177" s="1213"/>
      <c r="R177" s="1213"/>
      <c r="S177" s="1213"/>
      <c r="T177" s="1213"/>
      <c r="U177" s="1213"/>
      <c r="V177" s="1213"/>
      <c r="W177" s="1215"/>
      <c r="X177" s="1213"/>
      <c r="Y177" s="1213"/>
      <c r="Z177" s="1213"/>
      <c r="AA177" s="1213"/>
      <c r="AB177" s="1213"/>
      <c r="AC177" s="1213"/>
      <c r="AD177" s="1213"/>
      <c r="AE177" s="1213"/>
      <c r="AF177" s="1213"/>
      <c r="AG177" s="1230"/>
      <c r="AH177" s="1328"/>
      <c r="AI177" s="1329"/>
    </row>
    <row r="178" spans="1:35" ht="21" customHeight="1">
      <c r="A178" s="312" t="s">
        <v>551</v>
      </c>
    </row>
    <row r="179" spans="1:35" ht="21" customHeight="1">
      <c r="A179" s="556"/>
      <c r="B179" s="297" t="s">
        <v>480</v>
      </c>
      <c r="C179" s="1235">
        <v>1</v>
      </c>
      <c r="D179" s="1234">
        <v>2</v>
      </c>
      <c r="E179" s="1234">
        <v>3</v>
      </c>
      <c r="F179" s="1234">
        <v>4</v>
      </c>
      <c r="G179" s="1234">
        <v>5</v>
      </c>
      <c r="H179" s="1234">
        <v>6</v>
      </c>
      <c r="I179" s="1330">
        <v>7</v>
      </c>
      <c r="J179" s="1330">
        <v>8</v>
      </c>
      <c r="K179" s="1234">
        <v>9</v>
      </c>
      <c r="L179" s="1234">
        <v>10</v>
      </c>
      <c r="M179" s="1234">
        <v>11</v>
      </c>
      <c r="N179" s="1234">
        <v>12</v>
      </c>
      <c r="O179" s="1234">
        <v>13</v>
      </c>
      <c r="P179" s="1330">
        <v>14</v>
      </c>
      <c r="Q179" s="1330">
        <v>15</v>
      </c>
      <c r="R179" s="1234">
        <v>16</v>
      </c>
      <c r="S179" s="1234">
        <v>17</v>
      </c>
      <c r="T179" s="1234">
        <v>18</v>
      </c>
      <c r="U179" s="1234">
        <v>19</v>
      </c>
      <c r="V179" s="1213">
        <v>20</v>
      </c>
      <c r="W179" s="1330">
        <v>21</v>
      </c>
      <c r="X179" s="1330">
        <v>22</v>
      </c>
      <c r="Y179" s="1234">
        <v>23</v>
      </c>
      <c r="Z179" s="1234">
        <v>24</v>
      </c>
      <c r="AA179" s="1234">
        <v>25</v>
      </c>
      <c r="AB179" s="1234">
        <v>26</v>
      </c>
      <c r="AC179" s="1234">
        <v>27</v>
      </c>
      <c r="AD179" s="1330">
        <v>28</v>
      </c>
      <c r="AE179" s="1330">
        <v>29</v>
      </c>
      <c r="AF179" s="1234">
        <v>30</v>
      </c>
      <c r="AG179" s="1234"/>
      <c r="AH179" s="606"/>
    </row>
    <row r="180" spans="1:35" ht="21" customHeight="1">
      <c r="A180" s="556">
        <v>1</v>
      </c>
      <c r="B180" s="319" t="s">
        <v>552</v>
      </c>
      <c r="C180" s="1213"/>
      <c r="D180" s="1213" t="s">
        <v>514</v>
      </c>
      <c r="E180" s="1213" t="s">
        <v>514</v>
      </c>
      <c r="F180" s="1213" t="s">
        <v>514</v>
      </c>
      <c r="G180" s="1213" t="s">
        <v>514</v>
      </c>
      <c r="H180" s="1213" t="s">
        <v>514</v>
      </c>
      <c r="I180" s="1213"/>
      <c r="J180" s="1213"/>
      <c r="K180" s="1213" t="s">
        <v>514</v>
      </c>
      <c r="L180" s="1213" t="s">
        <v>514</v>
      </c>
      <c r="M180" s="1213" t="s">
        <v>514</v>
      </c>
      <c r="N180" s="1213" t="s">
        <v>514</v>
      </c>
      <c r="O180" s="1213" t="s">
        <v>514</v>
      </c>
      <c r="P180" s="1213"/>
      <c r="Q180" s="1213"/>
      <c r="R180" s="1213" t="s">
        <v>514</v>
      </c>
      <c r="S180" s="1213" t="s">
        <v>514</v>
      </c>
      <c r="T180" s="1213" t="s">
        <v>514</v>
      </c>
      <c r="U180" s="1213" t="s">
        <v>514</v>
      </c>
      <c r="V180" s="1213" t="s">
        <v>514</v>
      </c>
      <c r="W180" s="1213"/>
      <c r="X180" s="1213"/>
      <c r="Y180" s="1213" t="s">
        <v>514</v>
      </c>
      <c r="Z180" s="1213" t="s">
        <v>514</v>
      </c>
      <c r="AA180" s="1213" t="s">
        <v>514</v>
      </c>
      <c r="AB180" s="1213" t="s">
        <v>514</v>
      </c>
      <c r="AC180" s="1213" t="s">
        <v>514</v>
      </c>
      <c r="AD180" s="1213"/>
      <c r="AE180" s="1213"/>
      <c r="AF180" s="1213" t="s">
        <v>514</v>
      </c>
      <c r="AG180" s="1213"/>
      <c r="AH180" s="606"/>
    </row>
    <row r="181" spans="1:35" ht="21" customHeight="1">
      <c r="A181" s="556">
        <v>2</v>
      </c>
      <c r="B181" s="545" t="s">
        <v>553</v>
      </c>
      <c r="C181" s="172"/>
      <c r="D181" s="172" t="s">
        <v>484</v>
      </c>
      <c r="E181" s="172" t="s">
        <v>484</v>
      </c>
      <c r="F181" s="172" t="s">
        <v>484</v>
      </c>
      <c r="G181" s="172" t="s">
        <v>485</v>
      </c>
      <c r="H181" s="172" t="s">
        <v>485</v>
      </c>
      <c r="I181" s="172" t="s">
        <v>486</v>
      </c>
      <c r="J181" s="172" t="s">
        <v>486</v>
      </c>
      <c r="K181" s="172" t="s">
        <v>487</v>
      </c>
      <c r="L181" s="172" t="s">
        <v>487</v>
      </c>
      <c r="M181" s="172" t="s">
        <v>487</v>
      </c>
      <c r="N181" s="172" t="s">
        <v>487</v>
      </c>
      <c r="O181" s="172" t="s">
        <v>487</v>
      </c>
      <c r="P181" s="172"/>
      <c r="Q181" s="172"/>
      <c r="R181" s="172">
        <v>10</v>
      </c>
      <c r="S181" s="1508">
        <v>10</v>
      </c>
      <c r="T181" s="1508" t="s">
        <v>738</v>
      </c>
      <c r="U181" s="1213">
        <v>10</v>
      </c>
      <c r="V181" s="1213">
        <v>10</v>
      </c>
      <c r="W181" s="172" t="s">
        <v>555</v>
      </c>
      <c r="X181" s="172" t="s">
        <v>555</v>
      </c>
      <c r="Y181" s="172" t="s">
        <v>487</v>
      </c>
      <c r="Z181" s="172" t="s">
        <v>487</v>
      </c>
      <c r="AA181" s="1500" t="s">
        <v>514</v>
      </c>
      <c r="AB181" s="172" t="s">
        <v>485</v>
      </c>
      <c r="AC181" s="172" t="s">
        <v>485</v>
      </c>
      <c r="AD181" s="172"/>
      <c r="AE181" s="172" t="s">
        <v>657</v>
      </c>
      <c r="AF181" s="172" t="s">
        <v>487</v>
      </c>
      <c r="AG181" s="172"/>
      <c r="AH181" s="606"/>
    </row>
    <row r="182" spans="1:35" ht="21" customHeight="1">
      <c r="A182" s="556">
        <v>3</v>
      </c>
      <c r="B182" s="545" t="s">
        <v>554</v>
      </c>
      <c r="C182" s="172"/>
      <c r="D182" s="172">
        <v>6</v>
      </c>
      <c r="E182" s="172">
        <v>6</v>
      </c>
      <c r="F182" s="172">
        <v>6</v>
      </c>
      <c r="G182" s="172">
        <v>6</v>
      </c>
      <c r="H182" s="172">
        <v>6</v>
      </c>
      <c r="I182" s="172" t="s">
        <v>532</v>
      </c>
      <c r="J182" s="172" t="s">
        <v>533</v>
      </c>
      <c r="K182" s="172" t="s">
        <v>487</v>
      </c>
      <c r="L182" s="172" t="s">
        <v>487</v>
      </c>
      <c r="M182" s="172" t="s">
        <v>487</v>
      </c>
      <c r="N182" s="607" t="s">
        <v>487</v>
      </c>
      <c r="O182" s="172" t="s">
        <v>487</v>
      </c>
      <c r="P182" s="172"/>
      <c r="Q182" s="172"/>
      <c r="R182" s="172" t="s">
        <v>537</v>
      </c>
      <c r="S182" s="172" t="s">
        <v>537</v>
      </c>
      <c r="T182" s="172">
        <v>10</v>
      </c>
      <c r="U182" s="172" t="s">
        <v>487</v>
      </c>
      <c r="V182" s="172" t="s">
        <v>487</v>
      </c>
      <c r="W182" s="172" t="s">
        <v>660</v>
      </c>
      <c r="X182" s="172" t="s">
        <v>660</v>
      </c>
      <c r="Y182" s="172" t="s">
        <v>487</v>
      </c>
      <c r="Z182" s="172">
        <v>11</v>
      </c>
      <c r="AA182" s="1213" t="s">
        <v>487</v>
      </c>
      <c r="AB182" s="1455" t="s">
        <v>484</v>
      </c>
      <c r="AC182" s="1455" t="s">
        <v>484</v>
      </c>
      <c r="AD182" s="172" t="s">
        <v>637</v>
      </c>
      <c r="AE182" s="172" t="s">
        <v>637</v>
      </c>
      <c r="AF182" s="172" t="s">
        <v>514</v>
      </c>
      <c r="AG182" s="172"/>
      <c r="AH182" s="606"/>
    </row>
    <row r="183" spans="1:35" ht="21" customHeight="1">
      <c r="A183" s="556">
        <v>4</v>
      </c>
      <c r="B183" s="545"/>
      <c r="C183" s="172"/>
      <c r="D183" s="172"/>
      <c r="E183" s="172"/>
      <c r="F183" s="172"/>
      <c r="G183" s="172"/>
      <c r="H183" s="172"/>
      <c r="I183" s="172"/>
      <c r="J183" s="172"/>
      <c r="K183" s="172"/>
      <c r="L183" s="172"/>
      <c r="M183" s="172"/>
      <c r="N183" s="172"/>
      <c r="O183" s="172"/>
      <c r="P183" s="172"/>
      <c r="Q183" s="172"/>
      <c r="R183" s="172"/>
      <c r="S183" s="172"/>
      <c r="T183" s="172"/>
      <c r="U183" s="172"/>
      <c r="V183" s="172"/>
      <c r="W183" s="172"/>
      <c r="X183" s="172"/>
      <c r="Y183" s="172"/>
      <c r="Z183" s="172"/>
      <c r="AA183" s="172"/>
      <c r="AB183" s="607"/>
      <c r="AC183" s="172"/>
      <c r="AD183" s="172"/>
      <c r="AE183" s="172"/>
      <c r="AF183" s="172"/>
      <c r="AG183" s="172"/>
      <c r="AH183" s="606"/>
    </row>
    <row r="184" spans="1:35" ht="21" customHeight="1">
      <c r="A184" s="556">
        <v>5</v>
      </c>
      <c r="B184" s="545"/>
      <c r="C184" s="172"/>
      <c r="D184" s="172"/>
      <c r="E184" s="172"/>
      <c r="F184" s="172"/>
      <c r="G184" s="172"/>
      <c r="H184" s="172"/>
      <c r="I184" s="172"/>
      <c r="J184" s="172"/>
      <c r="K184" s="172"/>
      <c r="L184" s="172"/>
      <c r="M184" s="172"/>
      <c r="N184" s="172"/>
      <c r="O184" s="172"/>
      <c r="P184" s="172"/>
      <c r="Q184" s="172"/>
      <c r="R184" s="172"/>
      <c r="S184" s="172"/>
      <c r="T184" s="172"/>
      <c r="U184" s="172"/>
      <c r="V184" s="172"/>
      <c r="W184" s="172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172"/>
      <c r="AH184" s="606"/>
    </row>
    <row r="185" spans="1:35" ht="21" customHeight="1">
      <c r="A185" s="1232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1233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6"/>
    </row>
    <row r="186" spans="1:35" ht="21.95" customHeight="1" thickBot="1">
      <c r="A186" s="1" t="s">
        <v>560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1290" t="s">
        <v>516</v>
      </c>
      <c r="C187" s="51" t="s">
        <v>2</v>
      </c>
      <c r="D187" s="51"/>
      <c r="E187" s="51"/>
      <c r="F187" s="51"/>
      <c r="G187" s="1292" t="s">
        <v>3</v>
      </c>
      <c r="H187" s="51"/>
      <c r="I187" s="51"/>
      <c r="J187" s="51"/>
      <c r="K187" s="1292" t="s">
        <v>4</v>
      </c>
      <c r="L187" s="51"/>
      <c r="M187" s="51"/>
      <c r="N187" s="51"/>
      <c r="O187" s="1292" t="s">
        <v>5</v>
      </c>
      <c r="P187" s="51"/>
      <c r="Q187" s="51"/>
      <c r="R187" s="51"/>
      <c r="S187" s="1292" t="s">
        <v>6</v>
      </c>
      <c r="T187" s="51"/>
      <c r="U187" s="51"/>
      <c r="V187" s="51"/>
      <c r="W187" s="51"/>
      <c r="X187" s="1296" t="s">
        <v>7</v>
      </c>
      <c r="Y187" s="51"/>
      <c r="Z187" s="551"/>
      <c r="AA187" s="7"/>
      <c r="AB187" s="525" t="s">
        <v>8</v>
      </c>
      <c r="AC187" s="51"/>
      <c r="AD187" s="51"/>
      <c r="AE187" s="425" t="s">
        <v>10</v>
      </c>
      <c r="AF187" s="51"/>
      <c r="AG187" s="51"/>
      <c r="AH187" s="51"/>
      <c r="AI187" s="526"/>
    </row>
    <row r="188" spans="1:35" ht="21.95" customHeight="1">
      <c r="A188" s="1"/>
      <c r="B188" s="1290">
        <v>3701</v>
      </c>
      <c r="C188" s="55" t="s">
        <v>561</v>
      </c>
      <c r="D188" s="55"/>
      <c r="E188" s="55"/>
      <c r="F188" s="55"/>
      <c r="G188" s="1293" t="s">
        <v>124</v>
      </c>
      <c r="H188" s="55"/>
      <c r="I188" s="55"/>
      <c r="J188" s="55"/>
      <c r="K188" s="1293" t="s">
        <v>124</v>
      </c>
      <c r="L188" s="55"/>
      <c r="M188" s="55"/>
      <c r="N188" s="55"/>
      <c r="O188" s="1293" t="s">
        <v>124</v>
      </c>
      <c r="P188" s="55"/>
      <c r="Q188" s="55"/>
      <c r="R188" s="55"/>
      <c r="S188" s="1293" t="s">
        <v>125</v>
      </c>
      <c r="T188" s="55"/>
      <c r="U188" s="55"/>
      <c r="V188" s="55"/>
      <c r="W188" s="55"/>
      <c r="X188" s="1297"/>
      <c r="Y188" s="55"/>
      <c r="Z188" s="608"/>
      <c r="AA188" s="14"/>
      <c r="AB188" s="609"/>
      <c r="AC188" s="55"/>
      <c r="AD188" s="55"/>
      <c r="AE188" s="610"/>
      <c r="AF188" s="55"/>
      <c r="AG188" s="55"/>
      <c r="AH188" s="55"/>
      <c r="AI188" s="611"/>
    </row>
    <row r="189" spans="1:35" ht="21.95" customHeight="1">
      <c r="B189" s="1290">
        <v>3700</v>
      </c>
      <c r="C189" s="157" t="s">
        <v>512</v>
      </c>
      <c r="D189" s="157"/>
      <c r="E189" s="157"/>
      <c r="F189" s="157"/>
      <c r="G189" s="897" t="s">
        <v>512</v>
      </c>
      <c r="H189" s="157"/>
      <c r="I189" s="157"/>
      <c r="J189" s="157"/>
      <c r="K189" s="897" t="s">
        <v>512</v>
      </c>
      <c r="L189" s="157"/>
      <c r="M189" s="157"/>
      <c r="N189" s="157"/>
      <c r="O189" s="897" t="s">
        <v>512</v>
      </c>
      <c r="P189" s="157"/>
      <c r="Q189" s="157"/>
      <c r="R189" s="157"/>
      <c r="S189" s="897" t="s">
        <v>116</v>
      </c>
      <c r="T189" s="157"/>
      <c r="U189" s="157"/>
      <c r="V189" s="157"/>
      <c r="W189" s="157"/>
      <c r="X189" s="897"/>
      <c r="Y189" s="157"/>
      <c r="Z189" s="568"/>
      <c r="AA189" s="567"/>
      <c r="AB189" s="157"/>
      <c r="AC189" s="157"/>
      <c r="AD189" s="569"/>
      <c r="AE189" s="613"/>
      <c r="AF189" s="157"/>
      <c r="AG189" s="157" t="s">
        <v>28</v>
      </c>
      <c r="AH189" s="569"/>
      <c r="AI189" s="490"/>
    </row>
    <row r="190" spans="1:35" ht="21.95" customHeight="1">
      <c r="A190" s="1"/>
      <c r="B190" s="1290">
        <v>8514</v>
      </c>
      <c r="C190" s="157" t="s">
        <v>124</v>
      </c>
      <c r="D190" s="157"/>
      <c r="E190" s="157"/>
      <c r="F190" s="157"/>
      <c r="G190" s="897" t="s">
        <v>124</v>
      </c>
      <c r="H190" s="157"/>
      <c r="I190" s="157"/>
      <c r="J190" s="157"/>
      <c r="K190" s="897" t="s">
        <v>124</v>
      </c>
      <c r="L190" s="157"/>
      <c r="M190" s="157"/>
      <c r="N190" s="157"/>
      <c r="O190" s="897" t="s">
        <v>124</v>
      </c>
      <c r="P190" s="157"/>
      <c r="Q190" s="157"/>
      <c r="R190" s="157"/>
      <c r="S190" s="897" t="s">
        <v>562</v>
      </c>
      <c r="T190" s="157"/>
      <c r="U190" s="157"/>
      <c r="V190" s="157"/>
      <c r="W190" s="157"/>
      <c r="X190" s="897"/>
      <c r="Y190" s="157"/>
      <c r="Z190" s="568"/>
      <c r="AA190" s="121"/>
      <c r="AB190" s="157"/>
      <c r="AC190" s="157"/>
      <c r="AD190" s="569"/>
      <c r="AE190" s="121"/>
      <c r="AF190" s="157"/>
      <c r="AG190" s="157"/>
      <c r="AH190" s="569"/>
      <c r="AI190" s="490"/>
    </row>
    <row r="191" spans="1:35" ht="21.95" customHeight="1">
      <c r="A191" s="1"/>
      <c r="B191" s="1290">
        <v>8500</v>
      </c>
      <c r="C191" s="55" t="s">
        <v>11</v>
      </c>
      <c r="D191" s="55"/>
      <c r="E191" s="55"/>
      <c r="F191" s="55"/>
      <c r="G191" s="1293" t="s">
        <v>11</v>
      </c>
      <c r="H191" s="55"/>
      <c r="I191" s="55"/>
      <c r="J191" s="55"/>
      <c r="K191" s="1293" t="s">
        <v>11</v>
      </c>
      <c r="L191" s="55"/>
      <c r="M191" s="55"/>
      <c r="N191" s="55"/>
      <c r="O191" s="1293" t="s">
        <v>11</v>
      </c>
      <c r="P191" s="55"/>
      <c r="Q191" s="55"/>
      <c r="R191" s="55"/>
      <c r="S191" s="1293" t="s">
        <v>12</v>
      </c>
      <c r="T191" s="55"/>
      <c r="U191" s="55"/>
      <c r="V191" s="55"/>
      <c r="W191" s="55"/>
      <c r="X191" s="1293"/>
      <c r="Y191" s="55"/>
      <c r="Z191" s="615"/>
      <c r="AA191" s="614"/>
      <c r="AB191" s="55"/>
      <c r="AC191" s="55"/>
      <c r="AD191" s="615"/>
      <c r="AE191" s="614"/>
      <c r="AF191" s="55"/>
      <c r="AG191" s="55"/>
      <c r="AH191" s="598"/>
      <c r="AI191" s="611"/>
    </row>
    <row r="192" spans="1:35" ht="21.95" customHeight="1">
      <c r="A192" s="1"/>
      <c r="B192" s="1290">
        <v>8514</v>
      </c>
      <c r="C192" s="616" t="s">
        <v>124</v>
      </c>
      <c r="D192" s="616"/>
      <c r="E192" s="616"/>
      <c r="F192" s="616"/>
      <c r="G192" s="1294" t="s">
        <v>124</v>
      </c>
      <c r="H192" s="616"/>
      <c r="I192" s="616"/>
      <c r="J192" s="616"/>
      <c r="K192" s="1294" t="s">
        <v>124</v>
      </c>
      <c r="L192" s="616"/>
      <c r="M192" s="616"/>
      <c r="N192" s="616"/>
      <c r="O192" s="1294" t="s">
        <v>124</v>
      </c>
      <c r="P192" s="616"/>
      <c r="Q192" s="616"/>
      <c r="R192" s="616"/>
      <c r="S192" s="1294" t="s">
        <v>562</v>
      </c>
      <c r="T192" s="616"/>
      <c r="U192" s="616"/>
      <c r="V192" s="616"/>
      <c r="W192" s="616"/>
      <c r="X192" s="1297"/>
      <c r="Y192" s="55"/>
      <c r="Z192" s="608"/>
      <c r="AA192" s="14"/>
      <c r="AB192" s="609"/>
      <c r="AC192" s="55"/>
      <c r="AD192" s="55"/>
      <c r="AE192" s="610"/>
      <c r="AF192" s="55"/>
      <c r="AG192" s="55"/>
      <c r="AH192" s="55"/>
      <c r="AI192" s="611"/>
    </row>
    <row r="193" spans="1:35" ht="21.95" customHeight="1" thickBot="1">
      <c r="A193" s="1"/>
      <c r="B193" s="1291" t="s">
        <v>563</v>
      </c>
      <c r="C193" s="53" t="s">
        <v>564</v>
      </c>
      <c r="D193" s="53"/>
      <c r="E193" s="53"/>
      <c r="F193" s="53"/>
      <c r="G193" s="1295" t="s">
        <v>564</v>
      </c>
      <c r="H193" s="53"/>
      <c r="I193" s="53"/>
      <c r="J193" s="53"/>
      <c r="K193" s="53" t="s">
        <v>564</v>
      </c>
      <c r="L193" s="53"/>
      <c r="M193" s="53"/>
      <c r="N193" s="53"/>
      <c r="O193" s="1295" t="s">
        <v>564</v>
      </c>
      <c r="P193" s="53"/>
      <c r="Q193" s="53"/>
      <c r="R193" s="53"/>
      <c r="S193" s="1295" t="s">
        <v>565</v>
      </c>
      <c r="T193" s="53"/>
      <c r="U193" s="53"/>
      <c r="V193" s="53"/>
      <c r="W193" s="53"/>
      <c r="X193" s="1295"/>
      <c r="Y193" s="53"/>
      <c r="Z193" s="575"/>
      <c r="AA193" s="574"/>
      <c r="AB193" s="53"/>
      <c r="AC193" s="53"/>
      <c r="AD193" s="577"/>
      <c r="AE193" s="618"/>
      <c r="AF193" s="53"/>
      <c r="AG193" s="53" t="s">
        <v>28</v>
      </c>
      <c r="AH193" s="577"/>
      <c r="AI193" s="539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509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>
      <c r="A196" s="556"/>
      <c r="B196" s="297" t="s">
        <v>480</v>
      </c>
      <c r="C196" s="1235">
        <v>1</v>
      </c>
      <c r="D196" s="1234">
        <v>2</v>
      </c>
      <c r="E196" s="1234">
        <v>3</v>
      </c>
      <c r="F196" s="1234">
        <v>4</v>
      </c>
      <c r="G196" s="1234">
        <v>5</v>
      </c>
      <c r="H196" s="1234">
        <v>6</v>
      </c>
      <c r="I196" s="1330">
        <v>7</v>
      </c>
      <c r="J196" s="1330">
        <v>8</v>
      </c>
      <c r="K196" s="1234">
        <v>9</v>
      </c>
      <c r="L196" s="1234">
        <v>10</v>
      </c>
      <c r="M196" s="1234">
        <v>11</v>
      </c>
      <c r="N196" s="1234">
        <v>12</v>
      </c>
      <c r="O196" s="1234">
        <v>13</v>
      </c>
      <c r="P196" s="1330">
        <v>14</v>
      </c>
      <c r="Q196" s="1330">
        <v>15</v>
      </c>
      <c r="R196" s="1234">
        <v>16</v>
      </c>
      <c r="S196" s="1234">
        <v>17</v>
      </c>
      <c r="T196" s="1234">
        <v>18</v>
      </c>
      <c r="U196" s="1234">
        <v>19</v>
      </c>
      <c r="V196" s="1213">
        <v>20</v>
      </c>
      <c r="W196" s="1330">
        <v>21</v>
      </c>
      <c r="X196" s="1330">
        <v>22</v>
      </c>
      <c r="Y196" s="1234">
        <v>23</v>
      </c>
      <c r="Z196" s="1234">
        <v>24</v>
      </c>
      <c r="AA196" s="1234">
        <v>25</v>
      </c>
      <c r="AB196" s="1234">
        <v>26</v>
      </c>
      <c r="AC196" s="1234">
        <v>27</v>
      </c>
      <c r="AD196" s="1330">
        <v>28</v>
      </c>
      <c r="AE196" s="1330">
        <v>29</v>
      </c>
      <c r="AF196" s="1234">
        <v>30</v>
      </c>
      <c r="AG196" s="1234"/>
      <c r="AH196" s="498" t="s">
        <v>481</v>
      </c>
      <c r="AI196" s="499" t="s">
        <v>482</v>
      </c>
    </row>
    <row r="197" spans="1:35" ht="21.95" customHeight="1">
      <c r="A197" s="556"/>
      <c r="B197" s="1236" t="s">
        <v>768</v>
      </c>
      <c r="C197" s="1215"/>
      <c r="D197" s="1215" t="s">
        <v>535</v>
      </c>
      <c r="E197" s="1215" t="s">
        <v>535</v>
      </c>
      <c r="F197" s="1215" t="s">
        <v>535</v>
      </c>
      <c r="G197" s="1215" t="s">
        <v>535</v>
      </c>
      <c r="H197" s="1215" t="s">
        <v>535</v>
      </c>
      <c r="I197" s="1215"/>
      <c r="J197" s="1215"/>
      <c r="K197" s="1215" t="s">
        <v>535</v>
      </c>
      <c r="L197" s="1215" t="s">
        <v>535</v>
      </c>
      <c r="M197" s="1215" t="s">
        <v>535</v>
      </c>
      <c r="N197" s="1215" t="s">
        <v>535</v>
      </c>
      <c r="O197" s="1215" t="s">
        <v>535</v>
      </c>
      <c r="P197" s="1215"/>
      <c r="Q197" s="1215"/>
      <c r="R197" s="1215" t="s">
        <v>535</v>
      </c>
      <c r="S197" s="1215" t="s">
        <v>535</v>
      </c>
      <c r="T197" s="1215" t="s">
        <v>535</v>
      </c>
      <c r="U197" s="1215" t="s">
        <v>535</v>
      </c>
      <c r="V197" s="1215" t="s">
        <v>535</v>
      </c>
      <c r="W197" s="1215"/>
      <c r="X197" s="1215"/>
      <c r="Y197" s="1215" t="s">
        <v>535</v>
      </c>
      <c r="Z197" s="1215" t="s">
        <v>535</v>
      </c>
      <c r="AA197" s="1215" t="s">
        <v>535</v>
      </c>
      <c r="AB197" s="1215" t="s">
        <v>535</v>
      </c>
      <c r="AC197" s="1215" t="s">
        <v>535</v>
      </c>
      <c r="AD197" s="1215"/>
      <c r="AE197" s="1215"/>
      <c r="AF197" s="1215" t="s">
        <v>535</v>
      </c>
      <c r="AG197" s="1216"/>
      <c r="AH197" s="603">
        <v>97</v>
      </c>
      <c r="AI197" s="604">
        <v>37</v>
      </c>
    </row>
    <row r="198" spans="1:35" ht="21.95" customHeight="1">
      <c r="A198" s="620">
        <v>8500</v>
      </c>
      <c r="B198" s="1237" t="s">
        <v>151</v>
      </c>
      <c r="C198" s="1215"/>
      <c r="D198" s="1215" t="s">
        <v>535</v>
      </c>
      <c r="E198" s="1215" t="s">
        <v>535</v>
      </c>
      <c r="F198" s="1215" t="s">
        <v>535</v>
      </c>
      <c r="G198" s="1215" t="s">
        <v>535</v>
      </c>
      <c r="H198" s="1215" t="s">
        <v>535</v>
      </c>
      <c r="I198" s="1215"/>
      <c r="J198" s="1215"/>
      <c r="K198" s="1215" t="s">
        <v>535</v>
      </c>
      <c r="L198" s="1215" t="s">
        <v>535</v>
      </c>
      <c r="M198" s="1335" t="s">
        <v>535</v>
      </c>
      <c r="N198" s="1335" t="s">
        <v>535</v>
      </c>
      <c r="O198" s="1335" t="s">
        <v>535</v>
      </c>
      <c r="P198" s="1215"/>
      <c r="Q198" s="1215"/>
      <c r="R198" s="1338" t="s">
        <v>535</v>
      </c>
      <c r="S198" s="1338" t="s">
        <v>535</v>
      </c>
      <c r="T198" s="1338" t="s">
        <v>535</v>
      </c>
      <c r="U198" s="1338" t="s">
        <v>535</v>
      </c>
      <c r="V198" s="1338" t="s">
        <v>535</v>
      </c>
      <c r="W198" s="1215"/>
      <c r="X198" s="1215"/>
      <c r="Y198" s="1215" t="s">
        <v>535</v>
      </c>
      <c r="Z198" s="1215" t="s">
        <v>535</v>
      </c>
      <c r="AA198" s="1215" t="s">
        <v>535</v>
      </c>
      <c r="AB198" s="1215" t="s">
        <v>535</v>
      </c>
      <c r="AC198" s="1335" t="s">
        <v>535</v>
      </c>
      <c r="AD198" s="1215"/>
      <c r="AE198" s="1215"/>
      <c r="AF198" s="1215" t="s">
        <v>535</v>
      </c>
      <c r="AG198" s="1216"/>
      <c r="AH198" s="603">
        <v>74</v>
      </c>
      <c r="AI198" s="604">
        <v>37</v>
      </c>
    </row>
    <row r="199" spans="1:35" ht="21" customHeight="1">
      <c r="A199" s="442"/>
      <c r="B199" s="1236" t="s">
        <v>567</v>
      </c>
      <c r="C199" s="1215"/>
      <c r="D199" s="1215" t="s">
        <v>535</v>
      </c>
      <c r="E199" s="1215" t="s">
        <v>535</v>
      </c>
      <c r="F199" s="1215" t="s">
        <v>535</v>
      </c>
      <c r="G199" s="1338" t="s">
        <v>535</v>
      </c>
      <c r="H199" s="1338" t="s">
        <v>535</v>
      </c>
      <c r="I199" s="1215"/>
      <c r="J199" s="1215"/>
      <c r="K199" s="1370" t="s">
        <v>535</v>
      </c>
      <c r="L199" s="1370" t="s">
        <v>535</v>
      </c>
      <c r="M199" s="1370" t="s">
        <v>535</v>
      </c>
      <c r="N199" s="1370" t="s">
        <v>535</v>
      </c>
      <c r="O199" s="1370" t="s">
        <v>535</v>
      </c>
      <c r="P199" s="1215"/>
      <c r="Q199" s="1215"/>
      <c r="R199" s="1215" t="s">
        <v>535</v>
      </c>
      <c r="S199" s="1215" t="s">
        <v>535</v>
      </c>
      <c r="T199" s="1215" t="s">
        <v>535</v>
      </c>
      <c r="U199" s="1215" t="s">
        <v>535</v>
      </c>
      <c r="V199" s="1215" t="s">
        <v>535</v>
      </c>
      <c r="W199" s="1215"/>
      <c r="X199" s="1215"/>
      <c r="Y199" s="1215" t="s">
        <v>535</v>
      </c>
      <c r="Z199" s="1215" t="s">
        <v>535</v>
      </c>
      <c r="AA199" s="1215" t="s">
        <v>535</v>
      </c>
      <c r="AB199" s="1215" t="s">
        <v>535</v>
      </c>
      <c r="AC199" s="1215" t="s">
        <v>535</v>
      </c>
      <c r="AD199" s="1215"/>
      <c r="AE199" s="1215"/>
      <c r="AF199" s="1215" t="s">
        <v>535</v>
      </c>
      <c r="AG199" s="1216"/>
      <c r="AH199" s="603">
        <v>94</v>
      </c>
      <c r="AI199" s="604">
        <v>37</v>
      </c>
    </row>
    <row r="200" spans="1:35" ht="21" customHeight="1">
      <c r="A200" s="442">
        <v>8521</v>
      </c>
      <c r="B200" s="1236" t="s">
        <v>568</v>
      </c>
      <c r="C200" s="1215"/>
      <c r="D200" s="1215" t="s">
        <v>535</v>
      </c>
      <c r="E200" s="1215" t="s">
        <v>535</v>
      </c>
      <c r="F200" s="1215" t="s">
        <v>535</v>
      </c>
      <c r="G200" s="1215" t="s">
        <v>535</v>
      </c>
      <c r="H200" s="1215" t="s">
        <v>535</v>
      </c>
      <c r="I200" s="1215"/>
      <c r="J200" s="1215"/>
      <c r="K200" s="1215" t="s">
        <v>535</v>
      </c>
      <c r="L200" s="1215" t="s">
        <v>535</v>
      </c>
      <c r="M200" s="1215" t="s">
        <v>535</v>
      </c>
      <c r="N200" s="1215" t="s">
        <v>535</v>
      </c>
      <c r="O200" s="1215" t="s">
        <v>535</v>
      </c>
      <c r="P200" s="1215"/>
      <c r="Q200" s="1215"/>
      <c r="R200" s="1215" t="s">
        <v>535</v>
      </c>
      <c r="S200" s="1215" t="s">
        <v>535</v>
      </c>
      <c r="T200" s="1215" t="s">
        <v>535</v>
      </c>
      <c r="U200" s="1215" t="s">
        <v>535</v>
      </c>
      <c r="V200" s="1215" t="s">
        <v>535</v>
      </c>
      <c r="W200" s="1215"/>
      <c r="X200" s="1215"/>
      <c r="Y200" s="1392" t="s">
        <v>535</v>
      </c>
      <c r="Z200" s="1392" t="s">
        <v>749</v>
      </c>
      <c r="AA200" s="1215" t="s">
        <v>535</v>
      </c>
      <c r="AB200" s="1215" t="s">
        <v>535</v>
      </c>
      <c r="AC200" s="1215" t="s">
        <v>535</v>
      </c>
      <c r="AD200" s="1215"/>
      <c r="AE200" s="1215"/>
      <c r="AF200" s="1215" t="s">
        <v>535</v>
      </c>
      <c r="AG200" s="1216"/>
      <c r="AH200" s="603">
        <v>111</v>
      </c>
      <c r="AI200" s="604">
        <v>37</v>
      </c>
    </row>
    <row r="201" spans="1:35" ht="21" customHeight="1">
      <c r="A201" s="442"/>
      <c r="B201" s="1236"/>
      <c r="C201" s="1215"/>
      <c r="D201" s="1215" t="s">
        <v>535</v>
      </c>
      <c r="E201" s="1215" t="s">
        <v>535</v>
      </c>
      <c r="F201" s="1215" t="s">
        <v>535</v>
      </c>
      <c r="G201" s="1215" t="s">
        <v>535</v>
      </c>
      <c r="H201" s="1215" t="s">
        <v>535</v>
      </c>
      <c r="I201" s="1215"/>
      <c r="J201" s="1215"/>
      <c r="K201" s="1215" t="s">
        <v>535</v>
      </c>
      <c r="L201" s="1215" t="s">
        <v>535</v>
      </c>
      <c r="M201" s="1215" t="s">
        <v>535</v>
      </c>
      <c r="N201" s="1215" t="s">
        <v>535</v>
      </c>
      <c r="O201" s="1215" t="s">
        <v>535</v>
      </c>
      <c r="P201" s="1215"/>
      <c r="Q201" s="1215"/>
      <c r="R201" s="1215" t="s">
        <v>535</v>
      </c>
      <c r="S201" s="1215" t="s">
        <v>535</v>
      </c>
      <c r="T201" s="1215" t="s">
        <v>535</v>
      </c>
      <c r="U201" s="1215" t="s">
        <v>535</v>
      </c>
      <c r="V201" s="1215" t="s">
        <v>535</v>
      </c>
      <c r="W201" s="1215"/>
      <c r="X201" s="1215"/>
      <c r="Y201" s="1215" t="s">
        <v>535</v>
      </c>
      <c r="Z201" s="1215" t="s">
        <v>535</v>
      </c>
      <c r="AA201" s="1215" t="s">
        <v>535</v>
      </c>
      <c r="AB201" s="1215" t="s">
        <v>535</v>
      </c>
      <c r="AC201" s="1215" t="s">
        <v>535</v>
      </c>
      <c r="AD201" s="1215"/>
      <c r="AE201" s="1215"/>
      <c r="AF201" s="1215" t="s">
        <v>535</v>
      </c>
      <c r="AG201" s="1216"/>
      <c r="AH201" s="603">
        <v>185</v>
      </c>
      <c r="AI201" s="604">
        <v>37</v>
      </c>
    </row>
    <row r="202" spans="1:35" ht="21" customHeight="1">
      <c r="A202" s="442">
        <v>8514</v>
      </c>
      <c r="B202" s="1238" t="s">
        <v>569</v>
      </c>
      <c r="C202" s="1215"/>
      <c r="D202" s="1215" t="s">
        <v>535</v>
      </c>
      <c r="E202" s="1215" t="s">
        <v>535</v>
      </c>
      <c r="F202" s="1215" t="s">
        <v>535</v>
      </c>
      <c r="G202" s="1215" t="s">
        <v>535</v>
      </c>
      <c r="H202" s="1215" t="s">
        <v>535</v>
      </c>
      <c r="I202" s="1215"/>
      <c r="J202" s="1215"/>
      <c r="K202" s="1215" t="s">
        <v>535</v>
      </c>
      <c r="L202" s="1215" t="s">
        <v>535</v>
      </c>
      <c r="M202" s="1215" t="s">
        <v>535</v>
      </c>
      <c r="N202" s="1215" t="s">
        <v>535</v>
      </c>
      <c r="O202" s="1215" t="s">
        <v>535</v>
      </c>
      <c r="P202" s="1215"/>
      <c r="Q202" s="1215"/>
      <c r="R202" s="1215" t="s">
        <v>535</v>
      </c>
      <c r="S202" s="1215" t="s">
        <v>535</v>
      </c>
      <c r="T202" s="1215" t="s">
        <v>535</v>
      </c>
      <c r="U202" s="1215" t="s">
        <v>535</v>
      </c>
      <c r="V202" s="1215" t="s">
        <v>535</v>
      </c>
      <c r="W202" s="1215"/>
      <c r="X202" s="1215"/>
      <c r="Y202" s="1215" t="s">
        <v>535</v>
      </c>
      <c r="Z202" s="1215" t="s">
        <v>535</v>
      </c>
      <c r="AA202" s="1392" t="s">
        <v>535</v>
      </c>
      <c r="AB202" s="1392" t="s">
        <v>535</v>
      </c>
      <c r="AC202" s="1392" t="s">
        <v>749</v>
      </c>
      <c r="AD202" s="1215"/>
      <c r="AE202" s="1215"/>
      <c r="AF202" s="1335" t="s">
        <v>535</v>
      </c>
      <c r="AG202" s="1216"/>
      <c r="AH202" s="603">
        <v>74</v>
      </c>
      <c r="AI202" s="604">
        <v>37</v>
      </c>
    </row>
    <row r="203" spans="1:35" ht="21.95" customHeight="1">
      <c r="A203" s="442">
        <v>3701</v>
      </c>
      <c r="B203" s="545" t="s">
        <v>513</v>
      </c>
      <c r="C203" s="1215"/>
      <c r="D203" s="1215" t="s">
        <v>535</v>
      </c>
      <c r="E203" s="1215" t="s">
        <v>535</v>
      </c>
      <c r="F203" s="1215" t="s">
        <v>535</v>
      </c>
      <c r="G203" s="1215" t="s">
        <v>535</v>
      </c>
      <c r="H203" s="1215" t="s">
        <v>535</v>
      </c>
      <c r="I203" s="1215"/>
      <c r="J203" s="1215"/>
      <c r="K203" s="1215" t="s">
        <v>535</v>
      </c>
      <c r="L203" s="1215" t="s">
        <v>535</v>
      </c>
      <c r="M203" s="1215" t="s">
        <v>535</v>
      </c>
      <c r="N203" s="1215" t="s">
        <v>535</v>
      </c>
      <c r="O203" s="1215" t="s">
        <v>535</v>
      </c>
      <c r="P203" s="1215"/>
      <c r="Q203" s="1215"/>
      <c r="R203" s="1335" t="s">
        <v>535</v>
      </c>
      <c r="S203" s="1335" t="s">
        <v>535</v>
      </c>
      <c r="T203" s="1335" t="s">
        <v>535</v>
      </c>
      <c r="U203" s="1335" t="s">
        <v>535</v>
      </c>
      <c r="V203" s="1335" t="s">
        <v>535</v>
      </c>
      <c r="W203" s="1215"/>
      <c r="X203" s="1215"/>
      <c r="Y203" s="1215" t="s">
        <v>535</v>
      </c>
      <c r="Z203" s="1215" t="s">
        <v>535</v>
      </c>
      <c r="AA203" s="1215" t="s">
        <v>535</v>
      </c>
      <c r="AB203" s="1215" t="s">
        <v>535</v>
      </c>
      <c r="AC203" s="1215" t="s">
        <v>535</v>
      </c>
      <c r="AD203" s="1215"/>
      <c r="AE203" s="1215"/>
      <c r="AF203" s="1215" t="s">
        <v>535</v>
      </c>
      <c r="AG203" s="1216"/>
      <c r="AH203" s="603">
        <v>37</v>
      </c>
      <c r="AI203" s="604">
        <v>37</v>
      </c>
    </row>
    <row r="204" spans="1:35" ht="21.95" customHeight="1">
      <c r="A204" s="442">
        <v>3701</v>
      </c>
      <c r="B204" s="1236" t="s">
        <v>345</v>
      </c>
      <c r="C204" s="1215"/>
      <c r="D204" s="1215" t="s">
        <v>535</v>
      </c>
      <c r="E204" s="1215" t="s">
        <v>535</v>
      </c>
      <c r="F204" s="1215" t="s">
        <v>535</v>
      </c>
      <c r="G204" s="1215" t="s">
        <v>535</v>
      </c>
      <c r="H204" s="1215" t="s">
        <v>535</v>
      </c>
      <c r="I204" s="1215"/>
      <c r="J204" s="1215"/>
      <c r="K204" s="1215" t="s">
        <v>535</v>
      </c>
      <c r="L204" s="1215" t="s">
        <v>535</v>
      </c>
      <c r="M204" s="1215" t="s">
        <v>535</v>
      </c>
      <c r="N204" s="1215" t="s">
        <v>535</v>
      </c>
      <c r="O204" s="1215" t="s">
        <v>535</v>
      </c>
      <c r="P204" s="1215"/>
      <c r="Q204" s="1215"/>
      <c r="R204" s="1215" t="s">
        <v>535</v>
      </c>
      <c r="S204" s="1215" t="s">
        <v>535</v>
      </c>
      <c r="T204" s="1215" t="s">
        <v>535</v>
      </c>
      <c r="U204" s="1215" t="s">
        <v>535</v>
      </c>
      <c r="V204" s="1215" t="s">
        <v>535</v>
      </c>
      <c r="W204" s="1215"/>
      <c r="X204" s="1215"/>
      <c r="Y204" s="1215" t="s">
        <v>535</v>
      </c>
      <c r="Z204" s="1215" t="s">
        <v>535</v>
      </c>
      <c r="AA204" s="1500" t="s">
        <v>514</v>
      </c>
      <c r="AB204" s="1215" t="s">
        <v>535</v>
      </c>
      <c r="AC204" s="1215" t="s">
        <v>535</v>
      </c>
      <c r="AD204" s="1215"/>
      <c r="AE204" s="1215"/>
      <c r="AF204" s="1215" t="s">
        <v>535</v>
      </c>
      <c r="AG204" s="1216"/>
      <c r="AH204" s="603">
        <v>44</v>
      </c>
      <c r="AI204" s="604">
        <v>37</v>
      </c>
    </row>
    <row r="205" spans="1:35" ht="21.95" customHeight="1">
      <c r="A205" s="442">
        <v>3701</v>
      </c>
      <c r="B205" s="1236" t="s">
        <v>348</v>
      </c>
      <c r="C205" s="1215"/>
      <c r="D205" s="1215" t="s">
        <v>535</v>
      </c>
      <c r="E205" s="1215" t="s">
        <v>535</v>
      </c>
      <c r="F205" s="1215" t="s">
        <v>535</v>
      </c>
      <c r="G205" s="1215" t="s">
        <v>535</v>
      </c>
      <c r="H205" s="1215" t="s">
        <v>535</v>
      </c>
      <c r="I205" s="1215"/>
      <c r="J205" s="1215"/>
      <c r="K205" s="1215" t="s">
        <v>535</v>
      </c>
      <c r="L205" s="1215" t="s">
        <v>535</v>
      </c>
      <c r="M205" s="1215" t="s">
        <v>535</v>
      </c>
      <c r="N205" s="1215" t="s">
        <v>535</v>
      </c>
      <c r="O205" s="1215" t="s">
        <v>535</v>
      </c>
      <c r="P205" s="1215"/>
      <c r="Q205" s="1215"/>
      <c r="R205" s="1215">
        <v>19</v>
      </c>
      <c r="S205" s="1215">
        <v>19</v>
      </c>
      <c r="T205" s="1215">
        <v>19</v>
      </c>
      <c r="U205" s="1215">
        <v>19</v>
      </c>
      <c r="V205" s="1215">
        <v>19</v>
      </c>
      <c r="W205" s="1215"/>
      <c r="X205" s="1215"/>
      <c r="Y205" s="1215" t="s">
        <v>535</v>
      </c>
      <c r="Z205" s="1215" t="s">
        <v>535</v>
      </c>
      <c r="AA205" s="1500" t="s">
        <v>514</v>
      </c>
      <c r="AB205" s="1215" t="s">
        <v>535</v>
      </c>
      <c r="AC205" s="1346" t="s">
        <v>535</v>
      </c>
      <c r="AD205" s="1215"/>
      <c r="AE205" s="1215"/>
      <c r="AF205" s="1335" t="s">
        <v>535</v>
      </c>
      <c r="AG205" s="1216"/>
      <c r="AH205" s="603">
        <v>82</v>
      </c>
      <c r="AI205" s="604">
        <v>37</v>
      </c>
    </row>
    <row r="206" spans="1:35" ht="21.95" customHeight="1">
      <c r="A206" s="442">
        <v>3701</v>
      </c>
      <c r="B206" s="1236" t="s">
        <v>350</v>
      </c>
      <c r="C206" s="1215"/>
      <c r="D206" s="1215" t="s">
        <v>535</v>
      </c>
      <c r="E206" s="1215" t="s">
        <v>535</v>
      </c>
      <c r="F206" s="1215" t="s">
        <v>535</v>
      </c>
      <c r="G206" s="1215" t="s">
        <v>535</v>
      </c>
      <c r="H206" s="1215" t="s">
        <v>535</v>
      </c>
      <c r="I206" s="1215"/>
      <c r="J206" s="1215"/>
      <c r="K206" s="1358" t="s">
        <v>535</v>
      </c>
      <c r="L206" s="1358" t="s">
        <v>535</v>
      </c>
      <c r="M206" s="1358" t="s">
        <v>535</v>
      </c>
      <c r="N206" s="1358" t="s">
        <v>535</v>
      </c>
      <c r="O206" s="1358" t="s">
        <v>535</v>
      </c>
      <c r="P206" s="1358"/>
      <c r="Q206" s="1358"/>
      <c r="R206" s="1215" t="s">
        <v>535</v>
      </c>
      <c r="S206" s="1215" t="s">
        <v>535</v>
      </c>
      <c r="T206" s="1215" t="s">
        <v>535</v>
      </c>
      <c r="U206" s="1215" t="s">
        <v>535</v>
      </c>
      <c r="V206" s="1215" t="s">
        <v>535</v>
      </c>
      <c r="W206" s="1215"/>
      <c r="X206" s="1215"/>
      <c r="Y206" s="1215" t="s">
        <v>535</v>
      </c>
      <c r="Z206" s="1215" t="s">
        <v>535</v>
      </c>
      <c r="AA206" s="1215" t="s">
        <v>535</v>
      </c>
      <c r="AB206" s="1215" t="s">
        <v>535</v>
      </c>
      <c r="AC206" s="1215" t="s">
        <v>535</v>
      </c>
      <c r="AD206" s="1215"/>
      <c r="AE206" s="1215"/>
      <c r="AF206" s="1215" t="s">
        <v>535</v>
      </c>
      <c r="AG206" s="1216"/>
      <c r="AH206" s="603">
        <v>82</v>
      </c>
      <c r="AI206" s="604">
        <v>37</v>
      </c>
    </row>
    <row r="207" spans="1:35" ht="21.95" customHeight="1">
      <c r="A207" s="442">
        <v>3701</v>
      </c>
      <c r="B207" s="1236" t="s">
        <v>351</v>
      </c>
      <c r="C207" s="1215"/>
      <c r="D207" s="1335" t="s">
        <v>535</v>
      </c>
      <c r="E207" s="1215" t="s">
        <v>535</v>
      </c>
      <c r="F207" s="1215" t="s">
        <v>535</v>
      </c>
      <c r="G207" s="1215" t="s">
        <v>535</v>
      </c>
      <c r="H207" s="1215" t="s">
        <v>535</v>
      </c>
      <c r="I207" s="1215"/>
      <c r="J207" s="1215"/>
      <c r="K207" s="1215">
        <v>19</v>
      </c>
      <c r="L207" s="1215">
        <v>19</v>
      </c>
      <c r="M207" s="1215">
        <v>19</v>
      </c>
      <c r="N207" s="1215">
        <v>19</v>
      </c>
      <c r="O207" s="1215">
        <v>19</v>
      </c>
      <c r="P207" s="1215"/>
      <c r="Q207" s="1215"/>
      <c r="R207" s="1215" t="s">
        <v>535</v>
      </c>
      <c r="S207" s="1215" t="s">
        <v>535</v>
      </c>
      <c r="T207" s="1215" t="s">
        <v>535</v>
      </c>
      <c r="U207" s="1215" t="s">
        <v>535</v>
      </c>
      <c r="V207" s="1215" t="s">
        <v>535</v>
      </c>
      <c r="W207" s="1215"/>
      <c r="X207" s="1215"/>
      <c r="Y207" s="1215" t="s">
        <v>535</v>
      </c>
      <c r="Z207" s="1215" t="s">
        <v>535</v>
      </c>
      <c r="AA207" s="1215" t="s">
        <v>535</v>
      </c>
      <c r="AB207" s="1215" t="s">
        <v>535</v>
      </c>
      <c r="AC207" s="1215" t="s">
        <v>535</v>
      </c>
      <c r="AD207" s="1215"/>
      <c r="AE207" s="1215"/>
      <c r="AF207" s="1215" t="s">
        <v>535</v>
      </c>
      <c r="AG207" s="1216"/>
      <c r="AH207" s="603">
        <v>39</v>
      </c>
      <c r="AI207" s="604">
        <v>37</v>
      </c>
    </row>
    <row r="208" spans="1:35" ht="21.95" customHeight="1">
      <c r="A208" s="442">
        <v>3701</v>
      </c>
      <c r="B208" s="1236" t="s">
        <v>571</v>
      </c>
      <c r="C208" s="1215"/>
      <c r="D208" s="1392" t="s">
        <v>570</v>
      </c>
      <c r="E208" s="1344" t="s">
        <v>535</v>
      </c>
      <c r="F208" s="1344" t="s">
        <v>535</v>
      </c>
      <c r="G208" s="1344" t="s">
        <v>535</v>
      </c>
      <c r="H208" s="1344" t="s">
        <v>535</v>
      </c>
      <c r="I208" s="1215"/>
      <c r="J208" s="1215"/>
      <c r="K208" s="1215" t="s">
        <v>535</v>
      </c>
      <c r="L208" s="1215" t="s">
        <v>535</v>
      </c>
      <c r="M208" s="1215" t="s">
        <v>535</v>
      </c>
      <c r="N208" s="1215" t="s">
        <v>535</v>
      </c>
      <c r="O208" s="1215" t="s">
        <v>535</v>
      </c>
      <c r="P208" s="1215"/>
      <c r="Q208" s="1215"/>
      <c r="R208" s="1215" t="s">
        <v>535</v>
      </c>
      <c r="S208" s="1215" t="s">
        <v>535</v>
      </c>
      <c r="T208" s="1215" t="s">
        <v>535</v>
      </c>
      <c r="U208" s="1215" t="s">
        <v>535</v>
      </c>
      <c r="V208" s="1215" t="s">
        <v>535</v>
      </c>
      <c r="W208" s="1215"/>
      <c r="X208" s="1215"/>
      <c r="Y208" s="1215">
        <v>19</v>
      </c>
      <c r="Z208" s="1215">
        <v>19</v>
      </c>
      <c r="AA208" s="1215">
        <v>19</v>
      </c>
      <c r="AB208" s="1215">
        <v>19</v>
      </c>
      <c r="AC208" s="1215">
        <v>19</v>
      </c>
      <c r="AD208" s="1215"/>
      <c r="AE208" s="1215"/>
      <c r="AF208" s="1215" t="s">
        <v>535</v>
      </c>
      <c r="AG208" s="1216"/>
      <c r="AH208" s="603">
        <v>45</v>
      </c>
      <c r="AI208" s="604">
        <v>37</v>
      </c>
    </row>
    <row r="209" spans="1:35" ht="21.95" customHeight="1">
      <c r="A209" s="442">
        <v>3701</v>
      </c>
      <c r="B209" s="545" t="s">
        <v>572</v>
      </c>
      <c r="C209" s="1215"/>
      <c r="D209" s="1215">
        <v>19</v>
      </c>
      <c r="E209" s="1215">
        <v>19</v>
      </c>
      <c r="F209" s="1215">
        <v>19</v>
      </c>
      <c r="G209" s="1215">
        <v>19</v>
      </c>
      <c r="H209" s="1215">
        <v>19</v>
      </c>
      <c r="I209" s="1215"/>
      <c r="J209" s="1215"/>
      <c r="K209" s="1215" t="s">
        <v>535</v>
      </c>
      <c r="L209" s="1215" t="s">
        <v>535</v>
      </c>
      <c r="M209" s="1215" t="s">
        <v>535</v>
      </c>
      <c r="N209" s="1215" t="s">
        <v>535</v>
      </c>
      <c r="O209" s="1215" t="s">
        <v>535</v>
      </c>
      <c r="P209" s="1215"/>
      <c r="Q209" s="1215"/>
      <c r="R209" s="1215" t="s">
        <v>535</v>
      </c>
      <c r="S209" s="1215" t="s">
        <v>535</v>
      </c>
      <c r="T209" s="1215" t="s">
        <v>535</v>
      </c>
      <c r="U209" s="1215" t="s">
        <v>535</v>
      </c>
      <c r="V209" s="1215" t="s">
        <v>535</v>
      </c>
      <c r="W209" s="1215"/>
      <c r="X209" s="1215"/>
      <c r="Y209" s="1215" t="s">
        <v>535</v>
      </c>
      <c r="Z209" s="1215" t="s">
        <v>535</v>
      </c>
      <c r="AA209" s="1579" t="s">
        <v>535</v>
      </c>
      <c r="AB209" s="1215" t="s">
        <v>535</v>
      </c>
      <c r="AC209" s="1215" t="s">
        <v>535</v>
      </c>
      <c r="AD209" s="1215"/>
      <c r="AE209" s="1215"/>
      <c r="AF209" s="1215" t="s">
        <v>535</v>
      </c>
      <c r="AG209" s="1216"/>
      <c r="AH209" s="603">
        <v>74</v>
      </c>
      <c r="AI209" s="604">
        <v>37</v>
      </c>
    </row>
    <row r="210" spans="1:35" ht="21.95" customHeight="1">
      <c r="A210" s="1318">
        <v>3701</v>
      </c>
      <c r="B210" s="1319" t="s">
        <v>573</v>
      </c>
      <c r="C210" s="1215"/>
      <c r="D210" s="1215" t="s">
        <v>535</v>
      </c>
      <c r="E210" s="1215" t="s">
        <v>535</v>
      </c>
      <c r="F210" s="1215" t="s">
        <v>535</v>
      </c>
      <c r="G210" s="1215" t="s">
        <v>535</v>
      </c>
      <c r="H210" s="1215" t="s">
        <v>535</v>
      </c>
      <c r="I210" s="1215"/>
      <c r="J210" s="1215"/>
      <c r="K210" s="1358" t="s">
        <v>535</v>
      </c>
      <c r="L210" s="1358" t="s">
        <v>535</v>
      </c>
      <c r="M210" s="1358" t="s">
        <v>535</v>
      </c>
      <c r="N210" s="1358" t="s">
        <v>535</v>
      </c>
      <c r="O210" s="1358" t="s">
        <v>535</v>
      </c>
      <c r="P210" s="1358"/>
      <c r="Q210" s="1358"/>
      <c r="R210" s="1215" t="s">
        <v>535</v>
      </c>
      <c r="S210" s="1215" t="s">
        <v>535</v>
      </c>
      <c r="T210" s="1215" t="s">
        <v>535</v>
      </c>
      <c r="U210" s="1215" t="s">
        <v>535</v>
      </c>
      <c r="V210" s="1215" t="s">
        <v>535</v>
      </c>
      <c r="W210" s="1215"/>
      <c r="X210" s="1215"/>
      <c r="Y210" s="1215" t="s">
        <v>535</v>
      </c>
      <c r="Z210" s="1215" t="s">
        <v>535</v>
      </c>
      <c r="AA210" s="1500" t="s">
        <v>514</v>
      </c>
      <c r="AB210" s="1215" t="s">
        <v>535</v>
      </c>
      <c r="AC210" s="1215" t="s">
        <v>535</v>
      </c>
      <c r="AD210" s="1215"/>
      <c r="AE210" s="1215"/>
      <c r="AF210" s="1215">
        <v>19</v>
      </c>
      <c r="AG210" s="1216"/>
      <c r="AH210" s="603">
        <v>87</v>
      </c>
      <c r="AI210" s="604">
        <v>37</v>
      </c>
    </row>
    <row r="211" spans="1:35" ht="21.95" customHeight="1">
      <c r="A211" s="442">
        <v>3701</v>
      </c>
      <c r="B211" s="1236" t="s">
        <v>574</v>
      </c>
      <c r="C211" s="1215"/>
      <c r="D211" s="1215" t="s">
        <v>535</v>
      </c>
      <c r="E211" s="1215" t="s">
        <v>535</v>
      </c>
      <c r="F211" s="1215" t="s">
        <v>535</v>
      </c>
      <c r="G211" s="1215" t="s">
        <v>535</v>
      </c>
      <c r="H211" s="1215" t="s">
        <v>535</v>
      </c>
      <c r="I211" s="1215"/>
      <c r="J211" s="1215"/>
      <c r="K211" s="1215" t="s">
        <v>535</v>
      </c>
      <c r="L211" s="1215" t="s">
        <v>535</v>
      </c>
      <c r="M211" s="1215" t="s">
        <v>535</v>
      </c>
      <c r="N211" s="1215" t="s">
        <v>535</v>
      </c>
      <c r="O211" s="1215" t="s">
        <v>535</v>
      </c>
      <c r="P211" s="1215"/>
      <c r="Q211" s="1215"/>
      <c r="R211" s="1215" t="s">
        <v>535</v>
      </c>
      <c r="S211" s="1215" t="s">
        <v>535</v>
      </c>
      <c r="T211" s="1215" t="s">
        <v>535</v>
      </c>
      <c r="U211" s="1215" t="s">
        <v>535</v>
      </c>
      <c r="V211" s="1215" t="s">
        <v>535</v>
      </c>
      <c r="W211" s="1215"/>
      <c r="X211" s="1215"/>
      <c r="Y211" s="1215" t="s">
        <v>535</v>
      </c>
      <c r="Z211" s="1215" t="s">
        <v>535</v>
      </c>
      <c r="AA211" s="1500" t="s">
        <v>514</v>
      </c>
      <c r="AB211" s="1215" t="s">
        <v>535</v>
      </c>
      <c r="AC211" s="1215" t="s">
        <v>535</v>
      </c>
      <c r="AD211" s="1215"/>
      <c r="AE211" s="1215"/>
      <c r="AF211" s="1215" t="s">
        <v>535</v>
      </c>
      <c r="AG211" s="1216"/>
      <c r="AH211" s="603">
        <v>74</v>
      </c>
      <c r="AI211" s="604">
        <v>37</v>
      </c>
    </row>
    <row r="212" spans="1:35" ht="21.95" customHeight="1">
      <c r="A212" s="442">
        <v>3701</v>
      </c>
      <c r="B212" s="1239" t="s">
        <v>575</v>
      </c>
      <c r="C212" s="1215"/>
      <c r="D212" s="1215" t="s">
        <v>535</v>
      </c>
      <c r="E212" s="1215" t="s">
        <v>535</v>
      </c>
      <c r="F212" s="1215" t="s">
        <v>535</v>
      </c>
      <c r="G212" s="1215" t="s">
        <v>535</v>
      </c>
      <c r="H212" s="1215" t="s">
        <v>535</v>
      </c>
      <c r="I212" s="1215"/>
      <c r="J212" s="1215"/>
      <c r="K212" s="1215" t="s">
        <v>535</v>
      </c>
      <c r="L212" s="1215" t="s">
        <v>535</v>
      </c>
      <c r="M212" s="1215" t="s">
        <v>535</v>
      </c>
      <c r="N212" s="1215" t="s">
        <v>535</v>
      </c>
      <c r="O212" s="1215" t="s">
        <v>535</v>
      </c>
      <c r="P212" s="1215"/>
      <c r="Q212" s="1215"/>
      <c r="R212" s="1215" t="s">
        <v>535</v>
      </c>
      <c r="S212" s="1215" t="s">
        <v>535</v>
      </c>
      <c r="T212" s="1215" t="s">
        <v>535</v>
      </c>
      <c r="U212" s="1215" t="s">
        <v>535</v>
      </c>
      <c r="V212" s="1215" t="s">
        <v>535</v>
      </c>
      <c r="W212" s="1215"/>
      <c r="X212" s="1215"/>
      <c r="Y212" s="1215" t="s">
        <v>535</v>
      </c>
      <c r="Z212" s="1215" t="s">
        <v>535</v>
      </c>
      <c r="AA212" s="1215" t="s">
        <v>535</v>
      </c>
      <c r="AB212" s="1215" t="s">
        <v>535</v>
      </c>
      <c r="AC212" s="1215" t="s">
        <v>535</v>
      </c>
      <c r="AD212" s="1215"/>
      <c r="AE212" s="1215"/>
      <c r="AF212" s="1215" t="s">
        <v>535</v>
      </c>
      <c r="AG212" s="1216"/>
      <c r="AH212" s="603">
        <v>87</v>
      </c>
      <c r="AI212" s="604">
        <v>37</v>
      </c>
    </row>
    <row r="213" spans="1:35" ht="21.95" customHeight="1">
      <c r="A213" s="442">
        <v>3701</v>
      </c>
      <c r="B213" s="1240" t="s">
        <v>576</v>
      </c>
      <c r="C213" s="1544"/>
      <c r="D213" s="1338" t="s">
        <v>535</v>
      </c>
      <c r="E213" s="1338" t="s">
        <v>535</v>
      </c>
      <c r="F213" s="1338" t="s">
        <v>535</v>
      </c>
      <c r="G213" s="1338" t="s">
        <v>535</v>
      </c>
      <c r="H213" s="1338" t="s">
        <v>535</v>
      </c>
      <c r="I213" s="1338"/>
      <c r="J213" s="1338"/>
      <c r="K213" s="1215" t="s">
        <v>535</v>
      </c>
      <c r="L213" s="1215" t="s">
        <v>535</v>
      </c>
      <c r="M213" s="1215" t="s">
        <v>535</v>
      </c>
      <c r="N213" s="1215" t="s">
        <v>535</v>
      </c>
      <c r="O213" s="1215" t="s">
        <v>535</v>
      </c>
      <c r="P213" s="1215"/>
      <c r="Q213" s="1215"/>
      <c r="R213" s="1215" t="s">
        <v>535</v>
      </c>
      <c r="S213" s="1215" t="s">
        <v>535</v>
      </c>
      <c r="T213" s="1215" t="s">
        <v>535</v>
      </c>
      <c r="U213" s="1215" t="s">
        <v>535</v>
      </c>
      <c r="V213" s="1215" t="s">
        <v>535</v>
      </c>
      <c r="W213" s="1215"/>
      <c r="X213" s="1215"/>
      <c r="Y213" s="1215" t="s">
        <v>535</v>
      </c>
      <c r="Z213" s="1215" t="s">
        <v>535</v>
      </c>
      <c r="AA213" s="1500" t="s">
        <v>514</v>
      </c>
      <c r="AB213" s="1215" t="s">
        <v>535</v>
      </c>
      <c r="AC213" s="1215" t="s">
        <v>535</v>
      </c>
      <c r="AD213" s="1215"/>
      <c r="AE213" s="1215"/>
      <c r="AF213" s="1215" t="s">
        <v>535</v>
      </c>
      <c r="AG213" s="1229"/>
      <c r="AH213" s="603">
        <v>148</v>
      </c>
      <c r="AI213" s="604">
        <v>37</v>
      </c>
    </row>
    <row r="214" spans="1:35" ht="21.95" customHeight="1">
      <c r="A214" s="903">
        <v>3701</v>
      </c>
      <c r="B214" s="1240"/>
      <c r="C214" s="1229"/>
      <c r="D214" s="1229"/>
      <c r="E214" s="1229"/>
      <c r="F214" s="1229"/>
      <c r="G214" s="1229"/>
      <c r="H214" s="1229"/>
      <c r="I214" s="1229"/>
      <c r="J214" s="1229"/>
      <c r="K214" s="1229"/>
      <c r="L214" s="1229"/>
      <c r="M214" s="1229"/>
      <c r="N214" s="1229"/>
      <c r="O214" s="1229"/>
      <c r="P214" s="1229"/>
      <c r="Q214" s="1229"/>
      <c r="R214" s="1229"/>
      <c r="S214" s="1229"/>
      <c r="T214" s="1229"/>
      <c r="U214" s="1229"/>
      <c r="V214" s="1229"/>
      <c r="W214" s="1229"/>
      <c r="X214" s="1229"/>
      <c r="Y214" s="1229"/>
      <c r="Z214" s="1229"/>
      <c r="AA214" s="1229"/>
      <c r="AB214" s="1229"/>
      <c r="AC214" s="1229"/>
      <c r="AD214" s="1229"/>
      <c r="AE214" s="1229"/>
      <c r="AF214" s="1229"/>
      <c r="AG214" s="1229"/>
      <c r="AH214" s="904"/>
      <c r="AI214" s="904"/>
    </row>
    <row r="215" spans="1:35" ht="21.95" customHeight="1">
      <c r="A215" s="578"/>
      <c r="B215" s="621"/>
      <c r="C215" s="559"/>
      <c r="D215" s="559"/>
      <c r="E215" s="559"/>
      <c r="F215" s="559"/>
      <c r="G215" s="559"/>
      <c r="H215" s="559"/>
      <c r="I215" s="559"/>
      <c r="J215" s="559"/>
      <c r="K215" s="520"/>
      <c r="L215" s="559"/>
      <c r="M215" s="559"/>
      <c r="N215" s="559"/>
      <c r="O215" s="559"/>
      <c r="P215" s="541"/>
      <c r="Q215" s="541"/>
      <c r="R215" s="541"/>
      <c r="S215" s="559"/>
      <c r="T215" s="559"/>
      <c r="U215" s="559"/>
      <c r="V215" s="559"/>
      <c r="W215" s="559"/>
      <c r="X215" s="559"/>
      <c r="Y215" s="559"/>
      <c r="Z215" s="559"/>
      <c r="AA215" s="559"/>
      <c r="AB215" s="559"/>
      <c r="AC215" s="559"/>
      <c r="AD215" s="559"/>
      <c r="AE215" s="559"/>
      <c r="AF215" s="559"/>
      <c r="AG215" s="559"/>
      <c r="AH215" s="560"/>
      <c r="AI215" s="560"/>
    </row>
    <row r="216" spans="1:35" ht="21" customHeight="1" thickBot="1">
      <c r="A216" s="1" t="s">
        <v>577</v>
      </c>
    </row>
    <row r="217" spans="1:35" ht="21" customHeight="1">
      <c r="B217" s="201" t="s">
        <v>516</v>
      </c>
      <c r="C217" s="7"/>
      <c r="D217" s="525" t="s">
        <v>2</v>
      </c>
      <c r="E217" s="51"/>
      <c r="F217" s="551"/>
      <c r="G217" s="7"/>
      <c r="H217" s="525" t="s">
        <v>3</v>
      </c>
      <c r="I217" s="51"/>
      <c r="J217" s="551"/>
      <c r="K217" s="7"/>
      <c r="L217" s="525" t="s">
        <v>4</v>
      </c>
      <c r="M217" s="51"/>
      <c r="N217" s="551"/>
      <c r="O217" s="7"/>
      <c r="P217" s="525" t="s">
        <v>5</v>
      </c>
      <c r="Q217" s="51"/>
      <c r="R217" s="551"/>
      <c r="S217" s="7"/>
      <c r="T217" s="525" t="s">
        <v>6</v>
      </c>
      <c r="U217" s="51"/>
      <c r="V217" s="551"/>
      <c r="W217" s="7"/>
      <c r="X217" s="525" t="s">
        <v>7</v>
      </c>
      <c r="Y217" s="51"/>
      <c r="Z217" s="551"/>
      <c r="AA217" s="7"/>
      <c r="AB217" s="525" t="s">
        <v>8</v>
      </c>
      <c r="AC217" s="51"/>
      <c r="AD217" s="51"/>
      <c r="AE217" s="425" t="s">
        <v>10</v>
      </c>
      <c r="AF217" s="51"/>
      <c r="AG217" s="51"/>
      <c r="AH217" s="51"/>
      <c r="AI217" s="526"/>
    </row>
    <row r="218" spans="1:35" ht="21" customHeight="1">
      <c r="B218" s="9">
        <v>8502</v>
      </c>
      <c r="C218" s="14" t="s">
        <v>11</v>
      </c>
      <c r="D218" s="609"/>
      <c r="E218" s="55"/>
      <c r="F218" s="608"/>
      <c r="G218" s="14" t="s">
        <v>11</v>
      </c>
      <c r="H218" s="609"/>
      <c r="I218" s="55"/>
      <c r="J218" s="608"/>
      <c r="K218" s="14" t="s">
        <v>11</v>
      </c>
      <c r="L218" s="609"/>
      <c r="M218" s="55"/>
      <c r="N218" s="608"/>
      <c r="O218" s="14" t="s">
        <v>11</v>
      </c>
      <c r="P218" s="609"/>
      <c r="Q218" s="55"/>
      <c r="R218" s="608"/>
      <c r="S218" s="14" t="s">
        <v>12</v>
      </c>
      <c r="T218" s="609"/>
      <c r="U218" s="55"/>
      <c r="V218" s="608"/>
      <c r="W218" s="14"/>
      <c r="X218" s="609"/>
      <c r="Y218" s="55"/>
      <c r="Z218" s="608"/>
      <c r="AA218" s="14"/>
      <c r="AB218" s="609"/>
      <c r="AC218" s="55"/>
      <c r="AD218" s="55"/>
      <c r="AE218" s="610"/>
      <c r="AF218" s="55"/>
      <c r="AG218" s="55"/>
      <c r="AH218" s="55"/>
      <c r="AI218" s="611"/>
    </row>
    <row r="219" spans="1:35" ht="21" customHeight="1">
      <c r="B219" s="612">
        <v>3701</v>
      </c>
      <c r="C219" s="121" t="s">
        <v>11</v>
      </c>
      <c r="D219" s="131"/>
      <c r="E219" s="55"/>
      <c r="F219" s="608"/>
      <c r="G219" s="121" t="s">
        <v>11</v>
      </c>
      <c r="H219" s="609"/>
      <c r="I219" s="55"/>
      <c r="J219" s="608"/>
      <c r="K219" s="121" t="s">
        <v>11</v>
      </c>
      <c r="L219" s="609"/>
      <c r="M219" s="55"/>
      <c r="N219" s="608"/>
      <c r="O219" s="121" t="s">
        <v>11</v>
      </c>
      <c r="P219" s="609"/>
      <c r="Q219" s="55"/>
      <c r="R219" s="608"/>
      <c r="S219" s="14" t="s">
        <v>12</v>
      </c>
      <c r="T219" s="609"/>
      <c r="U219" s="55"/>
      <c r="V219" s="608"/>
      <c r="W219" s="14"/>
      <c r="X219" s="609"/>
      <c r="Y219" s="55"/>
      <c r="Z219" s="608"/>
      <c r="AA219" s="14"/>
      <c r="AB219" s="609"/>
      <c r="AC219" s="55"/>
      <c r="AD219" s="55"/>
      <c r="AE219" s="610"/>
      <c r="AF219" s="55"/>
      <c r="AG219" s="55"/>
      <c r="AH219" s="55"/>
      <c r="AI219" s="611"/>
    </row>
    <row r="220" spans="1:35" ht="21" customHeight="1">
      <c r="B220" s="612">
        <v>3705</v>
      </c>
      <c r="C220" s="121" t="s">
        <v>147</v>
      </c>
      <c r="D220" s="131"/>
      <c r="E220" s="55"/>
      <c r="F220" s="608"/>
      <c r="G220" s="121" t="s">
        <v>147</v>
      </c>
      <c r="H220" s="609"/>
      <c r="I220" s="55"/>
      <c r="J220" s="608"/>
      <c r="K220" s="121" t="s">
        <v>147</v>
      </c>
      <c r="L220" s="609"/>
      <c r="M220" s="55"/>
      <c r="N220" s="608"/>
      <c r="O220" s="121" t="s">
        <v>147</v>
      </c>
      <c r="P220" s="609"/>
      <c r="Q220" s="55"/>
      <c r="R220" s="608"/>
      <c r="S220" s="121" t="s">
        <v>578</v>
      </c>
      <c r="T220" s="609"/>
      <c r="U220" s="55"/>
      <c r="V220" s="608"/>
      <c r="W220" s="14"/>
      <c r="X220" s="609"/>
      <c r="Y220" s="55"/>
      <c r="Z220" s="608"/>
      <c r="AA220" s="14"/>
      <c r="AB220" s="609"/>
      <c r="AC220" s="55"/>
      <c r="AD220" s="55"/>
      <c r="AE220" s="610"/>
      <c r="AF220" s="55"/>
      <c r="AG220" s="55"/>
      <c r="AH220" s="55"/>
      <c r="AI220" s="611"/>
    </row>
    <row r="221" spans="1:35" ht="21" customHeight="1">
      <c r="B221" s="612" t="s">
        <v>579</v>
      </c>
      <c r="C221" s="567" t="s">
        <v>580</v>
      </c>
      <c r="D221" s="131"/>
      <c r="E221" s="55"/>
      <c r="F221" s="608"/>
      <c r="G221" s="567" t="s">
        <v>580</v>
      </c>
      <c r="H221" s="609"/>
      <c r="I221" s="55"/>
      <c r="J221" s="608"/>
      <c r="K221" s="567" t="s">
        <v>580</v>
      </c>
      <c r="L221" s="609"/>
      <c r="M221" s="55"/>
      <c r="N221" s="608"/>
      <c r="O221" s="567" t="s">
        <v>580</v>
      </c>
      <c r="P221" s="609"/>
      <c r="Q221" s="55"/>
      <c r="R221" s="608"/>
      <c r="S221" s="567" t="s">
        <v>580</v>
      </c>
      <c r="T221" s="609"/>
      <c r="U221" s="55"/>
      <c r="V221" s="608"/>
      <c r="W221" s="14"/>
      <c r="X221" s="609"/>
      <c r="Y221" s="55"/>
      <c r="Z221" s="608"/>
      <c r="AA221" s="14"/>
      <c r="AB221" s="609"/>
      <c r="AC221" s="55"/>
      <c r="AD221" s="55"/>
      <c r="AE221" s="610"/>
      <c r="AF221" s="55"/>
      <c r="AG221" s="55"/>
      <c r="AH221" s="55"/>
      <c r="AI221" s="611"/>
    </row>
    <row r="222" spans="1:35" ht="21" customHeight="1">
      <c r="B222" s="612" t="s">
        <v>581</v>
      </c>
      <c r="C222" s="567" t="s">
        <v>582</v>
      </c>
      <c r="D222" s="131"/>
      <c r="E222" s="55"/>
      <c r="F222" s="608"/>
      <c r="G222" s="609" t="s">
        <v>583</v>
      </c>
      <c r="H222" s="609"/>
      <c r="I222" s="55"/>
      <c r="J222" s="608"/>
      <c r="K222" s="609" t="s">
        <v>584</v>
      </c>
      <c r="L222" s="609"/>
      <c r="M222" s="55"/>
      <c r="N222" s="608"/>
      <c r="O222" s="609" t="s">
        <v>584</v>
      </c>
      <c r="P222" s="609"/>
      <c r="Q222" s="55"/>
      <c r="R222" s="608"/>
      <c r="S222" s="609" t="s">
        <v>585</v>
      </c>
      <c r="T222" s="609"/>
      <c r="U222" s="55"/>
      <c r="V222" s="608"/>
      <c r="W222" s="14"/>
      <c r="X222" s="609"/>
      <c r="Y222" s="55"/>
      <c r="Z222" s="608"/>
      <c r="AA222" s="14"/>
      <c r="AB222" s="609"/>
      <c r="AC222" s="55"/>
      <c r="AD222" s="55"/>
      <c r="AE222" s="610"/>
      <c r="AF222" s="55"/>
      <c r="AG222" s="55"/>
      <c r="AH222" s="55"/>
      <c r="AI222" s="611"/>
    </row>
    <row r="223" spans="1:35" ht="21" customHeight="1">
      <c r="B223" s="612" t="s">
        <v>164</v>
      </c>
      <c r="C223" s="567" t="s">
        <v>518</v>
      </c>
      <c r="D223" s="131"/>
      <c r="E223" s="55"/>
      <c r="F223" s="608"/>
      <c r="G223" s="567" t="s">
        <v>518</v>
      </c>
      <c r="H223" s="131"/>
      <c r="I223" s="55"/>
      <c r="J223" s="608"/>
      <c r="K223" s="567" t="s">
        <v>518</v>
      </c>
      <c r="L223" s="131"/>
      <c r="M223" s="55"/>
      <c r="N223" s="608"/>
      <c r="O223" s="567" t="s">
        <v>518</v>
      </c>
      <c r="P223" s="131"/>
      <c r="Q223" s="55"/>
      <c r="R223" s="608"/>
      <c r="S223" s="609" t="s">
        <v>519</v>
      </c>
      <c r="T223" s="609"/>
      <c r="U223" s="55"/>
      <c r="V223" s="608"/>
      <c r="W223" s="14"/>
      <c r="X223" s="609"/>
      <c r="Y223" s="55"/>
      <c r="Z223" s="608"/>
      <c r="AA223" s="14"/>
      <c r="AB223" s="609"/>
      <c r="AC223" s="55"/>
      <c r="AD223" s="55"/>
      <c r="AE223" s="610"/>
      <c r="AF223" s="55"/>
      <c r="AG223" s="55"/>
      <c r="AH223" s="55"/>
      <c r="AI223" s="611"/>
    </row>
    <row r="224" spans="1:35" ht="21" customHeight="1">
      <c r="B224" s="612" t="s">
        <v>167</v>
      </c>
      <c r="C224" s="567" t="s">
        <v>521</v>
      </c>
      <c r="D224" s="131"/>
      <c r="E224" s="55"/>
      <c r="F224" s="608"/>
      <c r="G224" s="567" t="s">
        <v>521</v>
      </c>
      <c r="H224" s="131"/>
      <c r="I224" s="55"/>
      <c r="J224" s="608"/>
      <c r="K224" s="567" t="s">
        <v>521</v>
      </c>
      <c r="L224" s="131"/>
      <c r="M224" s="55"/>
      <c r="N224" s="608"/>
      <c r="O224" s="567" t="s">
        <v>521</v>
      </c>
      <c r="P224" s="131"/>
      <c r="Q224" s="55"/>
      <c r="R224" s="608"/>
      <c r="S224" s="609" t="s">
        <v>522</v>
      </c>
      <c r="T224" s="609"/>
      <c r="U224" s="55"/>
      <c r="V224" s="608"/>
      <c r="W224" s="14"/>
      <c r="X224" s="609"/>
      <c r="Y224" s="55"/>
      <c r="Z224" s="608"/>
      <c r="AA224" s="14"/>
      <c r="AB224" s="609"/>
      <c r="AC224" s="55"/>
      <c r="AD224" s="55"/>
      <c r="AE224" s="610"/>
      <c r="AF224" s="55"/>
      <c r="AG224" s="55"/>
      <c r="AH224" s="55"/>
      <c r="AI224" s="611"/>
    </row>
    <row r="225" spans="1:35" ht="21" customHeight="1" thickBot="1">
      <c r="B225" s="617" t="s">
        <v>170</v>
      </c>
      <c r="C225" s="574" t="s">
        <v>524</v>
      </c>
      <c r="D225" s="48"/>
      <c r="E225" s="622"/>
      <c r="F225" s="240"/>
      <c r="G225" s="574" t="s">
        <v>524</v>
      </c>
      <c r="H225" s="48"/>
      <c r="I225" s="622"/>
      <c r="J225" s="240"/>
      <c r="K225" s="574" t="s">
        <v>524</v>
      </c>
      <c r="L225" s="48"/>
      <c r="M225" s="622"/>
      <c r="N225" s="240"/>
      <c r="O225" s="574" t="s">
        <v>524</v>
      </c>
      <c r="P225" s="48"/>
      <c r="Q225" s="622"/>
      <c r="R225" s="240"/>
      <c r="S225" s="149" t="s">
        <v>525</v>
      </c>
      <c r="T225" s="149"/>
      <c r="U225" s="622"/>
      <c r="V225" s="240"/>
      <c r="W225" s="623"/>
      <c r="X225" s="149"/>
      <c r="Y225" s="622"/>
      <c r="Z225" s="240"/>
      <c r="AA225" s="623"/>
      <c r="AB225" s="149"/>
      <c r="AC225" s="622"/>
      <c r="AD225" s="622"/>
      <c r="AE225" s="624"/>
      <c r="AF225" s="622"/>
      <c r="AG225" s="622"/>
      <c r="AH225" s="622"/>
      <c r="AI225" s="625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6" t="s">
        <v>586</v>
      </c>
    </row>
    <row r="228" spans="1:35" ht="21" customHeight="1">
      <c r="A228" s="556"/>
      <c r="B228" s="297" t="s">
        <v>480</v>
      </c>
      <c r="C228" s="1235">
        <v>1</v>
      </c>
      <c r="D228" s="1234">
        <v>2</v>
      </c>
      <c r="E228" s="1234">
        <v>3</v>
      </c>
      <c r="F228" s="1234">
        <v>4</v>
      </c>
      <c r="G228" s="1234">
        <v>5</v>
      </c>
      <c r="H228" s="1234">
        <v>6</v>
      </c>
      <c r="I228" s="1330">
        <v>7</v>
      </c>
      <c r="J228" s="1330">
        <v>8</v>
      </c>
      <c r="K228" s="1234">
        <v>9</v>
      </c>
      <c r="L228" s="1234">
        <v>10</v>
      </c>
      <c r="M228" s="1234">
        <v>11</v>
      </c>
      <c r="N228" s="1234">
        <v>12</v>
      </c>
      <c r="O228" s="1234">
        <v>13</v>
      </c>
      <c r="P228" s="1330">
        <v>14</v>
      </c>
      <c r="Q228" s="1330">
        <v>15</v>
      </c>
      <c r="R228" s="1234">
        <v>16</v>
      </c>
      <c r="S228" s="1234">
        <v>17</v>
      </c>
      <c r="T228" s="1234">
        <v>18</v>
      </c>
      <c r="U228" s="1234">
        <v>19</v>
      </c>
      <c r="V228" s="1213">
        <v>20</v>
      </c>
      <c r="W228" s="1330">
        <v>21</v>
      </c>
      <c r="X228" s="1330">
        <v>22</v>
      </c>
      <c r="Y228" s="1234">
        <v>23</v>
      </c>
      <c r="Z228" s="1234">
        <v>24</v>
      </c>
      <c r="AA228" s="1234">
        <v>25</v>
      </c>
      <c r="AB228" s="1234">
        <v>26</v>
      </c>
      <c r="AC228" s="1234">
        <v>27</v>
      </c>
      <c r="AD228" s="1330">
        <v>28</v>
      </c>
      <c r="AE228" s="1330">
        <v>29</v>
      </c>
      <c r="AF228" s="1234">
        <v>30</v>
      </c>
      <c r="AG228" s="1234"/>
      <c r="AH228" s="498" t="s">
        <v>481</v>
      </c>
      <c r="AI228" s="499" t="s">
        <v>482</v>
      </c>
    </row>
    <row r="229" spans="1:35" ht="21" customHeight="1">
      <c r="A229" s="442">
        <v>3702</v>
      </c>
      <c r="B229" s="153" t="s">
        <v>587</v>
      </c>
      <c r="C229" s="1215"/>
      <c r="D229" s="557">
        <v>1</v>
      </c>
      <c r="E229" s="557">
        <v>1</v>
      </c>
      <c r="F229" s="557">
        <v>1</v>
      </c>
      <c r="G229" s="557">
        <v>1</v>
      </c>
      <c r="H229" s="557">
        <v>1</v>
      </c>
      <c r="I229" s="1215"/>
      <c r="J229" s="557"/>
      <c r="K229" s="557">
        <v>2</v>
      </c>
      <c r="L229" s="557">
        <v>2</v>
      </c>
      <c r="M229" s="557">
        <v>2</v>
      </c>
      <c r="N229" s="557">
        <v>2</v>
      </c>
      <c r="O229" s="557">
        <v>2</v>
      </c>
      <c r="P229" s="1215"/>
      <c r="Q229" s="1215"/>
      <c r="R229" s="557">
        <v>1</v>
      </c>
      <c r="S229" s="557">
        <v>1</v>
      </c>
      <c r="T229" s="557">
        <v>1</v>
      </c>
      <c r="U229" s="557">
        <v>1</v>
      </c>
      <c r="V229" s="557">
        <v>1</v>
      </c>
      <c r="W229" s="1208"/>
      <c r="X229" s="1208"/>
      <c r="Y229" s="1208">
        <v>2</v>
      </c>
      <c r="Z229" s="1208">
        <v>2</v>
      </c>
      <c r="AA229" s="1500" t="s">
        <v>514</v>
      </c>
      <c r="AB229" s="557">
        <v>2</v>
      </c>
      <c r="AC229" s="557">
        <v>2</v>
      </c>
      <c r="AD229" s="1215"/>
      <c r="AE229" s="1215"/>
      <c r="AF229" s="557">
        <v>1</v>
      </c>
      <c r="AG229" s="1208"/>
      <c r="AH229" s="504">
        <v>74</v>
      </c>
      <c r="AI229" s="505">
        <v>37</v>
      </c>
    </row>
    <row r="230" spans="1:35" ht="21" customHeight="1">
      <c r="A230" s="442">
        <v>3701</v>
      </c>
      <c r="B230" s="153" t="s">
        <v>588</v>
      </c>
      <c r="C230" s="1215"/>
      <c r="D230" s="557" t="s">
        <v>535</v>
      </c>
      <c r="E230" s="557" t="s">
        <v>535</v>
      </c>
      <c r="F230" s="557" t="s">
        <v>535</v>
      </c>
      <c r="G230" s="557" t="s">
        <v>535</v>
      </c>
      <c r="H230" s="557" t="s">
        <v>535</v>
      </c>
      <c r="I230" s="1215"/>
      <c r="J230" s="557"/>
      <c r="K230" s="557" t="s">
        <v>535</v>
      </c>
      <c r="L230" s="557" t="s">
        <v>535</v>
      </c>
      <c r="M230" s="557" t="s">
        <v>535</v>
      </c>
      <c r="N230" s="557" t="s">
        <v>535</v>
      </c>
      <c r="O230" s="557" t="s">
        <v>535</v>
      </c>
      <c r="P230" s="1215"/>
      <c r="Q230" s="1215"/>
      <c r="R230" s="557" t="s">
        <v>535</v>
      </c>
      <c r="S230" s="557" t="s">
        <v>535</v>
      </c>
      <c r="T230" s="557" t="s">
        <v>535</v>
      </c>
      <c r="U230" s="557" t="s">
        <v>535</v>
      </c>
      <c r="V230" s="557" t="s">
        <v>535</v>
      </c>
      <c r="W230" s="1208"/>
      <c r="X230" s="1208"/>
      <c r="Y230" s="1208" t="s">
        <v>535</v>
      </c>
      <c r="Z230" s="1208" t="s">
        <v>535</v>
      </c>
      <c r="AA230" s="1500" t="s">
        <v>514</v>
      </c>
      <c r="AB230" s="557" t="s">
        <v>535</v>
      </c>
      <c r="AC230" s="557" t="s">
        <v>535</v>
      </c>
      <c r="AD230" s="1215"/>
      <c r="AE230" s="1215"/>
      <c r="AF230" s="557" t="s">
        <v>535</v>
      </c>
      <c r="AG230" s="1208"/>
      <c r="AH230" s="504">
        <v>74</v>
      </c>
      <c r="AI230" s="505">
        <v>37</v>
      </c>
    </row>
    <row r="231" spans="1:35" ht="21" customHeight="1">
      <c r="A231" s="442">
        <v>3702</v>
      </c>
      <c r="B231" s="153" t="s">
        <v>589</v>
      </c>
      <c r="C231" s="1338"/>
      <c r="D231" s="557">
        <v>2</v>
      </c>
      <c r="E231" s="557">
        <v>2</v>
      </c>
      <c r="F231" s="557">
        <v>2</v>
      </c>
      <c r="G231" s="557">
        <v>2</v>
      </c>
      <c r="H231" s="557">
        <v>2</v>
      </c>
      <c r="I231" s="1215"/>
      <c r="J231" s="557"/>
      <c r="K231" s="557">
        <v>1</v>
      </c>
      <c r="L231" s="557">
        <v>1</v>
      </c>
      <c r="M231" s="557">
        <v>1</v>
      </c>
      <c r="N231" s="557">
        <v>1</v>
      </c>
      <c r="O231" s="557">
        <v>1</v>
      </c>
      <c r="P231" s="1215"/>
      <c r="Q231" s="1215"/>
      <c r="R231" s="557">
        <v>2</v>
      </c>
      <c r="S231" s="557">
        <v>2</v>
      </c>
      <c r="T231" s="557">
        <v>2</v>
      </c>
      <c r="U231" s="557">
        <v>2</v>
      </c>
      <c r="V231" s="557">
        <v>2</v>
      </c>
      <c r="W231" s="1208"/>
      <c r="X231" s="1208"/>
      <c r="Y231" s="1208">
        <v>1</v>
      </c>
      <c r="Z231" s="1208">
        <v>1</v>
      </c>
      <c r="AA231" s="1208">
        <v>1</v>
      </c>
      <c r="AB231" s="557">
        <v>1</v>
      </c>
      <c r="AC231" s="557">
        <v>1</v>
      </c>
      <c r="AD231" s="1215"/>
      <c r="AE231" s="1215"/>
      <c r="AF231" s="557">
        <v>2</v>
      </c>
      <c r="AG231" s="1208"/>
      <c r="AH231" s="504">
        <v>111</v>
      </c>
      <c r="AI231" s="505">
        <v>37</v>
      </c>
    </row>
    <row r="232" spans="1:35" ht="21" customHeight="1">
      <c r="A232" s="627">
        <v>3706</v>
      </c>
      <c r="B232" s="545"/>
      <c r="C232" s="1215"/>
      <c r="D232" s="1215"/>
      <c r="E232" s="1215"/>
      <c r="F232" s="1215"/>
      <c r="G232" s="1215"/>
      <c r="H232" s="1215"/>
      <c r="I232" s="1215"/>
      <c r="J232" s="1215"/>
      <c r="K232" s="1215"/>
      <c r="L232" s="1215"/>
      <c r="M232" s="1215"/>
      <c r="N232" s="1215"/>
      <c r="O232" s="1215"/>
      <c r="P232" s="1215"/>
      <c r="Q232" s="1215"/>
      <c r="R232" s="1215"/>
      <c r="S232" s="1215"/>
      <c r="T232" s="1215"/>
      <c r="U232" s="1215"/>
      <c r="V232" s="1215"/>
      <c r="W232" s="1215"/>
      <c r="X232" s="1215"/>
      <c r="Y232" s="1215"/>
      <c r="Z232" s="1215"/>
      <c r="AA232" s="1215"/>
      <c r="AB232" s="1215"/>
      <c r="AC232" s="1215"/>
      <c r="AD232" s="1215"/>
      <c r="AE232" s="1215"/>
      <c r="AF232" s="1215"/>
      <c r="AG232" s="1215"/>
      <c r="AH232" s="504"/>
      <c r="AI232" s="505"/>
    </row>
    <row r="233" spans="1:35" ht="21" customHeight="1">
      <c r="A233" s="628"/>
      <c r="B233" s="629" t="s">
        <v>590</v>
      </c>
      <c r="C233" s="630"/>
      <c r="D233" s="630"/>
      <c r="E233" s="630"/>
      <c r="F233" s="630"/>
      <c r="G233" s="630"/>
      <c r="H233" s="630"/>
      <c r="I233" s="630"/>
      <c r="J233" s="630"/>
      <c r="K233" s="630"/>
      <c r="L233" s="630"/>
      <c r="M233" s="630"/>
      <c r="N233" s="630"/>
      <c r="O233" s="630"/>
      <c r="P233" s="630"/>
      <c r="Q233" s="630"/>
      <c r="R233" s="630"/>
      <c r="S233" s="630"/>
      <c r="T233" s="630"/>
      <c r="U233" s="630"/>
      <c r="V233" s="630"/>
      <c r="W233" s="630"/>
      <c r="X233" s="630"/>
      <c r="Y233" s="630"/>
      <c r="Z233" s="630"/>
      <c r="AA233" s="630"/>
      <c r="AB233" s="630"/>
      <c r="AC233" s="630"/>
      <c r="AD233" s="630"/>
      <c r="AE233" s="630"/>
      <c r="AF233" s="630"/>
      <c r="AG233" s="631"/>
      <c r="AH233" s="632"/>
      <c r="AI233" s="633"/>
    </row>
    <row r="234" spans="1:35" ht="21" customHeight="1">
      <c r="A234" s="442">
        <v>3702</v>
      </c>
      <c r="B234" s="902" t="s">
        <v>520</v>
      </c>
      <c r="C234" s="1215"/>
      <c r="D234" s="557" t="s">
        <v>591</v>
      </c>
      <c r="E234" s="557" t="s">
        <v>591</v>
      </c>
      <c r="F234" s="557" t="s">
        <v>591</v>
      </c>
      <c r="G234" s="557" t="s">
        <v>591</v>
      </c>
      <c r="H234" s="557" t="s">
        <v>591</v>
      </c>
      <c r="I234" s="502"/>
      <c r="J234" s="502"/>
      <c r="K234" s="557" t="s">
        <v>591</v>
      </c>
      <c r="L234" s="557" t="s">
        <v>591</v>
      </c>
      <c r="M234" s="557" t="s">
        <v>591</v>
      </c>
      <c r="N234" s="557" t="s">
        <v>591</v>
      </c>
      <c r="O234" s="557" t="s">
        <v>591</v>
      </c>
      <c r="P234" s="557"/>
      <c r="Q234" s="557"/>
      <c r="R234" s="557" t="s">
        <v>591</v>
      </c>
      <c r="S234" s="557" t="s">
        <v>591</v>
      </c>
      <c r="T234" s="557" t="s">
        <v>591</v>
      </c>
      <c r="U234" s="557" t="s">
        <v>591</v>
      </c>
      <c r="V234" s="557" t="s">
        <v>591</v>
      </c>
      <c r="W234" s="1215"/>
      <c r="X234" s="1215"/>
      <c r="Y234" s="1439" t="s">
        <v>774</v>
      </c>
      <c r="Z234" s="557" t="s">
        <v>591</v>
      </c>
      <c r="AA234" s="1500" t="s">
        <v>514</v>
      </c>
      <c r="AB234" s="1439" t="s">
        <v>591</v>
      </c>
      <c r="AC234" s="1439" t="s">
        <v>591</v>
      </c>
      <c r="AD234" s="502"/>
      <c r="AE234" s="502"/>
      <c r="AF234" s="557" t="s">
        <v>591</v>
      </c>
      <c r="AG234" s="557"/>
      <c r="AH234" s="504">
        <v>98</v>
      </c>
      <c r="AI234" s="505">
        <v>37</v>
      </c>
    </row>
    <row r="235" spans="1:35" ht="21" customHeight="1">
      <c r="A235" s="442"/>
      <c r="B235" s="153" t="s">
        <v>517</v>
      </c>
      <c r="C235" s="1215"/>
      <c r="D235" s="557" t="s">
        <v>592</v>
      </c>
      <c r="E235" s="557" t="s">
        <v>592</v>
      </c>
      <c r="F235" s="557" t="s">
        <v>592</v>
      </c>
      <c r="G235" s="557" t="s">
        <v>592</v>
      </c>
      <c r="H235" s="557" t="s">
        <v>592</v>
      </c>
      <c r="I235" s="502"/>
      <c r="J235" s="502"/>
      <c r="K235" s="557" t="s">
        <v>592</v>
      </c>
      <c r="L235" s="557" t="s">
        <v>592</v>
      </c>
      <c r="M235" s="557" t="s">
        <v>592</v>
      </c>
      <c r="N235" s="557" t="s">
        <v>592</v>
      </c>
      <c r="O235" s="557" t="s">
        <v>592</v>
      </c>
      <c r="P235" s="557"/>
      <c r="Q235" s="557"/>
      <c r="R235" s="557" t="s">
        <v>592</v>
      </c>
      <c r="S235" s="557" t="s">
        <v>592</v>
      </c>
      <c r="T235" s="557" t="s">
        <v>592</v>
      </c>
      <c r="U235" s="557" t="s">
        <v>592</v>
      </c>
      <c r="V235" s="557" t="s">
        <v>592</v>
      </c>
      <c r="W235" s="1215"/>
      <c r="X235" s="1215"/>
      <c r="Y235" s="557" t="s">
        <v>592</v>
      </c>
      <c r="Z235" s="557" t="s">
        <v>592</v>
      </c>
      <c r="AA235" s="557" t="s">
        <v>592</v>
      </c>
      <c r="AB235" s="557" t="s">
        <v>592</v>
      </c>
      <c r="AC235" s="557" t="s">
        <v>592</v>
      </c>
      <c r="AD235" s="502"/>
      <c r="AE235" s="502"/>
      <c r="AF235" s="557" t="s">
        <v>592</v>
      </c>
      <c r="AG235" s="557"/>
      <c r="AH235" s="504">
        <v>109</v>
      </c>
      <c r="AI235" s="505">
        <v>37</v>
      </c>
    </row>
    <row r="236" spans="1:35" ht="21" customHeight="1">
      <c r="A236" s="442"/>
      <c r="B236" s="153" t="s">
        <v>523</v>
      </c>
      <c r="C236" s="1215"/>
      <c r="D236" s="557" t="s">
        <v>556</v>
      </c>
      <c r="E236" s="557" t="s">
        <v>556</v>
      </c>
      <c r="F236" s="557" t="s">
        <v>556</v>
      </c>
      <c r="G236" s="557" t="s">
        <v>556</v>
      </c>
      <c r="H236" s="557" t="s">
        <v>556</v>
      </c>
      <c r="I236" s="502"/>
      <c r="J236" s="502"/>
      <c r="K236" s="557" t="s">
        <v>556</v>
      </c>
      <c r="L236" s="557" t="s">
        <v>556</v>
      </c>
      <c r="M236" s="557" t="s">
        <v>556</v>
      </c>
      <c r="N236" s="557" t="s">
        <v>556</v>
      </c>
      <c r="O236" s="557" t="s">
        <v>556</v>
      </c>
      <c r="P236" s="557"/>
      <c r="Q236" s="557"/>
      <c r="R236" s="557" t="s">
        <v>556</v>
      </c>
      <c r="S236" s="557" t="s">
        <v>556</v>
      </c>
      <c r="T236" s="557" t="s">
        <v>556</v>
      </c>
      <c r="U236" s="557" t="s">
        <v>556</v>
      </c>
      <c r="V236" s="557" t="s">
        <v>556</v>
      </c>
      <c r="W236" s="1215"/>
      <c r="X236" s="1215"/>
      <c r="Y236" s="557" t="s">
        <v>556</v>
      </c>
      <c r="Z236" s="557" t="s">
        <v>556</v>
      </c>
      <c r="AA236" s="1500" t="s">
        <v>556</v>
      </c>
      <c r="AB236" s="557" t="s">
        <v>556</v>
      </c>
      <c r="AC236" s="557" t="s">
        <v>556</v>
      </c>
      <c r="AD236" s="502"/>
      <c r="AE236" s="502"/>
      <c r="AF236" s="557" t="s">
        <v>556</v>
      </c>
      <c r="AG236" s="557"/>
      <c r="AH236" s="504">
        <v>89</v>
      </c>
      <c r="AI236" s="505">
        <v>37</v>
      </c>
    </row>
    <row r="237" spans="1:35" ht="21" customHeight="1"/>
    <row r="238" spans="1:35" ht="21" customHeight="1"/>
    <row r="239" spans="1:35" ht="21" customHeight="1" thickBot="1">
      <c r="A239" s="1" t="s">
        <v>593</v>
      </c>
    </row>
    <row r="240" spans="1:35" ht="21" customHeight="1">
      <c r="B240" s="201" t="s">
        <v>516</v>
      </c>
      <c r="C240" s="7"/>
      <c r="D240" s="525" t="s">
        <v>2</v>
      </c>
      <c r="E240" s="51"/>
      <c r="F240" s="551"/>
      <c r="G240" s="7"/>
      <c r="H240" s="525" t="s">
        <v>3</v>
      </c>
      <c r="I240" s="51"/>
      <c r="J240" s="551"/>
      <c r="K240" s="7"/>
      <c r="L240" s="525" t="s">
        <v>4</v>
      </c>
      <c r="M240" s="51"/>
      <c r="N240" s="551"/>
      <c r="O240" s="7"/>
      <c r="P240" s="525" t="s">
        <v>5</v>
      </c>
      <c r="Q240" s="51"/>
      <c r="R240" s="551"/>
      <c r="S240" s="7"/>
      <c r="T240" s="525" t="s">
        <v>6</v>
      </c>
      <c r="U240" s="51"/>
      <c r="V240" s="551"/>
      <c r="W240" s="7"/>
      <c r="X240" s="525" t="s">
        <v>7</v>
      </c>
      <c r="Y240" s="51"/>
      <c r="Z240" s="551"/>
      <c r="AA240" s="7"/>
      <c r="AB240" s="525" t="s">
        <v>8</v>
      </c>
      <c r="AC240" s="51"/>
      <c r="AD240" s="51"/>
      <c r="AE240" s="425" t="s">
        <v>10</v>
      </c>
      <c r="AF240" s="51"/>
      <c r="AG240" s="51"/>
      <c r="AH240" s="51"/>
      <c r="AI240" s="526"/>
    </row>
    <row r="241" spans="1:35" ht="21" customHeight="1">
      <c r="B241" s="9">
        <v>8500</v>
      </c>
      <c r="C241" s="121" t="s">
        <v>33</v>
      </c>
      <c r="D241" s="609"/>
      <c r="E241" s="55"/>
      <c r="F241" s="608"/>
      <c r="G241" s="121" t="s">
        <v>33</v>
      </c>
      <c r="H241" s="609"/>
      <c r="I241" s="55"/>
      <c r="J241" s="608"/>
      <c r="K241" s="121" t="s">
        <v>33</v>
      </c>
      <c r="L241" s="609"/>
      <c r="M241" s="55"/>
      <c r="N241" s="608"/>
      <c r="O241" s="121" t="s">
        <v>33</v>
      </c>
      <c r="P241" s="609"/>
      <c r="Q241" s="55"/>
      <c r="R241" s="608"/>
      <c r="S241" s="121" t="s">
        <v>34</v>
      </c>
      <c r="T241" s="609"/>
      <c r="U241" s="55"/>
      <c r="V241" s="608"/>
      <c r="W241" s="14"/>
      <c r="X241" s="609"/>
      <c r="Y241" s="55"/>
      <c r="Z241" s="608"/>
      <c r="AA241" s="14"/>
      <c r="AB241" s="609"/>
      <c r="AC241" s="55"/>
      <c r="AD241" s="55"/>
      <c r="AE241" s="610"/>
      <c r="AF241" s="55"/>
      <c r="AG241" s="55"/>
      <c r="AH241" s="55"/>
      <c r="AI241" s="611"/>
    </row>
    <row r="242" spans="1:35" ht="21" customHeight="1" thickBot="1">
      <c r="B242" s="163" t="s">
        <v>594</v>
      </c>
      <c r="C242" s="634" t="s">
        <v>595</v>
      </c>
      <c r="D242" s="635"/>
      <c r="E242" s="622"/>
      <c r="F242" s="240"/>
      <c r="G242" s="634" t="s">
        <v>595</v>
      </c>
      <c r="H242" s="149"/>
      <c r="I242" s="622"/>
      <c r="J242" s="240"/>
      <c r="K242" s="634" t="s">
        <v>595</v>
      </c>
      <c r="L242" s="149"/>
      <c r="M242" s="622"/>
      <c r="N242" s="240"/>
      <c r="O242" s="634" t="s">
        <v>596</v>
      </c>
      <c r="P242" s="149"/>
      <c r="Q242" s="622"/>
      <c r="R242" s="240"/>
      <c r="S242" s="634" t="s">
        <v>16</v>
      </c>
      <c r="T242" s="149"/>
      <c r="U242" s="622"/>
      <c r="V242" s="240"/>
      <c r="W242" s="623"/>
      <c r="X242" s="149"/>
      <c r="Y242" s="622"/>
      <c r="Z242" s="240"/>
      <c r="AA242" s="623"/>
      <c r="AB242" s="149"/>
      <c r="AC242" s="622"/>
      <c r="AD242" s="622"/>
      <c r="AE242" s="624"/>
      <c r="AF242" s="622"/>
      <c r="AG242" s="622"/>
      <c r="AH242" s="622"/>
      <c r="AI242" s="625"/>
    </row>
    <row r="243" spans="1:35" ht="21" customHeight="1" thickBot="1">
      <c r="A243" s="60" t="s">
        <v>597</v>
      </c>
    </row>
    <row r="244" spans="1:35" ht="21" customHeight="1">
      <c r="A244" s="636"/>
      <c r="B244" s="297" t="s">
        <v>480</v>
      </c>
      <c r="C244" s="1235">
        <v>1</v>
      </c>
      <c r="D244" s="1234">
        <v>2</v>
      </c>
      <c r="E244" s="1234">
        <v>3</v>
      </c>
      <c r="F244" s="1234">
        <v>4</v>
      </c>
      <c r="G244" s="1234">
        <v>5</v>
      </c>
      <c r="H244" s="1234">
        <v>6</v>
      </c>
      <c r="I244" s="1330">
        <v>7</v>
      </c>
      <c r="J244" s="1330">
        <v>8</v>
      </c>
      <c r="K244" s="1234">
        <v>9</v>
      </c>
      <c r="L244" s="1234">
        <v>10</v>
      </c>
      <c r="M244" s="1234">
        <v>11</v>
      </c>
      <c r="N244" s="1234">
        <v>12</v>
      </c>
      <c r="O244" s="1234">
        <v>13</v>
      </c>
      <c r="P244" s="1330">
        <v>14</v>
      </c>
      <c r="Q244" s="1330">
        <v>15</v>
      </c>
      <c r="R244" s="1234">
        <v>16</v>
      </c>
      <c r="S244" s="1234">
        <v>17</v>
      </c>
      <c r="T244" s="1234">
        <v>18</v>
      </c>
      <c r="U244" s="1234">
        <v>19</v>
      </c>
      <c r="V244" s="1213">
        <v>20</v>
      </c>
      <c r="W244" s="1330">
        <v>21</v>
      </c>
      <c r="X244" s="1330">
        <v>22</v>
      </c>
      <c r="Y244" s="1234">
        <v>23</v>
      </c>
      <c r="Z244" s="1234">
        <v>24</v>
      </c>
      <c r="AA244" s="1234">
        <v>25</v>
      </c>
      <c r="AB244" s="1234">
        <v>26</v>
      </c>
      <c r="AC244" s="1234">
        <v>27</v>
      </c>
      <c r="AD244" s="1330">
        <v>28</v>
      </c>
      <c r="AE244" s="1330">
        <v>29</v>
      </c>
      <c r="AF244" s="1234">
        <v>30</v>
      </c>
      <c r="AG244" s="1234"/>
      <c r="AH244" s="498" t="s">
        <v>481</v>
      </c>
      <c r="AI244" s="499" t="s">
        <v>482</v>
      </c>
    </row>
    <row r="245" spans="1:35" ht="21" customHeight="1">
      <c r="A245" s="155">
        <v>8500</v>
      </c>
      <c r="B245" s="637" t="s">
        <v>598</v>
      </c>
      <c r="C245" s="1215"/>
      <c r="D245" s="557" t="s">
        <v>535</v>
      </c>
      <c r="E245" s="557" t="s">
        <v>535</v>
      </c>
      <c r="F245" s="557" t="s">
        <v>535</v>
      </c>
      <c r="G245" s="557" t="s">
        <v>535</v>
      </c>
      <c r="H245" s="557" t="s">
        <v>535</v>
      </c>
      <c r="I245" s="1215"/>
      <c r="J245" s="557"/>
      <c r="K245" s="1362" t="s">
        <v>535</v>
      </c>
      <c r="L245" s="1362" t="s">
        <v>535</v>
      </c>
      <c r="M245" s="1362" t="s">
        <v>535</v>
      </c>
      <c r="N245" s="1362" t="s">
        <v>535</v>
      </c>
      <c r="O245" s="1362" t="s">
        <v>535</v>
      </c>
      <c r="P245" s="1358"/>
      <c r="Q245" s="1358"/>
      <c r="R245" s="1362" t="s">
        <v>535</v>
      </c>
      <c r="S245" s="1362" t="s">
        <v>535</v>
      </c>
      <c r="T245" s="1362" t="s">
        <v>535</v>
      </c>
      <c r="U245" s="1362" t="s">
        <v>535</v>
      </c>
      <c r="V245" s="1362" t="s">
        <v>535</v>
      </c>
      <c r="W245" s="1362"/>
      <c r="X245" s="1362"/>
      <c r="Y245" s="1208" t="s">
        <v>535</v>
      </c>
      <c r="Z245" s="1208" t="s">
        <v>535</v>
      </c>
      <c r="AA245" s="1208" t="s">
        <v>535</v>
      </c>
      <c r="AB245" s="557" t="s">
        <v>535</v>
      </c>
      <c r="AC245" s="557" t="s">
        <v>535</v>
      </c>
      <c r="AD245" s="1215"/>
      <c r="AE245" s="1215"/>
      <c r="AF245" s="557" t="s">
        <v>535</v>
      </c>
      <c r="AG245" s="1208"/>
      <c r="AH245" s="638">
        <v>198</v>
      </c>
      <c r="AI245" s="639">
        <v>37</v>
      </c>
    </row>
    <row r="246" spans="1:35" ht="21" customHeight="1">
      <c r="A246" s="500" t="s">
        <v>599</v>
      </c>
      <c r="B246" s="153" t="s">
        <v>600</v>
      </c>
      <c r="C246" s="1215"/>
      <c r="D246" s="557" t="s">
        <v>535</v>
      </c>
      <c r="E246" s="557" t="s">
        <v>535</v>
      </c>
      <c r="F246" s="557" t="s">
        <v>535</v>
      </c>
      <c r="G246" s="557" t="s">
        <v>535</v>
      </c>
      <c r="H246" s="557" t="s">
        <v>535</v>
      </c>
      <c r="I246" s="1215"/>
      <c r="J246" s="557"/>
      <c r="K246" s="1365" t="s">
        <v>535</v>
      </c>
      <c r="L246" s="1365" t="s">
        <v>535</v>
      </c>
      <c r="M246" s="1365" t="s">
        <v>535</v>
      </c>
      <c r="N246" s="1365" t="s">
        <v>535</v>
      </c>
      <c r="O246" s="1365" t="s">
        <v>535</v>
      </c>
      <c r="P246" s="1338"/>
      <c r="Q246" s="1338"/>
      <c r="R246" s="1365" t="s">
        <v>535</v>
      </c>
      <c r="S246" s="1365" t="s">
        <v>535</v>
      </c>
      <c r="T246" s="1365" t="s">
        <v>535</v>
      </c>
      <c r="U246" s="1365" t="s">
        <v>535</v>
      </c>
      <c r="V246" s="1365" t="s">
        <v>535</v>
      </c>
      <c r="W246" s="1365"/>
      <c r="X246" s="1365"/>
      <c r="Y246" s="1365" t="s">
        <v>535</v>
      </c>
      <c r="Z246" s="1365" t="s">
        <v>535</v>
      </c>
      <c r="AA246" s="1365" t="s">
        <v>535</v>
      </c>
      <c r="AB246" s="1365" t="s">
        <v>535</v>
      </c>
      <c r="AC246" s="1365" t="s">
        <v>535</v>
      </c>
      <c r="AD246" s="1338"/>
      <c r="AE246" s="1338"/>
      <c r="AF246" s="1365" t="s">
        <v>535</v>
      </c>
      <c r="AG246" s="1208"/>
      <c r="AH246" s="638">
        <v>221</v>
      </c>
      <c r="AI246" s="639">
        <v>37</v>
      </c>
    </row>
    <row r="247" spans="1:35" ht="21" customHeight="1">
      <c r="A247" s="153">
        <v>8500</v>
      </c>
      <c r="B247" s="153"/>
      <c r="C247" s="1215"/>
      <c r="D247" s="557" t="s">
        <v>535</v>
      </c>
      <c r="E247" s="557" t="s">
        <v>535</v>
      </c>
      <c r="F247" s="557" t="s">
        <v>535</v>
      </c>
      <c r="G247" s="557" t="s">
        <v>535</v>
      </c>
      <c r="H247" s="557" t="s">
        <v>535</v>
      </c>
      <c r="I247" s="1215"/>
      <c r="J247" s="557"/>
      <c r="K247" s="557" t="s">
        <v>535</v>
      </c>
      <c r="L247" s="557" t="s">
        <v>535</v>
      </c>
      <c r="M247" s="557" t="s">
        <v>535</v>
      </c>
      <c r="N247" s="557" t="s">
        <v>535</v>
      </c>
      <c r="O247" s="557" t="s">
        <v>535</v>
      </c>
      <c r="P247" s="1215"/>
      <c r="Q247" s="1215"/>
      <c r="R247" s="557" t="s">
        <v>535</v>
      </c>
      <c r="S247" s="557" t="s">
        <v>535</v>
      </c>
      <c r="T247" s="557" t="s">
        <v>535</v>
      </c>
      <c r="U247" s="557" t="s">
        <v>535</v>
      </c>
      <c r="V247" s="557" t="s">
        <v>535</v>
      </c>
      <c r="W247" s="1208"/>
      <c r="X247" s="1208"/>
      <c r="Y247" s="1208" t="s">
        <v>535</v>
      </c>
      <c r="Z247" s="1208" t="s">
        <v>535</v>
      </c>
      <c r="AA247" s="1208" t="s">
        <v>535</v>
      </c>
      <c r="AB247" s="557" t="s">
        <v>535</v>
      </c>
      <c r="AC247" s="557" t="s">
        <v>535</v>
      </c>
      <c r="AD247" s="1215"/>
      <c r="AE247" s="1215"/>
      <c r="AF247" s="557" t="s">
        <v>535</v>
      </c>
      <c r="AG247" s="1208"/>
      <c r="AH247" s="638">
        <v>185</v>
      </c>
      <c r="AI247" s="639">
        <v>37</v>
      </c>
    </row>
    <row r="248" spans="1:35" ht="21.95" customHeight="1">
      <c r="A248" s="442"/>
      <c r="B248" s="153" t="s">
        <v>601</v>
      </c>
      <c r="C248" s="1338"/>
      <c r="D248" s="1365" t="s">
        <v>535</v>
      </c>
      <c r="E248" s="1365" t="s">
        <v>535</v>
      </c>
      <c r="F248" s="1365" t="s">
        <v>535</v>
      </c>
      <c r="G248" s="1365" t="s">
        <v>535</v>
      </c>
      <c r="H248" s="1365" t="s">
        <v>535</v>
      </c>
      <c r="I248" s="1338"/>
      <c r="J248" s="1365"/>
      <c r="K248" s="557" t="s">
        <v>535</v>
      </c>
      <c r="L248" s="557" t="s">
        <v>535</v>
      </c>
      <c r="M248" s="557" t="s">
        <v>535</v>
      </c>
      <c r="N248" s="557" t="s">
        <v>535</v>
      </c>
      <c r="O248" s="557" t="s">
        <v>535</v>
      </c>
      <c r="P248" s="1215"/>
      <c r="Q248" s="1215"/>
      <c r="R248" s="557" t="s">
        <v>535</v>
      </c>
      <c r="S248" s="557" t="s">
        <v>535</v>
      </c>
      <c r="T248" s="557" t="s">
        <v>535</v>
      </c>
      <c r="U248" s="557" t="s">
        <v>535</v>
      </c>
      <c r="V248" s="557" t="s">
        <v>535</v>
      </c>
      <c r="W248" s="1208"/>
      <c r="X248" s="1208"/>
      <c r="Y248" s="1208" t="s">
        <v>535</v>
      </c>
      <c r="Z248" s="1208" t="s">
        <v>535</v>
      </c>
      <c r="AA248" s="1500" t="s">
        <v>514</v>
      </c>
      <c r="AB248" s="557" t="s">
        <v>535</v>
      </c>
      <c r="AC248" s="557" t="s">
        <v>535</v>
      </c>
      <c r="AD248" s="1215"/>
      <c r="AE248" s="1215"/>
      <c r="AF248" s="557" t="s">
        <v>535</v>
      </c>
      <c r="AG248" s="1208"/>
      <c r="AH248" s="638">
        <v>74</v>
      </c>
      <c r="AI248" s="639">
        <v>37</v>
      </c>
    </row>
    <row r="249" spans="1:35" ht="21.95" customHeight="1">
      <c r="A249" s="511">
        <v>3350</v>
      </c>
      <c r="B249" s="54"/>
      <c r="C249" s="1215"/>
      <c r="D249" s="557" t="s">
        <v>535</v>
      </c>
      <c r="E249" s="557" t="s">
        <v>535</v>
      </c>
      <c r="F249" s="557" t="s">
        <v>535</v>
      </c>
      <c r="G249" s="557" t="s">
        <v>535</v>
      </c>
      <c r="H249" s="557" t="s">
        <v>535</v>
      </c>
      <c r="I249" s="1215"/>
      <c r="J249" s="557"/>
      <c r="K249" s="557" t="s">
        <v>535</v>
      </c>
      <c r="L249" s="557" t="s">
        <v>535</v>
      </c>
      <c r="M249" s="557" t="s">
        <v>535</v>
      </c>
      <c r="N249" s="557" t="s">
        <v>535</v>
      </c>
      <c r="O249" s="557" t="s">
        <v>535</v>
      </c>
      <c r="P249" s="1215"/>
      <c r="Q249" s="1215"/>
      <c r="R249" s="557" t="s">
        <v>535</v>
      </c>
      <c r="S249" s="557" t="s">
        <v>535</v>
      </c>
      <c r="T249" s="557" t="s">
        <v>535</v>
      </c>
      <c r="U249" s="557" t="s">
        <v>535</v>
      </c>
      <c r="V249" s="557" t="s">
        <v>535</v>
      </c>
      <c r="W249" s="1208"/>
      <c r="X249" s="1208"/>
      <c r="Y249" s="1208" t="s">
        <v>535</v>
      </c>
      <c r="Z249" s="1208" t="s">
        <v>535</v>
      </c>
      <c r="AA249" s="1208" t="s">
        <v>535</v>
      </c>
      <c r="AB249" s="557" t="s">
        <v>535</v>
      </c>
      <c r="AC249" s="557" t="s">
        <v>535</v>
      </c>
      <c r="AD249" s="1215"/>
      <c r="AE249" s="1215"/>
      <c r="AF249" s="557" t="s">
        <v>535</v>
      </c>
      <c r="AG249" s="1208"/>
      <c r="AH249" s="638">
        <v>37</v>
      </c>
      <c r="AI249" s="639">
        <v>37</v>
      </c>
    </row>
    <row r="250" spans="1:35" ht="21.95" customHeight="1">
      <c r="A250" s="519">
        <v>3701</v>
      </c>
      <c r="B250" s="153" t="s">
        <v>603</v>
      </c>
      <c r="C250" s="1338"/>
      <c r="D250" s="1208" t="s">
        <v>535</v>
      </c>
      <c r="E250" s="1208" t="s">
        <v>535</v>
      </c>
      <c r="F250" s="1208" t="s">
        <v>535</v>
      </c>
      <c r="G250" s="1208" t="s">
        <v>535</v>
      </c>
      <c r="H250" s="1208" t="s">
        <v>535</v>
      </c>
      <c r="I250" s="1215"/>
      <c r="J250" s="1208"/>
      <c r="K250" s="557" t="s">
        <v>535</v>
      </c>
      <c r="L250" s="557" t="s">
        <v>535</v>
      </c>
      <c r="M250" s="557" t="s">
        <v>535</v>
      </c>
      <c r="N250" s="557" t="s">
        <v>535</v>
      </c>
      <c r="O250" s="557" t="s">
        <v>535</v>
      </c>
      <c r="P250" s="1215"/>
      <c r="Q250" s="1215"/>
      <c r="R250" s="557" t="s">
        <v>535</v>
      </c>
      <c r="S250" s="557" t="s">
        <v>535</v>
      </c>
      <c r="T250" s="557" t="s">
        <v>535</v>
      </c>
      <c r="U250" s="557" t="s">
        <v>535</v>
      </c>
      <c r="V250" s="557" t="s">
        <v>535</v>
      </c>
      <c r="W250" s="1208"/>
      <c r="X250" s="1208"/>
      <c r="Y250" s="1208" t="s">
        <v>535</v>
      </c>
      <c r="Z250" s="1208" t="s">
        <v>535</v>
      </c>
      <c r="AA250" s="1500" t="s">
        <v>514</v>
      </c>
      <c r="AB250" s="557" t="s">
        <v>535</v>
      </c>
      <c r="AC250" s="1368" t="s">
        <v>535</v>
      </c>
      <c r="AD250" s="1215"/>
      <c r="AE250" s="1215"/>
      <c r="AF250" s="557" t="s">
        <v>535</v>
      </c>
      <c r="AG250" s="1208"/>
      <c r="AH250" s="638">
        <v>141</v>
      </c>
      <c r="AI250" s="639">
        <v>37</v>
      </c>
    </row>
    <row r="251" spans="1:35" ht="25.5" customHeight="1" thickBot="1">
      <c r="A251" s="1" t="s">
        <v>604</v>
      </c>
    </row>
    <row r="252" spans="1:35" ht="21" customHeight="1">
      <c r="A252" s="1"/>
      <c r="B252" s="201" t="s">
        <v>516</v>
      </c>
      <c r="C252" s="7"/>
      <c r="D252" s="525" t="s">
        <v>2</v>
      </c>
      <c r="E252" s="51"/>
      <c r="F252" s="551"/>
      <c r="G252" s="7"/>
      <c r="H252" s="525" t="s">
        <v>3</v>
      </c>
      <c r="I252" s="51"/>
      <c r="J252" s="551"/>
      <c r="K252" s="7"/>
      <c r="L252" s="525" t="s">
        <v>4</v>
      </c>
      <c r="M252" s="51"/>
      <c r="N252" s="551"/>
      <c r="O252" s="7"/>
      <c r="P252" s="525" t="s">
        <v>5</v>
      </c>
      <c r="Q252" s="51"/>
      <c r="R252" s="551"/>
      <c r="S252" s="7"/>
      <c r="T252" s="525" t="s">
        <v>6</v>
      </c>
      <c r="U252" s="51"/>
      <c r="V252" s="551"/>
      <c r="W252" s="7"/>
      <c r="X252" s="525" t="s">
        <v>7</v>
      </c>
      <c r="Y252" s="51"/>
      <c r="Z252" s="551"/>
      <c r="AA252" s="7"/>
      <c r="AB252" s="525" t="s">
        <v>8</v>
      </c>
      <c r="AC252" s="51"/>
      <c r="AD252" s="51"/>
      <c r="AE252" s="425" t="s">
        <v>10</v>
      </c>
      <c r="AF252" s="51"/>
      <c r="AG252" s="51"/>
      <c r="AH252" s="51"/>
      <c r="AI252" s="526"/>
    </row>
    <row r="253" spans="1:35" ht="21" customHeight="1">
      <c r="A253" s="1"/>
      <c r="B253" s="9"/>
      <c r="C253" s="14"/>
      <c r="D253" s="609"/>
      <c r="E253" s="55"/>
      <c r="F253" s="608"/>
      <c r="G253" s="14"/>
      <c r="H253" s="609"/>
      <c r="I253" s="55"/>
      <c r="J253" s="608"/>
      <c r="K253" s="14"/>
      <c r="L253" s="609"/>
      <c r="M253" s="55"/>
      <c r="N253" s="608"/>
      <c r="O253" s="14"/>
      <c r="P253" s="609"/>
      <c r="Q253" s="55"/>
      <c r="R253" s="608"/>
      <c r="S253" s="14"/>
      <c r="T253" s="609"/>
      <c r="U253" s="55"/>
      <c r="V253" s="608"/>
      <c r="W253" s="14"/>
      <c r="X253" s="609"/>
      <c r="Y253" s="55"/>
      <c r="Z253" s="608"/>
      <c r="AA253" s="14"/>
      <c r="AB253" s="609"/>
      <c r="AC253" s="55"/>
      <c r="AD253" s="55"/>
      <c r="AE253" s="610"/>
      <c r="AF253" s="55"/>
      <c r="AG253" s="55"/>
      <c r="AH253" s="55"/>
      <c r="AI253" s="611"/>
    </row>
    <row r="254" spans="1:35" ht="21" customHeight="1">
      <c r="B254" s="612"/>
      <c r="C254" s="121"/>
      <c r="D254" s="157"/>
      <c r="E254" s="157"/>
      <c r="F254" s="568"/>
      <c r="G254" s="121"/>
      <c r="H254" s="157"/>
      <c r="I254" s="157"/>
      <c r="J254" s="568"/>
      <c r="K254" s="121"/>
      <c r="L254" s="157"/>
      <c r="M254" s="157"/>
      <c r="N254" s="568"/>
      <c r="O254" s="121"/>
      <c r="P254" s="157"/>
      <c r="Q254" s="157"/>
      <c r="R254" s="568"/>
      <c r="S254" s="121"/>
      <c r="T254" s="157"/>
      <c r="U254" s="157"/>
      <c r="V254" s="568"/>
      <c r="W254" s="121"/>
      <c r="X254" s="157"/>
      <c r="Y254" s="157"/>
      <c r="Z254" s="568"/>
      <c r="AA254" s="567"/>
      <c r="AB254" s="157"/>
      <c r="AC254" s="157"/>
      <c r="AD254" s="569"/>
      <c r="AE254" s="613"/>
      <c r="AF254" s="157"/>
      <c r="AG254" s="157" t="s">
        <v>28</v>
      </c>
      <c r="AH254" s="569"/>
      <c r="AI254" s="490"/>
    </row>
    <row r="255" spans="1:35" ht="21" customHeight="1" thickBot="1">
      <c r="A255" s="1"/>
      <c r="B255" s="47"/>
      <c r="C255" s="574"/>
      <c r="D255" s="53"/>
      <c r="E255" s="53"/>
      <c r="F255" s="575"/>
      <c r="G255" s="574"/>
      <c r="H255" s="53"/>
      <c r="I255" s="53"/>
      <c r="J255" s="575"/>
      <c r="K255" s="574"/>
      <c r="L255" s="53"/>
      <c r="M255" s="53"/>
      <c r="N255" s="575"/>
      <c r="O255" s="574"/>
      <c r="P255" s="53"/>
      <c r="Q255" s="53"/>
      <c r="R255" s="575"/>
      <c r="S255" s="574"/>
      <c r="T255" s="53"/>
      <c r="U255" s="53"/>
      <c r="V255" s="575"/>
      <c r="W255" s="57"/>
      <c r="X255" s="53"/>
      <c r="Y255" s="53"/>
      <c r="Z255" s="575"/>
      <c r="AA255" s="57"/>
      <c r="AB255" s="53"/>
      <c r="AC255" s="53"/>
      <c r="AD255" s="577"/>
      <c r="AE255" s="57"/>
      <c r="AF255" s="53"/>
      <c r="AG255" s="53"/>
      <c r="AH255" s="577"/>
      <c r="AI255" s="539"/>
    </row>
    <row r="256" spans="1:35" ht="33" customHeight="1" thickBot="1">
      <c r="A256" s="1" t="s">
        <v>605</v>
      </c>
      <c r="B256" s="72"/>
      <c r="C256" s="312"/>
      <c r="F256" s="354"/>
      <c r="G256" s="312"/>
      <c r="J256" s="354"/>
      <c r="K256" s="312"/>
      <c r="N256" s="354"/>
      <c r="O256" s="312"/>
      <c r="R256" s="354"/>
      <c r="S256" s="312"/>
      <c r="V256" s="354"/>
      <c r="W256" s="354"/>
      <c r="Z256" s="354"/>
      <c r="AA256" s="354"/>
      <c r="AD256" s="354"/>
      <c r="AE256" s="354"/>
      <c r="AH256" s="354"/>
    </row>
    <row r="257" spans="1:35" ht="21" customHeight="1">
      <c r="A257" s="556" t="s">
        <v>528</v>
      </c>
      <c r="B257" s="297" t="s">
        <v>480</v>
      </c>
      <c r="C257" s="1235">
        <v>1</v>
      </c>
      <c r="D257" s="1234">
        <v>2</v>
      </c>
      <c r="E257" s="1234">
        <v>3</v>
      </c>
      <c r="F257" s="1234">
        <v>4</v>
      </c>
      <c r="G257" s="1234">
        <v>5</v>
      </c>
      <c r="H257" s="1234">
        <v>6</v>
      </c>
      <c r="I257" s="1330">
        <v>7</v>
      </c>
      <c r="J257" s="1330">
        <v>8</v>
      </c>
      <c r="K257" s="1234">
        <v>9</v>
      </c>
      <c r="L257" s="1234">
        <v>10</v>
      </c>
      <c r="M257" s="1234">
        <v>11</v>
      </c>
      <c r="N257" s="1234">
        <v>12</v>
      </c>
      <c r="O257" s="1234">
        <v>13</v>
      </c>
      <c r="P257" s="1330">
        <v>14</v>
      </c>
      <c r="Q257" s="1330">
        <v>15</v>
      </c>
      <c r="R257" s="1234">
        <v>16</v>
      </c>
      <c r="S257" s="1234">
        <v>17</v>
      </c>
      <c r="T257" s="1234">
        <v>18</v>
      </c>
      <c r="U257" s="1234">
        <v>19</v>
      </c>
      <c r="V257" s="1213">
        <v>20</v>
      </c>
      <c r="W257" s="1330">
        <v>21</v>
      </c>
      <c r="X257" s="1330">
        <v>22</v>
      </c>
      <c r="Y257" s="1234">
        <v>23</v>
      </c>
      <c r="Z257" s="1234">
        <v>24</v>
      </c>
      <c r="AA257" s="1234">
        <v>25</v>
      </c>
      <c r="AB257" s="1234">
        <v>26</v>
      </c>
      <c r="AC257" s="1234">
        <v>27</v>
      </c>
      <c r="AD257" s="1330">
        <v>28</v>
      </c>
      <c r="AE257" s="1330">
        <v>29</v>
      </c>
      <c r="AF257" s="1234">
        <v>30</v>
      </c>
      <c r="AG257" s="1234"/>
      <c r="AH257" s="498" t="s">
        <v>481</v>
      </c>
      <c r="AI257" s="499" t="s">
        <v>482</v>
      </c>
    </row>
    <row r="258" spans="1:35" ht="21" customHeight="1">
      <c r="A258" s="442"/>
      <c r="B258" s="619" t="s">
        <v>606</v>
      </c>
      <c r="C258" s="1215"/>
      <c r="D258" s="557" t="s">
        <v>535</v>
      </c>
      <c r="E258" s="557" t="s">
        <v>535</v>
      </c>
      <c r="F258" s="557" t="s">
        <v>535</v>
      </c>
      <c r="G258" s="557" t="s">
        <v>535</v>
      </c>
      <c r="H258" s="557" t="s">
        <v>535</v>
      </c>
      <c r="I258" s="1215"/>
      <c r="J258" s="557"/>
      <c r="K258" s="1365" t="s">
        <v>535</v>
      </c>
      <c r="L258" s="1365" t="s">
        <v>535</v>
      </c>
      <c r="M258" s="1365" t="s">
        <v>535</v>
      </c>
      <c r="N258" s="1365" t="s">
        <v>535</v>
      </c>
      <c r="O258" s="1365" t="s">
        <v>535</v>
      </c>
      <c r="P258" s="1338"/>
      <c r="Q258" s="1338"/>
      <c r="R258" s="1365" t="s">
        <v>535</v>
      </c>
      <c r="S258" s="1365" t="s">
        <v>535</v>
      </c>
      <c r="T258" s="1365" t="s">
        <v>535</v>
      </c>
      <c r="U258" s="1365" t="s">
        <v>535</v>
      </c>
      <c r="V258" s="1365" t="s">
        <v>535</v>
      </c>
      <c r="W258" s="1208"/>
      <c r="X258" s="1208"/>
      <c r="Y258" s="1208" t="s">
        <v>535</v>
      </c>
      <c r="Z258" s="1208" t="s">
        <v>535</v>
      </c>
      <c r="AA258" s="1208" t="s">
        <v>535</v>
      </c>
      <c r="AB258" s="557" t="s">
        <v>535</v>
      </c>
      <c r="AC258" s="557" t="s">
        <v>535</v>
      </c>
      <c r="AD258" s="1215"/>
      <c r="AE258" s="1215"/>
      <c r="AF258" s="557" t="s">
        <v>535</v>
      </c>
      <c r="AG258" s="1208"/>
      <c r="AH258" s="638">
        <v>148</v>
      </c>
      <c r="AI258" s="639">
        <v>37</v>
      </c>
    </row>
    <row r="259" spans="1:35" ht="21" customHeight="1">
      <c r="A259" s="442"/>
      <c r="B259" s="619" t="s">
        <v>607</v>
      </c>
      <c r="C259" s="1215"/>
      <c r="D259" s="1368" t="s">
        <v>535</v>
      </c>
      <c r="E259" s="1368" t="s">
        <v>535</v>
      </c>
      <c r="F259" s="1368" t="s">
        <v>535</v>
      </c>
      <c r="G259" s="1368" t="s">
        <v>535</v>
      </c>
      <c r="H259" s="1368" t="s">
        <v>535</v>
      </c>
      <c r="I259" s="1215"/>
      <c r="J259" s="557"/>
      <c r="K259" s="557" t="s">
        <v>535</v>
      </c>
      <c r="L259" s="557" t="s">
        <v>535</v>
      </c>
      <c r="M259" s="557" t="s">
        <v>535</v>
      </c>
      <c r="N259" s="557" t="s">
        <v>535</v>
      </c>
      <c r="O259" s="557" t="s">
        <v>535</v>
      </c>
      <c r="P259" s="1215"/>
      <c r="Q259" s="1215"/>
      <c r="R259" s="557" t="s">
        <v>535</v>
      </c>
      <c r="S259" s="557" t="s">
        <v>535</v>
      </c>
      <c r="T259" s="557" t="s">
        <v>535</v>
      </c>
      <c r="U259" s="557" t="s">
        <v>535</v>
      </c>
      <c r="V259" s="557" t="s">
        <v>535</v>
      </c>
      <c r="W259" s="1208"/>
      <c r="X259" s="1208"/>
      <c r="Y259" s="1208" t="s">
        <v>535</v>
      </c>
      <c r="Z259" s="1208" t="s">
        <v>535</v>
      </c>
      <c r="AA259" s="1500" t="s">
        <v>514</v>
      </c>
      <c r="AB259" s="557" t="s">
        <v>535</v>
      </c>
      <c r="AC259" s="557" t="s">
        <v>535</v>
      </c>
      <c r="AD259" s="1215"/>
      <c r="AE259" s="1215"/>
      <c r="AF259" s="557" t="s">
        <v>535</v>
      </c>
      <c r="AG259" s="1208"/>
      <c r="AH259" s="638">
        <v>62</v>
      </c>
      <c r="AI259" s="639">
        <v>37</v>
      </c>
    </row>
    <row r="260" spans="1:35" ht="21" customHeight="1">
      <c r="A260" s="442"/>
      <c r="B260" s="619" t="s">
        <v>608</v>
      </c>
      <c r="C260" s="1215"/>
      <c r="D260" s="557" t="s">
        <v>535</v>
      </c>
      <c r="E260" s="557" t="s">
        <v>535</v>
      </c>
      <c r="F260" s="557" t="s">
        <v>535</v>
      </c>
      <c r="G260" s="557" t="s">
        <v>535</v>
      </c>
      <c r="H260" s="557" t="s">
        <v>535</v>
      </c>
      <c r="I260" s="1215"/>
      <c r="J260" s="557"/>
      <c r="K260" s="557" t="s">
        <v>535</v>
      </c>
      <c r="L260" s="557" t="s">
        <v>535</v>
      </c>
      <c r="M260" s="557" t="s">
        <v>535</v>
      </c>
      <c r="N260" s="557" t="s">
        <v>535</v>
      </c>
      <c r="O260" s="557" t="s">
        <v>535</v>
      </c>
      <c r="P260" s="1215"/>
      <c r="Q260" s="1215"/>
      <c r="R260" s="557" t="s">
        <v>535</v>
      </c>
      <c r="S260" s="557" t="s">
        <v>535</v>
      </c>
      <c r="T260" s="557" t="s">
        <v>535</v>
      </c>
      <c r="U260" s="557" t="s">
        <v>535</v>
      </c>
      <c r="V260" s="557" t="s">
        <v>535</v>
      </c>
      <c r="W260" s="1208"/>
      <c r="X260" s="1208"/>
      <c r="Y260" s="1208" t="s">
        <v>535</v>
      </c>
      <c r="Z260" s="1208" t="s">
        <v>535</v>
      </c>
      <c r="AA260" s="1500" t="s">
        <v>514</v>
      </c>
      <c r="AB260" s="557" t="s">
        <v>535</v>
      </c>
      <c r="AC260" s="557" t="s">
        <v>535</v>
      </c>
      <c r="AD260" s="1215"/>
      <c r="AE260" s="1215"/>
      <c r="AF260" s="557" t="s">
        <v>535</v>
      </c>
      <c r="AG260" s="1208"/>
      <c r="AH260" s="638">
        <v>37</v>
      </c>
      <c r="AI260" s="639">
        <v>37</v>
      </c>
    </row>
    <row r="261" spans="1:35" ht="21" customHeight="1">
      <c r="A261" s="442"/>
      <c r="B261" s="619" t="s">
        <v>609</v>
      </c>
      <c r="C261" s="1215"/>
      <c r="D261" s="557" t="s">
        <v>535</v>
      </c>
      <c r="E261" s="557" t="s">
        <v>535</v>
      </c>
      <c r="F261" s="557" t="s">
        <v>535</v>
      </c>
      <c r="G261" s="557" t="s">
        <v>535</v>
      </c>
      <c r="H261" s="557" t="s">
        <v>535</v>
      </c>
      <c r="I261" s="1215"/>
      <c r="J261" s="557"/>
      <c r="K261" s="1382" t="s">
        <v>535</v>
      </c>
      <c r="L261" s="1382" t="s">
        <v>535</v>
      </c>
      <c r="M261" s="1382" t="s">
        <v>535</v>
      </c>
      <c r="N261" s="1382" t="s">
        <v>535</v>
      </c>
      <c r="O261" s="1382" t="s">
        <v>535</v>
      </c>
      <c r="P261" s="1215"/>
      <c r="Q261" s="1215"/>
      <c r="R261" s="557" t="s">
        <v>535</v>
      </c>
      <c r="S261" s="557" t="s">
        <v>535</v>
      </c>
      <c r="T261" s="557" t="s">
        <v>535</v>
      </c>
      <c r="U261" s="557" t="s">
        <v>535</v>
      </c>
      <c r="V261" s="557" t="s">
        <v>535</v>
      </c>
      <c r="W261" s="1208"/>
      <c r="X261" s="1208"/>
      <c r="Y261" s="1208" t="s">
        <v>535</v>
      </c>
      <c r="Z261" s="1208" t="s">
        <v>535</v>
      </c>
      <c r="AA261" s="1208" t="s">
        <v>535</v>
      </c>
      <c r="AB261" s="557" t="s">
        <v>535</v>
      </c>
      <c r="AC261" s="557" t="s">
        <v>535</v>
      </c>
      <c r="AD261" s="1215"/>
      <c r="AE261" s="1215"/>
      <c r="AF261" s="557" t="s">
        <v>535</v>
      </c>
      <c r="AG261" s="1208"/>
      <c r="AH261" s="638">
        <v>123</v>
      </c>
      <c r="AI261" s="639">
        <v>0</v>
      </c>
    </row>
    <row r="262" spans="1:35" ht="21" customHeight="1">
      <c r="A262" s="442"/>
      <c r="B262" s="619" t="s">
        <v>610</v>
      </c>
      <c r="C262" s="1215"/>
      <c r="D262" s="1439" t="s">
        <v>535</v>
      </c>
      <c r="E262" s="1439" t="s">
        <v>535</v>
      </c>
      <c r="F262" s="1439" t="s">
        <v>570</v>
      </c>
      <c r="G262" s="557" t="s">
        <v>535</v>
      </c>
      <c r="H262" s="557" t="s">
        <v>535</v>
      </c>
      <c r="I262" s="1215"/>
      <c r="J262" s="557"/>
      <c r="K262" s="557" t="s">
        <v>535</v>
      </c>
      <c r="L262" s="557" t="s">
        <v>535</v>
      </c>
      <c r="M262" s="557" t="s">
        <v>535</v>
      </c>
      <c r="N262" s="557" t="s">
        <v>535</v>
      </c>
      <c r="O262" s="557" t="s">
        <v>535</v>
      </c>
      <c r="P262" s="1215"/>
      <c r="Q262" s="1215"/>
      <c r="R262" s="557" t="s">
        <v>535</v>
      </c>
      <c r="S262" s="557" t="s">
        <v>535</v>
      </c>
      <c r="T262" s="557" t="s">
        <v>535</v>
      </c>
      <c r="U262" s="557" t="s">
        <v>535</v>
      </c>
      <c r="V262" s="557" t="s">
        <v>535</v>
      </c>
      <c r="W262" s="1208"/>
      <c r="X262" s="1208"/>
      <c r="Y262" s="1208" t="s">
        <v>535</v>
      </c>
      <c r="Z262" s="1208" t="s">
        <v>535</v>
      </c>
      <c r="AA262" s="1208" t="s">
        <v>535</v>
      </c>
      <c r="AB262" s="557" t="s">
        <v>535</v>
      </c>
      <c r="AC262" s="557" t="s">
        <v>535</v>
      </c>
      <c r="AD262" s="1215"/>
      <c r="AE262" s="1215"/>
      <c r="AF262" s="557" t="s">
        <v>535</v>
      </c>
      <c r="AG262" s="1208"/>
      <c r="AH262" s="638">
        <v>79</v>
      </c>
      <c r="AI262" s="639">
        <v>37</v>
      </c>
    </row>
    <row r="263" spans="1:35" ht="21" customHeight="1">
      <c r="A263" s="442"/>
      <c r="B263" s="619" t="s">
        <v>611</v>
      </c>
      <c r="C263" s="1215"/>
      <c r="D263" s="557" t="s">
        <v>535</v>
      </c>
      <c r="E263" s="557" t="s">
        <v>535</v>
      </c>
      <c r="F263" s="557" t="s">
        <v>535</v>
      </c>
      <c r="G263" s="557" t="s">
        <v>535</v>
      </c>
      <c r="H263" s="557" t="s">
        <v>535</v>
      </c>
      <c r="I263" s="1215"/>
      <c r="J263" s="557"/>
      <c r="K263" s="557" t="s">
        <v>535</v>
      </c>
      <c r="L263" s="557" t="s">
        <v>535</v>
      </c>
      <c r="M263" s="557" t="s">
        <v>535</v>
      </c>
      <c r="N263" s="557" t="s">
        <v>535</v>
      </c>
      <c r="O263" s="557" t="s">
        <v>535</v>
      </c>
      <c r="P263" s="1215"/>
      <c r="Q263" s="1215"/>
      <c r="R263" s="557" t="s">
        <v>535</v>
      </c>
      <c r="S263" s="557" t="s">
        <v>535</v>
      </c>
      <c r="T263" s="557" t="s">
        <v>535</v>
      </c>
      <c r="U263" s="557" t="s">
        <v>535</v>
      </c>
      <c r="V263" s="557" t="s">
        <v>535</v>
      </c>
      <c r="W263" s="1208"/>
      <c r="X263" s="1208"/>
      <c r="Y263" s="1208" t="s">
        <v>535</v>
      </c>
      <c r="Z263" s="1208" t="s">
        <v>535</v>
      </c>
      <c r="AA263" s="1500" t="s">
        <v>514</v>
      </c>
      <c r="AB263" s="557" t="s">
        <v>535</v>
      </c>
      <c r="AC263" s="557" t="s">
        <v>535</v>
      </c>
      <c r="AD263" s="1215"/>
      <c r="AE263" s="1215"/>
      <c r="AF263" s="557" t="s">
        <v>535</v>
      </c>
      <c r="AG263" s="1208"/>
      <c r="AH263" s="638">
        <v>99</v>
      </c>
      <c r="AI263" s="639">
        <v>37</v>
      </c>
    </row>
    <row r="264" spans="1:35" ht="21" customHeight="1">
      <c r="A264" s="442"/>
      <c r="B264" s="619" t="s">
        <v>612</v>
      </c>
      <c r="C264" s="1215"/>
      <c r="D264" s="557" t="s">
        <v>535</v>
      </c>
      <c r="E264" s="557" t="s">
        <v>535</v>
      </c>
      <c r="F264" s="557" t="s">
        <v>535</v>
      </c>
      <c r="G264" s="557" t="s">
        <v>535</v>
      </c>
      <c r="H264" s="557" t="s">
        <v>535</v>
      </c>
      <c r="I264" s="1215"/>
      <c r="J264" s="557"/>
      <c r="K264" s="557" t="s">
        <v>535</v>
      </c>
      <c r="L264" s="557" t="s">
        <v>535</v>
      </c>
      <c r="M264" s="557" t="s">
        <v>535</v>
      </c>
      <c r="N264" s="557" t="s">
        <v>535</v>
      </c>
      <c r="O264" s="557" t="s">
        <v>535</v>
      </c>
      <c r="P264" s="1215"/>
      <c r="Q264" s="1215"/>
      <c r="R264" s="557" t="s">
        <v>535</v>
      </c>
      <c r="S264" s="557" t="s">
        <v>535</v>
      </c>
      <c r="T264" s="557" t="s">
        <v>535</v>
      </c>
      <c r="U264" s="557" t="s">
        <v>535</v>
      </c>
      <c r="V264" s="557" t="s">
        <v>535</v>
      </c>
      <c r="W264" s="1208"/>
      <c r="X264" s="1208"/>
      <c r="Y264" s="1208" t="s">
        <v>535</v>
      </c>
      <c r="Z264" s="1208" t="s">
        <v>535</v>
      </c>
      <c r="AA264" s="1500" t="s">
        <v>514</v>
      </c>
      <c r="AB264" s="557" t="s">
        <v>535</v>
      </c>
      <c r="AC264" s="557" t="s">
        <v>535</v>
      </c>
      <c r="AD264" s="1215"/>
      <c r="AE264" s="1215"/>
      <c r="AF264" s="557" t="s">
        <v>535</v>
      </c>
      <c r="AG264" s="1208"/>
      <c r="AH264" s="638">
        <v>71</v>
      </c>
      <c r="AI264" s="639">
        <v>37</v>
      </c>
    </row>
    <row r="265" spans="1:35" ht="21" customHeight="1">
      <c r="A265" s="442"/>
      <c r="B265" s="619" t="s">
        <v>613</v>
      </c>
      <c r="C265" s="1215"/>
      <c r="D265" s="557" t="s">
        <v>535</v>
      </c>
      <c r="E265" s="557" t="s">
        <v>535</v>
      </c>
      <c r="F265" s="557" t="s">
        <v>535</v>
      </c>
      <c r="G265" s="557" t="s">
        <v>535</v>
      </c>
      <c r="H265" s="557" t="s">
        <v>535</v>
      </c>
      <c r="I265" s="1215"/>
      <c r="J265" s="557"/>
      <c r="K265" s="557" t="s">
        <v>535</v>
      </c>
      <c r="L265" s="557" t="s">
        <v>535</v>
      </c>
      <c r="M265" s="557" t="s">
        <v>535</v>
      </c>
      <c r="N265" s="557" t="s">
        <v>535</v>
      </c>
      <c r="O265" s="557" t="s">
        <v>535</v>
      </c>
      <c r="P265" s="1215"/>
      <c r="Q265" s="1215"/>
      <c r="R265" s="557" t="s">
        <v>535</v>
      </c>
      <c r="S265" s="557" t="s">
        <v>535</v>
      </c>
      <c r="T265" s="557" t="s">
        <v>535</v>
      </c>
      <c r="U265" s="557" t="s">
        <v>535</v>
      </c>
      <c r="V265" s="557" t="s">
        <v>535</v>
      </c>
      <c r="W265" s="1208"/>
      <c r="X265" s="1208"/>
      <c r="Y265" s="1208" t="s">
        <v>535</v>
      </c>
      <c r="Z265" s="1208" t="s">
        <v>535</v>
      </c>
      <c r="AA265" s="1500" t="s">
        <v>514</v>
      </c>
      <c r="AB265" s="557" t="s">
        <v>535</v>
      </c>
      <c r="AC265" s="557" t="s">
        <v>535</v>
      </c>
      <c r="AD265" s="1215"/>
      <c r="AE265" s="1215"/>
      <c r="AF265" s="1347" t="s">
        <v>535</v>
      </c>
      <c r="AG265" s="1208"/>
      <c r="AH265" s="638">
        <v>74</v>
      </c>
      <c r="AI265" s="639">
        <v>37</v>
      </c>
    </row>
    <row r="266" spans="1:35" ht="21" customHeight="1">
      <c r="A266" s="442"/>
      <c r="B266" s="619" t="s">
        <v>614</v>
      </c>
      <c r="C266" s="1338"/>
      <c r="D266" s="1365" t="s">
        <v>535</v>
      </c>
      <c r="E266" s="1365" t="s">
        <v>535</v>
      </c>
      <c r="F266" s="1365" t="s">
        <v>535</v>
      </c>
      <c r="G266" s="1365" t="s">
        <v>535</v>
      </c>
      <c r="H266" s="1365" t="s">
        <v>535</v>
      </c>
      <c r="I266" s="1338"/>
      <c r="J266" s="1365"/>
      <c r="K266" s="1365" t="s">
        <v>535</v>
      </c>
      <c r="L266" s="1365" t="s">
        <v>535</v>
      </c>
      <c r="M266" s="1365" t="s">
        <v>535</v>
      </c>
      <c r="N266" s="1365" t="s">
        <v>535</v>
      </c>
      <c r="O266" s="1365" t="s">
        <v>535</v>
      </c>
      <c r="P266" s="1338"/>
      <c r="Q266" s="1338"/>
      <c r="R266" s="557" t="s">
        <v>535</v>
      </c>
      <c r="S266" s="557" t="s">
        <v>535</v>
      </c>
      <c r="T266" s="557" t="s">
        <v>535</v>
      </c>
      <c r="U266" s="557" t="s">
        <v>535</v>
      </c>
      <c r="V266" s="557" t="s">
        <v>535</v>
      </c>
      <c r="W266" s="1208"/>
      <c r="X266" s="1208"/>
      <c r="Y266" s="1208" t="s">
        <v>535</v>
      </c>
      <c r="Z266" s="1208" t="s">
        <v>535</v>
      </c>
      <c r="AA266" s="1439" t="s">
        <v>535</v>
      </c>
      <c r="AB266" s="1439" t="s">
        <v>535</v>
      </c>
      <c r="AC266" s="1439" t="s">
        <v>535</v>
      </c>
      <c r="AD266" s="1392"/>
      <c r="AE266" s="1392"/>
      <c r="AF266" s="1439" t="s">
        <v>535</v>
      </c>
      <c r="AG266" s="1439"/>
      <c r="AH266" s="638">
        <v>105</v>
      </c>
      <c r="AI266" s="639">
        <v>37</v>
      </c>
    </row>
    <row r="267" spans="1:35" ht="21" customHeight="1">
      <c r="A267" s="442"/>
      <c r="B267" s="619" t="s">
        <v>615</v>
      </c>
      <c r="C267" s="1215"/>
      <c r="D267" s="557" t="s">
        <v>535</v>
      </c>
      <c r="E267" s="557" t="s">
        <v>535</v>
      </c>
      <c r="F267" s="557" t="s">
        <v>535</v>
      </c>
      <c r="G267" s="557" t="s">
        <v>535</v>
      </c>
      <c r="H267" s="557" t="s">
        <v>535</v>
      </c>
      <c r="I267" s="1215"/>
      <c r="J267" s="557"/>
      <c r="K267" s="557" t="s">
        <v>535</v>
      </c>
      <c r="L267" s="557" t="s">
        <v>535</v>
      </c>
      <c r="M267" s="557" t="s">
        <v>535</v>
      </c>
      <c r="N267" s="1439" t="s">
        <v>535</v>
      </c>
      <c r="O267" s="1439" t="s">
        <v>535</v>
      </c>
      <c r="P267" s="1392"/>
      <c r="Q267" s="1392"/>
      <c r="R267" s="1439" t="s">
        <v>535</v>
      </c>
      <c r="S267" s="1439" t="s">
        <v>749</v>
      </c>
      <c r="T267" s="557" t="s">
        <v>535</v>
      </c>
      <c r="U267" s="557" t="s">
        <v>535</v>
      </c>
      <c r="V267" s="557" t="s">
        <v>535</v>
      </c>
      <c r="W267" s="1208"/>
      <c r="X267" s="1208"/>
      <c r="Y267" s="1208" t="s">
        <v>535</v>
      </c>
      <c r="Z267" s="1208" t="s">
        <v>535</v>
      </c>
      <c r="AA267" s="1500" t="s">
        <v>514</v>
      </c>
      <c r="AB267" s="557" t="s">
        <v>535</v>
      </c>
      <c r="AC267" s="557" t="s">
        <v>535</v>
      </c>
      <c r="AD267" s="1215"/>
      <c r="AE267" s="1215"/>
      <c r="AF267" s="557" t="s">
        <v>535</v>
      </c>
      <c r="AG267" s="1208"/>
      <c r="AH267" s="638">
        <v>60</v>
      </c>
      <c r="AI267" s="639">
        <v>37</v>
      </c>
    </row>
    <row r="268" spans="1:35" ht="21" customHeight="1">
      <c r="A268" s="442"/>
      <c r="B268" s="153" t="s">
        <v>616</v>
      </c>
      <c r="C268" s="1215"/>
      <c r="D268" s="557" t="s">
        <v>535</v>
      </c>
      <c r="E268" s="557" t="s">
        <v>535</v>
      </c>
      <c r="F268" s="557" t="s">
        <v>535</v>
      </c>
      <c r="G268" s="557" t="s">
        <v>535</v>
      </c>
      <c r="H268" s="557" t="s">
        <v>535</v>
      </c>
      <c r="I268" s="1215"/>
      <c r="J268" s="557"/>
      <c r="K268" s="557" t="s">
        <v>535</v>
      </c>
      <c r="L268" s="557" t="s">
        <v>535</v>
      </c>
      <c r="M268" s="557" t="s">
        <v>535</v>
      </c>
      <c r="N268" s="557" t="s">
        <v>535</v>
      </c>
      <c r="O268" s="557" t="s">
        <v>535</v>
      </c>
      <c r="P268" s="1215"/>
      <c r="Q268" s="1215"/>
      <c r="R268" s="557" t="s">
        <v>535</v>
      </c>
      <c r="S268" s="557" t="s">
        <v>535</v>
      </c>
      <c r="T268" s="557" t="s">
        <v>535</v>
      </c>
      <c r="U268" s="557" t="s">
        <v>535</v>
      </c>
      <c r="V268" s="557" t="s">
        <v>535</v>
      </c>
      <c r="W268" s="1208"/>
      <c r="X268" s="1208"/>
      <c r="Y268" s="1208" t="s">
        <v>535</v>
      </c>
      <c r="Z268" s="1208" t="s">
        <v>535</v>
      </c>
      <c r="AA268" s="1500" t="s">
        <v>514</v>
      </c>
      <c r="AB268" s="557" t="s">
        <v>535</v>
      </c>
      <c r="AC268" s="557" t="s">
        <v>535</v>
      </c>
      <c r="AD268" s="1215"/>
      <c r="AE268" s="1215"/>
      <c r="AF268" s="557" t="s">
        <v>535</v>
      </c>
      <c r="AG268" s="1208"/>
      <c r="AH268" s="638">
        <v>74</v>
      </c>
      <c r="AI268" s="639">
        <v>37</v>
      </c>
    </row>
    <row r="269" spans="1:35" ht="21" customHeight="1">
      <c r="A269" s="442"/>
      <c r="B269" s="153" t="s">
        <v>617</v>
      </c>
      <c r="C269" s="1215"/>
      <c r="D269" s="557" t="s">
        <v>535</v>
      </c>
      <c r="E269" s="557" t="s">
        <v>535</v>
      </c>
      <c r="F269" s="557" t="s">
        <v>535</v>
      </c>
      <c r="G269" s="1382" t="s">
        <v>535</v>
      </c>
      <c r="H269" s="1382" t="s">
        <v>535</v>
      </c>
      <c r="I269" s="1215"/>
      <c r="J269" s="557"/>
      <c r="K269" s="557" t="s">
        <v>535</v>
      </c>
      <c r="L269" s="557" t="s">
        <v>535</v>
      </c>
      <c r="M269" s="557" t="s">
        <v>535</v>
      </c>
      <c r="N269" s="557" t="s">
        <v>535</v>
      </c>
      <c r="O269" s="557" t="s">
        <v>535</v>
      </c>
      <c r="P269" s="1215"/>
      <c r="Q269" s="1215"/>
      <c r="R269" s="557" t="s">
        <v>535</v>
      </c>
      <c r="S269" s="557" t="s">
        <v>535</v>
      </c>
      <c r="T269" s="557" t="s">
        <v>535</v>
      </c>
      <c r="U269" s="557" t="s">
        <v>535</v>
      </c>
      <c r="V269" s="557" t="s">
        <v>535</v>
      </c>
      <c r="W269" s="1208"/>
      <c r="X269" s="1208"/>
      <c r="Y269" s="1208" t="s">
        <v>535</v>
      </c>
      <c r="Z269" s="1208" t="s">
        <v>535</v>
      </c>
      <c r="AA269" s="1208" t="s">
        <v>535</v>
      </c>
      <c r="AB269" s="557" t="s">
        <v>535</v>
      </c>
      <c r="AC269" s="557" t="s">
        <v>535</v>
      </c>
      <c r="AD269" s="1215"/>
      <c r="AE269" s="1215"/>
      <c r="AF269" s="557" t="s">
        <v>535</v>
      </c>
      <c r="AG269" s="1208"/>
      <c r="AH269" s="638">
        <v>62</v>
      </c>
      <c r="AI269" s="639">
        <v>37</v>
      </c>
    </row>
    <row r="270" spans="1:35" ht="21" customHeight="1">
      <c r="A270" s="134"/>
      <c r="B270" s="134" t="s">
        <v>619</v>
      </c>
      <c r="C270" s="1571"/>
      <c r="D270" s="1572" t="s">
        <v>535</v>
      </c>
      <c r="E270" s="1572" t="s">
        <v>570</v>
      </c>
      <c r="F270" s="1563" t="s">
        <v>535</v>
      </c>
      <c r="G270" s="1563" t="s">
        <v>535</v>
      </c>
      <c r="H270" s="1563" t="s">
        <v>535</v>
      </c>
      <c r="I270" s="1219"/>
      <c r="J270" s="1563"/>
      <c r="K270" s="1563" t="s">
        <v>535</v>
      </c>
      <c r="L270" s="1563" t="s">
        <v>535</v>
      </c>
      <c r="M270" s="1563" t="s">
        <v>535</v>
      </c>
      <c r="N270" s="1563" t="s">
        <v>535</v>
      </c>
      <c r="O270" s="1563" t="s">
        <v>535</v>
      </c>
      <c r="P270" s="1219"/>
      <c r="Q270" s="1219"/>
      <c r="R270" s="1563" t="s">
        <v>535</v>
      </c>
      <c r="S270" s="1563" t="s">
        <v>535</v>
      </c>
      <c r="T270" s="1563" t="s">
        <v>535</v>
      </c>
      <c r="U270" s="1563" t="s">
        <v>535</v>
      </c>
      <c r="V270" s="1563" t="s">
        <v>535</v>
      </c>
      <c r="W270" s="1564"/>
      <c r="X270" s="1564"/>
      <c r="Y270" s="1564" t="s">
        <v>535</v>
      </c>
      <c r="Z270" s="1564" t="s">
        <v>535</v>
      </c>
      <c r="AA270" s="1564" t="s">
        <v>535</v>
      </c>
      <c r="AB270" s="1563" t="s">
        <v>535</v>
      </c>
      <c r="AC270" s="1563" t="s">
        <v>535</v>
      </c>
      <c r="AD270" s="1219"/>
      <c r="AE270" s="1219"/>
      <c r="AF270" s="1563" t="s">
        <v>535</v>
      </c>
      <c r="AG270" s="1564"/>
      <c r="AH270" s="638">
        <v>74</v>
      </c>
      <c r="AI270" s="639">
        <v>37</v>
      </c>
    </row>
    <row r="271" spans="1:35" ht="20.25" customHeight="1">
      <c r="A271" s="902"/>
      <c r="B271" s="902" t="s">
        <v>618</v>
      </c>
      <c r="C271" s="902"/>
      <c r="D271" s="1567" t="s">
        <v>535</v>
      </c>
      <c r="E271" s="1567" t="s">
        <v>535</v>
      </c>
      <c r="F271" s="1567" t="s">
        <v>535</v>
      </c>
      <c r="G271" s="1567" t="s">
        <v>535</v>
      </c>
      <c r="H271" s="1567" t="s">
        <v>535</v>
      </c>
      <c r="I271" s="1229"/>
      <c r="J271" s="1567"/>
      <c r="K271" s="1567" t="s">
        <v>535</v>
      </c>
      <c r="L271" s="1567" t="s">
        <v>535</v>
      </c>
      <c r="M271" s="1567" t="s">
        <v>535</v>
      </c>
      <c r="N271" s="1567" t="s">
        <v>535</v>
      </c>
      <c r="O271" s="1567" t="s">
        <v>535</v>
      </c>
      <c r="P271" s="1229"/>
      <c r="Q271" s="1229"/>
      <c r="R271" s="1567" t="s">
        <v>535</v>
      </c>
      <c r="S271" s="1567" t="s">
        <v>535</v>
      </c>
      <c r="T271" s="1567" t="s">
        <v>535</v>
      </c>
      <c r="U271" s="1567" t="s">
        <v>535</v>
      </c>
      <c r="V271" s="1567" t="s">
        <v>535</v>
      </c>
      <c r="W271" s="1568"/>
      <c r="X271" s="1568"/>
      <c r="Y271" s="1580" t="s">
        <v>535</v>
      </c>
      <c r="Z271" s="1580" t="s">
        <v>535</v>
      </c>
      <c r="AA271" s="1580" t="s">
        <v>535</v>
      </c>
      <c r="AB271" s="1580" t="s">
        <v>535</v>
      </c>
      <c r="AC271" s="1580" t="s">
        <v>570</v>
      </c>
      <c r="AD271" s="1229"/>
      <c r="AE271" s="1229"/>
      <c r="AF271" s="1567" t="s">
        <v>535</v>
      </c>
      <c r="AG271" s="902"/>
      <c r="AH271" s="638">
        <v>72</v>
      </c>
      <c r="AI271" s="639">
        <v>31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27"/>
  <dimension ref="A1:AL271"/>
  <sheetViews>
    <sheetView topLeftCell="A6" zoomScale="70" zoomScaleNormal="70" workbookViewId="0">
      <selection activeCell="AI25" sqref="AI25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620</v>
      </c>
      <c r="B6" s="157"/>
      <c r="C6" s="489"/>
      <c r="D6" s="488" t="s">
        <v>621</v>
      </c>
      <c r="E6" s="157"/>
      <c r="F6" s="157"/>
      <c r="G6" s="157"/>
      <c r="H6" s="490"/>
      <c r="I6" s="157"/>
      <c r="J6" s="157"/>
      <c r="K6" s="157"/>
      <c r="L6" s="488" t="s">
        <v>622</v>
      </c>
      <c r="M6" s="157"/>
      <c r="N6" s="157"/>
      <c r="O6" s="157"/>
      <c r="P6" s="157"/>
      <c r="Q6" s="157"/>
      <c r="R6" s="157"/>
      <c r="S6" s="489"/>
      <c r="T6" s="491" t="s">
        <v>623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624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625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626</v>
      </c>
      <c r="L8" s="496"/>
      <c r="AB8" s="1"/>
    </row>
    <row r="9" spans="1:35" ht="21.95" customHeight="1" thickBot="1">
      <c r="B9" s="497" t="s">
        <v>627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528</v>
      </c>
      <c r="B10" s="297" t="s">
        <v>480</v>
      </c>
      <c r="C10" s="1234">
        <v>1</v>
      </c>
      <c r="D10" s="1234">
        <v>2</v>
      </c>
      <c r="E10" s="1234">
        <v>3</v>
      </c>
      <c r="F10" s="1234">
        <v>4</v>
      </c>
      <c r="G10" s="1235">
        <v>5</v>
      </c>
      <c r="H10" s="1235">
        <v>6</v>
      </c>
      <c r="I10" s="1213">
        <v>7</v>
      </c>
      <c r="J10" s="1213">
        <v>8</v>
      </c>
      <c r="K10" s="1234">
        <v>9</v>
      </c>
      <c r="L10" s="1234">
        <v>10</v>
      </c>
      <c r="M10" s="1234">
        <v>11</v>
      </c>
      <c r="N10" s="1235">
        <v>12</v>
      </c>
      <c r="O10" s="1235">
        <v>13</v>
      </c>
      <c r="P10" s="1213">
        <v>14</v>
      </c>
      <c r="Q10" s="1213">
        <v>15</v>
      </c>
      <c r="R10" s="1234">
        <v>16</v>
      </c>
      <c r="S10" s="1234">
        <v>17</v>
      </c>
      <c r="T10" s="1234">
        <v>18</v>
      </c>
      <c r="U10" s="1235">
        <v>19</v>
      </c>
      <c r="V10" s="1330">
        <v>20</v>
      </c>
      <c r="W10" s="1213">
        <v>21</v>
      </c>
      <c r="X10" s="1213">
        <v>22</v>
      </c>
      <c r="Y10" s="1234">
        <v>23</v>
      </c>
      <c r="Z10" s="1234">
        <v>24</v>
      </c>
      <c r="AA10" s="1234">
        <v>25</v>
      </c>
      <c r="AB10" s="1235">
        <v>26</v>
      </c>
      <c r="AC10" s="1235">
        <v>27</v>
      </c>
      <c r="AD10" s="1213">
        <v>28</v>
      </c>
      <c r="AE10" s="1213">
        <v>29</v>
      </c>
      <c r="AF10" s="1234">
        <v>30</v>
      </c>
      <c r="AG10" s="1234">
        <v>31</v>
      </c>
      <c r="AH10" s="498" t="s">
        <v>481</v>
      </c>
      <c r="AI10" s="499" t="s">
        <v>482</v>
      </c>
    </row>
    <row r="11" spans="1:35" ht="21.95" customHeight="1">
      <c r="A11" s="500"/>
      <c r="B11" s="501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1215"/>
      <c r="N11" s="1215"/>
      <c r="O11" s="1215"/>
      <c r="P11" s="1215"/>
      <c r="Q11" s="1215"/>
      <c r="R11" s="1215"/>
      <c r="S11" s="1215"/>
      <c r="T11" s="1215"/>
      <c r="U11" s="1215"/>
      <c r="V11" s="1215"/>
      <c r="W11" s="1215"/>
      <c r="X11" s="1215"/>
      <c r="Y11" s="1215"/>
      <c r="Z11" s="1215"/>
      <c r="AA11" s="1215"/>
      <c r="AB11" s="1215"/>
      <c r="AC11" s="1215"/>
      <c r="AD11" s="1215"/>
      <c r="AE11" s="1215"/>
      <c r="AF11" s="1215"/>
      <c r="AG11" s="503"/>
      <c r="AH11" s="504"/>
      <c r="AI11" s="505"/>
    </row>
    <row r="12" spans="1:35" ht="21.95" customHeight="1">
      <c r="A12" s="506" t="s">
        <v>628</v>
      </c>
      <c r="B12" s="45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509"/>
      <c r="AI12" s="510"/>
    </row>
    <row r="13" spans="1:35" ht="21.95" customHeight="1">
      <c r="A13" s="511">
        <v>8546</v>
      </c>
      <c r="B13" s="512" t="s">
        <v>629</v>
      </c>
      <c r="C13" s="1211" t="s">
        <v>487</v>
      </c>
      <c r="D13" s="1211" t="s">
        <v>487</v>
      </c>
      <c r="E13" s="1211" t="s">
        <v>487</v>
      </c>
      <c r="F13" s="1211" t="s">
        <v>487</v>
      </c>
      <c r="G13" s="1211"/>
      <c r="H13" s="1215"/>
      <c r="I13" s="1211">
        <v>3</v>
      </c>
      <c r="J13" s="1211">
        <v>3</v>
      </c>
      <c r="K13" s="1211">
        <v>3</v>
      </c>
      <c r="L13" s="1211">
        <v>3</v>
      </c>
      <c r="M13" s="1211">
        <v>3</v>
      </c>
      <c r="N13" s="1211"/>
      <c r="O13" s="1211"/>
      <c r="P13" s="1211">
        <v>4</v>
      </c>
      <c r="Q13" s="1442">
        <v>4</v>
      </c>
      <c r="R13" s="1442">
        <v>4</v>
      </c>
      <c r="S13" s="1211">
        <v>4</v>
      </c>
      <c r="T13" s="1211">
        <v>4</v>
      </c>
      <c r="U13" s="1211" t="s">
        <v>630</v>
      </c>
      <c r="V13" s="1211" t="s">
        <v>630</v>
      </c>
      <c r="W13" s="1211" t="s">
        <v>487</v>
      </c>
      <c r="X13" s="1211" t="s">
        <v>487</v>
      </c>
      <c r="Y13" s="1211" t="s">
        <v>487</v>
      </c>
      <c r="Z13" s="1211" t="s">
        <v>487</v>
      </c>
      <c r="AA13" s="1211" t="s">
        <v>487</v>
      </c>
      <c r="AB13" s="1211"/>
      <c r="AC13" s="1211"/>
      <c r="AD13" s="1394">
        <v>1</v>
      </c>
      <c r="AE13" s="1394">
        <v>1</v>
      </c>
      <c r="AF13" s="1211">
        <v>1</v>
      </c>
      <c r="AG13" s="1218">
        <v>1</v>
      </c>
      <c r="AH13" s="513">
        <v>185</v>
      </c>
      <c r="AI13" s="514">
        <v>37</v>
      </c>
    </row>
    <row r="14" spans="1:35" ht="21.95" customHeight="1">
      <c r="A14" s="500">
        <v>8546</v>
      </c>
      <c r="B14" s="347" t="s">
        <v>632</v>
      </c>
      <c r="C14" s="1215">
        <v>1</v>
      </c>
      <c r="D14" s="1500">
        <v>1</v>
      </c>
      <c r="E14" s="1215">
        <v>1</v>
      </c>
      <c r="F14" s="1215">
        <v>1</v>
      </c>
      <c r="G14" s="1215"/>
      <c r="H14" s="1215"/>
      <c r="I14" s="1215">
        <v>2</v>
      </c>
      <c r="J14" s="1215">
        <v>2</v>
      </c>
      <c r="K14" s="1215">
        <v>2</v>
      </c>
      <c r="L14" s="1215">
        <v>2</v>
      </c>
      <c r="M14" s="1215">
        <v>2</v>
      </c>
      <c r="N14" s="1215" t="s">
        <v>631</v>
      </c>
      <c r="O14" s="1215" t="s">
        <v>631</v>
      </c>
      <c r="P14" s="1215" t="s">
        <v>487</v>
      </c>
      <c r="Q14" s="1215" t="s">
        <v>487</v>
      </c>
      <c r="R14" s="1215" t="s">
        <v>487</v>
      </c>
      <c r="S14" s="1215" t="s">
        <v>487</v>
      </c>
      <c r="T14" s="1215" t="s">
        <v>487</v>
      </c>
      <c r="U14" s="1215"/>
      <c r="V14" s="1215"/>
      <c r="W14" s="1215">
        <v>3</v>
      </c>
      <c r="X14" s="1215">
        <v>3</v>
      </c>
      <c r="Y14" s="1215">
        <v>3</v>
      </c>
      <c r="Z14" s="1215">
        <v>3</v>
      </c>
      <c r="AA14" s="1215">
        <v>3</v>
      </c>
      <c r="AB14" s="1215"/>
      <c r="AC14" s="1215"/>
      <c r="AD14" s="1344">
        <v>4</v>
      </c>
      <c r="AE14" s="1215">
        <v>4</v>
      </c>
      <c r="AF14" s="1215">
        <v>4</v>
      </c>
      <c r="AG14" s="1216">
        <v>4</v>
      </c>
      <c r="AH14" s="513">
        <v>185</v>
      </c>
      <c r="AI14" s="514">
        <v>37</v>
      </c>
    </row>
    <row r="15" spans="1:35" ht="21.95" customHeight="1">
      <c r="A15" s="500">
        <v>8546</v>
      </c>
      <c r="B15" s="347" t="s">
        <v>171</v>
      </c>
      <c r="C15" s="1215">
        <v>2</v>
      </c>
      <c r="D15" s="1215">
        <v>2</v>
      </c>
      <c r="E15" s="1215">
        <v>2</v>
      </c>
      <c r="F15" s="1338">
        <v>2</v>
      </c>
      <c r="G15" s="1215" t="s">
        <v>631</v>
      </c>
      <c r="H15" s="1215" t="s">
        <v>631</v>
      </c>
      <c r="I15" s="1215" t="s">
        <v>487</v>
      </c>
      <c r="J15" s="1215" t="s">
        <v>487</v>
      </c>
      <c r="K15" s="1215" t="s">
        <v>487</v>
      </c>
      <c r="L15" s="1215" t="s">
        <v>487</v>
      </c>
      <c r="M15" s="1215" t="s">
        <v>487</v>
      </c>
      <c r="N15" s="1215"/>
      <c r="O15" s="1215"/>
      <c r="P15" s="1215">
        <v>3</v>
      </c>
      <c r="Q15" s="1215">
        <v>3</v>
      </c>
      <c r="R15" s="1215">
        <v>3</v>
      </c>
      <c r="S15" s="1338">
        <v>3</v>
      </c>
      <c r="T15" s="1338">
        <v>3</v>
      </c>
      <c r="U15" s="1215"/>
      <c r="V15" s="1215"/>
      <c r="W15" s="1215">
        <v>4</v>
      </c>
      <c r="X15" s="1215">
        <v>4</v>
      </c>
      <c r="Y15" s="1215">
        <v>4</v>
      </c>
      <c r="Z15" s="1215">
        <v>4</v>
      </c>
      <c r="AA15" s="1335">
        <v>4</v>
      </c>
      <c r="AB15" s="1338" t="s">
        <v>630</v>
      </c>
      <c r="AC15" s="1338" t="s">
        <v>630</v>
      </c>
      <c r="AD15" s="1344" t="s">
        <v>487</v>
      </c>
      <c r="AE15" s="1215" t="s">
        <v>487</v>
      </c>
      <c r="AF15" s="1215" t="s">
        <v>487</v>
      </c>
      <c r="AG15" s="1216" t="s">
        <v>487</v>
      </c>
      <c r="AH15" s="513">
        <v>185</v>
      </c>
      <c r="AI15" s="514">
        <v>37</v>
      </c>
    </row>
    <row r="16" spans="1:35" ht="21.95" customHeight="1">
      <c r="A16" s="500">
        <v>8546</v>
      </c>
      <c r="B16" s="347" t="s">
        <v>633</v>
      </c>
      <c r="C16" s="1215">
        <v>4</v>
      </c>
      <c r="D16" s="1215">
        <v>4</v>
      </c>
      <c r="E16" s="1215">
        <v>4</v>
      </c>
      <c r="F16" s="1215">
        <v>4</v>
      </c>
      <c r="G16" s="1215" t="s">
        <v>630</v>
      </c>
      <c r="H16" s="1215" t="s">
        <v>630</v>
      </c>
      <c r="I16" s="1215" t="s">
        <v>487</v>
      </c>
      <c r="J16" s="1215" t="s">
        <v>487</v>
      </c>
      <c r="K16" s="1215" t="s">
        <v>487</v>
      </c>
      <c r="L16" s="1215" t="s">
        <v>487</v>
      </c>
      <c r="M16" s="1215" t="s">
        <v>487</v>
      </c>
      <c r="N16" s="1215"/>
      <c r="O16" s="1215"/>
      <c r="P16" s="1215">
        <v>1</v>
      </c>
      <c r="Q16" s="1215">
        <v>1</v>
      </c>
      <c r="R16" s="1215">
        <v>1</v>
      </c>
      <c r="S16" s="1215">
        <v>1</v>
      </c>
      <c r="T16" s="1215">
        <v>1</v>
      </c>
      <c r="U16" s="1215"/>
      <c r="V16" s="1215"/>
      <c r="W16" s="1338">
        <v>2</v>
      </c>
      <c r="X16" s="1358">
        <v>2</v>
      </c>
      <c r="Y16" s="1358">
        <v>2</v>
      </c>
      <c r="Z16" s="1358">
        <v>2</v>
      </c>
      <c r="AA16" s="1358">
        <v>2</v>
      </c>
      <c r="AB16" s="1358" t="s">
        <v>631</v>
      </c>
      <c r="AC16" s="1358" t="s">
        <v>631</v>
      </c>
      <c r="AD16" s="1344" t="s">
        <v>487</v>
      </c>
      <c r="AE16" s="1215" t="s">
        <v>487</v>
      </c>
      <c r="AF16" s="1215" t="s">
        <v>487</v>
      </c>
      <c r="AG16" s="1216" t="s">
        <v>487</v>
      </c>
      <c r="AH16" s="513">
        <v>185</v>
      </c>
      <c r="AI16" s="514">
        <v>37</v>
      </c>
    </row>
    <row r="17" spans="1:37" ht="21.95" customHeight="1">
      <c r="A17" s="500">
        <v>8546</v>
      </c>
      <c r="B17" s="347" t="s">
        <v>634</v>
      </c>
      <c r="C17" s="1215">
        <v>3</v>
      </c>
      <c r="D17" s="1215">
        <v>3</v>
      </c>
      <c r="E17" s="1215">
        <v>3</v>
      </c>
      <c r="F17" s="1215">
        <v>3</v>
      </c>
      <c r="G17" s="1215"/>
      <c r="H17" s="1215"/>
      <c r="I17" s="1215">
        <v>4</v>
      </c>
      <c r="J17" s="1215">
        <v>4</v>
      </c>
      <c r="K17" s="1215">
        <v>4</v>
      </c>
      <c r="L17" s="1215">
        <v>4</v>
      </c>
      <c r="M17" s="1215">
        <v>4</v>
      </c>
      <c r="N17" s="1215" t="s">
        <v>630</v>
      </c>
      <c r="O17" s="1215" t="s">
        <v>630</v>
      </c>
      <c r="P17" s="1215" t="s">
        <v>487</v>
      </c>
      <c r="Q17" s="1215">
        <v>4</v>
      </c>
      <c r="R17" s="1215">
        <v>4</v>
      </c>
      <c r="S17" s="1215" t="s">
        <v>487</v>
      </c>
      <c r="T17" s="1215" t="s">
        <v>487</v>
      </c>
      <c r="U17" s="1215"/>
      <c r="V17" s="1215"/>
      <c r="W17" s="1215">
        <v>1</v>
      </c>
      <c r="X17" s="1215">
        <v>1</v>
      </c>
      <c r="Y17" s="1215">
        <v>1</v>
      </c>
      <c r="Z17" s="1215">
        <v>1</v>
      </c>
      <c r="AA17" s="1215">
        <v>1</v>
      </c>
      <c r="AB17" s="1215"/>
      <c r="AC17" s="1215"/>
      <c r="AD17" s="1344">
        <v>2</v>
      </c>
      <c r="AE17" s="1215">
        <v>2</v>
      </c>
      <c r="AF17" s="1215">
        <v>2</v>
      </c>
      <c r="AG17" s="1216">
        <v>2</v>
      </c>
      <c r="AH17" s="513">
        <v>185</v>
      </c>
      <c r="AI17" s="514">
        <v>37</v>
      </c>
    </row>
    <row r="18" spans="1:37" ht="21.95" customHeight="1">
      <c r="A18" s="500">
        <v>8546</v>
      </c>
      <c r="B18" s="347" t="s">
        <v>635</v>
      </c>
      <c r="C18" s="1215" t="s">
        <v>487</v>
      </c>
      <c r="D18" s="1500" t="s">
        <v>487</v>
      </c>
      <c r="E18" s="1215" t="s">
        <v>487</v>
      </c>
      <c r="F18" s="1215" t="s">
        <v>487</v>
      </c>
      <c r="G18" s="1215"/>
      <c r="H18" s="1215"/>
      <c r="I18" s="1215">
        <v>1</v>
      </c>
      <c r="J18" s="1215">
        <v>1</v>
      </c>
      <c r="K18" s="1215">
        <v>1</v>
      </c>
      <c r="L18" s="1215">
        <v>1</v>
      </c>
      <c r="M18" s="1215">
        <v>1</v>
      </c>
      <c r="N18" s="1215"/>
      <c r="O18" s="1215"/>
      <c r="P18" s="1215">
        <v>2</v>
      </c>
      <c r="Q18" s="1215">
        <v>2</v>
      </c>
      <c r="R18" s="1215">
        <v>2</v>
      </c>
      <c r="S18" s="1215">
        <v>2</v>
      </c>
      <c r="T18" s="1215">
        <v>2</v>
      </c>
      <c r="U18" s="1215" t="s">
        <v>631</v>
      </c>
      <c r="V18" s="1215" t="s">
        <v>631</v>
      </c>
      <c r="W18" s="1215" t="s">
        <v>487</v>
      </c>
      <c r="X18" s="1215" t="s">
        <v>487</v>
      </c>
      <c r="Y18" s="1215" t="s">
        <v>487</v>
      </c>
      <c r="Z18" s="1215" t="s">
        <v>487</v>
      </c>
      <c r="AA18" s="1215" t="s">
        <v>487</v>
      </c>
      <c r="AB18" s="1215"/>
      <c r="AC18" s="1215"/>
      <c r="AD18" s="1344">
        <v>3</v>
      </c>
      <c r="AE18" s="1215">
        <v>3</v>
      </c>
      <c r="AF18" s="1215">
        <v>3</v>
      </c>
      <c r="AG18" s="1216">
        <v>3</v>
      </c>
      <c r="AH18" s="513">
        <v>185</v>
      </c>
      <c r="AI18" s="514">
        <v>37</v>
      </c>
    </row>
    <row r="19" spans="1:37" ht="21.95" customHeight="1">
      <c r="A19" s="515" t="s">
        <v>636</v>
      </c>
      <c r="B19" s="516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1453"/>
      <c r="AE19" s="507"/>
      <c r="AF19" s="507"/>
      <c r="AG19" s="508"/>
      <c r="AH19" s="509"/>
      <c r="AI19" s="510"/>
    </row>
    <row r="20" spans="1:37" ht="21.95" customHeight="1">
      <c r="A20" s="500">
        <v>8500</v>
      </c>
      <c r="B20" s="186" t="s">
        <v>192</v>
      </c>
      <c r="C20" s="1335" t="s">
        <v>535</v>
      </c>
      <c r="D20" s="1215" t="s">
        <v>535</v>
      </c>
      <c r="E20" s="1215" t="s">
        <v>535</v>
      </c>
      <c r="F20" s="1335" t="s">
        <v>535</v>
      </c>
      <c r="G20" s="1215" t="s">
        <v>637</v>
      </c>
      <c r="H20" s="1215" t="s">
        <v>637</v>
      </c>
      <c r="I20" s="1215" t="s">
        <v>535</v>
      </c>
      <c r="J20" s="1215" t="s">
        <v>535</v>
      </c>
      <c r="K20" s="1215" t="s">
        <v>535</v>
      </c>
      <c r="L20" s="1215" t="s">
        <v>535</v>
      </c>
      <c r="M20" s="1215" t="s">
        <v>535</v>
      </c>
      <c r="N20" s="1215"/>
      <c r="O20" s="1215"/>
      <c r="P20" s="1369" t="s">
        <v>535</v>
      </c>
      <c r="Q20" s="1215">
        <v>3</v>
      </c>
      <c r="R20" s="1215">
        <v>3</v>
      </c>
      <c r="S20" s="1215">
        <v>3</v>
      </c>
      <c r="T20" s="1215">
        <v>3</v>
      </c>
      <c r="U20" s="1215"/>
      <c r="V20" s="1215"/>
      <c r="W20" s="1215">
        <v>2</v>
      </c>
      <c r="X20" s="1215">
        <v>2</v>
      </c>
      <c r="Y20" s="1215">
        <v>2</v>
      </c>
      <c r="Z20" s="1215">
        <v>2</v>
      </c>
      <c r="AA20" s="1215">
        <v>2</v>
      </c>
      <c r="AB20" s="1215" t="s">
        <v>631</v>
      </c>
      <c r="AC20" s="1215" t="s">
        <v>631</v>
      </c>
      <c r="AD20" s="1344" t="s">
        <v>487</v>
      </c>
      <c r="AE20" s="1215" t="s">
        <v>487</v>
      </c>
      <c r="AF20" s="1215" t="s">
        <v>487</v>
      </c>
      <c r="AG20" s="1215" t="s">
        <v>487</v>
      </c>
      <c r="AH20" s="504">
        <v>185</v>
      </c>
      <c r="AI20" s="505">
        <v>37</v>
      </c>
    </row>
    <row r="21" spans="1:37" ht="21.95" customHeight="1">
      <c r="A21" s="500">
        <v>8500</v>
      </c>
      <c r="B21" s="153" t="s">
        <v>638</v>
      </c>
      <c r="C21" s="1215" t="s">
        <v>535</v>
      </c>
      <c r="D21" s="1215" t="s">
        <v>535</v>
      </c>
      <c r="E21" s="1215" t="s">
        <v>535</v>
      </c>
      <c r="F21" s="1215">
        <v>2</v>
      </c>
      <c r="G21" s="1215"/>
      <c r="H21" s="1215"/>
      <c r="I21" s="1215" t="s">
        <v>535</v>
      </c>
      <c r="J21" s="1215" t="s">
        <v>535</v>
      </c>
      <c r="K21" s="1215" t="s">
        <v>535</v>
      </c>
      <c r="L21" s="1215" t="s">
        <v>535</v>
      </c>
      <c r="M21" s="1215" t="s">
        <v>535</v>
      </c>
      <c r="N21" s="1215"/>
      <c r="O21" s="1215"/>
      <c r="P21" s="1338" t="s">
        <v>535</v>
      </c>
      <c r="Q21" s="1338" t="s">
        <v>535</v>
      </c>
      <c r="R21" s="1338" t="s">
        <v>535</v>
      </c>
      <c r="S21" s="1338" t="s">
        <v>535</v>
      </c>
      <c r="T21" s="1338" t="s">
        <v>535</v>
      </c>
      <c r="U21" s="1338"/>
      <c r="V21" s="1338"/>
      <c r="W21" s="1215" t="s">
        <v>535</v>
      </c>
      <c r="X21" s="1215" t="s">
        <v>535</v>
      </c>
      <c r="Y21" s="1215" t="s">
        <v>535</v>
      </c>
      <c r="Z21" s="1215" t="s">
        <v>535</v>
      </c>
      <c r="AA21" s="1215">
        <v>4</v>
      </c>
      <c r="AB21" s="1215" t="s">
        <v>630</v>
      </c>
      <c r="AC21" s="1215" t="s">
        <v>630</v>
      </c>
      <c r="AD21" s="1344" t="s">
        <v>487</v>
      </c>
      <c r="AE21" s="1215" t="s">
        <v>487</v>
      </c>
      <c r="AF21" s="1215" t="s">
        <v>487</v>
      </c>
      <c r="AG21" s="1215" t="s">
        <v>535</v>
      </c>
      <c r="AH21" s="504">
        <v>185</v>
      </c>
      <c r="AI21" s="505">
        <v>37</v>
      </c>
    </row>
    <row r="22" spans="1:37" ht="21.95" customHeight="1" thickBot="1">
      <c r="A22" s="500"/>
      <c r="B22" s="153"/>
      <c r="C22" s="1215"/>
      <c r="D22" s="1215"/>
      <c r="E22" s="1215"/>
      <c r="F22" s="1215"/>
      <c r="G22" s="1215"/>
      <c r="H22" s="1215"/>
      <c r="I22" s="1215"/>
      <c r="J22" s="1215"/>
      <c r="K22" s="1215"/>
      <c r="L22" s="1215"/>
      <c r="M22" s="1215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15"/>
      <c r="AA22" s="1215"/>
      <c r="AB22" s="1215"/>
      <c r="AC22" s="1215"/>
      <c r="AD22" s="1215"/>
      <c r="AE22" s="1215"/>
      <c r="AF22" s="1215"/>
      <c r="AG22" s="1215"/>
      <c r="AH22" s="517">
        <v>185</v>
      </c>
      <c r="AI22" s="518">
        <v>37</v>
      </c>
    </row>
    <row r="23" spans="1:37" ht="21.95" customHeight="1">
      <c r="A23" s="519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</row>
    <row r="24" spans="1:37" ht="21.95" customHeight="1">
      <c r="A24" s="519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</row>
    <row r="25" spans="1:37" ht="21.95" customHeight="1">
      <c r="A25" s="519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</row>
    <row r="26" spans="1:37" ht="21.95" customHeight="1">
      <c r="A26" s="519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</row>
    <row r="27" spans="1:37" ht="21.95" customHeight="1">
      <c r="A27" s="519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</row>
    <row r="28" spans="1:37" ht="21.95" customHeight="1">
      <c r="A28" s="519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</row>
    <row r="29" spans="1:37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7" ht="21.95" customHeight="1" thickBot="1">
      <c r="A30" s="1" t="s">
        <v>639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640</v>
      </c>
      <c r="B31" s="521"/>
      <c r="C31" s="521"/>
      <c r="D31" s="425" t="s">
        <v>641</v>
      </c>
      <c r="E31" s="522"/>
      <c r="F31" s="522"/>
      <c r="G31" s="522"/>
      <c r="H31" s="522"/>
      <c r="I31" s="522"/>
      <c r="J31" s="522"/>
      <c r="K31" s="522"/>
      <c r="L31" s="522"/>
      <c r="M31" s="523" t="s">
        <v>642</v>
      </c>
      <c r="N31" s="522"/>
      <c r="O31" s="522"/>
      <c r="P31" s="522"/>
      <c r="Q31" s="522"/>
      <c r="R31" s="522"/>
      <c r="S31" s="524"/>
      <c r="T31" s="524" t="s">
        <v>643</v>
      </c>
      <c r="U31" s="522"/>
      <c r="V31" s="522"/>
      <c r="W31" s="522"/>
      <c r="X31" s="522"/>
      <c r="Y31" s="522"/>
      <c r="Z31" s="238"/>
      <c r="AA31" s="525" t="s">
        <v>644</v>
      </c>
      <c r="AB31" s="51"/>
      <c r="AC31" s="51"/>
      <c r="AD31" s="51"/>
      <c r="AE31" s="51"/>
      <c r="AF31" s="51"/>
      <c r="AG31" s="526"/>
      <c r="AK31" s="1"/>
    </row>
    <row r="32" spans="1:37" ht="21.95" customHeight="1">
      <c r="A32" s="527" t="s">
        <v>645</v>
      </c>
      <c r="B32" s="135"/>
      <c r="C32" s="135"/>
      <c r="D32" s="495" t="s">
        <v>646</v>
      </c>
      <c r="E32" s="491"/>
      <c r="F32" s="157"/>
      <c r="G32" s="157"/>
      <c r="H32" s="157"/>
      <c r="I32" s="157"/>
      <c r="J32" s="157"/>
      <c r="K32" s="157"/>
      <c r="L32" s="489"/>
      <c r="M32" s="528" t="s">
        <v>647</v>
      </c>
      <c r="N32" s="135"/>
      <c r="O32" s="529"/>
      <c r="P32" s="135"/>
      <c r="Q32" s="135"/>
      <c r="R32" s="135"/>
      <c r="S32" s="530"/>
      <c r="T32" s="495" t="s">
        <v>648</v>
      </c>
      <c r="U32" s="157"/>
      <c r="V32" s="491"/>
      <c r="W32" s="157"/>
      <c r="X32" s="157"/>
      <c r="Y32" s="157"/>
      <c r="Z32" s="489"/>
      <c r="AA32" s="1" t="s">
        <v>649</v>
      </c>
      <c r="AD32" s="496"/>
      <c r="AG32" s="531"/>
      <c r="AK32" s="1"/>
    </row>
    <row r="33" spans="1:38" ht="21.95" customHeight="1">
      <c r="A33" s="532" t="s">
        <v>650</v>
      </c>
      <c r="B33" s="157"/>
      <c r="C33" s="157"/>
      <c r="D33" s="157"/>
      <c r="E33" s="157"/>
      <c r="F33" s="157"/>
      <c r="G33" s="489"/>
      <c r="H33" s="495" t="s">
        <v>651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3" t="s">
        <v>652</v>
      </c>
      <c r="AA33" s="529"/>
      <c r="AB33" s="135"/>
      <c r="AC33" s="135"/>
      <c r="AD33" s="135"/>
      <c r="AE33" s="135"/>
      <c r="AF33" s="135"/>
      <c r="AG33" s="534"/>
      <c r="AK33" s="312"/>
    </row>
    <row r="34" spans="1:38" ht="21.95" customHeight="1" thickBot="1">
      <c r="A34" s="535" t="s">
        <v>653</v>
      </c>
      <c r="B34" s="53"/>
      <c r="C34" s="53"/>
      <c r="D34" s="53"/>
      <c r="E34" s="53"/>
      <c r="F34" s="53"/>
      <c r="G34" s="536"/>
      <c r="H34" s="537" t="s">
        <v>654</v>
      </c>
      <c r="I34" s="536"/>
      <c r="J34" s="53"/>
      <c r="K34" s="53"/>
      <c r="L34" s="53"/>
      <c r="M34" s="53"/>
      <c r="N34" s="53"/>
      <c r="O34" s="53"/>
      <c r="P34" s="53"/>
      <c r="Q34" s="538"/>
      <c r="R34" s="538"/>
      <c r="S34" s="538"/>
      <c r="T34" s="53"/>
      <c r="U34" s="537" t="s">
        <v>655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9"/>
      <c r="AK34" s="1"/>
    </row>
    <row r="35" spans="1:38" ht="21.95" customHeight="1" thickBot="1">
      <c r="B35" s="540" t="s">
        <v>627</v>
      </c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41"/>
      <c r="Y35" s="541"/>
      <c r="Z35" s="541"/>
      <c r="AA35" s="541"/>
      <c r="AB35" s="541"/>
      <c r="AC35" s="541"/>
      <c r="AD35" s="541"/>
      <c r="AE35" s="541"/>
      <c r="AF35" s="541"/>
      <c r="AG35" s="541"/>
      <c r="AH35" s="1"/>
    </row>
    <row r="36" spans="1:38" ht="21.95" customHeight="1" thickBot="1">
      <c r="A36" s="542" t="s">
        <v>528</v>
      </c>
      <c r="B36" s="182" t="s">
        <v>480</v>
      </c>
      <c r="C36" s="1234">
        <v>1</v>
      </c>
      <c r="D36" s="1234">
        <v>2</v>
      </c>
      <c r="E36" s="1234">
        <v>3</v>
      </c>
      <c r="F36" s="1234">
        <v>4</v>
      </c>
      <c r="G36" s="1235">
        <v>5</v>
      </c>
      <c r="H36" s="1235">
        <v>6</v>
      </c>
      <c r="I36" s="1213">
        <v>7</v>
      </c>
      <c r="J36" s="1213">
        <v>8</v>
      </c>
      <c r="K36" s="1234">
        <v>9</v>
      </c>
      <c r="L36" s="1234">
        <v>10</v>
      </c>
      <c r="M36" s="1234">
        <v>11</v>
      </c>
      <c r="N36" s="1235">
        <v>12</v>
      </c>
      <c r="O36" s="1235">
        <v>13</v>
      </c>
      <c r="P36" s="1213">
        <v>14</v>
      </c>
      <c r="Q36" s="1213">
        <v>15</v>
      </c>
      <c r="R36" s="1234">
        <v>16</v>
      </c>
      <c r="S36" s="1234">
        <v>17</v>
      </c>
      <c r="T36" s="1234">
        <v>18</v>
      </c>
      <c r="U36" s="1235">
        <v>19</v>
      </c>
      <c r="V36" s="1330">
        <v>20</v>
      </c>
      <c r="W36" s="1213">
        <v>21</v>
      </c>
      <c r="X36" s="1213">
        <v>22</v>
      </c>
      <c r="Y36" s="1234">
        <v>23</v>
      </c>
      <c r="Z36" s="1234">
        <v>24</v>
      </c>
      <c r="AA36" s="1234">
        <v>25</v>
      </c>
      <c r="AB36" s="1235">
        <v>26</v>
      </c>
      <c r="AC36" s="1235">
        <v>27</v>
      </c>
      <c r="AD36" s="1213">
        <v>28</v>
      </c>
      <c r="AE36" s="1213">
        <v>29</v>
      </c>
      <c r="AF36" s="1234">
        <v>30</v>
      </c>
      <c r="AG36" s="1234">
        <v>31</v>
      </c>
      <c r="AH36" s="498" t="s">
        <v>481</v>
      </c>
      <c r="AI36" s="499" t="s">
        <v>482</v>
      </c>
      <c r="AL36" t="s">
        <v>28</v>
      </c>
    </row>
    <row r="37" spans="1:38" ht="21.95" customHeight="1">
      <c r="A37" s="543">
        <v>1</v>
      </c>
      <c r="B37" s="45" t="s">
        <v>656</v>
      </c>
      <c r="C37" s="1209">
        <v>6</v>
      </c>
      <c r="D37" s="1209">
        <v>6</v>
      </c>
      <c r="E37" s="1209">
        <v>6</v>
      </c>
      <c r="F37" s="1209">
        <v>6</v>
      </c>
      <c r="G37" s="1209" t="s">
        <v>532</v>
      </c>
      <c r="H37" s="1209" t="s">
        <v>533</v>
      </c>
      <c r="I37" s="1209" t="s">
        <v>487</v>
      </c>
      <c r="J37" s="1209" t="s">
        <v>487</v>
      </c>
      <c r="K37" s="1209" t="s">
        <v>487</v>
      </c>
      <c r="L37" s="1209" t="s">
        <v>487</v>
      </c>
      <c r="M37" s="1209" t="s">
        <v>487</v>
      </c>
      <c r="N37" s="1209"/>
      <c r="O37" s="1209"/>
      <c r="P37" s="1209">
        <v>8</v>
      </c>
      <c r="Q37" s="1209">
        <v>8</v>
      </c>
      <c r="R37" s="1209">
        <v>8</v>
      </c>
      <c r="S37" s="1209">
        <v>8</v>
      </c>
      <c r="T37" s="1209" t="s">
        <v>550</v>
      </c>
      <c r="U37" s="1209"/>
      <c r="V37" s="1209"/>
      <c r="W37" s="1209">
        <v>10</v>
      </c>
      <c r="X37" s="1209">
        <v>10</v>
      </c>
      <c r="Y37" s="1209">
        <v>10</v>
      </c>
      <c r="Z37" s="1209">
        <v>10</v>
      </c>
      <c r="AA37" s="1209">
        <v>10</v>
      </c>
      <c r="AB37" s="1209" t="s">
        <v>555</v>
      </c>
      <c r="AC37" s="1209" t="s">
        <v>555</v>
      </c>
      <c r="AD37" s="1209" t="s">
        <v>487</v>
      </c>
      <c r="AE37" s="1209" t="s">
        <v>487</v>
      </c>
      <c r="AF37" s="1209" t="s">
        <v>487</v>
      </c>
      <c r="AG37" s="1220" t="s">
        <v>487</v>
      </c>
      <c r="AH37" s="504">
        <v>185</v>
      </c>
      <c r="AI37" s="505">
        <v>37</v>
      </c>
    </row>
    <row r="38" spans="1:38" ht="21.95" customHeight="1">
      <c r="A38" s="544">
        <v>6</v>
      </c>
      <c r="B38" s="545" t="s">
        <v>658</v>
      </c>
      <c r="C38" s="1376">
        <v>7</v>
      </c>
      <c r="D38" s="1376">
        <v>7</v>
      </c>
      <c r="E38" s="1376">
        <v>7</v>
      </c>
      <c r="F38" s="1376">
        <v>7</v>
      </c>
      <c r="G38" s="1376"/>
      <c r="H38" s="1376"/>
      <c r="I38" s="1376">
        <v>4</v>
      </c>
      <c r="J38" s="1376">
        <v>4</v>
      </c>
      <c r="K38" s="1376">
        <v>4</v>
      </c>
      <c r="L38" s="1376">
        <v>4</v>
      </c>
      <c r="M38" s="1376">
        <v>4</v>
      </c>
      <c r="N38" s="1376"/>
      <c r="O38" s="1376"/>
      <c r="P38" s="1376">
        <v>3</v>
      </c>
      <c r="Q38" s="1376">
        <v>3</v>
      </c>
      <c r="R38" s="1376">
        <v>3</v>
      </c>
      <c r="S38" s="1376">
        <v>3</v>
      </c>
      <c r="T38" s="1376">
        <v>3</v>
      </c>
      <c r="U38" s="1376"/>
      <c r="V38" s="1376"/>
      <c r="W38" s="1376">
        <v>11</v>
      </c>
      <c r="X38" s="1376">
        <v>11</v>
      </c>
      <c r="Y38" s="1376">
        <v>11</v>
      </c>
      <c r="Z38" s="1376">
        <v>11</v>
      </c>
      <c r="AA38" s="1376">
        <v>11</v>
      </c>
      <c r="AB38" s="1376" t="s">
        <v>657</v>
      </c>
      <c r="AC38" s="1376" t="s">
        <v>657</v>
      </c>
      <c r="AD38" s="1376" t="s">
        <v>487</v>
      </c>
      <c r="AE38" s="1376" t="s">
        <v>487</v>
      </c>
      <c r="AF38" s="1376" t="s">
        <v>487</v>
      </c>
      <c r="AG38" s="1377" t="s">
        <v>487</v>
      </c>
      <c r="AH38" s="504">
        <v>185</v>
      </c>
      <c r="AI38" s="505">
        <v>37</v>
      </c>
    </row>
    <row r="39" spans="1:38" ht="21.95" customHeight="1" thickBot="1">
      <c r="A39" s="546">
        <v>11</v>
      </c>
      <c r="B39" s="1242" t="s">
        <v>659</v>
      </c>
      <c r="C39" s="1207">
        <v>8</v>
      </c>
      <c r="D39" s="1585">
        <v>8</v>
      </c>
      <c r="E39" s="1207">
        <v>8</v>
      </c>
      <c r="F39" s="1207">
        <v>8</v>
      </c>
      <c r="G39" s="1207" t="s">
        <v>533</v>
      </c>
      <c r="H39" s="1207" t="s">
        <v>533</v>
      </c>
      <c r="I39" s="1207" t="s">
        <v>487</v>
      </c>
      <c r="J39" s="1207" t="s">
        <v>487</v>
      </c>
      <c r="K39" s="1207" t="s">
        <v>487</v>
      </c>
      <c r="L39" s="1207" t="s">
        <v>487</v>
      </c>
      <c r="M39" s="1207" t="s">
        <v>487</v>
      </c>
      <c r="N39" s="1207"/>
      <c r="O39" s="1207"/>
      <c r="P39" s="1207">
        <v>1</v>
      </c>
      <c r="Q39" s="1207">
        <v>1</v>
      </c>
      <c r="R39" s="1207">
        <v>1</v>
      </c>
      <c r="S39" s="1207">
        <v>1</v>
      </c>
      <c r="T39" s="1207">
        <v>1</v>
      </c>
      <c r="U39" s="1207"/>
      <c r="V39" s="1207"/>
      <c r="W39" s="1207">
        <v>9</v>
      </c>
      <c r="X39" s="1207">
        <v>9</v>
      </c>
      <c r="Y39" s="1207">
        <v>9</v>
      </c>
      <c r="Z39" s="1207">
        <v>9</v>
      </c>
      <c r="AA39" s="1207">
        <v>9</v>
      </c>
      <c r="AB39" s="1207" t="s">
        <v>543</v>
      </c>
      <c r="AC39" s="1207" t="s">
        <v>555</v>
      </c>
      <c r="AD39" s="1207" t="s">
        <v>487</v>
      </c>
      <c r="AE39" s="1207" t="s">
        <v>487</v>
      </c>
      <c r="AF39" s="1207" t="s">
        <v>487</v>
      </c>
      <c r="AG39" s="1222" t="s">
        <v>487</v>
      </c>
      <c r="AH39" s="504">
        <v>185</v>
      </c>
      <c r="AI39" s="505">
        <v>37</v>
      </c>
    </row>
    <row r="40" spans="1:38" ht="21.95" customHeight="1">
      <c r="A40" s="543">
        <v>2</v>
      </c>
      <c r="B40" s="45" t="s">
        <v>662</v>
      </c>
      <c r="C40" s="1209" t="s">
        <v>487</v>
      </c>
      <c r="D40" s="1209" t="s">
        <v>487</v>
      </c>
      <c r="E40" s="1209" t="s">
        <v>487</v>
      </c>
      <c r="F40" s="1223" t="s">
        <v>487</v>
      </c>
      <c r="G40" s="1223"/>
      <c r="H40" s="1209"/>
      <c r="I40" s="1577">
        <v>5</v>
      </c>
      <c r="J40" s="1577">
        <v>5</v>
      </c>
      <c r="K40" s="1577">
        <v>5</v>
      </c>
      <c r="L40" s="1577">
        <v>5</v>
      </c>
      <c r="M40" s="1577">
        <v>5</v>
      </c>
      <c r="N40" s="1577"/>
      <c r="O40" s="1577"/>
      <c r="P40" s="1577">
        <v>10</v>
      </c>
      <c r="Q40" s="1577">
        <v>10</v>
      </c>
      <c r="R40" s="1577">
        <v>10</v>
      </c>
      <c r="S40" s="1577">
        <v>10</v>
      </c>
      <c r="T40" s="1578">
        <v>10</v>
      </c>
      <c r="U40" s="1578" t="s">
        <v>555</v>
      </c>
      <c r="V40" s="1577" t="s">
        <v>555</v>
      </c>
      <c r="W40" s="1209" t="s">
        <v>487</v>
      </c>
      <c r="X40" s="1209" t="s">
        <v>487</v>
      </c>
      <c r="Y40" s="1209" t="s">
        <v>487</v>
      </c>
      <c r="Z40" s="1209" t="s">
        <v>487</v>
      </c>
      <c r="AA40" s="1209" t="s">
        <v>487</v>
      </c>
      <c r="AB40" s="1209" t="s">
        <v>660</v>
      </c>
      <c r="AC40" s="1209" t="s">
        <v>660</v>
      </c>
      <c r="AD40" s="1209">
        <v>7</v>
      </c>
      <c r="AE40" s="1209">
        <v>7</v>
      </c>
      <c r="AF40" s="1209">
        <v>7</v>
      </c>
      <c r="AG40" s="1209">
        <v>7</v>
      </c>
      <c r="AH40" s="504">
        <v>185</v>
      </c>
      <c r="AI40" s="505">
        <v>37</v>
      </c>
    </row>
    <row r="41" spans="1:38" ht="21.95" customHeight="1">
      <c r="A41" s="544">
        <v>7</v>
      </c>
      <c r="B41" s="153" t="s">
        <v>664</v>
      </c>
      <c r="C41" s="1335">
        <v>4</v>
      </c>
      <c r="D41" s="1335">
        <v>4</v>
      </c>
      <c r="E41" s="1335">
        <v>4</v>
      </c>
      <c r="F41" s="1335">
        <v>4</v>
      </c>
      <c r="G41" s="1215"/>
      <c r="H41" s="1215"/>
      <c r="I41" s="1335">
        <v>3</v>
      </c>
      <c r="J41" s="1335">
        <v>3</v>
      </c>
      <c r="K41" s="1335">
        <v>3</v>
      </c>
      <c r="L41" s="1335">
        <v>3</v>
      </c>
      <c r="M41" s="1335">
        <v>3</v>
      </c>
      <c r="N41" s="1215"/>
      <c r="O41" s="1215"/>
      <c r="P41" s="1335">
        <v>11</v>
      </c>
      <c r="Q41" s="1335">
        <v>11</v>
      </c>
      <c r="R41" s="1335">
        <v>11</v>
      </c>
      <c r="S41" s="1335">
        <v>11</v>
      </c>
      <c r="T41" s="1335">
        <v>11</v>
      </c>
      <c r="U41" s="1335" t="s">
        <v>657</v>
      </c>
      <c r="V41" s="1335" t="s">
        <v>657</v>
      </c>
      <c r="W41" s="1215" t="s">
        <v>487</v>
      </c>
      <c r="X41" s="1215" t="s">
        <v>487</v>
      </c>
      <c r="Y41" s="1215" t="s">
        <v>487</v>
      </c>
      <c r="Z41" s="1215" t="s">
        <v>487</v>
      </c>
      <c r="AA41" s="1215" t="s">
        <v>487</v>
      </c>
      <c r="AB41" s="1215"/>
      <c r="AC41" s="1215"/>
      <c r="AD41" s="1335">
        <v>8</v>
      </c>
      <c r="AE41" s="1335">
        <v>8</v>
      </c>
      <c r="AF41" s="1335">
        <v>8</v>
      </c>
      <c r="AG41" s="1559">
        <v>8</v>
      </c>
      <c r="AH41" s="504">
        <v>185</v>
      </c>
      <c r="AI41" s="505">
        <v>37</v>
      </c>
    </row>
    <row r="42" spans="1:38" ht="21.95" customHeight="1" thickBot="1">
      <c r="A42" s="546">
        <v>12</v>
      </c>
      <c r="B42" s="547" t="s">
        <v>665</v>
      </c>
      <c r="C42" s="1207" t="s">
        <v>487</v>
      </c>
      <c r="D42" s="1207" t="s">
        <v>487</v>
      </c>
      <c r="E42" s="1207" t="s">
        <v>487</v>
      </c>
      <c r="F42" s="1207" t="s">
        <v>487</v>
      </c>
      <c r="G42" s="1207"/>
      <c r="H42" s="1207"/>
      <c r="I42" s="1207">
        <v>1</v>
      </c>
      <c r="J42" s="1207">
        <v>1</v>
      </c>
      <c r="K42" s="1207">
        <v>1</v>
      </c>
      <c r="L42" s="1207">
        <v>1</v>
      </c>
      <c r="M42" s="1207">
        <v>1</v>
      </c>
      <c r="N42" s="1207"/>
      <c r="O42" s="1207"/>
      <c r="P42" s="1207">
        <v>9</v>
      </c>
      <c r="Q42" s="1207">
        <v>9</v>
      </c>
      <c r="R42" s="1207">
        <v>9</v>
      </c>
      <c r="S42" s="1207">
        <v>9</v>
      </c>
      <c r="T42" s="1207">
        <v>9</v>
      </c>
      <c r="U42" s="1207" t="s">
        <v>543</v>
      </c>
      <c r="V42" s="1207" t="s">
        <v>555</v>
      </c>
      <c r="W42" s="1207" t="s">
        <v>487</v>
      </c>
      <c r="X42" s="1207" t="s">
        <v>487</v>
      </c>
      <c r="Y42" s="1207" t="s">
        <v>487</v>
      </c>
      <c r="Z42" s="1207" t="s">
        <v>487</v>
      </c>
      <c r="AA42" s="1207" t="s">
        <v>487</v>
      </c>
      <c r="AB42" s="1207"/>
      <c r="AC42" s="1207"/>
      <c r="AD42" s="1340">
        <v>6</v>
      </c>
      <c r="AE42" s="1371">
        <v>6</v>
      </c>
      <c r="AF42" s="1371">
        <v>6</v>
      </c>
      <c r="AG42" s="1222">
        <v>6</v>
      </c>
      <c r="AH42" s="504">
        <v>185</v>
      </c>
      <c r="AI42" s="505">
        <v>37</v>
      </c>
    </row>
    <row r="43" spans="1:38" ht="21.95" customHeight="1">
      <c r="A43" s="548">
        <v>3</v>
      </c>
      <c r="B43" s="1373" t="s">
        <v>666</v>
      </c>
      <c r="C43" s="1582" t="s">
        <v>550</v>
      </c>
      <c r="D43" s="1500">
        <v>5</v>
      </c>
      <c r="E43" s="1211">
        <v>4</v>
      </c>
      <c r="F43" s="1211">
        <v>4</v>
      </c>
      <c r="G43" s="1211"/>
      <c r="H43" s="1211"/>
      <c r="I43" s="1211">
        <v>10</v>
      </c>
      <c r="J43" s="1211">
        <v>10</v>
      </c>
      <c r="K43" s="1211">
        <v>10</v>
      </c>
      <c r="L43" s="1211">
        <v>10</v>
      </c>
      <c r="M43" s="1211">
        <v>10</v>
      </c>
      <c r="N43" s="1211" t="s">
        <v>555</v>
      </c>
      <c r="O43" s="1211" t="s">
        <v>555</v>
      </c>
      <c r="P43" s="1211" t="s">
        <v>487</v>
      </c>
      <c r="Q43" s="1211" t="s">
        <v>487</v>
      </c>
      <c r="R43" s="1214" t="s">
        <v>487</v>
      </c>
      <c r="S43" s="1211" t="s">
        <v>487</v>
      </c>
      <c r="T43" s="1211" t="s">
        <v>487</v>
      </c>
      <c r="U43" s="1211" t="s">
        <v>660</v>
      </c>
      <c r="V43" s="1211" t="s">
        <v>660</v>
      </c>
      <c r="W43" s="1211">
        <v>7</v>
      </c>
      <c r="X43" s="1211">
        <v>7</v>
      </c>
      <c r="Y43" s="1211">
        <v>7</v>
      </c>
      <c r="Z43" s="1211">
        <v>7</v>
      </c>
      <c r="AA43" s="1211">
        <v>7</v>
      </c>
      <c r="AB43" s="1211"/>
      <c r="AC43" s="1211"/>
      <c r="AD43" s="1211">
        <v>4</v>
      </c>
      <c r="AE43" s="1211">
        <v>4</v>
      </c>
      <c r="AF43" s="1211">
        <v>4</v>
      </c>
      <c r="AG43" s="1224">
        <v>4</v>
      </c>
      <c r="AH43" s="504">
        <v>185</v>
      </c>
      <c r="AI43" s="505">
        <v>37</v>
      </c>
    </row>
    <row r="44" spans="1:38" ht="21.95" customHeight="1">
      <c r="A44" s="544">
        <v>8</v>
      </c>
      <c r="B44" s="319" t="s">
        <v>667</v>
      </c>
      <c r="C44" s="1215">
        <v>3</v>
      </c>
      <c r="D44" s="1500">
        <v>3</v>
      </c>
      <c r="E44" s="1215">
        <v>3</v>
      </c>
      <c r="F44" s="1215">
        <v>3</v>
      </c>
      <c r="G44" s="1225"/>
      <c r="H44" s="1215"/>
      <c r="I44" s="1215">
        <v>11</v>
      </c>
      <c r="J44" s="1215">
        <v>11</v>
      </c>
      <c r="K44" s="1215">
        <v>11</v>
      </c>
      <c r="L44" s="1215">
        <v>11</v>
      </c>
      <c r="M44" s="1215">
        <v>11</v>
      </c>
      <c r="N44" s="1215" t="s">
        <v>657</v>
      </c>
      <c r="O44" s="1215" t="s">
        <v>657</v>
      </c>
      <c r="P44" s="1215" t="s">
        <v>487</v>
      </c>
      <c r="Q44" s="1216" t="s">
        <v>487</v>
      </c>
      <c r="R44" s="1215" t="s">
        <v>487</v>
      </c>
      <c r="S44" s="1226" t="s">
        <v>487</v>
      </c>
      <c r="T44" s="1215" t="s">
        <v>487</v>
      </c>
      <c r="U44" s="1215"/>
      <c r="V44" s="1215"/>
      <c r="W44" s="1215">
        <v>8</v>
      </c>
      <c r="X44" s="1215">
        <v>8</v>
      </c>
      <c r="Y44" s="1215">
        <v>8</v>
      </c>
      <c r="Z44" s="1215">
        <v>8</v>
      </c>
      <c r="AA44" s="1215">
        <v>8</v>
      </c>
      <c r="AB44" s="1215" t="s">
        <v>533</v>
      </c>
      <c r="AC44" s="1345" t="s">
        <v>533</v>
      </c>
      <c r="AD44" s="1215" t="s">
        <v>487</v>
      </c>
      <c r="AE44" s="1215" t="s">
        <v>487</v>
      </c>
      <c r="AF44" s="1215" t="s">
        <v>487</v>
      </c>
      <c r="AG44" s="1215" t="s">
        <v>487</v>
      </c>
      <c r="AH44" s="504">
        <v>185</v>
      </c>
      <c r="AI44" s="505">
        <v>37</v>
      </c>
    </row>
    <row r="45" spans="1:38" ht="21.95" customHeight="1" thickBot="1">
      <c r="A45" s="546">
        <v>13</v>
      </c>
      <c r="B45" s="52" t="s">
        <v>668</v>
      </c>
      <c r="C45" s="1207">
        <v>1</v>
      </c>
      <c r="D45" s="1500">
        <v>1</v>
      </c>
      <c r="E45" s="1207">
        <v>1</v>
      </c>
      <c r="F45" s="1207">
        <v>1</v>
      </c>
      <c r="G45" s="1207"/>
      <c r="H45" s="1207"/>
      <c r="I45" s="1207">
        <v>9</v>
      </c>
      <c r="J45" s="1207">
        <v>9</v>
      </c>
      <c r="K45" s="1207">
        <v>9</v>
      </c>
      <c r="L45" s="1207">
        <v>9</v>
      </c>
      <c r="M45" s="1207">
        <v>9</v>
      </c>
      <c r="N45" s="1207" t="s">
        <v>543</v>
      </c>
      <c r="O45" s="1207" t="s">
        <v>555</v>
      </c>
      <c r="P45" s="1207" t="s">
        <v>487</v>
      </c>
      <c r="Q45" s="1207" t="s">
        <v>487</v>
      </c>
      <c r="R45" s="1217" t="s">
        <v>487</v>
      </c>
      <c r="S45" s="1207" t="s">
        <v>487</v>
      </c>
      <c r="T45" s="1207" t="s">
        <v>487</v>
      </c>
      <c r="U45" s="1207"/>
      <c r="V45" s="1207"/>
      <c r="W45" s="1207">
        <v>6</v>
      </c>
      <c r="X45" s="1207">
        <v>6</v>
      </c>
      <c r="Y45" s="1207">
        <v>6</v>
      </c>
      <c r="Z45" s="1371">
        <v>6</v>
      </c>
      <c r="AA45" s="1371">
        <v>6</v>
      </c>
      <c r="AB45" s="1371" t="s">
        <v>532</v>
      </c>
      <c r="AC45" s="1371" t="s">
        <v>533</v>
      </c>
      <c r="AD45" s="1207" t="s">
        <v>487</v>
      </c>
      <c r="AE45" s="1207" t="s">
        <v>487</v>
      </c>
      <c r="AF45" s="1207" t="s">
        <v>487</v>
      </c>
      <c r="AG45" s="1207" t="s">
        <v>487</v>
      </c>
      <c r="AH45" s="504">
        <v>185</v>
      </c>
      <c r="AI45" s="505">
        <v>37</v>
      </c>
    </row>
    <row r="46" spans="1:38" ht="21.95" customHeight="1">
      <c r="A46" s="548">
        <v>4</v>
      </c>
      <c r="B46" s="319" t="s">
        <v>669</v>
      </c>
      <c r="C46" s="1215">
        <v>10</v>
      </c>
      <c r="D46" s="1215">
        <v>10</v>
      </c>
      <c r="E46" s="1215">
        <v>10</v>
      </c>
      <c r="F46" s="1215">
        <v>10</v>
      </c>
      <c r="G46" s="1215" t="s">
        <v>555</v>
      </c>
      <c r="H46" s="1215" t="s">
        <v>555</v>
      </c>
      <c r="I46" s="1215" t="s">
        <v>487</v>
      </c>
      <c r="J46" s="1211" t="s">
        <v>487</v>
      </c>
      <c r="K46" s="1211" t="s">
        <v>487</v>
      </c>
      <c r="L46" s="1211" t="s">
        <v>487</v>
      </c>
      <c r="M46" s="1211" t="s">
        <v>487</v>
      </c>
      <c r="N46" s="1211" t="s">
        <v>660</v>
      </c>
      <c r="O46" s="1211" t="s">
        <v>660</v>
      </c>
      <c r="P46" s="1211">
        <v>7</v>
      </c>
      <c r="Q46" s="1211">
        <v>7</v>
      </c>
      <c r="R46" s="1211">
        <v>7</v>
      </c>
      <c r="S46" s="1211">
        <v>7</v>
      </c>
      <c r="T46" s="1211">
        <v>7</v>
      </c>
      <c r="U46" s="1211"/>
      <c r="V46" s="1211"/>
      <c r="W46" s="1211">
        <v>4</v>
      </c>
      <c r="X46" s="1211">
        <v>4</v>
      </c>
      <c r="Y46" s="1211">
        <v>4</v>
      </c>
      <c r="Z46" s="1211">
        <v>4</v>
      </c>
      <c r="AA46" s="1211">
        <v>4</v>
      </c>
      <c r="AB46" s="1211"/>
      <c r="AC46" s="1211"/>
      <c r="AD46" s="1452">
        <v>3</v>
      </c>
      <c r="AE46" s="1211">
        <v>3</v>
      </c>
      <c r="AF46" s="1211">
        <v>3</v>
      </c>
      <c r="AG46" s="1218">
        <v>3</v>
      </c>
      <c r="AH46" s="504">
        <v>185</v>
      </c>
      <c r="AI46" s="505">
        <v>37</v>
      </c>
    </row>
    <row r="47" spans="1:38" ht="21.95" customHeight="1">
      <c r="A47" s="544">
        <v>9</v>
      </c>
      <c r="B47" s="319" t="s">
        <v>670</v>
      </c>
      <c r="C47" s="1215">
        <v>11</v>
      </c>
      <c r="D47" s="1215">
        <v>11</v>
      </c>
      <c r="E47" s="1215">
        <v>11</v>
      </c>
      <c r="F47" s="1215">
        <v>11</v>
      </c>
      <c r="G47" s="1215" t="s">
        <v>657</v>
      </c>
      <c r="H47" s="1215" t="s">
        <v>657</v>
      </c>
      <c r="I47" s="1215" t="s">
        <v>487</v>
      </c>
      <c r="J47" s="1215" t="s">
        <v>487</v>
      </c>
      <c r="K47" s="1215" t="s">
        <v>487</v>
      </c>
      <c r="L47" s="1215" t="s">
        <v>487</v>
      </c>
      <c r="M47" s="1215" t="s">
        <v>487</v>
      </c>
      <c r="N47" s="1215"/>
      <c r="O47" s="1215"/>
      <c r="P47" s="1338">
        <v>8</v>
      </c>
      <c r="Q47" s="1338">
        <v>8</v>
      </c>
      <c r="R47" s="1338">
        <v>8</v>
      </c>
      <c r="S47" s="1338">
        <v>8</v>
      </c>
      <c r="T47" s="1338">
        <v>8</v>
      </c>
      <c r="U47" s="1338" t="s">
        <v>533</v>
      </c>
      <c r="V47" s="1338" t="s">
        <v>533</v>
      </c>
      <c r="W47" s="1215" t="s">
        <v>487</v>
      </c>
      <c r="X47" s="1215" t="s">
        <v>487</v>
      </c>
      <c r="Y47" s="1215" t="s">
        <v>487</v>
      </c>
      <c r="Z47" s="1500" t="s">
        <v>487</v>
      </c>
      <c r="AA47" s="1215" t="s">
        <v>487</v>
      </c>
      <c r="AB47" s="1215"/>
      <c r="AC47" s="1215"/>
      <c r="AD47" s="1338">
        <v>1</v>
      </c>
      <c r="AE47" s="1338">
        <v>1</v>
      </c>
      <c r="AF47" s="1338">
        <v>1</v>
      </c>
      <c r="AG47" s="1601">
        <v>1</v>
      </c>
      <c r="AH47" s="504">
        <v>185</v>
      </c>
      <c r="AI47" s="505">
        <v>37</v>
      </c>
    </row>
    <row r="48" spans="1:38" ht="21.95" customHeight="1" thickBot="1">
      <c r="A48" s="546">
        <v>14</v>
      </c>
      <c r="B48" s="547" t="s">
        <v>671</v>
      </c>
      <c r="C48" s="1207">
        <v>9</v>
      </c>
      <c r="D48" s="1207">
        <v>9</v>
      </c>
      <c r="E48" s="1211">
        <v>9</v>
      </c>
      <c r="F48" s="1211">
        <v>9</v>
      </c>
      <c r="G48" s="1211" t="s">
        <v>543</v>
      </c>
      <c r="H48" s="1211" t="s">
        <v>555</v>
      </c>
      <c r="I48" s="1211" t="s">
        <v>487</v>
      </c>
      <c r="J48" s="1211" t="s">
        <v>487</v>
      </c>
      <c r="K48" s="1211" t="s">
        <v>487</v>
      </c>
      <c r="L48" s="1207" t="s">
        <v>487</v>
      </c>
      <c r="M48" s="1207" t="s">
        <v>487</v>
      </c>
      <c r="N48" s="1207"/>
      <c r="O48" s="1207"/>
      <c r="P48" s="1207">
        <v>6</v>
      </c>
      <c r="Q48" s="1207">
        <v>6</v>
      </c>
      <c r="R48" s="1207">
        <v>6</v>
      </c>
      <c r="S48" s="1207">
        <v>6</v>
      </c>
      <c r="T48" s="1207">
        <v>6</v>
      </c>
      <c r="U48" s="1207" t="s">
        <v>532</v>
      </c>
      <c r="V48" s="1207" t="s">
        <v>533</v>
      </c>
      <c r="W48" s="1207" t="s">
        <v>487</v>
      </c>
      <c r="X48" s="1207" t="s">
        <v>487</v>
      </c>
      <c r="Y48" s="1207" t="s">
        <v>487</v>
      </c>
      <c r="Z48" s="1207" t="s">
        <v>487</v>
      </c>
      <c r="AA48" s="1207" t="s">
        <v>487</v>
      </c>
      <c r="AB48" s="1207"/>
      <c r="AC48" s="1207"/>
      <c r="AD48" s="1207">
        <v>1</v>
      </c>
      <c r="AE48" s="1207">
        <v>1</v>
      </c>
      <c r="AF48" s="1207">
        <v>1</v>
      </c>
      <c r="AG48" s="1227">
        <v>1</v>
      </c>
      <c r="AH48" s="504">
        <v>185</v>
      </c>
      <c r="AI48" s="505">
        <v>37</v>
      </c>
    </row>
    <row r="49" spans="1:35" ht="21.95" customHeight="1">
      <c r="A49" s="543">
        <v>5</v>
      </c>
      <c r="B49" s="545" t="s">
        <v>672</v>
      </c>
      <c r="C49" s="1209" t="s">
        <v>487</v>
      </c>
      <c r="D49" s="1500" t="s">
        <v>487</v>
      </c>
      <c r="E49" s="1209" t="s">
        <v>487</v>
      </c>
      <c r="F49" s="1209" t="s">
        <v>487</v>
      </c>
      <c r="G49" s="1209" t="s">
        <v>660</v>
      </c>
      <c r="H49" s="1209" t="s">
        <v>660</v>
      </c>
      <c r="I49" s="1209">
        <v>7</v>
      </c>
      <c r="J49" s="1209">
        <v>7</v>
      </c>
      <c r="K49" s="1209">
        <v>7</v>
      </c>
      <c r="L49" s="1209">
        <v>7</v>
      </c>
      <c r="M49" s="1209">
        <v>7</v>
      </c>
      <c r="N49" s="1209"/>
      <c r="O49" s="1209"/>
      <c r="P49" s="1209">
        <v>4</v>
      </c>
      <c r="Q49" s="1209">
        <v>4</v>
      </c>
      <c r="R49" s="1209">
        <v>4</v>
      </c>
      <c r="S49" s="1215">
        <v>4</v>
      </c>
      <c r="T49" s="1215">
        <v>4</v>
      </c>
      <c r="U49" s="1215"/>
      <c r="V49" s="1215"/>
      <c r="W49" s="1215">
        <v>3</v>
      </c>
      <c r="X49" s="1215">
        <v>3</v>
      </c>
      <c r="Y49" s="1215">
        <v>3</v>
      </c>
      <c r="Z49" s="1215">
        <v>3</v>
      </c>
      <c r="AA49" s="1215">
        <v>3</v>
      </c>
      <c r="AB49" s="1215"/>
      <c r="AC49" s="1215"/>
      <c r="AD49" s="1215">
        <v>11</v>
      </c>
      <c r="AE49" s="1228">
        <v>11</v>
      </c>
      <c r="AF49" s="1209">
        <v>11</v>
      </c>
      <c r="AG49" s="1228">
        <v>11</v>
      </c>
      <c r="AH49" s="504">
        <v>185</v>
      </c>
      <c r="AI49" s="505">
        <v>37</v>
      </c>
    </row>
    <row r="50" spans="1:35" ht="21.95" customHeight="1">
      <c r="A50" s="544">
        <v>10</v>
      </c>
      <c r="B50" s="319" t="s">
        <v>673</v>
      </c>
      <c r="C50" s="1215" t="s">
        <v>487</v>
      </c>
      <c r="D50" s="1500" t="s">
        <v>487</v>
      </c>
      <c r="E50" s="1215" t="s">
        <v>487</v>
      </c>
      <c r="F50" s="1215" t="s">
        <v>487</v>
      </c>
      <c r="G50" s="1215"/>
      <c r="H50" s="1215"/>
      <c r="I50" s="1346">
        <v>8</v>
      </c>
      <c r="J50" s="1215">
        <v>8</v>
      </c>
      <c r="K50" s="1215">
        <v>8</v>
      </c>
      <c r="L50" s="1215">
        <v>8</v>
      </c>
      <c r="M50" s="1215">
        <v>8</v>
      </c>
      <c r="N50" s="1335" t="s">
        <v>533</v>
      </c>
      <c r="O50" s="1335" t="s">
        <v>533</v>
      </c>
      <c r="P50" s="1215" t="s">
        <v>487</v>
      </c>
      <c r="Q50" s="1215" t="s">
        <v>487</v>
      </c>
      <c r="R50" s="1215" t="s">
        <v>487</v>
      </c>
      <c r="S50" s="1215" t="s">
        <v>487</v>
      </c>
      <c r="T50" s="1215" t="s">
        <v>487</v>
      </c>
      <c r="U50" s="1215"/>
      <c r="V50" s="1215"/>
      <c r="W50" s="1338">
        <v>1</v>
      </c>
      <c r="X50" s="1338">
        <v>1</v>
      </c>
      <c r="Y50" s="1338">
        <v>1</v>
      </c>
      <c r="Z50" s="1338">
        <v>1</v>
      </c>
      <c r="AA50" s="1338">
        <v>1</v>
      </c>
      <c r="AB50" s="1338"/>
      <c r="AC50" s="1338"/>
      <c r="AD50" s="1344">
        <v>9</v>
      </c>
      <c r="AE50" s="1216">
        <v>9</v>
      </c>
      <c r="AF50" s="1215">
        <v>9</v>
      </c>
      <c r="AG50" s="1216">
        <v>9</v>
      </c>
      <c r="AH50" s="504">
        <v>185</v>
      </c>
      <c r="AI50" s="505">
        <v>37</v>
      </c>
    </row>
    <row r="51" spans="1:35" ht="21.95" customHeight="1" thickBot="1">
      <c r="A51" s="546">
        <v>15</v>
      </c>
      <c r="B51" s="52" t="s">
        <v>674</v>
      </c>
      <c r="C51" s="1207" t="s">
        <v>487</v>
      </c>
      <c r="D51" s="1500" t="s">
        <v>487</v>
      </c>
      <c r="E51" s="1207" t="s">
        <v>487</v>
      </c>
      <c r="F51" s="1207" t="s">
        <v>487</v>
      </c>
      <c r="G51" s="1207"/>
      <c r="H51" s="1207"/>
      <c r="I51" s="1207">
        <v>6</v>
      </c>
      <c r="J51" s="1207">
        <v>6</v>
      </c>
      <c r="K51" s="1207">
        <v>6</v>
      </c>
      <c r="L51" s="1207">
        <v>6</v>
      </c>
      <c r="M51" s="1207">
        <v>6</v>
      </c>
      <c r="N51" s="1207" t="s">
        <v>532</v>
      </c>
      <c r="O51" s="1207" t="s">
        <v>533</v>
      </c>
      <c r="P51" s="1207" t="s">
        <v>487</v>
      </c>
      <c r="Q51" s="1207" t="s">
        <v>487</v>
      </c>
      <c r="R51" s="1207" t="s">
        <v>487</v>
      </c>
      <c r="S51" s="1207" t="s">
        <v>487</v>
      </c>
      <c r="T51" s="1207" t="s">
        <v>487</v>
      </c>
      <c r="U51" s="1207"/>
      <c r="V51" s="1207"/>
      <c r="W51" s="1371">
        <v>5</v>
      </c>
      <c r="X51" s="1371">
        <v>5</v>
      </c>
      <c r="Y51" s="1371">
        <v>5</v>
      </c>
      <c r="Z51" s="1371">
        <v>5</v>
      </c>
      <c r="AA51" s="1371">
        <v>5</v>
      </c>
      <c r="AB51" s="1207"/>
      <c r="AC51" s="1207"/>
      <c r="AD51" s="1207">
        <v>10</v>
      </c>
      <c r="AE51" s="1227">
        <v>10</v>
      </c>
      <c r="AF51" s="1207">
        <v>10</v>
      </c>
      <c r="AG51" s="1227">
        <v>10</v>
      </c>
      <c r="AH51" s="504">
        <v>185</v>
      </c>
      <c r="AI51" s="505">
        <v>37</v>
      </c>
    </row>
    <row r="52" spans="1:35" ht="21.95" customHeight="1">
      <c r="A52" s="519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  <c r="T52" s="541"/>
      <c r="U52" s="541"/>
      <c r="V52" s="541"/>
      <c r="W52" s="541"/>
      <c r="X52" s="541"/>
      <c r="Y52" s="541"/>
      <c r="Z52" s="541"/>
      <c r="AA52" s="541"/>
      <c r="AB52" s="541"/>
      <c r="AC52" s="541"/>
      <c r="AD52" s="541"/>
      <c r="AE52" s="541"/>
      <c r="AF52" s="541"/>
      <c r="AG52" s="541"/>
      <c r="AH52" s="1"/>
    </row>
    <row r="53" spans="1:35" ht="21.95" customHeight="1">
      <c r="A53" s="519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1"/>
      <c r="W53" s="541"/>
      <c r="X53" s="541"/>
      <c r="Y53" s="541"/>
      <c r="Z53" s="541"/>
      <c r="AA53" s="541"/>
      <c r="AB53" s="541"/>
      <c r="AC53" s="541"/>
      <c r="AD53" s="541"/>
      <c r="AE53" s="541"/>
      <c r="AF53" s="541"/>
      <c r="AG53" s="541"/>
      <c r="AH53" s="1"/>
    </row>
    <row r="54" spans="1:35" ht="21.95" customHeight="1">
      <c r="A54" s="519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1"/>
      <c r="AA54" s="541"/>
      <c r="AB54" s="541"/>
      <c r="AC54" s="541"/>
      <c r="AD54" s="541"/>
      <c r="AE54" s="541"/>
      <c r="AF54" s="541"/>
      <c r="AG54" s="541"/>
      <c r="AH54" s="1"/>
    </row>
    <row r="55" spans="1:35" ht="21.95" customHeight="1" thickBot="1">
      <c r="A55" s="558"/>
      <c r="C55" s="559"/>
      <c r="D55" s="559"/>
      <c r="E55" s="559"/>
      <c r="F55" s="559"/>
      <c r="G55" s="559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59"/>
      <c r="AA55" s="559"/>
      <c r="AB55" s="559"/>
      <c r="AC55" s="559"/>
      <c r="AD55" s="559"/>
      <c r="AE55" s="559"/>
      <c r="AF55" s="559"/>
      <c r="AG55" s="559"/>
      <c r="AH55" s="560"/>
      <c r="AI55" s="560"/>
    </row>
    <row r="56" spans="1:35" ht="21.95" customHeight="1">
      <c r="A56" s="361"/>
      <c r="B56" s="23" t="s">
        <v>675</v>
      </c>
      <c r="C56" s="7"/>
      <c r="D56" s="414" t="s">
        <v>2</v>
      </c>
      <c r="E56" s="550"/>
      <c r="F56" s="7"/>
      <c r="G56" s="6" t="s">
        <v>3</v>
      </c>
      <c r="H56" s="551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52"/>
      <c r="R56" s="118"/>
      <c r="S56" s="6" t="s">
        <v>7</v>
      </c>
      <c r="T56" s="553"/>
      <c r="U56" s="118"/>
      <c r="V56" s="6" t="s">
        <v>8</v>
      </c>
      <c r="W56" s="552"/>
      <c r="X56" s="349" t="s">
        <v>9</v>
      </c>
      <c r="Y56" s="561"/>
      <c r="Z56" s="561"/>
      <c r="AA56" s="562"/>
      <c r="AB56" s="27" t="s">
        <v>10</v>
      </c>
      <c r="AC56" s="554"/>
      <c r="AD56" s="554"/>
      <c r="AE56" s="563"/>
      <c r="AF56" s="563"/>
      <c r="AG56" s="564"/>
    </row>
    <row r="57" spans="1:35" ht="21.95" customHeight="1">
      <c r="A57" s="361"/>
      <c r="B57" s="306" t="s">
        <v>676</v>
      </c>
      <c r="C57" s="565" t="s">
        <v>512</v>
      </c>
      <c r="D57" s="483"/>
      <c r="E57" s="484"/>
      <c r="F57" s="565" t="s">
        <v>512</v>
      </c>
      <c r="G57" s="483"/>
      <c r="H57" s="484"/>
      <c r="I57" s="565" t="s">
        <v>512</v>
      </c>
      <c r="J57" s="483"/>
      <c r="K57" s="484"/>
      <c r="L57" s="565" t="s">
        <v>512</v>
      </c>
      <c r="M57" s="483"/>
      <c r="N57" s="484"/>
      <c r="O57" s="565" t="s">
        <v>116</v>
      </c>
      <c r="P57" s="483"/>
      <c r="Q57" s="484"/>
      <c r="R57" s="565"/>
      <c r="S57" s="483"/>
      <c r="T57" s="484"/>
      <c r="U57" s="565"/>
      <c r="V57" s="483"/>
      <c r="W57" s="484"/>
      <c r="X57" s="565"/>
      <c r="Y57" s="483"/>
      <c r="Z57" s="483"/>
      <c r="AA57" s="483"/>
      <c r="AB57" s="476"/>
      <c r="AC57" s="483"/>
      <c r="AD57" s="483"/>
      <c r="AE57" s="483"/>
      <c r="AF57" s="483"/>
      <c r="AG57" s="566"/>
    </row>
    <row r="58" spans="1:35" ht="21.95" customHeight="1">
      <c r="A58" s="361"/>
      <c r="B58" s="306" t="s">
        <v>677</v>
      </c>
      <c r="C58" s="565" t="s">
        <v>147</v>
      </c>
      <c r="D58" s="483"/>
      <c r="E58" s="484"/>
      <c r="F58" s="565" t="s">
        <v>147</v>
      </c>
      <c r="G58" s="483"/>
      <c r="H58" s="484"/>
      <c r="I58" s="565" t="s">
        <v>147</v>
      </c>
      <c r="J58" s="483"/>
      <c r="K58" s="484"/>
      <c r="L58" s="565" t="s">
        <v>147</v>
      </c>
      <c r="M58" s="483"/>
      <c r="N58" s="484"/>
      <c r="O58" s="565" t="s">
        <v>578</v>
      </c>
      <c r="P58" s="483"/>
      <c r="Q58" s="484"/>
      <c r="R58" s="565"/>
      <c r="S58" s="483"/>
      <c r="T58" s="484"/>
      <c r="U58" s="565"/>
      <c r="V58" s="483"/>
      <c r="W58" s="484"/>
      <c r="X58" s="565"/>
      <c r="Y58" s="483"/>
      <c r="Z58" s="483"/>
      <c r="AA58" s="483"/>
      <c r="AB58" s="476"/>
      <c r="AC58" s="483"/>
      <c r="AD58" s="483"/>
      <c r="AE58" s="483"/>
      <c r="AF58" s="483"/>
      <c r="AG58" s="566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>
      <c r="A60" s="556" t="s">
        <v>528</v>
      </c>
      <c r="B60" s="297" t="s">
        <v>480</v>
      </c>
      <c r="C60" s="1234">
        <v>1</v>
      </c>
      <c r="D60" s="1234">
        <v>2</v>
      </c>
      <c r="E60" s="1234">
        <v>3</v>
      </c>
      <c r="F60" s="1234">
        <v>4</v>
      </c>
      <c r="G60" s="1235">
        <v>5</v>
      </c>
      <c r="H60" s="1235">
        <v>6</v>
      </c>
      <c r="I60" s="1213">
        <v>7</v>
      </c>
      <c r="J60" s="1213">
        <v>8</v>
      </c>
      <c r="K60" s="1234">
        <v>9</v>
      </c>
      <c r="L60" s="1234">
        <v>10</v>
      </c>
      <c r="M60" s="1234">
        <v>11</v>
      </c>
      <c r="N60" s="1235">
        <v>12</v>
      </c>
      <c r="O60" s="1235">
        <v>13</v>
      </c>
      <c r="P60" s="1213">
        <v>14</v>
      </c>
      <c r="Q60" s="1213">
        <v>15</v>
      </c>
      <c r="R60" s="1234">
        <v>16</v>
      </c>
      <c r="S60" s="1234">
        <v>17</v>
      </c>
      <c r="T60" s="1234">
        <v>18</v>
      </c>
      <c r="U60" s="1235">
        <v>19</v>
      </c>
      <c r="V60" s="1330">
        <v>20</v>
      </c>
      <c r="W60" s="1213">
        <v>21</v>
      </c>
      <c r="X60" s="1213">
        <v>22</v>
      </c>
      <c r="Y60" s="1234">
        <v>23</v>
      </c>
      <c r="Z60" s="1234">
        <v>24</v>
      </c>
      <c r="AA60" s="1234">
        <v>25</v>
      </c>
      <c r="AB60" s="1235">
        <v>26</v>
      </c>
      <c r="AC60" s="1235">
        <v>27</v>
      </c>
      <c r="AD60" s="1213">
        <v>28</v>
      </c>
      <c r="AE60" s="1213">
        <v>29</v>
      </c>
      <c r="AF60" s="1234">
        <v>30</v>
      </c>
      <c r="AG60" s="1234">
        <v>31</v>
      </c>
      <c r="AH60" s="498" t="s">
        <v>481</v>
      </c>
      <c r="AI60" s="499" t="s">
        <v>482</v>
      </c>
    </row>
    <row r="61" spans="1:35" ht="21.95" customHeight="1">
      <c r="A61" s="186">
        <v>8520</v>
      </c>
      <c r="B61" s="186" t="s">
        <v>678</v>
      </c>
      <c r="C61" s="1215" t="s">
        <v>679</v>
      </c>
      <c r="D61" s="1215" t="s">
        <v>679</v>
      </c>
      <c r="E61" s="1215" t="s">
        <v>679</v>
      </c>
      <c r="F61" s="1215" t="s">
        <v>679</v>
      </c>
      <c r="G61" s="1215"/>
      <c r="H61" s="1215"/>
      <c r="I61" s="1215" t="s">
        <v>679</v>
      </c>
      <c r="J61" s="1215" t="s">
        <v>679</v>
      </c>
      <c r="K61" s="1215" t="s">
        <v>679</v>
      </c>
      <c r="L61" s="1215" t="s">
        <v>679</v>
      </c>
      <c r="M61" s="1215" t="s">
        <v>679</v>
      </c>
      <c r="N61" s="1215"/>
      <c r="O61" s="1215"/>
      <c r="P61" s="1215" t="s">
        <v>679</v>
      </c>
      <c r="Q61" s="1215" t="s">
        <v>679</v>
      </c>
      <c r="R61" s="1215" t="s">
        <v>679</v>
      </c>
      <c r="S61" s="1215" t="s">
        <v>679</v>
      </c>
      <c r="T61" s="1215" t="s">
        <v>679</v>
      </c>
      <c r="U61" s="1215"/>
      <c r="V61" s="1215"/>
      <c r="W61" s="1215" t="s">
        <v>679</v>
      </c>
      <c r="X61" s="1215" t="s">
        <v>679</v>
      </c>
      <c r="Y61" s="1215" t="s">
        <v>679</v>
      </c>
      <c r="Z61" s="1215" t="s">
        <v>679</v>
      </c>
      <c r="AA61" s="1215" t="s">
        <v>679</v>
      </c>
      <c r="AB61" s="1215"/>
      <c r="AC61" s="1215"/>
      <c r="AD61" s="1344" t="s">
        <v>679</v>
      </c>
      <c r="AE61" s="1344" t="s">
        <v>679</v>
      </c>
      <c r="AF61" s="1215" t="s">
        <v>679</v>
      </c>
      <c r="AG61" s="1215" t="s">
        <v>679</v>
      </c>
      <c r="AH61" s="504">
        <v>185</v>
      </c>
      <c r="AI61" s="505">
        <v>37</v>
      </c>
    </row>
    <row r="62" spans="1:35" ht="21.95" customHeight="1">
      <c r="A62" s="186">
        <v>8521</v>
      </c>
      <c r="B62" s="186" t="s">
        <v>681</v>
      </c>
      <c r="C62" s="1338" t="s">
        <v>550</v>
      </c>
      <c r="D62" s="1338" t="s">
        <v>550</v>
      </c>
      <c r="E62" s="1338" t="s">
        <v>550</v>
      </c>
      <c r="F62" s="1338" t="s">
        <v>550</v>
      </c>
      <c r="G62" s="1338"/>
      <c r="H62" s="1338"/>
      <c r="I62" s="1500" t="s">
        <v>550</v>
      </c>
      <c r="J62" s="1215" t="s">
        <v>550</v>
      </c>
      <c r="K62" s="1215" t="s">
        <v>550</v>
      </c>
      <c r="L62" s="1500" t="s">
        <v>550</v>
      </c>
      <c r="M62" s="1215" t="s">
        <v>550</v>
      </c>
      <c r="N62" s="1215"/>
      <c r="O62" s="1215"/>
      <c r="P62" s="1586" t="s">
        <v>550</v>
      </c>
      <c r="Q62" s="1586" t="s">
        <v>550</v>
      </c>
      <c r="R62" s="1586" t="s">
        <v>550</v>
      </c>
      <c r="S62" s="1586" t="s">
        <v>550</v>
      </c>
      <c r="T62" s="1586" t="s">
        <v>550</v>
      </c>
      <c r="U62" s="1215"/>
      <c r="V62" s="1215"/>
      <c r="W62" s="1500" t="s">
        <v>550</v>
      </c>
      <c r="X62" s="1215" t="s">
        <v>550</v>
      </c>
      <c r="Y62" s="1215" t="s">
        <v>550</v>
      </c>
      <c r="Z62" s="1215" t="s">
        <v>550</v>
      </c>
      <c r="AA62" s="1215" t="s">
        <v>550</v>
      </c>
      <c r="AB62" s="1215"/>
      <c r="AC62" s="1215"/>
      <c r="AD62" s="1500" t="s">
        <v>550</v>
      </c>
      <c r="AE62" s="1215" t="s">
        <v>550</v>
      </c>
      <c r="AF62" s="1215" t="s">
        <v>550</v>
      </c>
      <c r="AG62" s="1215" t="s">
        <v>550</v>
      </c>
      <c r="AH62" s="504">
        <v>185</v>
      </c>
      <c r="AI62" s="505">
        <v>37</v>
      </c>
    </row>
    <row r="63" spans="1:35" ht="21.95" customHeight="1">
      <c r="A63" s="361"/>
      <c r="B63" s="361"/>
      <c r="C63" s="541"/>
      <c r="D63" s="520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520"/>
      <c r="AE63" s="520"/>
      <c r="AF63" s="520"/>
      <c r="AG63" s="520"/>
      <c r="AH63" s="560"/>
      <c r="AI63" s="560"/>
    </row>
    <row r="64" spans="1:35" ht="21.95" customHeight="1">
      <c r="A64" s="361"/>
      <c r="B64" s="361"/>
      <c r="C64" s="541"/>
      <c r="D64" s="520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520"/>
      <c r="AE64" s="520"/>
      <c r="AF64" s="520"/>
      <c r="AG64" s="520"/>
      <c r="AH64" s="560"/>
      <c r="AI64" s="560"/>
    </row>
    <row r="65" spans="1:35" ht="21.95" customHeight="1">
      <c r="A65" s="361"/>
      <c r="B65" s="361"/>
      <c r="C65" s="541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60"/>
      <c r="AI65" s="560"/>
    </row>
    <row r="66" spans="1:35" ht="21.95" customHeight="1" thickBot="1">
      <c r="A66" s="1" t="s">
        <v>468</v>
      </c>
      <c r="D66" s="361"/>
      <c r="E66" s="361"/>
      <c r="F66" s="361"/>
      <c r="G66" s="549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726</v>
      </c>
      <c r="C67" s="7"/>
      <c r="D67" s="525" t="s">
        <v>2</v>
      </c>
      <c r="E67" s="51"/>
      <c r="F67" s="551"/>
      <c r="G67" s="7"/>
      <c r="H67" s="525" t="s">
        <v>3</v>
      </c>
      <c r="I67" s="51"/>
      <c r="J67" s="551"/>
      <c r="K67" s="7"/>
      <c r="L67" s="525" t="s">
        <v>4</v>
      </c>
      <c r="M67" s="51"/>
      <c r="N67" s="551"/>
      <c r="O67" s="7"/>
      <c r="P67" s="525" t="s">
        <v>5</v>
      </c>
      <c r="Q67" s="51"/>
      <c r="R67" s="551"/>
      <c r="S67" s="7"/>
      <c r="T67" s="525" t="s">
        <v>6</v>
      </c>
      <c r="U67" s="51"/>
      <c r="V67" s="551"/>
      <c r="W67" s="27"/>
      <c r="X67" s="898" t="s">
        <v>7</v>
      </c>
      <c r="Y67" s="522"/>
      <c r="Z67" s="238"/>
      <c r="AA67" s="7"/>
      <c r="AB67" s="525" t="s">
        <v>8</v>
      </c>
      <c r="AC67" s="51"/>
      <c r="AD67" s="51"/>
      <c r="AE67" s="349" t="s">
        <v>9</v>
      </c>
      <c r="AF67" s="51"/>
      <c r="AG67" s="51"/>
      <c r="AH67" s="51"/>
      <c r="AI67" s="526"/>
    </row>
    <row r="68" spans="1:35" ht="21.95" customHeight="1">
      <c r="A68" s="1"/>
      <c r="B68" s="129" t="s">
        <v>164</v>
      </c>
      <c r="C68" s="567" t="s">
        <v>740</v>
      </c>
      <c r="E68" s="157"/>
      <c r="F68" s="568"/>
      <c r="G68" s="567" t="s">
        <v>740</v>
      </c>
      <c r="H68" s="157"/>
      <c r="I68" s="157"/>
      <c r="J68" s="568"/>
      <c r="K68" s="567" t="s">
        <v>740</v>
      </c>
      <c r="L68" s="157"/>
      <c r="M68" s="157"/>
      <c r="N68" s="568"/>
      <c r="O68" s="567" t="s">
        <v>740</v>
      </c>
      <c r="P68" s="157"/>
      <c r="Q68" s="157"/>
      <c r="R68" s="568"/>
      <c r="S68" s="567" t="s">
        <v>741</v>
      </c>
      <c r="T68" s="157"/>
      <c r="U68" s="157"/>
      <c r="V68" s="569"/>
      <c r="W68" s="899"/>
      <c r="X68" s="900"/>
      <c r="Y68" s="900"/>
      <c r="Z68" s="901"/>
      <c r="AA68" s="569"/>
      <c r="AB68" s="157"/>
      <c r="AC68" s="157"/>
      <c r="AD68" s="569"/>
      <c r="AE68" s="121">
        <v>37</v>
      </c>
      <c r="AG68" s="157"/>
      <c r="AH68" s="569"/>
      <c r="AI68" s="490"/>
    </row>
    <row r="69" spans="1:35" ht="21.95" customHeight="1">
      <c r="A69" s="1"/>
      <c r="B69" s="129" t="s">
        <v>167</v>
      </c>
      <c r="C69" s="567" t="s">
        <v>474</v>
      </c>
      <c r="D69" s="157"/>
      <c r="E69" s="157"/>
      <c r="F69" s="568"/>
      <c r="G69" s="567" t="s">
        <v>474</v>
      </c>
      <c r="H69" s="157"/>
      <c r="I69" s="157"/>
      <c r="J69" s="568"/>
      <c r="K69" s="567" t="s">
        <v>474</v>
      </c>
      <c r="L69" s="157"/>
      <c r="M69" s="157"/>
      <c r="N69" s="568"/>
      <c r="O69" s="567" t="s">
        <v>475</v>
      </c>
      <c r="P69" s="157"/>
      <c r="Q69" s="157"/>
      <c r="R69" s="568"/>
      <c r="S69" s="567" t="s">
        <v>477</v>
      </c>
      <c r="T69" s="157"/>
      <c r="U69" s="157"/>
      <c r="V69" s="568"/>
      <c r="W69" s="610" t="s">
        <v>775</v>
      </c>
      <c r="X69" s="55"/>
      <c r="Y69" s="55"/>
      <c r="Z69" s="55"/>
      <c r="AA69" s="567" t="s">
        <v>479</v>
      </c>
      <c r="AB69" s="567"/>
      <c r="AC69" s="567"/>
      <c r="AD69" s="567"/>
      <c r="AE69" s="155">
        <v>68.25</v>
      </c>
      <c r="AF69" s="157"/>
      <c r="AG69" s="571"/>
      <c r="AH69" s="572"/>
      <c r="AI69" s="573"/>
    </row>
    <row r="70" spans="1:35" ht="21.95" customHeight="1">
      <c r="A70" s="1"/>
      <c r="B70" s="129" t="s">
        <v>170</v>
      </c>
      <c r="C70" s="897" t="s">
        <v>162</v>
      </c>
      <c r="D70" s="157"/>
      <c r="E70" s="157"/>
      <c r="F70" s="568"/>
      <c r="G70" s="157" t="s">
        <v>162</v>
      </c>
      <c r="H70" s="157"/>
      <c r="I70" s="157"/>
      <c r="J70" s="568"/>
      <c r="K70" s="157" t="s">
        <v>162</v>
      </c>
      <c r="L70" s="157"/>
      <c r="M70" s="157"/>
      <c r="N70" s="568"/>
      <c r="O70" s="157" t="s">
        <v>162</v>
      </c>
      <c r="P70" s="157"/>
      <c r="Q70" s="157"/>
      <c r="R70" s="568"/>
      <c r="S70" s="157" t="s">
        <v>162</v>
      </c>
      <c r="T70" s="157"/>
      <c r="U70" s="157"/>
      <c r="V70" s="568"/>
      <c r="W70" s="567"/>
      <c r="X70" s="157"/>
      <c r="Y70" s="157"/>
      <c r="Z70" s="568"/>
      <c r="AA70" s="567"/>
      <c r="AB70" s="157"/>
      <c r="AC70" s="157"/>
      <c r="AD70" s="569"/>
      <c r="AE70" s="570">
        <v>0</v>
      </c>
      <c r="AF70" s="571"/>
      <c r="AG70" s="157"/>
      <c r="AH70" s="569"/>
      <c r="AI70" s="490"/>
    </row>
    <row r="71" spans="1:35" ht="21.95" customHeight="1" thickBot="1">
      <c r="A71" s="1"/>
      <c r="B71" s="47"/>
      <c r="C71" s="574"/>
      <c r="D71" s="53"/>
      <c r="E71" s="53"/>
      <c r="F71" s="575"/>
      <c r="G71" s="574"/>
      <c r="H71" s="53"/>
      <c r="I71" s="53"/>
      <c r="J71" s="575"/>
      <c r="K71" s="574"/>
      <c r="L71" s="53"/>
      <c r="M71" s="53"/>
      <c r="N71" s="575"/>
      <c r="O71" s="574"/>
      <c r="P71" s="53"/>
      <c r="Q71" s="53"/>
      <c r="R71" s="575"/>
      <c r="S71" s="574"/>
      <c r="T71" s="53"/>
      <c r="U71" s="53"/>
      <c r="V71" s="575"/>
      <c r="W71" s="53"/>
      <c r="X71" s="53"/>
      <c r="Y71" s="53"/>
      <c r="Z71" s="53"/>
      <c r="AA71" s="53"/>
      <c r="AB71" s="53"/>
      <c r="AC71" s="53"/>
      <c r="AD71" s="53"/>
      <c r="AE71" s="576"/>
      <c r="AF71" s="53"/>
      <c r="AG71" s="53"/>
      <c r="AH71" s="577"/>
      <c r="AI71" s="539"/>
    </row>
    <row r="72" spans="1:35" ht="21.95" customHeight="1" thickBot="1">
      <c r="A72" s="578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>
      <c r="A73" s="556"/>
      <c r="B73" s="297" t="s">
        <v>480</v>
      </c>
      <c r="C73" s="1234">
        <v>1</v>
      </c>
      <c r="D73" s="1234">
        <v>2</v>
      </c>
      <c r="E73" s="1234">
        <v>3</v>
      </c>
      <c r="F73" s="1234">
        <v>4</v>
      </c>
      <c r="G73" s="1235">
        <v>5</v>
      </c>
      <c r="H73" s="1235">
        <v>6</v>
      </c>
      <c r="I73" s="1213">
        <v>7</v>
      </c>
      <c r="J73" s="1213">
        <v>8</v>
      </c>
      <c r="K73" s="1234">
        <v>9</v>
      </c>
      <c r="L73" s="1234">
        <v>10</v>
      </c>
      <c r="M73" s="1234">
        <v>11</v>
      </c>
      <c r="N73" s="1235">
        <v>12</v>
      </c>
      <c r="O73" s="1235">
        <v>13</v>
      </c>
      <c r="P73" s="1213">
        <v>14</v>
      </c>
      <c r="Q73" s="1213">
        <v>15</v>
      </c>
      <c r="R73" s="1234">
        <v>16</v>
      </c>
      <c r="S73" s="1234">
        <v>17</v>
      </c>
      <c r="T73" s="1234">
        <v>18</v>
      </c>
      <c r="U73" s="1235">
        <v>19</v>
      </c>
      <c r="V73" s="1330">
        <v>20</v>
      </c>
      <c r="W73" s="1213">
        <v>21</v>
      </c>
      <c r="X73" s="1213">
        <v>22</v>
      </c>
      <c r="Y73" s="1234">
        <v>23</v>
      </c>
      <c r="Z73" s="1234">
        <v>24</v>
      </c>
      <c r="AA73" s="1234">
        <v>25</v>
      </c>
      <c r="AB73" s="1235">
        <v>26</v>
      </c>
      <c r="AC73" s="1235">
        <v>27</v>
      </c>
      <c r="AD73" s="1213">
        <v>28</v>
      </c>
      <c r="AE73" s="1213">
        <v>29</v>
      </c>
      <c r="AF73" s="1234">
        <v>30</v>
      </c>
      <c r="AG73" s="1234">
        <v>31</v>
      </c>
      <c r="AH73" s="498" t="s">
        <v>481</v>
      </c>
      <c r="AI73" s="499" t="s">
        <v>482</v>
      </c>
    </row>
    <row r="74" spans="1:35" ht="21.95" customHeight="1" thickBot="1">
      <c r="A74" s="579">
        <v>1</v>
      </c>
      <c r="B74" s="153" t="s">
        <v>483</v>
      </c>
      <c r="C74" s="1511" t="s">
        <v>487</v>
      </c>
      <c r="D74" s="1574" t="s">
        <v>708</v>
      </c>
      <c r="E74" s="1208" t="s">
        <v>487</v>
      </c>
      <c r="F74" s="1208" t="s">
        <v>487</v>
      </c>
      <c r="G74" s="1208"/>
      <c r="H74" s="1208"/>
      <c r="I74" s="1208" t="s">
        <v>539</v>
      </c>
      <c r="J74" s="1511" t="s">
        <v>682</v>
      </c>
      <c r="K74" s="1208" t="s">
        <v>682</v>
      </c>
      <c r="L74" s="1208" t="s">
        <v>682</v>
      </c>
      <c r="M74" s="1208" t="s">
        <v>682</v>
      </c>
      <c r="N74" s="1208"/>
      <c r="O74" s="1208"/>
      <c r="P74" s="1208" t="s">
        <v>484</v>
      </c>
      <c r="Q74" s="1511" t="s">
        <v>484</v>
      </c>
      <c r="R74" s="1208" t="s">
        <v>484</v>
      </c>
      <c r="S74" s="1208" t="s">
        <v>485</v>
      </c>
      <c r="T74" s="1208" t="s">
        <v>485</v>
      </c>
      <c r="U74" s="1208" t="s">
        <v>486</v>
      </c>
      <c r="V74" s="1208" t="s">
        <v>486</v>
      </c>
      <c r="W74" s="1208" t="s">
        <v>487</v>
      </c>
      <c r="X74" s="1511" t="s">
        <v>487</v>
      </c>
      <c r="Y74" s="1208" t="s">
        <v>487</v>
      </c>
      <c r="Z74" s="1208" t="s">
        <v>487</v>
      </c>
      <c r="AA74" s="1208" t="s">
        <v>487</v>
      </c>
      <c r="AB74" s="1208"/>
      <c r="AC74" s="1208"/>
      <c r="AD74" s="1347" t="s">
        <v>682</v>
      </c>
      <c r="AE74" s="1208" t="s">
        <v>682</v>
      </c>
      <c r="AF74" s="1208" t="s">
        <v>682</v>
      </c>
      <c r="AG74" s="1208" t="s">
        <v>682</v>
      </c>
      <c r="AH74" s="504">
        <v>185</v>
      </c>
      <c r="AI74" s="505">
        <v>37</v>
      </c>
    </row>
    <row r="75" spans="1:35" ht="21.95" customHeight="1">
      <c r="A75" s="579">
        <v>2</v>
      </c>
      <c r="B75" s="45" t="s">
        <v>489</v>
      </c>
      <c r="C75" s="1396" t="s">
        <v>682</v>
      </c>
      <c r="D75" s="1208" t="s">
        <v>682</v>
      </c>
      <c r="E75" s="1208" t="s">
        <v>682</v>
      </c>
      <c r="F75" s="1208" t="s">
        <v>682</v>
      </c>
      <c r="G75" s="1208"/>
      <c r="H75" s="1208"/>
      <c r="I75" s="1208" t="s">
        <v>484</v>
      </c>
      <c r="J75" s="1551" t="s">
        <v>484</v>
      </c>
      <c r="K75" s="1208" t="s">
        <v>484</v>
      </c>
      <c r="L75" s="1208" t="s">
        <v>485</v>
      </c>
      <c r="M75" s="1208" t="s">
        <v>485</v>
      </c>
      <c r="N75" s="1208" t="s">
        <v>486</v>
      </c>
      <c r="O75" s="1208" t="s">
        <v>486</v>
      </c>
      <c r="P75" s="1208" t="s">
        <v>487</v>
      </c>
      <c r="Q75" s="1208" t="s">
        <v>487</v>
      </c>
      <c r="R75" s="1208" t="s">
        <v>487</v>
      </c>
      <c r="S75" s="1208" t="s">
        <v>487</v>
      </c>
      <c r="T75" s="1208" t="s">
        <v>487</v>
      </c>
      <c r="U75" s="1208"/>
      <c r="V75" s="1208"/>
      <c r="W75" s="1208" t="s">
        <v>682</v>
      </c>
      <c r="X75" s="1208" t="s">
        <v>682</v>
      </c>
      <c r="Y75" s="1208" t="s">
        <v>682</v>
      </c>
      <c r="Z75" s="1208" t="s">
        <v>682</v>
      </c>
      <c r="AA75" s="1208" t="s">
        <v>682</v>
      </c>
      <c r="AB75" s="1208"/>
      <c r="AC75" s="1208"/>
      <c r="AD75" s="1208" t="s">
        <v>484</v>
      </c>
      <c r="AE75" s="1208" t="s">
        <v>484</v>
      </c>
      <c r="AF75" s="1208" t="s">
        <v>484</v>
      </c>
      <c r="AG75" s="1208" t="s">
        <v>485</v>
      </c>
      <c r="AH75" s="504">
        <v>185</v>
      </c>
      <c r="AI75" s="505">
        <v>37</v>
      </c>
    </row>
    <row r="76" spans="1:35" ht="21.95" customHeight="1">
      <c r="A76" s="579">
        <v>3</v>
      </c>
      <c r="B76" s="545" t="s">
        <v>721</v>
      </c>
      <c r="C76" s="1362" t="s">
        <v>484</v>
      </c>
      <c r="D76" s="1574" t="s">
        <v>484</v>
      </c>
      <c r="E76" s="1362" t="s">
        <v>485</v>
      </c>
      <c r="F76" s="1362" t="s">
        <v>485</v>
      </c>
      <c r="G76" s="1362" t="s">
        <v>486</v>
      </c>
      <c r="H76" s="1362" t="s">
        <v>486</v>
      </c>
      <c r="I76" s="1208" t="s">
        <v>487</v>
      </c>
      <c r="J76" s="1208" t="s">
        <v>487</v>
      </c>
      <c r="K76" s="1208" t="s">
        <v>487</v>
      </c>
      <c r="L76" s="1208" t="s">
        <v>487</v>
      </c>
      <c r="M76" s="1208" t="s">
        <v>487</v>
      </c>
      <c r="N76" s="1208"/>
      <c r="O76" s="1208"/>
      <c r="P76" s="1208" t="s">
        <v>682</v>
      </c>
      <c r="Q76" s="1208" t="s">
        <v>682</v>
      </c>
      <c r="R76" s="1208" t="s">
        <v>682</v>
      </c>
      <c r="S76" s="1208" t="s">
        <v>682</v>
      </c>
      <c r="T76" s="1208" t="s">
        <v>682</v>
      </c>
      <c r="U76" s="1208"/>
      <c r="V76" s="1208"/>
      <c r="W76" s="1396" t="s">
        <v>484</v>
      </c>
      <c r="X76" s="1396" t="s">
        <v>484</v>
      </c>
      <c r="Y76" s="1396" t="s">
        <v>484</v>
      </c>
      <c r="Z76" s="1396" t="s">
        <v>485</v>
      </c>
      <c r="AA76" s="1396" t="s">
        <v>485</v>
      </c>
      <c r="AB76" s="1208" t="s">
        <v>486</v>
      </c>
      <c r="AC76" s="1598" t="s">
        <v>486</v>
      </c>
      <c r="AD76" s="1208" t="s">
        <v>487</v>
      </c>
      <c r="AE76" s="1208" t="s">
        <v>487</v>
      </c>
      <c r="AF76" s="1208" t="s">
        <v>487</v>
      </c>
      <c r="AG76" s="1208" t="s">
        <v>487</v>
      </c>
      <c r="AH76" s="504">
        <v>185</v>
      </c>
      <c r="AI76" s="505">
        <v>37</v>
      </c>
    </row>
    <row r="77" spans="1:35" ht="21" customHeight="1"/>
    <row r="78" spans="1:35" ht="21.95" customHeight="1" thickBot="1">
      <c r="A78" s="312" t="s">
        <v>491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  <c r="O78" s="559"/>
      <c r="P78" s="559"/>
      <c r="Q78" s="559"/>
      <c r="R78" s="559"/>
      <c r="S78" s="559"/>
      <c r="T78" s="559"/>
      <c r="U78" s="559"/>
      <c r="V78" s="559"/>
      <c r="W78" s="559"/>
      <c r="X78" s="559"/>
      <c r="Y78" s="559"/>
      <c r="Z78" s="559"/>
      <c r="AA78" s="559"/>
      <c r="AB78" s="559"/>
      <c r="AC78" s="559"/>
      <c r="AD78" s="559"/>
      <c r="AE78" s="559"/>
      <c r="AF78" s="559"/>
      <c r="AH78" s="560"/>
      <c r="AI78" s="560"/>
    </row>
    <row r="79" spans="1:35" ht="21.95" customHeight="1">
      <c r="A79" s="580"/>
      <c r="B79" s="23" t="s">
        <v>726</v>
      </c>
      <c r="C79" s="7"/>
      <c r="D79" s="525" t="s">
        <v>2</v>
      </c>
      <c r="E79" s="51"/>
      <c r="F79" s="551"/>
      <c r="G79" s="7"/>
      <c r="H79" s="525" t="s">
        <v>3</v>
      </c>
      <c r="I79" s="51"/>
      <c r="J79" s="551"/>
      <c r="K79" s="7"/>
      <c r="L79" s="525" t="s">
        <v>4</v>
      </c>
      <c r="M79" s="51"/>
      <c r="N79" s="551"/>
      <c r="O79" s="7"/>
      <c r="P79" s="525" t="s">
        <v>5</v>
      </c>
      <c r="Q79" s="51"/>
      <c r="R79" s="551"/>
      <c r="S79" s="7"/>
      <c r="T79" s="525" t="s">
        <v>6</v>
      </c>
      <c r="U79" s="51"/>
      <c r="V79" s="551"/>
      <c r="W79" s="27"/>
      <c r="X79" s="898" t="s">
        <v>7</v>
      </c>
      <c r="Y79" s="522"/>
      <c r="Z79" s="238"/>
      <c r="AA79" s="7"/>
      <c r="AB79" s="525" t="s">
        <v>8</v>
      </c>
      <c r="AC79" s="51"/>
      <c r="AD79" s="51"/>
      <c r="AE79" s="349" t="s">
        <v>9</v>
      </c>
      <c r="AF79" s="51"/>
      <c r="AG79" s="51"/>
      <c r="AH79" s="51"/>
      <c r="AI79" s="526"/>
    </row>
    <row r="80" spans="1:35" ht="21.95" customHeight="1">
      <c r="B80" s="129" t="s">
        <v>164</v>
      </c>
      <c r="C80" s="593" t="s">
        <v>492</v>
      </c>
      <c r="E80" s="157"/>
      <c r="F80" s="568"/>
      <c r="G80" s="567" t="s">
        <v>488</v>
      </c>
      <c r="H80" s="483" t="s">
        <v>493</v>
      </c>
      <c r="I80" s="157"/>
      <c r="J80" s="568"/>
      <c r="K80" s="593" t="s">
        <v>492</v>
      </c>
      <c r="L80" s="483"/>
      <c r="M80" s="483"/>
      <c r="N80" s="592"/>
      <c r="O80" s="593" t="s">
        <v>494</v>
      </c>
      <c r="P80" s="483"/>
      <c r="Q80" s="483"/>
      <c r="R80" s="592"/>
      <c r="S80" s="593" t="s">
        <v>495</v>
      </c>
      <c r="T80" s="483"/>
      <c r="U80" s="483"/>
      <c r="V80" s="477"/>
      <c r="W80" s="899"/>
      <c r="X80" s="900"/>
      <c r="Y80" s="900"/>
      <c r="Z80" s="901"/>
      <c r="AA80" s="569"/>
      <c r="AB80" s="157"/>
      <c r="AC80" s="157"/>
      <c r="AD80" s="569"/>
      <c r="AE80" s="121">
        <v>37</v>
      </c>
      <c r="AG80" s="157"/>
      <c r="AH80" s="569"/>
      <c r="AI80" s="490"/>
    </row>
    <row r="81" spans="1:35" ht="21.95" customHeight="1">
      <c r="B81" s="129" t="s">
        <v>167</v>
      </c>
      <c r="C81" s="593" t="s">
        <v>496</v>
      </c>
      <c r="E81" s="157"/>
      <c r="F81" s="568"/>
      <c r="G81" s="593" t="s">
        <v>496</v>
      </c>
      <c r="I81" s="157"/>
      <c r="J81" s="568"/>
      <c r="K81" s="593" t="s">
        <v>496</v>
      </c>
      <c r="L81" s="157"/>
      <c r="M81" s="157"/>
      <c r="N81" s="568"/>
      <c r="O81" s="593" t="s">
        <v>497</v>
      </c>
      <c r="P81" s="157"/>
      <c r="Q81" s="157"/>
      <c r="R81" s="568"/>
      <c r="S81" s="567" t="s">
        <v>498</v>
      </c>
      <c r="T81" s="157"/>
      <c r="U81" s="157"/>
      <c r="V81" s="568"/>
      <c r="W81" s="610" t="s">
        <v>414</v>
      </c>
      <c r="X81" s="55"/>
      <c r="Y81" s="55"/>
      <c r="Z81" s="55"/>
      <c r="AA81" s="567" t="s">
        <v>28</v>
      </c>
      <c r="AB81" s="567"/>
      <c r="AC81" s="567"/>
      <c r="AD81" s="567"/>
      <c r="AE81" s="155">
        <v>37</v>
      </c>
      <c r="AF81" s="157"/>
      <c r="AG81" s="571"/>
      <c r="AH81" s="572"/>
      <c r="AI81" s="573"/>
    </row>
    <row r="82" spans="1:35" ht="21.95" customHeight="1">
      <c r="B82" s="129" t="s">
        <v>170</v>
      </c>
      <c r="C82" s="1336" t="s">
        <v>499</v>
      </c>
      <c r="D82" s="157"/>
      <c r="E82" s="157"/>
      <c r="F82" s="568"/>
      <c r="G82" s="157" t="s">
        <v>500</v>
      </c>
      <c r="H82" s="157"/>
      <c r="I82" s="157"/>
      <c r="J82" s="568"/>
      <c r="K82" s="1337" t="s">
        <v>501</v>
      </c>
      <c r="L82" s="157"/>
      <c r="M82" s="157"/>
      <c r="N82" s="568"/>
      <c r="O82" s="581" t="s">
        <v>502</v>
      </c>
      <c r="P82" s="157"/>
      <c r="Q82" s="157"/>
      <c r="R82" s="568"/>
      <c r="S82" s="581" t="s">
        <v>504</v>
      </c>
      <c r="T82" s="157"/>
      <c r="U82" s="157"/>
      <c r="V82" s="568"/>
      <c r="W82" s="567"/>
      <c r="X82" s="157"/>
      <c r="Y82" s="157"/>
      <c r="Z82" s="568"/>
      <c r="AA82" s="567"/>
      <c r="AB82" s="157"/>
      <c r="AC82" s="157"/>
      <c r="AD82" s="569"/>
      <c r="AE82" s="570">
        <v>36</v>
      </c>
      <c r="AF82" s="571"/>
      <c r="AG82" s="157"/>
      <c r="AH82" s="569"/>
      <c r="AI82" s="490"/>
    </row>
    <row r="83" spans="1:35" ht="21.95" customHeight="1" thickBot="1">
      <c r="B83" s="47"/>
      <c r="C83" s="574"/>
      <c r="D83" s="53"/>
      <c r="E83" s="53"/>
      <c r="F83" s="575"/>
      <c r="G83" s="574"/>
      <c r="H83" s="53"/>
      <c r="I83" s="53"/>
      <c r="J83" s="575"/>
      <c r="K83" s="574"/>
      <c r="L83" s="53"/>
      <c r="M83" s="53"/>
      <c r="N83" s="575"/>
      <c r="O83" s="574"/>
      <c r="P83" s="53"/>
      <c r="Q83" s="53"/>
      <c r="R83" s="575"/>
      <c r="S83" s="574"/>
      <c r="T83" s="53"/>
      <c r="U83" s="53"/>
      <c r="V83" s="575"/>
      <c r="W83" s="53"/>
      <c r="X83" s="53"/>
      <c r="Y83" s="53"/>
      <c r="Z83" s="53"/>
      <c r="AA83" s="53"/>
      <c r="AB83" s="53"/>
      <c r="AC83" s="53"/>
      <c r="AD83" s="53"/>
      <c r="AE83" s="576"/>
      <c r="AF83" s="53"/>
      <c r="AG83" s="53"/>
      <c r="AH83" s="577"/>
      <c r="AI83" s="539"/>
    </row>
    <row r="84" spans="1:35" ht="21.95" customHeight="1" thickBot="1"/>
    <row r="85" spans="1:35" ht="21.95" customHeight="1">
      <c r="A85" s="556"/>
      <c r="B85" s="297" t="s">
        <v>480</v>
      </c>
      <c r="C85" s="1234">
        <v>1</v>
      </c>
      <c r="D85" s="1234">
        <v>2</v>
      </c>
      <c r="E85" s="1234">
        <v>3</v>
      </c>
      <c r="F85" s="1234">
        <v>4</v>
      </c>
      <c r="G85" s="1235">
        <v>5</v>
      </c>
      <c r="H85" s="1235">
        <v>6</v>
      </c>
      <c r="I85" s="1213">
        <v>7</v>
      </c>
      <c r="J85" s="1213">
        <v>8</v>
      </c>
      <c r="K85" s="1234">
        <v>9</v>
      </c>
      <c r="L85" s="1234">
        <v>10</v>
      </c>
      <c r="M85" s="1234">
        <v>11</v>
      </c>
      <c r="N85" s="1235">
        <v>12</v>
      </c>
      <c r="O85" s="1235">
        <v>13</v>
      </c>
      <c r="P85" s="1213">
        <v>14</v>
      </c>
      <c r="Q85" s="1213">
        <v>15</v>
      </c>
      <c r="R85" s="1234">
        <v>16</v>
      </c>
      <c r="S85" s="1234">
        <v>17</v>
      </c>
      <c r="T85" s="1234">
        <v>18</v>
      </c>
      <c r="U85" s="1235">
        <v>19</v>
      </c>
      <c r="V85" s="1330">
        <v>20</v>
      </c>
      <c r="W85" s="1213">
        <v>21</v>
      </c>
      <c r="X85" s="1213">
        <v>22</v>
      </c>
      <c r="Y85" s="1234">
        <v>23</v>
      </c>
      <c r="Z85" s="1234">
        <v>24</v>
      </c>
      <c r="AA85" s="1234">
        <v>25</v>
      </c>
      <c r="AB85" s="1235">
        <v>26</v>
      </c>
      <c r="AC85" s="1235">
        <v>27</v>
      </c>
      <c r="AD85" s="1213">
        <v>28</v>
      </c>
      <c r="AE85" s="1213">
        <v>29</v>
      </c>
      <c r="AF85" s="1234">
        <v>30</v>
      </c>
      <c r="AG85" s="1234">
        <v>31</v>
      </c>
      <c r="AH85" s="498" t="s">
        <v>481</v>
      </c>
      <c r="AI85" s="499" t="s">
        <v>482</v>
      </c>
    </row>
    <row r="86" spans="1:35" ht="21.95" customHeight="1">
      <c r="A86" s="579">
        <v>1</v>
      </c>
      <c r="B86" s="153" t="s">
        <v>508</v>
      </c>
      <c r="C86" s="1208" t="s">
        <v>485</v>
      </c>
      <c r="D86" s="1579" t="s">
        <v>485</v>
      </c>
      <c r="E86" s="1208" t="s">
        <v>484</v>
      </c>
      <c r="F86" s="1208" t="s">
        <v>484</v>
      </c>
      <c r="G86" s="1208"/>
      <c r="H86" s="1208"/>
      <c r="I86" s="1208" t="s">
        <v>488</v>
      </c>
      <c r="J86" s="1208" t="s">
        <v>488</v>
      </c>
      <c r="K86" s="1208" t="s">
        <v>488</v>
      </c>
      <c r="L86" s="1208" t="s">
        <v>488</v>
      </c>
      <c r="M86" s="1208" t="s">
        <v>488</v>
      </c>
      <c r="N86" s="1208" t="s">
        <v>28</v>
      </c>
      <c r="O86" s="1208" t="s">
        <v>28</v>
      </c>
      <c r="P86" s="1208" t="s">
        <v>506</v>
      </c>
      <c r="Q86" s="1208" t="s">
        <v>506</v>
      </c>
      <c r="R86" s="1208" t="s">
        <v>506</v>
      </c>
      <c r="S86" s="1208" t="s">
        <v>506</v>
      </c>
      <c r="T86" s="1368" t="s">
        <v>506</v>
      </c>
      <c r="U86" s="1208" t="s">
        <v>28</v>
      </c>
      <c r="V86" s="1208" t="s">
        <v>28</v>
      </c>
      <c r="W86" s="1208" t="s">
        <v>485</v>
      </c>
      <c r="X86" s="1208" t="s">
        <v>485</v>
      </c>
      <c r="Y86" s="1208" t="s">
        <v>485</v>
      </c>
      <c r="Z86" s="1208" t="s">
        <v>484</v>
      </c>
      <c r="AA86" s="1208" t="s">
        <v>484</v>
      </c>
      <c r="AB86" s="1208"/>
      <c r="AC86" s="1208"/>
      <c r="AD86" s="1208" t="s">
        <v>488</v>
      </c>
      <c r="AE86" s="1368" t="s">
        <v>488</v>
      </c>
      <c r="AF86" s="1208" t="s">
        <v>488</v>
      </c>
      <c r="AG86" s="1208" t="s">
        <v>488</v>
      </c>
      <c r="AH86" s="504" t="s">
        <v>28</v>
      </c>
      <c r="AI86" s="505" t="s">
        <v>28</v>
      </c>
    </row>
    <row r="87" spans="1:35" ht="21.95" customHeight="1">
      <c r="A87" s="579">
        <v>2</v>
      </c>
      <c r="B87" s="319" t="s">
        <v>507</v>
      </c>
      <c r="C87" s="1208" t="s">
        <v>684</v>
      </c>
      <c r="D87" s="1500" t="s">
        <v>684</v>
      </c>
      <c r="E87" s="1208" t="s">
        <v>684</v>
      </c>
      <c r="F87" s="1208" t="s">
        <v>684</v>
      </c>
      <c r="G87" s="1208" t="s">
        <v>28</v>
      </c>
      <c r="H87" s="1208" t="s">
        <v>28</v>
      </c>
      <c r="I87" s="1208" t="s">
        <v>506</v>
      </c>
      <c r="J87" s="1347" t="s">
        <v>506</v>
      </c>
      <c r="K87" s="1208" t="s">
        <v>506</v>
      </c>
      <c r="L87" s="1208" t="s">
        <v>506</v>
      </c>
      <c r="M87" s="1208" t="s">
        <v>506</v>
      </c>
      <c r="N87" s="1208"/>
      <c r="O87" s="1208"/>
      <c r="P87" s="1365" t="s">
        <v>485</v>
      </c>
      <c r="Q87" s="1365" t="s">
        <v>485</v>
      </c>
      <c r="R87" s="1365" t="s">
        <v>485</v>
      </c>
      <c r="S87" s="1365" t="s">
        <v>484</v>
      </c>
      <c r="T87" s="1365" t="s">
        <v>484</v>
      </c>
      <c r="U87" s="1365"/>
      <c r="V87" s="1365"/>
      <c r="W87" s="1208" t="s">
        <v>488</v>
      </c>
      <c r="X87" s="1208" t="s">
        <v>488</v>
      </c>
      <c r="Y87" s="1208" t="s">
        <v>488</v>
      </c>
      <c r="Z87" s="1208" t="s">
        <v>488</v>
      </c>
      <c r="AA87" s="1208" t="s">
        <v>488</v>
      </c>
      <c r="AB87" s="1208" t="s">
        <v>28</v>
      </c>
      <c r="AC87" s="1208" t="s">
        <v>28</v>
      </c>
      <c r="AD87" s="1208" t="s">
        <v>506</v>
      </c>
      <c r="AE87" s="1208" t="s">
        <v>506</v>
      </c>
      <c r="AF87" s="1208" t="s">
        <v>506</v>
      </c>
      <c r="AG87" s="1208" t="s">
        <v>506</v>
      </c>
      <c r="AH87" s="504" t="s">
        <v>28</v>
      </c>
      <c r="AI87" s="505" t="s">
        <v>28</v>
      </c>
    </row>
    <row r="88" spans="1:35" ht="21.95" customHeight="1">
      <c r="A88" s="579">
        <v>3</v>
      </c>
      <c r="B88" s="545" t="s">
        <v>505</v>
      </c>
      <c r="C88" s="1584" t="s">
        <v>484</v>
      </c>
      <c r="D88" s="1500" t="s">
        <v>506</v>
      </c>
      <c r="E88" s="557" t="s">
        <v>547</v>
      </c>
      <c r="F88" s="557" t="s">
        <v>550</v>
      </c>
      <c r="G88" s="1208"/>
      <c r="H88" s="1208"/>
      <c r="I88" s="1208" t="s">
        <v>485</v>
      </c>
      <c r="J88" s="1208" t="s">
        <v>485</v>
      </c>
      <c r="K88" s="1208" t="s">
        <v>485</v>
      </c>
      <c r="L88" s="1208" t="s">
        <v>484</v>
      </c>
      <c r="M88" s="1208" t="s">
        <v>484</v>
      </c>
      <c r="N88" s="1208"/>
      <c r="O88" s="1208"/>
      <c r="P88" s="1208" t="s">
        <v>488</v>
      </c>
      <c r="Q88" s="1208" t="s">
        <v>488</v>
      </c>
      <c r="R88" s="1396" t="s">
        <v>488</v>
      </c>
      <c r="S88" s="1396" t="s">
        <v>488</v>
      </c>
      <c r="T88" s="1344">
        <v>8</v>
      </c>
      <c r="U88" s="1208"/>
      <c r="V88" s="1208"/>
      <c r="W88" s="1396" t="s">
        <v>506</v>
      </c>
      <c r="X88" s="1396" t="s">
        <v>506</v>
      </c>
      <c r="Y88" s="1396" t="s">
        <v>506</v>
      </c>
      <c r="Z88" s="1396" t="s">
        <v>506</v>
      </c>
      <c r="AA88" s="1396" t="s">
        <v>506</v>
      </c>
      <c r="AB88" s="1208"/>
      <c r="AC88" s="1208"/>
      <c r="AD88" s="1208" t="s">
        <v>485</v>
      </c>
      <c r="AE88" s="1208" t="s">
        <v>485</v>
      </c>
      <c r="AF88" s="1208" t="s">
        <v>485</v>
      </c>
      <c r="AG88" s="1208" t="s">
        <v>484</v>
      </c>
      <c r="AH88" s="504" t="s">
        <v>28</v>
      </c>
      <c r="AI88" s="505" t="s">
        <v>28</v>
      </c>
    </row>
    <row r="89" spans="1:35" ht="21.95" customHeight="1">
      <c r="A89" s="580"/>
      <c r="B89" s="354"/>
      <c r="C89" s="559"/>
      <c r="D89" s="559"/>
      <c r="E89" s="559"/>
      <c r="F89" s="559"/>
      <c r="G89" s="559"/>
      <c r="H89" s="559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H89" s="560"/>
      <c r="AI89" s="560"/>
    </row>
    <row r="90" spans="1:35" ht="21.95" customHeight="1">
      <c r="A90" s="580"/>
      <c r="B90" s="587"/>
      <c r="C90" s="559"/>
      <c r="D90" s="559"/>
      <c r="E90" s="559"/>
      <c r="F90" s="559"/>
      <c r="G90" s="559"/>
      <c r="H90" s="559"/>
      <c r="I90" s="559"/>
      <c r="J90" s="559"/>
      <c r="K90" s="559"/>
      <c r="L90" s="559"/>
      <c r="M90" s="559"/>
      <c r="N90" s="559"/>
      <c r="O90" s="559"/>
      <c r="P90" s="559"/>
      <c r="Q90" s="559"/>
      <c r="R90" s="559"/>
      <c r="S90" s="559"/>
      <c r="T90" s="559"/>
      <c r="U90" s="559"/>
      <c r="V90" s="559"/>
      <c r="W90" s="559"/>
      <c r="X90" s="559"/>
      <c r="Y90" s="559"/>
      <c r="Z90" s="559"/>
      <c r="AA90" s="559"/>
      <c r="AB90" s="559"/>
      <c r="AC90" s="559"/>
      <c r="AD90" s="559"/>
      <c r="AE90" s="559"/>
      <c r="AF90" s="559"/>
      <c r="AG90" s="559"/>
      <c r="AH90" s="560"/>
      <c r="AI90" s="560"/>
    </row>
    <row r="91" spans="1:35" ht="21.95" customHeight="1" thickBot="1">
      <c r="A91" s="1" t="s">
        <v>686</v>
      </c>
      <c r="D91" s="361"/>
      <c r="E91" s="361"/>
      <c r="F91" s="361"/>
      <c r="G91" s="549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687</v>
      </c>
      <c r="C92" s="7"/>
      <c r="D92" s="525" t="s">
        <v>2</v>
      </c>
      <c r="E92" s="51"/>
      <c r="F92" s="551"/>
      <c r="G92" s="7"/>
      <c r="H92" s="525" t="s">
        <v>3</v>
      </c>
      <c r="I92" s="51"/>
      <c r="J92" s="551"/>
      <c r="K92" s="7"/>
      <c r="L92" s="525" t="s">
        <v>4</v>
      </c>
      <c r="M92" s="51"/>
      <c r="N92" s="551"/>
      <c r="O92" s="7"/>
      <c r="P92" s="525" t="s">
        <v>5</v>
      </c>
      <c r="Q92" s="51"/>
      <c r="R92" s="551"/>
      <c r="S92" s="7"/>
      <c r="T92" s="525" t="s">
        <v>6</v>
      </c>
      <c r="U92" s="51"/>
      <c r="V92" s="551"/>
      <c r="W92" s="7"/>
      <c r="X92" s="525" t="s">
        <v>7</v>
      </c>
      <c r="Y92" s="51"/>
      <c r="Z92" s="551"/>
      <c r="AA92" s="7"/>
      <c r="AB92" s="525" t="s">
        <v>8</v>
      </c>
      <c r="AC92" s="51"/>
      <c r="AD92" s="51"/>
      <c r="AE92" s="425" t="s">
        <v>10</v>
      </c>
      <c r="AF92" s="51"/>
      <c r="AG92" s="51"/>
      <c r="AH92" s="51"/>
      <c r="AI92" s="526"/>
    </row>
    <row r="93" spans="1:35" ht="21.95" customHeight="1">
      <c r="A93" s="1"/>
      <c r="B93" s="129" t="s">
        <v>164</v>
      </c>
      <c r="C93" s="121" t="s">
        <v>162</v>
      </c>
      <c r="D93" s="157"/>
      <c r="E93" s="157"/>
      <c r="F93" s="568"/>
      <c r="G93" s="121" t="s">
        <v>688</v>
      </c>
      <c r="H93" s="157"/>
      <c r="I93" s="157"/>
      <c r="J93" s="568"/>
      <c r="K93" s="121" t="s">
        <v>688</v>
      </c>
      <c r="L93" s="157"/>
      <c r="M93" s="157"/>
      <c r="N93" s="568"/>
      <c r="O93" s="121" t="s">
        <v>688</v>
      </c>
      <c r="P93" s="157"/>
      <c r="Q93" s="157"/>
      <c r="R93" s="568"/>
      <c r="S93" s="121" t="s">
        <v>688</v>
      </c>
      <c r="T93" s="157"/>
      <c r="U93" s="157"/>
      <c r="V93" s="568"/>
      <c r="W93" s="1243" t="s">
        <v>689</v>
      </c>
      <c r="X93" s="581"/>
      <c r="Y93" s="581"/>
      <c r="Z93" s="582"/>
      <c r="AA93" s="567"/>
      <c r="AB93" s="157"/>
      <c r="AC93" s="157"/>
      <c r="AD93" s="569"/>
      <c r="AE93" s="128">
        <v>37</v>
      </c>
      <c r="AF93" s="157"/>
      <c r="AG93" s="157" t="s">
        <v>28</v>
      </c>
      <c r="AH93" s="569"/>
      <c r="AI93" s="490"/>
    </row>
    <row r="94" spans="1:35" ht="21.95" customHeight="1">
      <c r="A94" s="1"/>
      <c r="B94" s="129" t="s">
        <v>167</v>
      </c>
      <c r="C94" s="121" t="s">
        <v>688</v>
      </c>
      <c r="D94" s="157"/>
      <c r="E94" s="157"/>
      <c r="F94" s="568"/>
      <c r="G94" s="121" t="s">
        <v>688</v>
      </c>
      <c r="H94" s="157"/>
      <c r="I94" s="157"/>
      <c r="J94" s="568"/>
      <c r="K94" s="121" t="s">
        <v>688</v>
      </c>
      <c r="L94" s="157"/>
      <c r="M94" s="157"/>
      <c r="N94" s="568"/>
      <c r="O94" s="121" t="s">
        <v>688</v>
      </c>
      <c r="P94" s="157"/>
      <c r="Q94" s="157"/>
      <c r="R94" s="568"/>
      <c r="S94" s="121" t="s">
        <v>162</v>
      </c>
      <c r="T94" s="157"/>
      <c r="U94" s="157"/>
      <c r="V94" s="568"/>
      <c r="W94" s="121"/>
      <c r="X94" s="157"/>
      <c r="Y94" s="157"/>
      <c r="Z94" s="568"/>
      <c r="AA94" s="157"/>
      <c r="AB94" s="157"/>
      <c r="AC94" s="157"/>
      <c r="AD94" s="569"/>
      <c r="AE94" s="128">
        <v>32</v>
      </c>
      <c r="AF94" s="157"/>
      <c r="AG94" s="157"/>
      <c r="AH94" s="569"/>
      <c r="AI94" s="490"/>
    </row>
    <row r="95" spans="1:35" ht="21.95" customHeight="1">
      <c r="A95" s="1"/>
      <c r="B95" s="129" t="s">
        <v>170</v>
      </c>
      <c r="C95" s="121" t="s">
        <v>690</v>
      </c>
      <c r="D95" s="157"/>
      <c r="E95" s="157"/>
      <c r="F95" s="568"/>
      <c r="G95" s="121" t="s">
        <v>690</v>
      </c>
      <c r="H95" s="157"/>
      <c r="I95" s="157"/>
      <c r="J95" s="568"/>
      <c r="K95" s="121" t="s">
        <v>690</v>
      </c>
      <c r="L95" s="157"/>
      <c r="M95" s="157"/>
      <c r="N95" s="568"/>
      <c r="O95" s="121" t="s">
        <v>690</v>
      </c>
      <c r="P95" s="157"/>
      <c r="Q95" s="157"/>
      <c r="R95" s="568"/>
      <c r="S95" s="121" t="s">
        <v>690</v>
      </c>
      <c r="T95" s="157"/>
      <c r="U95" s="157"/>
      <c r="V95" s="568"/>
      <c r="W95" s="588" t="s">
        <v>689</v>
      </c>
      <c r="X95" s="135"/>
      <c r="Y95" s="135"/>
      <c r="Z95" s="584"/>
      <c r="AA95" s="583"/>
      <c r="AB95" s="135"/>
      <c r="AC95" s="135"/>
      <c r="AD95" s="585"/>
      <c r="AE95" s="128">
        <v>40</v>
      </c>
      <c r="AF95" s="157"/>
      <c r="AG95" s="157"/>
      <c r="AH95" s="569"/>
      <c r="AI95" s="490"/>
    </row>
    <row r="96" spans="1:35" ht="21.95" customHeight="1" thickBot="1">
      <c r="A96" s="1"/>
      <c r="B96" s="16" t="s">
        <v>173</v>
      </c>
      <c r="C96" s="57" t="s">
        <v>688</v>
      </c>
      <c r="D96" s="53"/>
      <c r="E96" s="53"/>
      <c r="F96" s="575"/>
      <c r="G96" s="57" t="s">
        <v>688</v>
      </c>
      <c r="H96" s="53"/>
      <c r="I96" s="53"/>
      <c r="J96" s="575"/>
      <c r="K96" s="57" t="s">
        <v>688</v>
      </c>
      <c r="L96" s="53"/>
      <c r="M96" s="53"/>
      <c r="N96" s="575"/>
      <c r="O96" s="57" t="s">
        <v>688</v>
      </c>
      <c r="P96" s="53"/>
      <c r="Q96" s="53"/>
      <c r="R96" s="575"/>
      <c r="S96" s="57" t="s">
        <v>691</v>
      </c>
      <c r="T96" s="53"/>
      <c r="U96" s="53"/>
      <c r="V96" s="577"/>
      <c r="W96" s="57"/>
      <c r="X96" s="577"/>
      <c r="Y96" s="53"/>
      <c r="Z96" s="575"/>
      <c r="AA96" s="57"/>
      <c r="AB96" s="577"/>
      <c r="AC96" s="53"/>
      <c r="AD96" s="575"/>
      <c r="AE96" s="586">
        <v>39</v>
      </c>
      <c r="AF96" s="53"/>
      <c r="AG96" s="53"/>
      <c r="AH96" s="577"/>
      <c r="AI96" s="539"/>
    </row>
    <row r="97" spans="1:35" ht="21.95" customHeight="1" thickBot="1">
      <c r="A97" s="578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>
      <c r="A98" s="556"/>
      <c r="B98" s="297" t="s">
        <v>480</v>
      </c>
      <c r="C98" s="1234">
        <v>1</v>
      </c>
      <c r="D98" s="1234">
        <v>2</v>
      </c>
      <c r="E98" s="1234">
        <v>3</v>
      </c>
      <c r="F98" s="1234">
        <v>4</v>
      </c>
      <c r="G98" s="1235">
        <v>5</v>
      </c>
      <c r="H98" s="1235">
        <v>6</v>
      </c>
      <c r="I98" s="1213">
        <v>7</v>
      </c>
      <c r="J98" s="1213">
        <v>8</v>
      </c>
      <c r="K98" s="1234">
        <v>9</v>
      </c>
      <c r="L98" s="1234">
        <v>10</v>
      </c>
      <c r="M98" s="1234">
        <v>11</v>
      </c>
      <c r="N98" s="1235">
        <v>12</v>
      </c>
      <c r="O98" s="1235">
        <v>13</v>
      </c>
      <c r="P98" s="1213">
        <v>14</v>
      </c>
      <c r="Q98" s="1213">
        <v>15</v>
      </c>
      <c r="R98" s="1234">
        <v>16</v>
      </c>
      <c r="S98" s="1234">
        <v>17</v>
      </c>
      <c r="T98" s="1234">
        <v>18</v>
      </c>
      <c r="U98" s="1235">
        <v>19</v>
      </c>
      <c r="V98" s="1330">
        <v>20</v>
      </c>
      <c r="W98" s="1213">
        <v>21</v>
      </c>
      <c r="X98" s="1213">
        <v>22</v>
      </c>
      <c r="Y98" s="1234">
        <v>23</v>
      </c>
      <c r="Z98" s="1234">
        <v>24</v>
      </c>
      <c r="AA98" s="1234">
        <v>25</v>
      </c>
      <c r="AB98" s="1235">
        <v>26</v>
      </c>
      <c r="AC98" s="1235">
        <v>27</v>
      </c>
      <c r="AD98" s="1213">
        <v>28</v>
      </c>
      <c r="AE98" s="1213">
        <v>29</v>
      </c>
      <c r="AF98" s="1234">
        <v>30</v>
      </c>
      <c r="AG98" s="1234">
        <v>31</v>
      </c>
      <c r="AH98" s="498" t="s">
        <v>481</v>
      </c>
      <c r="AI98" s="499" t="s">
        <v>482</v>
      </c>
    </row>
    <row r="99" spans="1:35" ht="21.95" customHeight="1">
      <c r="A99" s="579">
        <v>1</v>
      </c>
      <c r="B99" s="545" t="s">
        <v>692</v>
      </c>
      <c r="C99" s="1215">
        <v>1</v>
      </c>
      <c r="D99" s="1208">
        <v>1</v>
      </c>
      <c r="E99" s="1215">
        <v>1</v>
      </c>
      <c r="F99" s="1215">
        <v>1</v>
      </c>
      <c r="G99" s="1335">
        <v>1</v>
      </c>
      <c r="H99" s="1215"/>
      <c r="I99" s="1215">
        <v>2</v>
      </c>
      <c r="J99" s="1208">
        <v>2</v>
      </c>
      <c r="K99" s="1208">
        <v>2</v>
      </c>
      <c r="L99" s="1215">
        <v>2</v>
      </c>
      <c r="M99" s="1215" t="s">
        <v>487</v>
      </c>
      <c r="N99" s="1215"/>
      <c r="O99" s="1215"/>
      <c r="P99" s="1215" t="s">
        <v>487</v>
      </c>
      <c r="Q99" s="1335">
        <v>3</v>
      </c>
      <c r="R99" s="1368">
        <v>3</v>
      </c>
      <c r="S99" s="1215">
        <v>3</v>
      </c>
      <c r="T99" s="1215">
        <v>3</v>
      </c>
      <c r="U99" s="1215">
        <v>3</v>
      </c>
      <c r="V99" s="1215"/>
      <c r="W99" s="1215">
        <v>4</v>
      </c>
      <c r="X99" s="1354" t="s">
        <v>694</v>
      </c>
      <c r="Y99" s="1208">
        <v>4</v>
      </c>
      <c r="Z99" s="1215">
        <v>4</v>
      </c>
      <c r="AA99" s="1215">
        <v>4</v>
      </c>
      <c r="AB99" s="1215"/>
      <c r="AC99" s="1215"/>
      <c r="AD99" s="1215" t="s">
        <v>487</v>
      </c>
      <c r="AE99" s="1354" t="s">
        <v>694</v>
      </c>
      <c r="AF99" s="1354" t="s">
        <v>694</v>
      </c>
      <c r="AG99" s="1354" t="s">
        <v>694</v>
      </c>
      <c r="AH99" s="504">
        <v>185</v>
      </c>
      <c r="AI99" s="505">
        <v>37</v>
      </c>
    </row>
    <row r="100" spans="1:35" ht="21.95" customHeight="1">
      <c r="A100" s="579">
        <v>2</v>
      </c>
      <c r="B100" s="545"/>
      <c r="C100" s="1208">
        <v>2</v>
      </c>
      <c r="D100" s="1208">
        <v>2</v>
      </c>
      <c r="E100" s="1215">
        <v>2</v>
      </c>
      <c r="F100" s="1215" t="s">
        <v>487</v>
      </c>
      <c r="G100" s="1215"/>
      <c r="H100" s="1215"/>
      <c r="I100" s="1215">
        <v>3</v>
      </c>
      <c r="J100" s="1215">
        <v>3</v>
      </c>
      <c r="K100" s="1208">
        <v>3</v>
      </c>
      <c r="L100" s="1215">
        <v>3</v>
      </c>
      <c r="M100" s="1215">
        <v>3</v>
      </c>
      <c r="N100" s="1215">
        <v>3</v>
      </c>
      <c r="O100" s="1215"/>
      <c r="P100" s="1215">
        <v>4</v>
      </c>
      <c r="Q100" s="1208">
        <v>4</v>
      </c>
      <c r="R100" s="1208">
        <v>4</v>
      </c>
      <c r="S100" s="1215">
        <v>4</v>
      </c>
      <c r="T100" s="1215">
        <v>4</v>
      </c>
      <c r="U100" s="1215"/>
      <c r="V100" s="1215"/>
      <c r="W100" s="1215" t="s">
        <v>487</v>
      </c>
      <c r="X100" s="1215">
        <v>1</v>
      </c>
      <c r="Y100" s="1208">
        <v>1</v>
      </c>
      <c r="Z100" s="1215">
        <v>1</v>
      </c>
      <c r="AA100" s="1215">
        <v>1</v>
      </c>
      <c r="AB100" s="1215">
        <v>1</v>
      </c>
      <c r="AC100" s="1215"/>
      <c r="AD100" s="1215">
        <v>2</v>
      </c>
      <c r="AE100" s="1208">
        <v>2</v>
      </c>
      <c r="AF100" s="1208">
        <v>2</v>
      </c>
      <c r="AG100" s="1215">
        <v>2</v>
      </c>
      <c r="AH100" s="504">
        <v>185</v>
      </c>
      <c r="AI100" s="505">
        <v>37</v>
      </c>
    </row>
    <row r="101" spans="1:35" ht="21.95" customHeight="1">
      <c r="A101" s="579">
        <v>3</v>
      </c>
      <c r="B101" s="545"/>
      <c r="C101" s="1208">
        <v>3</v>
      </c>
      <c r="D101" s="1208">
        <v>3</v>
      </c>
      <c r="E101" s="1215">
        <v>3</v>
      </c>
      <c r="F101" s="1215">
        <v>3</v>
      </c>
      <c r="G101" s="1215">
        <v>3</v>
      </c>
      <c r="H101" s="1215"/>
      <c r="I101" s="1215">
        <v>4</v>
      </c>
      <c r="J101" s="1215">
        <v>4</v>
      </c>
      <c r="K101" s="1208">
        <v>4</v>
      </c>
      <c r="L101" s="1215">
        <v>4</v>
      </c>
      <c r="M101" s="1215">
        <v>4</v>
      </c>
      <c r="N101" s="1215"/>
      <c r="O101" s="1215"/>
      <c r="P101" s="1215" t="s">
        <v>487</v>
      </c>
      <c r="Q101" s="1208">
        <v>1</v>
      </c>
      <c r="R101" s="1208">
        <v>1</v>
      </c>
      <c r="S101" s="1215">
        <v>1</v>
      </c>
      <c r="T101" s="1215">
        <v>1</v>
      </c>
      <c r="U101" s="1215">
        <v>1</v>
      </c>
      <c r="V101" s="1215"/>
      <c r="W101" s="1215">
        <v>2</v>
      </c>
      <c r="X101" s="1215">
        <v>2</v>
      </c>
      <c r="Y101" s="1208">
        <v>2</v>
      </c>
      <c r="Z101" s="1215">
        <v>2</v>
      </c>
      <c r="AA101" s="1215" t="s">
        <v>487</v>
      </c>
      <c r="AB101" s="1215"/>
      <c r="AC101" s="1215"/>
      <c r="AD101" s="1215">
        <v>3</v>
      </c>
      <c r="AE101" s="1208">
        <v>3</v>
      </c>
      <c r="AF101" s="1208">
        <v>3</v>
      </c>
      <c r="AG101" s="1215">
        <v>3</v>
      </c>
      <c r="AH101" s="504">
        <v>185</v>
      </c>
      <c r="AI101" s="505">
        <v>37</v>
      </c>
    </row>
    <row r="102" spans="1:35" ht="21.95" customHeight="1">
      <c r="A102" s="579">
        <v>4</v>
      </c>
      <c r="B102" s="545" t="s">
        <v>412</v>
      </c>
      <c r="C102" s="1215">
        <v>4</v>
      </c>
      <c r="D102" s="1500">
        <v>4</v>
      </c>
      <c r="E102" s="1208">
        <v>4</v>
      </c>
      <c r="F102" s="1208">
        <v>4</v>
      </c>
      <c r="G102" s="1208"/>
      <c r="H102" s="1208"/>
      <c r="I102" s="1208" t="s">
        <v>487</v>
      </c>
      <c r="J102" s="1208">
        <v>1</v>
      </c>
      <c r="K102" s="1208">
        <v>1</v>
      </c>
      <c r="L102" s="1215">
        <v>1</v>
      </c>
      <c r="M102" s="1215">
        <v>1</v>
      </c>
      <c r="N102" s="1215">
        <v>1</v>
      </c>
      <c r="O102" s="1215"/>
      <c r="P102" s="1215">
        <v>2</v>
      </c>
      <c r="Q102" s="1215">
        <v>2</v>
      </c>
      <c r="R102" s="1208">
        <v>2</v>
      </c>
      <c r="S102" s="1215">
        <v>2</v>
      </c>
      <c r="T102" s="1215" t="s">
        <v>487</v>
      </c>
      <c r="U102" s="1215"/>
      <c r="V102" s="1215"/>
      <c r="W102" s="1215">
        <v>3</v>
      </c>
      <c r="X102" s="1208">
        <v>3</v>
      </c>
      <c r="Y102" s="1208">
        <v>3</v>
      </c>
      <c r="Z102" s="1215">
        <v>3</v>
      </c>
      <c r="AA102" s="1215">
        <v>3</v>
      </c>
      <c r="AB102" s="1215">
        <v>3</v>
      </c>
      <c r="AC102" s="1215"/>
      <c r="AD102" s="1215">
        <v>4</v>
      </c>
      <c r="AE102" s="1215">
        <v>4</v>
      </c>
      <c r="AF102" s="1208">
        <v>4</v>
      </c>
      <c r="AG102" s="1208">
        <v>4</v>
      </c>
      <c r="AH102" s="504">
        <v>185</v>
      </c>
      <c r="AI102" s="505">
        <v>37</v>
      </c>
    </row>
    <row r="103" spans="1:35" ht="21.95" customHeight="1">
      <c r="A103" s="580"/>
      <c r="B103" s="587"/>
      <c r="C103" s="559"/>
      <c r="D103" s="541"/>
      <c r="E103" s="541"/>
      <c r="F103" s="541"/>
      <c r="G103" s="541"/>
      <c r="H103" s="541"/>
      <c r="I103" s="559"/>
      <c r="J103" s="559"/>
      <c r="K103" s="541"/>
      <c r="L103" s="541"/>
      <c r="M103" s="541"/>
      <c r="N103" s="541"/>
      <c r="O103" s="541"/>
      <c r="P103" s="541"/>
      <c r="Q103" s="559"/>
      <c r="R103" s="541"/>
      <c r="S103" s="1315"/>
      <c r="T103" s="1315"/>
      <c r="U103" s="1315"/>
      <c r="V103" s="1315"/>
      <c r="W103" s="559"/>
      <c r="X103" s="559"/>
      <c r="Y103" s="541"/>
      <c r="Z103" s="541"/>
      <c r="AA103" s="541"/>
      <c r="AB103" s="541"/>
      <c r="AC103" s="541"/>
      <c r="AD103" s="541"/>
      <c r="AE103" s="559"/>
      <c r="AF103" s="541"/>
      <c r="AG103" s="541"/>
      <c r="AH103" s="560"/>
      <c r="AI103" s="560"/>
    </row>
    <row r="104" spans="1:35" ht="21.95" customHeight="1" thickBot="1">
      <c r="A104" s="1303" t="s">
        <v>695</v>
      </c>
      <c r="B104" s="541"/>
      <c r="C104" s="559"/>
      <c r="D104" s="541"/>
      <c r="E104" s="541"/>
      <c r="F104" s="541"/>
      <c r="G104" s="541"/>
      <c r="H104" s="541"/>
      <c r="I104" s="559"/>
      <c r="J104" s="559"/>
      <c r="K104" s="541"/>
      <c r="L104" s="541"/>
      <c r="M104" s="541"/>
      <c r="N104" s="541"/>
      <c r="O104" s="541"/>
      <c r="P104" s="541"/>
      <c r="Q104" s="559"/>
      <c r="R104" s="541"/>
      <c r="S104" s="541"/>
      <c r="T104" s="541"/>
      <c r="U104" s="541"/>
      <c r="V104" s="541"/>
      <c r="W104" s="559"/>
      <c r="X104" s="559"/>
      <c r="Y104" s="541"/>
      <c r="Z104" s="541"/>
      <c r="AA104" s="541"/>
      <c r="AB104" s="541"/>
      <c r="AC104" s="541"/>
      <c r="AD104" s="541"/>
      <c r="AE104" s="559"/>
      <c r="AF104" s="541"/>
      <c r="AG104" s="541"/>
      <c r="AH104" s="560"/>
      <c r="AI104" s="560"/>
    </row>
    <row r="105" spans="1:35" ht="21.95" customHeight="1">
      <c r="A105" s="580"/>
      <c r="B105" s="1304" t="s">
        <v>696</v>
      </c>
      <c r="C105" s="1312"/>
      <c r="D105" s="1305" t="s">
        <v>2</v>
      </c>
      <c r="E105" s="1306"/>
      <c r="F105" s="1307"/>
      <c r="G105" s="1308"/>
      <c r="H105" s="1305" t="s">
        <v>3</v>
      </c>
      <c r="I105" s="1306"/>
      <c r="J105" s="1307"/>
      <c r="K105" s="1308"/>
      <c r="L105" s="1305" t="s">
        <v>4</v>
      </c>
      <c r="M105" s="1306"/>
      <c r="N105" s="1307"/>
      <c r="O105" s="1308"/>
      <c r="P105" s="1305" t="s">
        <v>5</v>
      </c>
      <c r="Q105" s="1306"/>
      <c r="R105" s="1307"/>
      <c r="S105" s="1308"/>
      <c r="T105" s="1305" t="s">
        <v>6</v>
      </c>
      <c r="U105" s="1306"/>
      <c r="V105" s="1307"/>
      <c r="W105" s="1308"/>
      <c r="X105" s="1305" t="s">
        <v>7</v>
      </c>
      <c r="Y105" s="1306"/>
      <c r="Z105" s="1307"/>
      <c r="AA105" s="1308"/>
      <c r="AB105" s="1305" t="s">
        <v>8</v>
      </c>
      <c r="AC105" s="1306"/>
      <c r="AD105" s="1306"/>
      <c r="AE105" s="1309" t="s">
        <v>10</v>
      </c>
      <c r="AF105" s="1306"/>
      <c r="AG105" s="1306"/>
      <c r="AH105" s="1306"/>
      <c r="AI105" s="1310"/>
    </row>
    <row r="106" spans="1:35" ht="21.95" customHeight="1">
      <c r="A106" s="580"/>
      <c r="B106" s="1332" t="s">
        <v>697</v>
      </c>
      <c r="C106" s="1313" t="s">
        <v>698</v>
      </c>
      <c r="D106" s="1331" t="s">
        <v>699</v>
      </c>
      <c r="E106" s="1314"/>
      <c r="F106" s="1311"/>
      <c r="G106" s="1313"/>
      <c r="H106" s="1331" t="s">
        <v>699</v>
      </c>
      <c r="I106" s="1314"/>
      <c r="J106" s="1311"/>
      <c r="K106" s="1313"/>
      <c r="L106" s="1331" t="s">
        <v>699</v>
      </c>
      <c r="M106" s="1314"/>
      <c r="N106" s="1311"/>
      <c r="O106" s="1313"/>
      <c r="P106" s="1331" t="s">
        <v>700</v>
      </c>
      <c r="Q106" s="1314"/>
      <c r="R106" s="1311"/>
      <c r="S106" s="1313"/>
      <c r="T106" s="1331" t="s">
        <v>701</v>
      </c>
      <c r="U106" s="1314"/>
      <c r="V106" s="1311"/>
      <c r="W106" s="1313"/>
      <c r="X106" s="1314"/>
      <c r="Y106" s="1314"/>
      <c r="Z106" s="1311"/>
      <c r="AA106" s="1313"/>
      <c r="AB106" s="1314"/>
      <c r="AC106" s="1314"/>
      <c r="AD106" s="1314"/>
      <c r="AE106" s="1313"/>
      <c r="AF106" s="1314"/>
      <c r="AG106" s="1314"/>
      <c r="AH106" s="1316"/>
      <c r="AI106" s="1317"/>
    </row>
    <row r="107" spans="1:35" ht="21.95" customHeight="1">
      <c r="A107" s="580"/>
      <c r="B107" s="1333" t="s">
        <v>702</v>
      </c>
      <c r="C107" s="1313" t="s">
        <v>683</v>
      </c>
      <c r="D107" s="1331" t="s">
        <v>699</v>
      </c>
      <c r="E107" s="1314"/>
      <c r="F107" s="1311"/>
      <c r="G107" s="1313"/>
      <c r="H107" s="1331" t="s">
        <v>699</v>
      </c>
      <c r="I107" s="1314"/>
      <c r="J107" s="1311"/>
      <c r="K107" s="1313"/>
      <c r="L107" s="1331" t="s">
        <v>699</v>
      </c>
      <c r="M107" s="1314"/>
      <c r="N107" s="1311"/>
      <c r="O107" s="1313"/>
      <c r="P107" s="1331" t="s">
        <v>700</v>
      </c>
      <c r="Q107" s="1314"/>
      <c r="R107" s="1311"/>
      <c r="S107" s="1313"/>
      <c r="T107" s="1331" t="s">
        <v>701</v>
      </c>
      <c r="U107" s="1314"/>
      <c r="V107" s="1311"/>
      <c r="W107" s="1313"/>
      <c r="X107" s="1314"/>
      <c r="Y107" s="1314"/>
      <c r="Z107" s="1311"/>
      <c r="AA107" s="1313"/>
      <c r="AB107" s="1314"/>
      <c r="AC107" s="1314"/>
      <c r="AD107" s="1314"/>
      <c r="AE107" s="1313"/>
      <c r="AF107" s="1314"/>
      <c r="AG107" s="1314"/>
      <c r="AH107" s="1316"/>
      <c r="AI107" s="1317"/>
    </row>
    <row r="108" spans="1:35" ht="21.95" customHeight="1">
      <c r="A108" s="580"/>
      <c r="B108" s="1333" t="s">
        <v>703</v>
      </c>
      <c r="C108" s="1313" t="s">
        <v>547</v>
      </c>
      <c r="D108" s="1331" t="s">
        <v>699</v>
      </c>
      <c r="E108" s="1314"/>
      <c r="F108" s="1311"/>
      <c r="G108" s="1313"/>
      <c r="H108" s="1331" t="s">
        <v>699</v>
      </c>
      <c r="I108" s="1314"/>
      <c r="J108" s="1311"/>
      <c r="K108" s="1313"/>
      <c r="L108" s="1331" t="s">
        <v>699</v>
      </c>
      <c r="M108" s="1314"/>
      <c r="N108" s="1311"/>
      <c r="O108" s="1313"/>
      <c r="P108" s="1331" t="s">
        <v>700</v>
      </c>
      <c r="Q108" s="1314"/>
      <c r="R108" s="1311"/>
      <c r="S108" s="1313"/>
      <c r="T108" s="1331" t="s">
        <v>701</v>
      </c>
      <c r="U108" s="1314"/>
      <c r="V108" s="1311"/>
      <c r="W108" s="1313"/>
      <c r="X108" s="1314"/>
      <c r="Y108" s="1314"/>
      <c r="Z108" s="1311"/>
      <c r="AA108" s="1313"/>
      <c r="AB108" s="1314"/>
      <c r="AC108" s="1314"/>
      <c r="AD108" s="1314"/>
      <c r="AE108" s="1313"/>
      <c r="AF108" s="1314"/>
      <c r="AG108" s="1314"/>
      <c r="AH108" s="1316"/>
      <c r="AI108" s="1317"/>
    </row>
    <row r="109" spans="1:35" ht="21.95" customHeight="1">
      <c r="A109" s="580"/>
      <c r="B109" s="1333" t="s">
        <v>704</v>
      </c>
      <c r="C109" s="1313" t="s">
        <v>685</v>
      </c>
      <c r="D109" s="1331" t="s">
        <v>699</v>
      </c>
      <c r="E109" s="1314"/>
      <c r="F109" s="1311"/>
      <c r="G109" s="1313"/>
      <c r="H109" s="1331" t="s">
        <v>699</v>
      </c>
      <c r="I109" s="1314"/>
      <c r="J109" s="1311"/>
      <c r="K109" s="1313"/>
      <c r="L109" s="1331" t="s">
        <v>699</v>
      </c>
      <c r="M109" s="1314"/>
      <c r="N109" s="1311"/>
      <c r="O109" s="1313"/>
      <c r="P109" s="1331" t="s">
        <v>700</v>
      </c>
      <c r="Q109" s="1314"/>
      <c r="R109" s="1311"/>
      <c r="S109" s="1313"/>
      <c r="T109" s="1331" t="s">
        <v>701</v>
      </c>
      <c r="U109" s="1314"/>
      <c r="V109" s="1311"/>
      <c r="W109" s="1313"/>
      <c r="X109" s="1314"/>
      <c r="Y109" s="1314"/>
      <c r="Z109" s="1311"/>
      <c r="AA109" s="1313"/>
      <c r="AB109" s="1314"/>
      <c r="AC109" s="1314"/>
      <c r="AD109" s="1314"/>
      <c r="AE109" s="1313"/>
      <c r="AF109" s="1314"/>
      <c r="AG109" s="1314"/>
      <c r="AH109" s="1316"/>
      <c r="AI109" s="1317"/>
    </row>
    <row r="110" spans="1:35" ht="21.95" customHeight="1">
      <c r="A110" s="580"/>
      <c r="B110" s="1333" t="s">
        <v>705</v>
      </c>
      <c r="C110" s="1313" t="s">
        <v>684</v>
      </c>
      <c r="D110" s="1331" t="s">
        <v>699</v>
      </c>
      <c r="E110" s="1314"/>
      <c r="F110" s="1311"/>
      <c r="G110" s="1313"/>
      <c r="H110" s="1331" t="s">
        <v>699</v>
      </c>
      <c r="I110" s="1314"/>
      <c r="J110" s="1311"/>
      <c r="K110" s="1313"/>
      <c r="L110" s="1331" t="s">
        <v>699</v>
      </c>
      <c r="M110" s="1314"/>
      <c r="N110" s="1311"/>
      <c r="O110" s="1313"/>
      <c r="P110" s="1331" t="s">
        <v>700</v>
      </c>
      <c r="Q110" s="1314"/>
      <c r="R110" s="1311"/>
      <c r="S110" s="1313"/>
      <c r="T110" s="1331" t="s">
        <v>701</v>
      </c>
      <c r="U110" s="1314"/>
      <c r="V110" s="1311"/>
      <c r="W110" s="1313"/>
      <c r="X110" s="1314"/>
      <c r="Y110" s="1314"/>
      <c r="Z110" s="1311"/>
      <c r="AA110" s="1313"/>
      <c r="AB110" s="1314"/>
      <c r="AC110" s="1314"/>
      <c r="AD110" s="1314"/>
      <c r="AE110" s="1313"/>
      <c r="AF110" s="1314"/>
      <c r="AG110" s="1314"/>
      <c r="AH110" s="1316"/>
      <c r="AI110" s="1317"/>
    </row>
    <row r="111" spans="1:35" ht="21.95" customHeight="1">
      <c r="A111" s="580"/>
      <c r="B111" s="1333" t="s">
        <v>706</v>
      </c>
      <c r="C111" s="1313" t="s">
        <v>539</v>
      </c>
      <c r="D111" s="1331" t="s">
        <v>699</v>
      </c>
      <c r="E111" s="1314"/>
      <c r="F111" s="1311"/>
      <c r="G111" s="1313"/>
      <c r="H111" s="1331" t="s">
        <v>699</v>
      </c>
      <c r="I111" s="1314"/>
      <c r="J111" s="1311"/>
      <c r="K111" s="1313"/>
      <c r="L111" s="1331" t="s">
        <v>699</v>
      </c>
      <c r="M111" s="1314"/>
      <c r="N111" s="1311"/>
      <c r="O111" s="1313"/>
      <c r="P111" s="1331" t="s">
        <v>700</v>
      </c>
      <c r="Q111" s="1314"/>
      <c r="R111" s="1311"/>
      <c r="S111" s="1313"/>
      <c r="T111" s="1331" t="s">
        <v>701</v>
      </c>
      <c r="U111" s="1314"/>
      <c r="V111" s="1311"/>
      <c r="W111" s="1313"/>
      <c r="X111" s="1314"/>
      <c r="Y111" s="1314"/>
      <c r="Z111" s="1311"/>
      <c r="AA111" s="1313"/>
      <c r="AB111" s="1314"/>
      <c r="AC111" s="1314"/>
      <c r="AD111" s="1314"/>
      <c r="AE111" s="1313"/>
      <c r="AF111" s="1314"/>
      <c r="AG111" s="1314"/>
      <c r="AH111" s="1316"/>
      <c r="AI111" s="1317"/>
    </row>
    <row r="112" spans="1:35" ht="21.95" customHeight="1">
      <c r="A112" s="580"/>
      <c r="B112" s="1333" t="s">
        <v>707</v>
      </c>
      <c r="C112" s="1313" t="s">
        <v>540</v>
      </c>
      <c r="D112" s="1331" t="s">
        <v>699</v>
      </c>
      <c r="E112" s="1314"/>
      <c r="F112" s="1311"/>
      <c r="G112" s="1313"/>
      <c r="H112" s="1331" t="s">
        <v>699</v>
      </c>
      <c r="I112" s="1314"/>
      <c r="J112" s="1311"/>
      <c r="K112" s="1313"/>
      <c r="L112" s="1331" t="s">
        <v>699</v>
      </c>
      <c r="M112" s="1314"/>
      <c r="N112" s="1311"/>
      <c r="O112" s="1313"/>
      <c r="P112" s="1331" t="s">
        <v>700</v>
      </c>
      <c r="Q112" s="1314"/>
      <c r="R112" s="1311"/>
      <c r="S112" s="1313"/>
      <c r="T112" s="1331" t="s">
        <v>701</v>
      </c>
      <c r="U112" s="1314"/>
      <c r="V112" s="1311"/>
      <c r="W112" s="1313"/>
      <c r="X112" s="1314"/>
      <c r="Y112" s="1314"/>
      <c r="Z112" s="1311"/>
      <c r="AA112" s="1313"/>
      <c r="AB112" s="1314"/>
      <c r="AC112" s="1314"/>
      <c r="AD112" s="1314"/>
      <c r="AE112" s="1313"/>
      <c r="AF112" s="1314"/>
      <c r="AG112" s="1314"/>
      <c r="AH112" s="1316"/>
      <c r="AI112" s="1317"/>
    </row>
    <row r="113" spans="1:35" ht="21.95" customHeight="1">
      <c r="A113" s="580"/>
      <c r="B113" s="1333" t="s">
        <v>707</v>
      </c>
      <c r="C113" s="1313" t="s">
        <v>708</v>
      </c>
      <c r="D113" s="1331" t="s">
        <v>699</v>
      </c>
      <c r="E113" s="1314"/>
      <c r="F113" s="1311"/>
      <c r="G113" s="1313"/>
      <c r="H113" s="1331" t="s">
        <v>699</v>
      </c>
      <c r="I113" s="1314"/>
      <c r="J113" s="1311"/>
      <c r="K113" s="1313"/>
      <c r="L113" s="1331" t="s">
        <v>699</v>
      </c>
      <c r="M113" s="1314"/>
      <c r="N113" s="1311"/>
      <c r="O113" s="1313"/>
      <c r="P113" s="1331" t="s">
        <v>700</v>
      </c>
      <c r="Q113" s="1314"/>
      <c r="R113" s="1311"/>
      <c r="S113" s="1313"/>
      <c r="T113" s="1331" t="s">
        <v>701</v>
      </c>
      <c r="U113" s="1314"/>
      <c r="V113" s="1311"/>
      <c r="W113" s="1313"/>
      <c r="X113" s="1314"/>
      <c r="Y113" s="1314"/>
      <c r="Z113" s="1311"/>
      <c r="AA113" s="1313"/>
      <c r="AB113" s="1314"/>
      <c r="AC113" s="1314"/>
      <c r="AD113" s="1314"/>
      <c r="AE113" s="1313"/>
      <c r="AF113" s="1314"/>
      <c r="AG113" s="1314"/>
      <c r="AH113" s="1316"/>
      <c r="AI113" s="1317"/>
    </row>
    <row r="114" spans="1:35" ht="21.95" customHeight="1">
      <c r="A114" s="580"/>
      <c r="B114" s="1333" t="s">
        <v>709</v>
      </c>
      <c r="C114" s="1313" t="s">
        <v>538</v>
      </c>
      <c r="D114" s="1331" t="s">
        <v>699</v>
      </c>
      <c r="E114" s="1314"/>
      <c r="F114" s="1311"/>
      <c r="G114" s="1313"/>
      <c r="H114" s="1331" t="s">
        <v>699</v>
      </c>
      <c r="I114" s="1314"/>
      <c r="J114" s="1311"/>
      <c r="K114" s="1313"/>
      <c r="L114" s="1331" t="s">
        <v>699</v>
      </c>
      <c r="M114" s="1314"/>
      <c r="N114" s="1311"/>
      <c r="O114" s="1313"/>
      <c r="P114" s="1331" t="s">
        <v>700</v>
      </c>
      <c r="Q114" s="1314"/>
      <c r="R114" s="1311"/>
      <c r="S114" s="1313"/>
      <c r="T114" s="1331" t="s">
        <v>701</v>
      </c>
      <c r="U114" s="1314"/>
      <c r="V114" s="1311"/>
      <c r="W114" s="1313"/>
      <c r="X114" s="1314"/>
      <c r="Y114" s="1314"/>
      <c r="Z114" s="1311"/>
      <c r="AA114" s="1313"/>
      <c r="AB114" s="1314"/>
      <c r="AC114" s="1314"/>
      <c r="AD114" s="1314"/>
      <c r="AE114" s="1313"/>
      <c r="AF114" s="1314"/>
      <c r="AG114" s="1314"/>
      <c r="AH114" s="1316"/>
      <c r="AI114" s="1317"/>
    </row>
    <row r="115" spans="1:35" ht="21.95" customHeight="1">
      <c r="A115" s="580"/>
      <c r="B115" s="1333" t="s">
        <v>710</v>
      </c>
      <c r="C115" s="1313" t="s">
        <v>711</v>
      </c>
      <c r="D115" s="1331" t="s">
        <v>699</v>
      </c>
      <c r="E115" s="1314"/>
      <c r="F115" s="1311"/>
      <c r="G115" s="1313"/>
      <c r="H115" s="1331" t="s">
        <v>699</v>
      </c>
      <c r="I115" s="1314"/>
      <c r="J115" s="1311"/>
      <c r="K115" s="1313"/>
      <c r="L115" s="1331" t="s">
        <v>699</v>
      </c>
      <c r="M115" s="1314"/>
      <c r="N115" s="1311"/>
      <c r="O115" s="1313"/>
      <c r="P115" s="1331" t="s">
        <v>700</v>
      </c>
      <c r="Q115" s="1314"/>
      <c r="R115" s="1311"/>
      <c r="S115" s="1313"/>
      <c r="T115" s="1331" t="s">
        <v>701</v>
      </c>
      <c r="U115" s="1314"/>
      <c r="V115" s="1311"/>
      <c r="W115" s="1313"/>
      <c r="X115" s="1314"/>
      <c r="Y115" s="1314"/>
      <c r="Z115" s="1311"/>
      <c r="AA115" s="1313"/>
      <c r="AB115" s="1314"/>
      <c r="AC115" s="1314"/>
      <c r="AD115" s="1314"/>
      <c r="AE115" s="1313"/>
      <c r="AF115" s="1314"/>
      <c r="AG115" s="1314"/>
      <c r="AH115" s="1316"/>
      <c r="AI115" s="1317"/>
    </row>
    <row r="116" spans="1:35" ht="21.95" customHeight="1">
      <c r="A116" s="580"/>
      <c r="B116" s="1333" t="s">
        <v>712</v>
      </c>
      <c r="C116" s="1313" t="s">
        <v>544</v>
      </c>
      <c r="D116" s="1331" t="s">
        <v>699</v>
      </c>
      <c r="E116" s="1314"/>
      <c r="F116" s="1311"/>
      <c r="G116" s="1313"/>
      <c r="H116" s="1331" t="s">
        <v>699</v>
      </c>
      <c r="I116" s="1314"/>
      <c r="J116" s="1311"/>
      <c r="K116" s="1313"/>
      <c r="L116" s="1331" t="s">
        <v>699</v>
      </c>
      <c r="M116" s="1314"/>
      <c r="N116" s="1311"/>
      <c r="O116" s="1313"/>
      <c r="P116" s="1331" t="s">
        <v>700</v>
      </c>
      <c r="Q116" s="1314"/>
      <c r="R116" s="1311"/>
      <c r="S116" s="1313"/>
      <c r="T116" s="1331" t="s">
        <v>701</v>
      </c>
      <c r="U116" s="1314"/>
      <c r="V116" s="1311"/>
      <c r="W116" s="1313"/>
      <c r="X116" s="1314"/>
      <c r="Y116" s="1314"/>
      <c r="Z116" s="1311"/>
      <c r="AA116" s="1313"/>
      <c r="AB116" s="1314"/>
      <c r="AC116" s="1314"/>
      <c r="AD116" s="1314"/>
      <c r="AE116" s="1313"/>
      <c r="AF116" s="1314"/>
      <c r="AG116" s="1314"/>
      <c r="AH116" s="1316"/>
      <c r="AI116" s="1317"/>
    </row>
    <row r="117" spans="1:35" ht="21.95" customHeight="1" thickBot="1">
      <c r="A117" s="580"/>
      <c r="B117" s="587"/>
      <c r="C117" s="559"/>
      <c r="D117" s="541"/>
      <c r="E117" s="541"/>
      <c r="F117" s="541"/>
      <c r="G117" s="541"/>
      <c r="H117" s="541"/>
      <c r="I117" s="559"/>
      <c r="J117" s="559"/>
      <c r="K117" s="541"/>
      <c r="L117" s="541"/>
      <c r="M117" s="541"/>
      <c r="N117" s="541"/>
      <c r="O117" s="541"/>
      <c r="P117" s="541"/>
      <c r="Q117" s="559"/>
      <c r="R117" s="541"/>
      <c r="S117" s="541"/>
      <c r="T117" s="541"/>
      <c r="U117" s="541"/>
      <c r="V117" s="541"/>
      <c r="W117" s="559"/>
      <c r="X117" s="559"/>
      <c r="Y117" s="541"/>
      <c r="Z117" s="541"/>
      <c r="AA117" s="541"/>
      <c r="AB117" s="541"/>
      <c r="AC117" s="541"/>
      <c r="AD117" s="541"/>
      <c r="AE117" s="559"/>
      <c r="AF117" s="541"/>
      <c r="AG117" s="541"/>
      <c r="AH117" s="560"/>
      <c r="AI117" s="560"/>
    </row>
    <row r="118" spans="1:35" ht="21.95" customHeight="1">
      <c r="A118" s="1232"/>
      <c r="B118" s="1298" t="s">
        <v>480</v>
      </c>
      <c r="C118" s="1234">
        <v>1</v>
      </c>
      <c r="D118" s="1234">
        <v>2</v>
      </c>
      <c r="E118" s="1234">
        <v>3</v>
      </c>
      <c r="F118" s="1234">
        <v>4</v>
      </c>
      <c r="G118" s="1235">
        <v>5</v>
      </c>
      <c r="H118" s="1235">
        <v>6</v>
      </c>
      <c r="I118" s="1213">
        <v>7</v>
      </c>
      <c r="J118" s="1213">
        <v>8</v>
      </c>
      <c r="K118" s="1234">
        <v>9</v>
      </c>
      <c r="L118" s="1234">
        <v>10</v>
      </c>
      <c r="M118" s="1234">
        <v>11</v>
      </c>
      <c r="N118" s="1235">
        <v>12</v>
      </c>
      <c r="O118" s="1235">
        <v>13</v>
      </c>
      <c r="P118" s="1213">
        <v>14</v>
      </c>
      <c r="Q118" s="1213">
        <v>15</v>
      </c>
      <c r="R118" s="1234">
        <v>16</v>
      </c>
      <c r="S118" s="1234">
        <v>17</v>
      </c>
      <c r="T118" s="1234">
        <v>18</v>
      </c>
      <c r="U118" s="1235">
        <v>19</v>
      </c>
      <c r="V118" s="1330">
        <v>20</v>
      </c>
      <c r="W118" s="1213">
        <v>21</v>
      </c>
      <c r="X118" s="1213">
        <v>22</v>
      </c>
      <c r="Y118" s="1234">
        <v>23</v>
      </c>
      <c r="Z118" s="1234">
        <v>24</v>
      </c>
      <c r="AA118" s="1234">
        <v>25</v>
      </c>
      <c r="AB118" s="1235">
        <v>26</v>
      </c>
      <c r="AC118" s="1235">
        <v>27</v>
      </c>
      <c r="AD118" s="1213">
        <v>28</v>
      </c>
      <c r="AE118" s="1213">
        <v>29</v>
      </c>
      <c r="AF118" s="1234">
        <v>30</v>
      </c>
      <c r="AG118" s="1234">
        <v>31</v>
      </c>
      <c r="AH118" s="1301" t="s">
        <v>481</v>
      </c>
      <c r="AI118" s="1302" t="s">
        <v>482</v>
      </c>
    </row>
    <row r="119" spans="1:35" ht="21.95" customHeight="1">
      <c r="A119" s="580"/>
      <c r="B119" s="1299" t="s">
        <v>713</v>
      </c>
      <c r="C119" s="1313" t="s">
        <v>698</v>
      </c>
      <c r="D119" s="1500" t="s">
        <v>698</v>
      </c>
      <c r="E119" s="1313" t="s">
        <v>698</v>
      </c>
      <c r="F119" s="1313" t="s">
        <v>698</v>
      </c>
      <c r="G119" s="1313"/>
      <c r="H119" s="1313"/>
      <c r="I119" s="1313" t="s">
        <v>698</v>
      </c>
      <c r="J119" s="1313" t="s">
        <v>698</v>
      </c>
      <c r="K119" s="1313" t="s">
        <v>698</v>
      </c>
      <c r="L119" s="1313" t="s">
        <v>698</v>
      </c>
      <c r="M119" s="1313" t="s">
        <v>698</v>
      </c>
      <c r="N119" s="1313"/>
      <c r="O119" s="1313"/>
      <c r="P119" s="1313" t="s">
        <v>698</v>
      </c>
      <c r="Q119" s="1313" t="s">
        <v>698</v>
      </c>
      <c r="R119" s="1313" t="s">
        <v>698</v>
      </c>
      <c r="S119" s="1313" t="s">
        <v>698</v>
      </c>
      <c r="T119" s="1313" t="s">
        <v>698</v>
      </c>
      <c r="U119" s="1313"/>
      <c r="V119" s="1313"/>
      <c r="W119" s="1313" t="s">
        <v>698</v>
      </c>
      <c r="X119" s="1313" t="s">
        <v>698</v>
      </c>
      <c r="Y119" s="1313" t="s">
        <v>698</v>
      </c>
      <c r="Z119" s="1313" t="s">
        <v>698</v>
      </c>
      <c r="AA119" s="1313" t="s">
        <v>698</v>
      </c>
      <c r="AB119" s="1313"/>
      <c r="AC119" s="1313"/>
      <c r="AD119" s="1313" t="s">
        <v>698</v>
      </c>
      <c r="AE119" s="1313" t="s">
        <v>698</v>
      </c>
      <c r="AF119" s="1313" t="s">
        <v>698</v>
      </c>
      <c r="AG119" s="1313" t="s">
        <v>698</v>
      </c>
      <c r="AH119" s="504">
        <v>185</v>
      </c>
      <c r="AI119" s="505">
        <v>37</v>
      </c>
    </row>
    <row r="120" spans="1:35" ht="21.95" customHeight="1">
      <c r="A120" s="580"/>
      <c r="B120" s="1299" t="s">
        <v>714</v>
      </c>
      <c r="C120" s="1313" t="s">
        <v>698</v>
      </c>
      <c r="D120" s="1313" t="s">
        <v>698</v>
      </c>
      <c r="E120" s="1313" t="s">
        <v>698</v>
      </c>
      <c r="F120" s="1313" t="s">
        <v>698</v>
      </c>
      <c r="G120" s="1313"/>
      <c r="H120" s="1313"/>
      <c r="I120" s="1313" t="s">
        <v>698</v>
      </c>
      <c r="J120" s="1313" t="s">
        <v>698</v>
      </c>
      <c r="K120" s="1313" t="s">
        <v>698</v>
      </c>
      <c r="L120" s="1313" t="s">
        <v>698</v>
      </c>
      <c r="M120" s="1313" t="s">
        <v>698</v>
      </c>
      <c r="N120" s="1313"/>
      <c r="O120" s="1313"/>
      <c r="P120" s="1313" t="s">
        <v>698</v>
      </c>
      <c r="Q120" s="1313" t="s">
        <v>698</v>
      </c>
      <c r="R120" s="1313" t="s">
        <v>698</v>
      </c>
      <c r="S120" s="1313" t="s">
        <v>698</v>
      </c>
      <c r="T120" s="1313" t="s">
        <v>698</v>
      </c>
      <c r="U120" s="1313"/>
      <c r="V120" s="1313"/>
      <c r="W120" s="1313" t="s">
        <v>698</v>
      </c>
      <c r="X120" s="1313" t="s">
        <v>698</v>
      </c>
      <c r="Y120" s="1313" t="s">
        <v>698</v>
      </c>
      <c r="Z120" s="1313" t="s">
        <v>698</v>
      </c>
      <c r="AA120" s="1313" t="s">
        <v>698</v>
      </c>
      <c r="AB120" s="1313"/>
      <c r="AC120" s="1313"/>
      <c r="AD120" s="1313" t="s">
        <v>698</v>
      </c>
      <c r="AE120" s="1313" t="s">
        <v>698</v>
      </c>
      <c r="AF120" s="1313" t="s">
        <v>698</v>
      </c>
      <c r="AG120" s="1313" t="s">
        <v>698</v>
      </c>
      <c r="AH120" s="504">
        <v>185</v>
      </c>
      <c r="AI120" s="505">
        <v>37</v>
      </c>
    </row>
    <row r="121" spans="1:35" ht="21.95" customHeight="1">
      <c r="A121" s="580"/>
      <c r="B121" s="1299" t="s">
        <v>715</v>
      </c>
      <c r="C121" s="1313" t="s">
        <v>683</v>
      </c>
      <c r="D121" s="1313" t="s">
        <v>683</v>
      </c>
      <c r="E121" s="1313" t="s">
        <v>683</v>
      </c>
      <c r="F121" s="1313" t="s">
        <v>683</v>
      </c>
      <c r="G121" s="1313"/>
      <c r="H121" s="1313"/>
      <c r="I121" s="1313" t="s">
        <v>683</v>
      </c>
      <c r="J121" s="1313" t="s">
        <v>683</v>
      </c>
      <c r="K121" s="1313" t="s">
        <v>683</v>
      </c>
      <c r="L121" s="1313" t="s">
        <v>683</v>
      </c>
      <c r="M121" s="1313" t="s">
        <v>683</v>
      </c>
      <c r="N121" s="1313"/>
      <c r="O121" s="1313"/>
      <c r="P121" s="1313" t="s">
        <v>683</v>
      </c>
      <c r="Q121" s="1313" t="s">
        <v>683</v>
      </c>
      <c r="R121" s="1313" t="s">
        <v>683</v>
      </c>
      <c r="S121" s="1313" t="s">
        <v>683</v>
      </c>
      <c r="T121" s="1313" t="s">
        <v>683</v>
      </c>
      <c r="U121" s="1313"/>
      <c r="V121" s="1313"/>
      <c r="W121" s="1313" t="s">
        <v>683</v>
      </c>
      <c r="X121" s="1313" t="s">
        <v>683</v>
      </c>
      <c r="Y121" s="1313" t="s">
        <v>683</v>
      </c>
      <c r="Z121" s="1313" t="s">
        <v>683</v>
      </c>
      <c r="AA121" s="1313" t="s">
        <v>683</v>
      </c>
      <c r="AB121" s="1313"/>
      <c r="AC121" s="1313"/>
      <c r="AD121" s="1313" t="s">
        <v>683</v>
      </c>
      <c r="AE121" s="1313" t="s">
        <v>683</v>
      </c>
      <c r="AF121" s="1313" t="s">
        <v>683</v>
      </c>
      <c r="AG121" s="1313" t="s">
        <v>683</v>
      </c>
      <c r="AH121" s="504">
        <v>185</v>
      </c>
      <c r="AI121" s="505">
        <v>37</v>
      </c>
    </row>
    <row r="122" spans="1:35" ht="21.95" customHeight="1">
      <c r="A122" s="580"/>
      <c r="B122" s="1299" t="s">
        <v>730</v>
      </c>
      <c r="C122" s="1446" t="s">
        <v>547</v>
      </c>
      <c r="D122" s="1446" t="s">
        <v>547</v>
      </c>
      <c r="E122" s="1446" t="s">
        <v>776</v>
      </c>
      <c r="F122" s="1384" t="s">
        <v>547</v>
      </c>
      <c r="G122" s="1313"/>
      <c r="H122" s="1313"/>
      <c r="I122" s="1313" t="s">
        <v>547</v>
      </c>
      <c r="J122" s="1313" t="s">
        <v>547</v>
      </c>
      <c r="K122" s="1313" t="s">
        <v>547</v>
      </c>
      <c r="L122" s="1313" t="s">
        <v>547</v>
      </c>
      <c r="M122" s="1313" t="s">
        <v>547</v>
      </c>
      <c r="N122" s="1313"/>
      <c r="O122" s="1313"/>
      <c r="P122" s="1363" t="s">
        <v>547</v>
      </c>
      <c r="Q122" s="1363" t="s">
        <v>547</v>
      </c>
      <c r="R122" s="1313" t="s">
        <v>547</v>
      </c>
      <c r="S122" s="1313" t="s">
        <v>547</v>
      </c>
      <c r="T122" s="1313" t="s">
        <v>547</v>
      </c>
      <c r="U122" s="1313"/>
      <c r="V122" s="1313"/>
      <c r="W122" s="1313" t="s">
        <v>547</v>
      </c>
      <c r="X122" s="1313" t="s">
        <v>547</v>
      </c>
      <c r="Y122" s="1313" t="s">
        <v>547</v>
      </c>
      <c r="Z122" s="1313" t="s">
        <v>547</v>
      </c>
      <c r="AA122" s="1313" t="s">
        <v>547</v>
      </c>
      <c r="AB122" s="1313"/>
      <c r="AC122" s="1313"/>
      <c r="AD122" s="1313" t="s">
        <v>547</v>
      </c>
      <c r="AE122" s="1313" t="s">
        <v>547</v>
      </c>
      <c r="AF122" s="1313" t="s">
        <v>547</v>
      </c>
      <c r="AG122" s="1313" t="s">
        <v>547</v>
      </c>
      <c r="AH122" s="504">
        <v>185</v>
      </c>
      <c r="AI122" s="505">
        <v>37</v>
      </c>
    </row>
    <row r="123" spans="1:35" ht="21.95" customHeight="1">
      <c r="A123" s="580"/>
      <c r="B123" s="1300" t="s">
        <v>717</v>
      </c>
      <c r="C123" s="1313" t="s">
        <v>685</v>
      </c>
      <c r="D123" s="1313" t="s">
        <v>685</v>
      </c>
      <c r="E123" s="1313" t="s">
        <v>685</v>
      </c>
      <c r="F123" s="1313" t="s">
        <v>685</v>
      </c>
      <c r="G123" s="1313"/>
      <c r="H123" s="1313"/>
      <c r="I123" s="1313" t="s">
        <v>685</v>
      </c>
      <c r="J123" s="1313" t="s">
        <v>685</v>
      </c>
      <c r="K123" s="1313" t="s">
        <v>685</v>
      </c>
      <c r="L123" s="1313" t="s">
        <v>685</v>
      </c>
      <c r="M123" s="1313" t="s">
        <v>685</v>
      </c>
      <c r="N123" s="1313"/>
      <c r="O123" s="1313"/>
      <c r="P123" s="1313" t="s">
        <v>685</v>
      </c>
      <c r="Q123" s="1313" t="s">
        <v>685</v>
      </c>
      <c r="R123" s="1313" t="s">
        <v>685</v>
      </c>
      <c r="S123" s="1313" t="s">
        <v>685</v>
      </c>
      <c r="T123" s="1313" t="s">
        <v>685</v>
      </c>
      <c r="U123" s="1313"/>
      <c r="V123" s="1313"/>
      <c r="W123" s="1379" t="s">
        <v>685</v>
      </c>
      <c r="X123" s="1379" t="s">
        <v>685</v>
      </c>
      <c r="Y123" s="1379" t="s">
        <v>685</v>
      </c>
      <c r="Z123" s="1379" t="s">
        <v>685</v>
      </c>
      <c r="AA123" s="1379" t="s">
        <v>685</v>
      </c>
      <c r="AB123" s="1379"/>
      <c r="AC123" s="1379"/>
      <c r="AD123" s="1313" t="s">
        <v>685</v>
      </c>
      <c r="AE123" s="1313" t="s">
        <v>685</v>
      </c>
      <c r="AF123" s="1313" t="s">
        <v>685</v>
      </c>
      <c r="AG123" s="1313" t="s">
        <v>685</v>
      </c>
      <c r="AH123" s="504">
        <v>185</v>
      </c>
      <c r="AI123" s="505">
        <v>37</v>
      </c>
    </row>
    <row r="124" spans="1:35" ht="21.95" customHeight="1">
      <c r="A124" s="580"/>
      <c r="B124" s="1299" t="s">
        <v>718</v>
      </c>
      <c r="C124" s="1446" t="s">
        <v>684</v>
      </c>
      <c r="D124" s="1446" t="s">
        <v>684</v>
      </c>
      <c r="E124" s="1446" t="s">
        <v>684</v>
      </c>
      <c r="F124" s="1446" t="s">
        <v>684</v>
      </c>
      <c r="G124" s="1446"/>
      <c r="H124" s="1446"/>
      <c r="I124" s="1446" t="s">
        <v>684</v>
      </c>
      <c r="J124" s="1446" t="s">
        <v>684</v>
      </c>
      <c r="K124" s="1446" t="s">
        <v>684</v>
      </c>
      <c r="L124" s="1446" t="s">
        <v>684</v>
      </c>
      <c r="M124" s="1446" t="s">
        <v>684</v>
      </c>
      <c r="N124" s="1446"/>
      <c r="O124" s="1446"/>
      <c r="P124" s="1446" t="s">
        <v>684</v>
      </c>
      <c r="Q124" s="1446" t="s">
        <v>684</v>
      </c>
      <c r="R124" s="1446" t="s">
        <v>684</v>
      </c>
      <c r="S124" s="1446" t="s">
        <v>684</v>
      </c>
      <c r="T124" s="1446" t="s">
        <v>684</v>
      </c>
      <c r="U124" s="1446"/>
      <c r="V124" s="1446"/>
      <c r="W124" s="1446" t="s">
        <v>684</v>
      </c>
      <c r="X124" s="1446" t="s">
        <v>684</v>
      </c>
      <c r="Y124" s="1446" t="s">
        <v>684</v>
      </c>
      <c r="Z124" s="1446" t="s">
        <v>684</v>
      </c>
      <c r="AA124" s="1446" t="s">
        <v>684</v>
      </c>
      <c r="AB124" s="1446"/>
      <c r="AC124" s="1446"/>
      <c r="AD124" s="1446" t="s">
        <v>684</v>
      </c>
      <c r="AE124" s="1446" t="s">
        <v>684</v>
      </c>
      <c r="AF124" s="1446" t="s">
        <v>684</v>
      </c>
      <c r="AG124" s="1446" t="s">
        <v>684</v>
      </c>
      <c r="AH124" s="504">
        <v>185</v>
      </c>
      <c r="AI124" s="505">
        <v>37</v>
      </c>
    </row>
    <row r="125" spans="1:35" ht="21.95" customHeight="1">
      <c r="A125" s="580"/>
      <c r="B125" s="1300" t="s">
        <v>719</v>
      </c>
      <c r="C125" s="1313" t="s">
        <v>539</v>
      </c>
      <c r="D125" s="1500" t="s">
        <v>539</v>
      </c>
      <c r="E125" s="1313" t="s">
        <v>539</v>
      </c>
      <c r="F125" s="1313" t="s">
        <v>539</v>
      </c>
      <c r="G125" s="1313"/>
      <c r="H125" s="1313"/>
      <c r="I125" s="1379" t="s">
        <v>539</v>
      </c>
      <c r="J125" s="1313" t="s">
        <v>539</v>
      </c>
      <c r="K125" s="1313" t="s">
        <v>539</v>
      </c>
      <c r="L125" s="1313" t="s">
        <v>539</v>
      </c>
      <c r="M125" s="1313" t="s">
        <v>539</v>
      </c>
      <c r="N125" s="1313"/>
      <c r="O125" s="1313"/>
      <c r="P125" s="1313" t="s">
        <v>539</v>
      </c>
      <c r="Q125" s="1313" t="s">
        <v>539</v>
      </c>
      <c r="R125" s="1313" t="s">
        <v>539</v>
      </c>
      <c r="S125" s="1313" t="s">
        <v>539</v>
      </c>
      <c r="T125" s="1313" t="s">
        <v>539</v>
      </c>
      <c r="U125" s="1313"/>
      <c r="V125" s="1313"/>
      <c r="W125" s="1313" t="s">
        <v>539</v>
      </c>
      <c r="X125" s="1313" t="s">
        <v>539</v>
      </c>
      <c r="Y125" s="1313" t="s">
        <v>539</v>
      </c>
      <c r="Z125" s="1313" t="s">
        <v>539</v>
      </c>
      <c r="AA125" s="1313" t="s">
        <v>539</v>
      </c>
      <c r="AB125" s="1313"/>
      <c r="AC125" s="1313"/>
      <c r="AD125" s="1313" t="s">
        <v>539</v>
      </c>
      <c r="AE125" s="1313" t="s">
        <v>539</v>
      </c>
      <c r="AF125" s="1313" t="s">
        <v>539</v>
      </c>
      <c r="AG125" s="1313" t="s">
        <v>539</v>
      </c>
      <c r="AH125" s="504">
        <v>185</v>
      </c>
      <c r="AI125" s="505">
        <v>37</v>
      </c>
    </row>
    <row r="126" spans="1:35" ht="21.95" customHeight="1">
      <c r="A126" s="580"/>
      <c r="B126" s="1299" t="s">
        <v>720</v>
      </c>
      <c r="C126" s="1313" t="s">
        <v>540</v>
      </c>
      <c r="D126" s="1500" t="s">
        <v>540</v>
      </c>
      <c r="E126" s="1313" t="s">
        <v>540</v>
      </c>
      <c r="F126" s="1313" t="s">
        <v>540</v>
      </c>
      <c r="G126" s="1313"/>
      <c r="H126" s="1313"/>
      <c r="I126" s="1313" t="s">
        <v>540</v>
      </c>
      <c r="J126" s="1313" t="s">
        <v>540</v>
      </c>
      <c r="K126" s="1313" t="s">
        <v>540</v>
      </c>
      <c r="L126" s="1313" t="s">
        <v>540</v>
      </c>
      <c r="M126" s="1313" t="s">
        <v>540</v>
      </c>
      <c r="N126" s="1313"/>
      <c r="O126" s="1313"/>
      <c r="P126" s="1313" t="s">
        <v>540</v>
      </c>
      <c r="Q126" s="1313" t="s">
        <v>540</v>
      </c>
      <c r="R126" s="1313" t="s">
        <v>540</v>
      </c>
      <c r="S126" s="1313" t="s">
        <v>540</v>
      </c>
      <c r="T126" s="1313" t="s">
        <v>540</v>
      </c>
      <c r="U126" s="1313"/>
      <c r="V126" s="1313"/>
      <c r="W126" s="1313" t="s">
        <v>540</v>
      </c>
      <c r="X126" s="1446" t="s">
        <v>731</v>
      </c>
      <c r="Y126" s="1313" t="s">
        <v>540</v>
      </c>
      <c r="Z126" s="1313" t="s">
        <v>540</v>
      </c>
      <c r="AA126" s="1313" t="s">
        <v>540</v>
      </c>
      <c r="AB126" s="1313"/>
      <c r="AC126" s="1313"/>
      <c r="AD126" s="1313" t="s">
        <v>540</v>
      </c>
      <c r="AE126" s="1313" t="s">
        <v>540</v>
      </c>
      <c r="AF126" s="1313" t="s">
        <v>540</v>
      </c>
      <c r="AG126" s="1313" t="s">
        <v>540</v>
      </c>
      <c r="AH126" s="504">
        <v>185</v>
      </c>
      <c r="AI126" s="505">
        <v>37</v>
      </c>
    </row>
    <row r="127" spans="1:35" ht="21.95" customHeight="1">
      <c r="A127" s="580"/>
      <c r="B127" s="1299" t="s">
        <v>572</v>
      </c>
      <c r="C127" s="1313" t="s">
        <v>708</v>
      </c>
      <c r="D127" s="1313" t="s">
        <v>708</v>
      </c>
      <c r="E127" s="1313" t="s">
        <v>708</v>
      </c>
      <c r="F127" s="1313" t="s">
        <v>708</v>
      </c>
      <c r="G127" s="1313"/>
      <c r="H127" s="1313"/>
      <c r="I127" s="1379" t="s">
        <v>708</v>
      </c>
      <c r="J127" s="1379" t="s">
        <v>708</v>
      </c>
      <c r="K127" s="1379" t="s">
        <v>708</v>
      </c>
      <c r="L127" s="1379" t="s">
        <v>708</v>
      </c>
      <c r="M127" s="1379" t="s">
        <v>708</v>
      </c>
      <c r="N127" s="1379"/>
      <c r="O127" s="1379"/>
      <c r="P127" s="1313" t="s">
        <v>708</v>
      </c>
      <c r="Q127" s="1313" t="s">
        <v>708</v>
      </c>
      <c r="R127" s="1313" t="s">
        <v>708</v>
      </c>
      <c r="S127" s="1313" t="s">
        <v>708</v>
      </c>
      <c r="T127" s="1313" t="s">
        <v>708</v>
      </c>
      <c r="U127" s="1313"/>
      <c r="V127" s="1313"/>
      <c r="W127" s="1313" t="s">
        <v>708</v>
      </c>
      <c r="X127" s="1313" t="s">
        <v>708</v>
      </c>
      <c r="Y127" s="1313" t="s">
        <v>708</v>
      </c>
      <c r="Z127" s="1313" t="s">
        <v>708</v>
      </c>
      <c r="AA127" s="1313" t="s">
        <v>708</v>
      </c>
      <c r="AB127" s="1313" t="s">
        <v>28</v>
      </c>
      <c r="AC127" s="1313" t="s">
        <v>28</v>
      </c>
      <c r="AD127" s="1313" t="s">
        <v>708</v>
      </c>
      <c r="AE127" s="1313" t="s">
        <v>708</v>
      </c>
      <c r="AF127" s="1313" t="s">
        <v>708</v>
      </c>
      <c r="AG127" s="1313" t="s">
        <v>708</v>
      </c>
      <c r="AH127" s="504">
        <v>185</v>
      </c>
      <c r="AI127" s="505">
        <v>37</v>
      </c>
    </row>
    <row r="128" spans="1:35" ht="21.95" customHeight="1">
      <c r="A128" s="580"/>
      <c r="B128" s="1299" t="s">
        <v>722</v>
      </c>
      <c r="C128" s="1313" t="s">
        <v>538</v>
      </c>
      <c r="D128" s="1500" t="s">
        <v>538</v>
      </c>
      <c r="E128" s="1313" t="s">
        <v>538</v>
      </c>
      <c r="F128" s="1313" t="s">
        <v>538</v>
      </c>
      <c r="G128" s="1313"/>
      <c r="H128" s="1313"/>
      <c r="I128" s="1313" t="s">
        <v>538</v>
      </c>
      <c r="J128" s="1313" t="s">
        <v>538</v>
      </c>
      <c r="K128" s="1313" t="s">
        <v>538</v>
      </c>
      <c r="L128" s="1313" t="s">
        <v>538</v>
      </c>
      <c r="M128" s="1313" t="s">
        <v>538</v>
      </c>
      <c r="N128" s="1313"/>
      <c r="O128" s="1313"/>
      <c r="P128" s="1313" t="s">
        <v>538</v>
      </c>
      <c r="Q128" s="1313" t="s">
        <v>538</v>
      </c>
      <c r="R128" s="1313" t="s">
        <v>538</v>
      </c>
      <c r="S128" s="1313" t="s">
        <v>538</v>
      </c>
      <c r="T128" s="1313" t="s">
        <v>538</v>
      </c>
      <c r="U128" s="1313"/>
      <c r="V128" s="1313"/>
      <c r="W128" s="1313" t="s">
        <v>538</v>
      </c>
      <c r="X128" s="1313" t="s">
        <v>538</v>
      </c>
      <c r="Y128" s="1313" t="s">
        <v>538</v>
      </c>
      <c r="Z128" s="1313" t="s">
        <v>538</v>
      </c>
      <c r="AA128" s="1313" t="s">
        <v>538</v>
      </c>
      <c r="AB128" s="1313"/>
      <c r="AC128" s="1313"/>
      <c r="AD128" s="1379" t="s">
        <v>538</v>
      </c>
      <c r="AE128" s="1379" t="s">
        <v>538</v>
      </c>
      <c r="AF128" s="1379" t="s">
        <v>538</v>
      </c>
      <c r="AG128" s="1379" t="s">
        <v>538</v>
      </c>
      <c r="AH128" s="504">
        <v>185</v>
      </c>
      <c r="AI128" s="505">
        <v>37</v>
      </c>
    </row>
    <row r="129" spans="1:35" ht="21.95" customHeight="1">
      <c r="A129" s="580"/>
      <c r="B129" s="1299" t="s">
        <v>723</v>
      </c>
      <c r="C129" s="1446" t="s">
        <v>711</v>
      </c>
      <c r="D129" s="1392" t="s">
        <v>711</v>
      </c>
      <c r="E129" s="1446" t="s">
        <v>711</v>
      </c>
      <c r="F129" s="1446" t="s">
        <v>732</v>
      </c>
      <c r="G129" s="1313"/>
      <c r="H129" s="1313"/>
      <c r="I129" s="1313" t="s">
        <v>711</v>
      </c>
      <c r="J129" s="1313" t="s">
        <v>711</v>
      </c>
      <c r="K129" s="1313" t="s">
        <v>711</v>
      </c>
      <c r="L129" s="1313" t="s">
        <v>711</v>
      </c>
      <c r="M129" s="1313" t="s">
        <v>711</v>
      </c>
      <c r="N129" s="1313"/>
      <c r="O129" s="1313"/>
      <c r="P129" s="1313" t="s">
        <v>711</v>
      </c>
      <c r="Q129" s="1313" t="s">
        <v>711</v>
      </c>
      <c r="R129" s="1313" t="s">
        <v>711</v>
      </c>
      <c r="S129" s="1313" t="s">
        <v>711</v>
      </c>
      <c r="T129" s="1313" t="s">
        <v>711</v>
      </c>
      <c r="U129" s="1313"/>
      <c r="V129" s="1313"/>
      <c r="W129" s="1313" t="s">
        <v>711</v>
      </c>
      <c r="X129" s="1313" t="s">
        <v>711</v>
      </c>
      <c r="Y129" s="1313" t="s">
        <v>711</v>
      </c>
      <c r="Z129" s="1313" t="s">
        <v>711</v>
      </c>
      <c r="AA129" s="1313" t="s">
        <v>711</v>
      </c>
      <c r="AB129" s="1313"/>
      <c r="AC129" s="1313"/>
      <c r="AD129" s="1313" t="s">
        <v>711</v>
      </c>
      <c r="AE129" s="1313" t="s">
        <v>711</v>
      </c>
      <c r="AF129" s="1313" t="s">
        <v>711</v>
      </c>
      <c r="AG129" s="1313" t="s">
        <v>711</v>
      </c>
      <c r="AH129" s="504">
        <v>185</v>
      </c>
      <c r="AI129" s="505">
        <v>37</v>
      </c>
    </row>
    <row r="130" spans="1:35" ht="21.95" customHeight="1">
      <c r="A130" s="580"/>
      <c r="B130" s="1299" t="s">
        <v>724</v>
      </c>
      <c r="C130" s="1313" t="s">
        <v>544</v>
      </c>
      <c r="D130" s="1500" t="s">
        <v>544</v>
      </c>
      <c r="E130" s="1313" t="s">
        <v>544</v>
      </c>
      <c r="F130" s="1313" t="s">
        <v>544</v>
      </c>
      <c r="G130" s="1313"/>
      <c r="H130" s="1313"/>
      <c r="I130" s="1313" t="s">
        <v>544</v>
      </c>
      <c r="J130" s="1313" t="s">
        <v>544</v>
      </c>
      <c r="K130" s="1313" t="s">
        <v>544</v>
      </c>
      <c r="L130" s="1313" t="s">
        <v>544</v>
      </c>
      <c r="M130" s="1313" t="s">
        <v>544</v>
      </c>
      <c r="N130" s="1313"/>
      <c r="O130" s="1313"/>
      <c r="P130" s="1313" t="s">
        <v>544</v>
      </c>
      <c r="Q130" s="1313" t="s">
        <v>544</v>
      </c>
      <c r="R130" s="1313" t="s">
        <v>544</v>
      </c>
      <c r="S130" s="1313" t="s">
        <v>544</v>
      </c>
      <c r="T130" s="1313" t="s">
        <v>544</v>
      </c>
      <c r="U130" s="1313"/>
      <c r="V130" s="1313"/>
      <c r="W130" s="1313" t="s">
        <v>544</v>
      </c>
      <c r="X130" s="1313" t="s">
        <v>544</v>
      </c>
      <c r="Y130" s="1313" t="s">
        <v>544</v>
      </c>
      <c r="Z130" s="1313" t="s">
        <v>544</v>
      </c>
      <c r="AA130" s="1313" t="s">
        <v>544</v>
      </c>
      <c r="AB130" s="1313"/>
      <c r="AC130" s="1313"/>
      <c r="AD130" s="1313" t="s">
        <v>544</v>
      </c>
      <c r="AE130" s="1313" t="s">
        <v>544</v>
      </c>
      <c r="AF130" s="1313" t="s">
        <v>544</v>
      </c>
      <c r="AG130" s="1313" t="s">
        <v>544</v>
      </c>
      <c r="AH130" s="504">
        <v>185</v>
      </c>
      <c r="AI130" s="505">
        <v>37</v>
      </c>
    </row>
    <row r="131" spans="1:35" ht="21.95" customHeight="1">
      <c r="A131" s="580"/>
      <c r="B131" s="1502"/>
      <c r="C131" s="559"/>
      <c r="D131" s="559"/>
      <c r="E131" s="559"/>
      <c r="F131" s="559"/>
      <c r="G131" s="559"/>
      <c r="H131" s="559"/>
      <c r="I131" s="559"/>
      <c r="J131" s="559"/>
      <c r="K131" s="559"/>
      <c r="L131" s="559"/>
      <c r="M131" s="559"/>
      <c r="N131" s="559"/>
      <c r="O131" s="559"/>
      <c r="P131" s="559"/>
      <c r="Q131" s="559"/>
      <c r="R131" s="559"/>
      <c r="S131" s="559"/>
      <c r="T131" s="559"/>
      <c r="U131" s="559"/>
      <c r="V131" s="559"/>
      <c r="W131" s="559"/>
      <c r="X131" s="559"/>
      <c r="Y131" s="559"/>
      <c r="Z131" s="559"/>
      <c r="AA131" s="559"/>
      <c r="AB131" s="559"/>
      <c r="AC131" s="559"/>
      <c r="AD131" s="559"/>
      <c r="AE131" s="559"/>
      <c r="AF131" s="559"/>
      <c r="AG131" s="559"/>
      <c r="AH131" s="560"/>
      <c r="AI131" s="560"/>
    </row>
    <row r="132" spans="1:35" ht="21.95" customHeight="1" thickBot="1">
      <c r="A132" s="1303" t="s">
        <v>744</v>
      </c>
      <c r="B132" s="541" t="s">
        <v>763</v>
      </c>
      <c r="C132" s="559"/>
      <c r="D132" s="541"/>
      <c r="E132" s="541"/>
      <c r="F132" s="541"/>
      <c r="G132" s="541"/>
      <c r="H132" s="541"/>
      <c r="I132" s="559"/>
      <c r="J132" s="559"/>
      <c r="K132" s="541"/>
      <c r="L132" s="541"/>
      <c r="M132" s="541"/>
      <c r="N132" s="541"/>
      <c r="O132" s="541"/>
      <c r="P132" s="541"/>
      <c r="Q132" s="559"/>
      <c r="R132" s="541"/>
      <c r="S132" s="541"/>
      <c r="T132" s="541"/>
      <c r="U132" s="541"/>
      <c r="V132" s="541"/>
      <c r="W132" s="559"/>
      <c r="X132" s="559"/>
      <c r="Y132" s="541"/>
      <c r="Z132" s="541"/>
      <c r="AA132" s="541"/>
      <c r="AB132" s="541"/>
      <c r="AC132" s="541"/>
      <c r="AD132" s="541"/>
      <c r="AE132" s="559"/>
      <c r="AF132" s="541"/>
      <c r="AG132" s="541"/>
      <c r="AH132" s="560"/>
      <c r="AI132" s="560"/>
    </row>
    <row r="133" spans="1:35" ht="21.95" customHeight="1">
      <c r="A133" s="580"/>
      <c r="B133" s="1304" t="s">
        <v>696</v>
      </c>
      <c r="C133" s="1312"/>
      <c r="D133" s="1305" t="s">
        <v>2</v>
      </c>
      <c r="E133" s="1306"/>
      <c r="F133" s="1307"/>
      <c r="G133" s="1308"/>
      <c r="H133" s="1305" t="s">
        <v>3</v>
      </c>
      <c r="I133" s="1306"/>
      <c r="J133" s="1307"/>
      <c r="K133" s="1308"/>
      <c r="L133" s="1305" t="s">
        <v>4</v>
      </c>
      <c r="M133" s="1306"/>
      <c r="N133" s="1307"/>
      <c r="O133" s="1308"/>
      <c r="P133" s="1305" t="s">
        <v>5</v>
      </c>
      <c r="Q133" s="1306"/>
      <c r="R133" s="1307"/>
      <c r="S133" s="1308"/>
      <c r="T133" s="1305" t="s">
        <v>6</v>
      </c>
      <c r="U133" s="1306"/>
      <c r="V133" s="1307"/>
      <c r="W133" s="1308"/>
      <c r="X133" s="1305" t="s">
        <v>7</v>
      </c>
      <c r="Y133" s="1306"/>
      <c r="Z133" s="1307"/>
      <c r="AA133" s="1308"/>
      <c r="AB133" s="1305" t="s">
        <v>8</v>
      </c>
      <c r="AC133" s="1306"/>
      <c r="AD133" s="1306"/>
      <c r="AE133" s="1309" t="s">
        <v>10</v>
      </c>
      <c r="AF133" s="1306"/>
      <c r="AG133" s="1306"/>
      <c r="AH133" s="1306"/>
      <c r="AI133" s="1310"/>
    </row>
    <row r="134" spans="1:35" ht="21.95" customHeight="1">
      <c r="A134" s="580"/>
      <c r="B134" s="1332"/>
      <c r="C134" s="1313"/>
      <c r="D134" s="1331"/>
      <c r="E134" s="1314"/>
      <c r="F134" s="1311"/>
      <c r="G134" s="1313"/>
      <c r="H134" s="1331"/>
      <c r="I134" s="1314"/>
      <c r="J134" s="1311"/>
      <c r="K134" s="1313"/>
      <c r="L134" s="1331"/>
      <c r="M134" s="1314"/>
      <c r="N134" s="1311"/>
      <c r="O134" s="1313"/>
      <c r="P134" s="1331"/>
      <c r="Q134" s="1314"/>
      <c r="R134" s="1311"/>
      <c r="S134" s="1313"/>
      <c r="T134" s="1331"/>
      <c r="U134" s="1314"/>
      <c r="V134" s="1311"/>
      <c r="W134" s="1313"/>
      <c r="X134" s="1314"/>
      <c r="Y134" s="1314"/>
      <c r="Z134" s="1311"/>
      <c r="AA134" s="1313"/>
      <c r="AB134" s="1314"/>
      <c r="AC134" s="1314"/>
      <c r="AD134" s="1314"/>
      <c r="AE134" s="1313"/>
      <c r="AF134" s="1314"/>
      <c r="AG134" s="1314"/>
      <c r="AH134" s="1316"/>
      <c r="AI134" s="1317"/>
    </row>
    <row r="135" spans="1:35" ht="21.95" customHeight="1">
      <c r="A135" s="580"/>
      <c r="B135" s="1333"/>
      <c r="C135" s="1313"/>
      <c r="D135" s="1331"/>
      <c r="E135" s="1314"/>
      <c r="F135" s="1311"/>
      <c r="G135" s="1313"/>
      <c r="H135" s="1331"/>
      <c r="I135" s="1314"/>
      <c r="J135" s="1311"/>
      <c r="K135" s="1313"/>
      <c r="L135" s="1331"/>
      <c r="M135" s="1314"/>
      <c r="N135" s="1311"/>
      <c r="O135" s="1313"/>
      <c r="P135" s="1331"/>
      <c r="Q135" s="1314"/>
      <c r="R135" s="1311"/>
      <c r="S135" s="1313"/>
      <c r="T135" s="1331"/>
      <c r="U135" s="1314"/>
      <c r="V135" s="1311"/>
      <c r="W135" s="1313"/>
      <c r="X135" s="1314"/>
      <c r="Y135" s="1314"/>
      <c r="Z135" s="1311"/>
      <c r="AA135" s="1313"/>
      <c r="AB135" s="1314"/>
      <c r="AC135" s="1314"/>
      <c r="AD135" s="1314"/>
      <c r="AE135" s="1313"/>
      <c r="AF135" s="1314"/>
      <c r="AG135" s="1314"/>
      <c r="AH135" s="1316"/>
      <c r="AI135" s="1317"/>
    </row>
    <row r="136" spans="1:35" ht="21.95" customHeight="1">
      <c r="A136" s="580"/>
      <c r="B136" s="1333"/>
      <c r="C136" s="1313"/>
      <c r="D136" s="1331"/>
      <c r="E136" s="1314"/>
      <c r="F136" s="1311"/>
      <c r="G136" s="1313"/>
      <c r="H136" s="1331"/>
      <c r="I136" s="1314"/>
      <c r="J136" s="1311"/>
      <c r="K136" s="1313"/>
      <c r="L136" s="1331"/>
      <c r="M136" s="1314"/>
      <c r="N136" s="1311"/>
      <c r="O136" s="1313"/>
      <c r="P136" s="1331"/>
      <c r="Q136" s="1314"/>
      <c r="R136" s="1311"/>
      <c r="S136" s="1313"/>
      <c r="T136" s="1331"/>
      <c r="U136" s="1314"/>
      <c r="V136" s="1311"/>
      <c r="W136" s="1313"/>
      <c r="X136" s="1314"/>
      <c r="Y136" s="1314"/>
      <c r="Z136" s="1311"/>
      <c r="AA136" s="1313"/>
      <c r="AB136" s="1314"/>
      <c r="AC136" s="1314"/>
      <c r="AD136" s="1314"/>
      <c r="AE136" s="1313"/>
      <c r="AF136" s="1314"/>
      <c r="AG136" s="1314"/>
      <c r="AH136" s="1316"/>
      <c r="AI136" s="1317"/>
    </row>
    <row r="137" spans="1:35" ht="21.95" customHeight="1" thickBot="1">
      <c r="A137" s="580"/>
      <c r="B137" s="1502"/>
      <c r="C137" s="559"/>
      <c r="D137" s="559"/>
      <c r="E137" s="559"/>
      <c r="F137" s="559"/>
      <c r="G137" s="559"/>
      <c r="H137" s="559"/>
      <c r="I137" s="559"/>
      <c r="J137" s="559"/>
      <c r="K137" s="559"/>
      <c r="L137" s="559"/>
      <c r="M137" s="559"/>
      <c r="N137" s="559"/>
      <c r="O137" s="559"/>
      <c r="P137" s="559"/>
      <c r="Q137" s="559"/>
      <c r="R137" s="559"/>
      <c r="S137" s="559"/>
      <c r="T137" s="559"/>
      <c r="U137" s="559"/>
      <c r="V137" s="559"/>
      <c r="W137" s="559"/>
      <c r="X137" s="559"/>
      <c r="Y137" s="559"/>
      <c r="Z137" s="559"/>
      <c r="AA137" s="559"/>
      <c r="AB137" s="559"/>
      <c r="AC137" s="559"/>
      <c r="AD137" s="559"/>
      <c r="AE137" s="559"/>
      <c r="AF137" s="559"/>
      <c r="AG137" s="559"/>
      <c r="AH137" s="560"/>
      <c r="AI137" s="560"/>
    </row>
    <row r="138" spans="1:35" ht="21.95" customHeight="1">
      <c r="A138" s="1232"/>
      <c r="B138" s="1298" t="s">
        <v>480</v>
      </c>
      <c r="C138" s="1234">
        <v>1</v>
      </c>
      <c r="D138" s="1234">
        <v>2</v>
      </c>
      <c r="E138" s="1234">
        <v>3</v>
      </c>
      <c r="F138" s="1234">
        <v>4</v>
      </c>
      <c r="G138" s="1235">
        <v>5</v>
      </c>
      <c r="H138" s="1235">
        <v>6</v>
      </c>
      <c r="I138" s="1213">
        <v>7</v>
      </c>
      <c r="J138" s="1213">
        <v>8</v>
      </c>
      <c r="K138" s="1234">
        <v>9</v>
      </c>
      <c r="L138" s="1234">
        <v>10</v>
      </c>
      <c r="M138" s="1234">
        <v>11</v>
      </c>
      <c r="N138" s="1235">
        <v>12</v>
      </c>
      <c r="O138" s="1235">
        <v>13</v>
      </c>
      <c r="P138" s="1213">
        <v>14</v>
      </c>
      <c r="Q138" s="1213">
        <v>15</v>
      </c>
      <c r="R138" s="1234">
        <v>16</v>
      </c>
      <c r="S138" s="1234">
        <v>17</v>
      </c>
      <c r="T138" s="1234">
        <v>18</v>
      </c>
      <c r="U138" s="1235">
        <v>19</v>
      </c>
      <c r="V138" s="1330">
        <v>20</v>
      </c>
      <c r="W138" s="1213">
        <v>21</v>
      </c>
      <c r="X138" s="1213">
        <v>22</v>
      </c>
      <c r="Y138" s="1234">
        <v>23</v>
      </c>
      <c r="Z138" s="1234">
        <v>24</v>
      </c>
      <c r="AA138" s="1234">
        <v>25</v>
      </c>
      <c r="AB138" s="1235">
        <v>26</v>
      </c>
      <c r="AC138" s="1235">
        <v>27</v>
      </c>
      <c r="AD138" s="1213">
        <v>28</v>
      </c>
      <c r="AE138" s="1213">
        <v>29</v>
      </c>
      <c r="AF138" s="1234">
        <v>30</v>
      </c>
      <c r="AG138" s="1234">
        <v>31</v>
      </c>
      <c r="AH138" s="1301" t="s">
        <v>481</v>
      </c>
      <c r="AI138" s="1302" t="s">
        <v>482</v>
      </c>
    </row>
    <row r="139" spans="1:35" ht="21.95" customHeight="1">
      <c r="A139" s="580"/>
      <c r="B139" s="1300" t="s">
        <v>746</v>
      </c>
      <c r="C139" s="1215" t="s">
        <v>535</v>
      </c>
      <c r="D139" s="1215" t="s">
        <v>535</v>
      </c>
      <c r="E139" s="1215" t="s">
        <v>535</v>
      </c>
      <c r="F139" s="1215" t="s">
        <v>535</v>
      </c>
      <c r="G139" s="1215"/>
      <c r="H139" s="1215"/>
      <c r="I139" s="1215" t="s">
        <v>535</v>
      </c>
      <c r="J139" s="1215" t="s">
        <v>535</v>
      </c>
      <c r="K139" s="1215" t="s">
        <v>535</v>
      </c>
      <c r="L139" s="1215" t="s">
        <v>535</v>
      </c>
      <c r="M139" s="1215" t="s">
        <v>535</v>
      </c>
      <c r="N139" s="1215"/>
      <c r="O139" s="1215"/>
      <c r="P139" s="1215" t="s">
        <v>535</v>
      </c>
      <c r="Q139" s="1215" t="s">
        <v>535</v>
      </c>
      <c r="R139" s="1215" t="s">
        <v>535</v>
      </c>
      <c r="S139" s="1215" t="s">
        <v>535</v>
      </c>
      <c r="T139" s="1215" t="s">
        <v>535</v>
      </c>
      <c r="U139" s="1215"/>
      <c r="V139" s="1215"/>
      <c r="W139" s="1215" t="s">
        <v>535</v>
      </c>
      <c r="X139" s="1215" t="s">
        <v>535</v>
      </c>
      <c r="Y139" s="1215" t="s">
        <v>535</v>
      </c>
      <c r="Z139" s="1215" t="s">
        <v>535</v>
      </c>
      <c r="AA139" s="1215" t="s">
        <v>535</v>
      </c>
      <c r="AB139" s="1215"/>
      <c r="AC139" s="1215"/>
      <c r="AD139" s="1215" t="s">
        <v>535</v>
      </c>
      <c r="AE139" s="1215" t="s">
        <v>535</v>
      </c>
      <c r="AF139" s="1215" t="s">
        <v>535</v>
      </c>
      <c r="AG139" s="1216" t="s">
        <v>535</v>
      </c>
      <c r="AH139" s="504">
        <v>185</v>
      </c>
      <c r="AI139" s="505">
        <v>37</v>
      </c>
    </row>
    <row r="140" spans="1:35" ht="21.95" customHeight="1">
      <c r="A140" s="580"/>
      <c r="B140" s="1300" t="s">
        <v>764</v>
      </c>
      <c r="C140" s="1215" t="s">
        <v>535</v>
      </c>
      <c r="D140" s="1215" t="s">
        <v>535</v>
      </c>
      <c r="E140" s="1215" t="s">
        <v>535</v>
      </c>
      <c r="F140" s="1215" t="s">
        <v>535</v>
      </c>
      <c r="G140" s="1215"/>
      <c r="H140" s="1215"/>
      <c r="I140" s="1215" t="s">
        <v>535</v>
      </c>
      <c r="J140" s="1215" t="s">
        <v>535</v>
      </c>
      <c r="K140" s="1215" t="s">
        <v>535</v>
      </c>
      <c r="L140" s="1215" t="s">
        <v>535</v>
      </c>
      <c r="M140" s="1215" t="s">
        <v>535</v>
      </c>
      <c r="N140" s="1215"/>
      <c r="O140" s="1215"/>
      <c r="P140" s="1215" t="s">
        <v>535</v>
      </c>
      <c r="Q140" s="1215" t="s">
        <v>535</v>
      </c>
      <c r="R140" s="1215" t="s">
        <v>535</v>
      </c>
      <c r="S140" s="1215" t="s">
        <v>535</v>
      </c>
      <c r="T140" s="1215" t="s">
        <v>535</v>
      </c>
      <c r="U140" s="1215"/>
      <c r="V140" s="1215"/>
      <c r="W140" s="1215" t="s">
        <v>535</v>
      </c>
      <c r="X140" s="1215" t="s">
        <v>535</v>
      </c>
      <c r="Y140" s="1215" t="s">
        <v>535</v>
      </c>
      <c r="Z140" s="1215" t="s">
        <v>535</v>
      </c>
      <c r="AA140" s="1215" t="s">
        <v>535</v>
      </c>
      <c r="AB140" s="1215"/>
      <c r="AC140" s="1215"/>
      <c r="AD140" s="1215" t="s">
        <v>535</v>
      </c>
      <c r="AE140" s="1215" t="s">
        <v>535</v>
      </c>
      <c r="AF140" s="1215" t="s">
        <v>535</v>
      </c>
      <c r="AG140" s="1216" t="s">
        <v>535</v>
      </c>
      <c r="AH140" s="504">
        <v>185</v>
      </c>
      <c r="AI140" s="505">
        <v>37</v>
      </c>
    </row>
    <row r="141" spans="1:35" ht="21.95" customHeight="1">
      <c r="A141" s="580"/>
      <c r="B141" s="1300" t="s">
        <v>748</v>
      </c>
      <c r="C141" s="1215" t="s">
        <v>535</v>
      </c>
      <c r="D141" s="1215" t="s">
        <v>535</v>
      </c>
      <c r="E141" s="1215" t="s">
        <v>535</v>
      </c>
      <c r="F141" s="1215" t="s">
        <v>535</v>
      </c>
      <c r="G141" s="1215"/>
      <c r="H141" s="1215"/>
      <c r="I141" s="1215" t="s">
        <v>535</v>
      </c>
      <c r="J141" s="1215" t="s">
        <v>535</v>
      </c>
      <c r="K141" s="1215" t="s">
        <v>535</v>
      </c>
      <c r="L141" s="1215" t="s">
        <v>535</v>
      </c>
      <c r="M141" s="1215" t="s">
        <v>535</v>
      </c>
      <c r="N141" s="1215"/>
      <c r="O141" s="1215"/>
      <c r="P141" s="1215" t="s">
        <v>535</v>
      </c>
      <c r="Q141" s="1215" t="s">
        <v>535</v>
      </c>
      <c r="R141" s="1215" t="s">
        <v>535</v>
      </c>
      <c r="S141" s="1215" t="s">
        <v>535</v>
      </c>
      <c r="T141" s="1215" t="s">
        <v>535</v>
      </c>
      <c r="U141" s="1215"/>
      <c r="V141" s="1215"/>
      <c r="W141" s="1215" t="s">
        <v>535</v>
      </c>
      <c r="X141" s="1215" t="s">
        <v>535</v>
      </c>
      <c r="Y141" s="1215" t="s">
        <v>535</v>
      </c>
      <c r="Z141" s="1215" t="s">
        <v>535</v>
      </c>
      <c r="AA141" s="1215" t="s">
        <v>535</v>
      </c>
      <c r="AB141" s="1215"/>
      <c r="AC141" s="1215"/>
      <c r="AD141" s="1215" t="s">
        <v>535</v>
      </c>
      <c r="AE141" s="1215" t="s">
        <v>535</v>
      </c>
      <c r="AF141" s="1215" t="s">
        <v>535</v>
      </c>
      <c r="AG141" s="1216" t="s">
        <v>535</v>
      </c>
      <c r="AH141" s="504">
        <v>185</v>
      </c>
      <c r="AI141" s="505">
        <v>37</v>
      </c>
    </row>
    <row r="142" spans="1:35" ht="21.95" customHeight="1">
      <c r="A142" s="580"/>
      <c r="B142" s="1509" t="s">
        <v>750</v>
      </c>
      <c r="C142" s="1215" t="s">
        <v>535</v>
      </c>
      <c r="D142" s="1500" t="s">
        <v>514</v>
      </c>
      <c r="E142" s="1215" t="s">
        <v>535</v>
      </c>
      <c r="F142" s="1215" t="s">
        <v>535</v>
      </c>
      <c r="G142" s="1215"/>
      <c r="H142" s="1215"/>
      <c r="I142" s="1215" t="s">
        <v>535</v>
      </c>
      <c r="J142" s="1215" t="s">
        <v>535</v>
      </c>
      <c r="K142" s="1215" t="s">
        <v>535</v>
      </c>
      <c r="L142" s="1215" t="s">
        <v>535</v>
      </c>
      <c r="M142" s="1215" t="s">
        <v>535</v>
      </c>
      <c r="N142" s="1215"/>
      <c r="O142" s="1215"/>
      <c r="P142" s="1215" t="s">
        <v>535</v>
      </c>
      <c r="Q142" s="1215" t="s">
        <v>535</v>
      </c>
      <c r="R142" s="1215" t="s">
        <v>535</v>
      </c>
      <c r="S142" s="1215" t="s">
        <v>535</v>
      </c>
      <c r="T142" s="1215" t="s">
        <v>535</v>
      </c>
      <c r="U142" s="1215"/>
      <c r="V142" s="1215"/>
      <c r="W142" s="1215" t="s">
        <v>535</v>
      </c>
      <c r="X142" s="1215" t="s">
        <v>535</v>
      </c>
      <c r="Y142" s="1215" t="s">
        <v>535</v>
      </c>
      <c r="Z142" s="1215" t="s">
        <v>535</v>
      </c>
      <c r="AA142" s="1215" t="s">
        <v>535</v>
      </c>
      <c r="AB142" s="1215"/>
      <c r="AC142" s="1215"/>
      <c r="AD142" s="1215" t="s">
        <v>535</v>
      </c>
      <c r="AE142" s="1215" t="s">
        <v>535</v>
      </c>
      <c r="AF142" s="1215" t="s">
        <v>535</v>
      </c>
      <c r="AG142" s="1216" t="s">
        <v>535</v>
      </c>
      <c r="AH142" s="504">
        <v>185</v>
      </c>
      <c r="AI142" s="505">
        <v>37</v>
      </c>
    </row>
    <row r="143" spans="1:35" ht="21.95" customHeight="1">
      <c r="A143" s="580"/>
      <c r="B143" s="1300"/>
      <c r="C143" s="1215" t="s">
        <v>535</v>
      </c>
      <c r="D143" s="1215" t="s">
        <v>535</v>
      </c>
      <c r="E143" s="1215" t="s">
        <v>535</v>
      </c>
      <c r="F143" s="1215" t="s">
        <v>535</v>
      </c>
      <c r="G143" s="1215"/>
      <c r="H143" s="1215"/>
      <c r="I143" s="1215" t="s">
        <v>535</v>
      </c>
      <c r="J143" s="1215" t="s">
        <v>535</v>
      </c>
      <c r="K143" s="1215" t="s">
        <v>535</v>
      </c>
      <c r="L143" s="1215" t="s">
        <v>535</v>
      </c>
      <c r="M143" s="1215" t="s">
        <v>535</v>
      </c>
      <c r="N143" s="1215"/>
      <c r="O143" s="1215"/>
      <c r="P143" s="1215" t="s">
        <v>535</v>
      </c>
      <c r="Q143" s="1215" t="s">
        <v>535</v>
      </c>
      <c r="R143" s="1215" t="s">
        <v>535</v>
      </c>
      <c r="S143" s="1215" t="s">
        <v>535</v>
      </c>
      <c r="T143" s="1215" t="s">
        <v>535</v>
      </c>
      <c r="U143" s="1215"/>
      <c r="V143" s="1215"/>
      <c r="W143" s="1215" t="s">
        <v>535</v>
      </c>
      <c r="X143" s="1215" t="s">
        <v>535</v>
      </c>
      <c r="Y143" s="1215" t="s">
        <v>535</v>
      </c>
      <c r="Z143" s="1215" t="s">
        <v>535</v>
      </c>
      <c r="AA143" s="1215" t="s">
        <v>535</v>
      </c>
      <c r="AB143" s="1215"/>
      <c r="AC143" s="1215"/>
      <c r="AD143" s="1215" t="s">
        <v>535</v>
      </c>
      <c r="AE143" s="1215" t="s">
        <v>535</v>
      </c>
      <c r="AF143" s="1215" t="s">
        <v>535</v>
      </c>
      <c r="AG143" s="1216" t="s">
        <v>535</v>
      </c>
      <c r="AH143" s="504">
        <v>185</v>
      </c>
      <c r="AI143" s="505">
        <v>37</v>
      </c>
    </row>
    <row r="144" spans="1:35" ht="21.95" customHeight="1">
      <c r="A144" s="580"/>
      <c r="B144" s="1299"/>
      <c r="C144" s="1215" t="s">
        <v>535</v>
      </c>
      <c r="D144" s="1215" t="s">
        <v>535</v>
      </c>
      <c r="E144" s="1215" t="s">
        <v>535</v>
      </c>
      <c r="F144" s="1215" t="s">
        <v>535</v>
      </c>
      <c r="G144" s="1215"/>
      <c r="H144" s="1215"/>
      <c r="I144" s="1215" t="s">
        <v>535</v>
      </c>
      <c r="J144" s="1215" t="s">
        <v>535</v>
      </c>
      <c r="K144" s="1215" t="s">
        <v>535</v>
      </c>
      <c r="L144" s="1215" t="s">
        <v>535</v>
      </c>
      <c r="M144" s="1215" t="s">
        <v>535</v>
      </c>
      <c r="N144" s="1215"/>
      <c r="O144" s="1215"/>
      <c r="P144" s="1215" t="s">
        <v>535</v>
      </c>
      <c r="Q144" s="1215" t="s">
        <v>535</v>
      </c>
      <c r="R144" s="1215" t="s">
        <v>535</v>
      </c>
      <c r="S144" s="1215" t="s">
        <v>535</v>
      </c>
      <c r="T144" s="1215" t="s">
        <v>535</v>
      </c>
      <c r="U144" s="1215"/>
      <c r="V144" s="1215"/>
      <c r="W144" s="1215" t="s">
        <v>535</v>
      </c>
      <c r="X144" s="1215" t="s">
        <v>535</v>
      </c>
      <c r="Y144" s="1215" t="s">
        <v>535</v>
      </c>
      <c r="Z144" s="1215" t="s">
        <v>535</v>
      </c>
      <c r="AA144" s="1215" t="s">
        <v>535</v>
      </c>
      <c r="AB144" s="1215"/>
      <c r="AC144" s="1215"/>
      <c r="AD144" s="1215" t="s">
        <v>535</v>
      </c>
      <c r="AE144" s="1215" t="s">
        <v>535</v>
      </c>
      <c r="AF144" s="1215" t="s">
        <v>535</v>
      </c>
      <c r="AG144" s="1216" t="s">
        <v>535</v>
      </c>
      <c r="AH144" s="504">
        <v>185</v>
      </c>
      <c r="AI144" s="505">
        <v>37</v>
      </c>
    </row>
    <row r="145" spans="1:36" ht="21.95" customHeight="1">
      <c r="A145" s="580"/>
      <c r="B145" s="1502"/>
      <c r="C145" s="559"/>
      <c r="D145" s="559"/>
      <c r="E145" s="559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59"/>
      <c r="AE145" s="559"/>
      <c r="AF145" s="559"/>
      <c r="AG145" s="559"/>
      <c r="AH145" s="560"/>
      <c r="AI145" s="560"/>
    </row>
    <row r="146" spans="1:36" ht="21.95" customHeight="1" thickBot="1">
      <c r="A146" s="1303" t="s">
        <v>751</v>
      </c>
      <c r="B146" s="541"/>
      <c r="C146" s="559"/>
      <c r="D146" s="541"/>
      <c r="E146" s="541"/>
      <c r="F146" s="541"/>
      <c r="G146" s="541"/>
      <c r="H146" s="541"/>
      <c r="I146" s="559"/>
      <c r="J146" s="559"/>
      <c r="K146" s="541"/>
      <c r="L146" s="541"/>
      <c r="M146" s="541"/>
      <c r="N146" s="541"/>
      <c r="O146" s="541"/>
      <c r="P146" s="541"/>
      <c r="Q146" s="559"/>
      <c r="R146" s="541"/>
      <c r="S146" s="541"/>
      <c r="T146" s="541"/>
      <c r="U146" s="541"/>
      <c r="V146" s="541"/>
      <c r="W146" s="559"/>
      <c r="X146" s="559"/>
      <c r="Y146" s="541"/>
      <c r="Z146" s="541"/>
      <c r="AA146" s="541"/>
      <c r="AB146" s="541"/>
      <c r="AC146" s="541"/>
      <c r="AD146" s="541"/>
      <c r="AE146" s="559"/>
      <c r="AF146" s="541"/>
      <c r="AG146" s="541"/>
      <c r="AH146" s="560"/>
      <c r="AI146" s="560"/>
    </row>
    <row r="147" spans="1:36" ht="21.95" customHeight="1">
      <c r="A147" s="580"/>
      <c r="B147" s="1304" t="s">
        <v>696</v>
      </c>
      <c r="C147" s="1312"/>
      <c r="D147" s="1305" t="s">
        <v>2</v>
      </c>
      <c r="E147" s="1306"/>
      <c r="F147" s="1307"/>
      <c r="G147" s="1308"/>
      <c r="H147" s="1305" t="s">
        <v>3</v>
      </c>
      <c r="I147" s="1306"/>
      <c r="J147" s="1307"/>
      <c r="K147" s="1308"/>
      <c r="L147" s="1305" t="s">
        <v>4</v>
      </c>
      <c r="M147" s="1306"/>
      <c r="N147" s="1307"/>
      <c r="O147" s="1308"/>
      <c r="P147" s="1305" t="s">
        <v>5</v>
      </c>
      <c r="Q147" s="1306"/>
      <c r="R147" s="1307"/>
      <c r="S147" s="1308"/>
      <c r="T147" s="1305" t="s">
        <v>6</v>
      </c>
      <c r="U147" s="1306"/>
      <c r="V147" s="1307"/>
      <c r="W147" s="1308"/>
      <c r="X147" s="1305" t="s">
        <v>7</v>
      </c>
      <c r="Y147" s="1306"/>
      <c r="Z147" s="1307"/>
      <c r="AA147" s="1308"/>
      <c r="AB147" s="1305" t="s">
        <v>8</v>
      </c>
      <c r="AC147" s="1306"/>
      <c r="AD147" s="1306"/>
      <c r="AE147" s="1309" t="s">
        <v>10</v>
      </c>
      <c r="AF147" s="1306"/>
      <c r="AG147" s="1306"/>
      <c r="AH147" s="1306"/>
      <c r="AI147" s="1310"/>
    </row>
    <row r="148" spans="1:36" ht="21.95" customHeight="1">
      <c r="A148" s="580"/>
      <c r="B148" s="1332"/>
      <c r="C148" s="1313"/>
      <c r="D148" s="1331"/>
      <c r="E148" s="1314"/>
      <c r="F148" s="1311"/>
      <c r="G148" s="1313"/>
      <c r="H148" s="1331"/>
      <c r="I148" s="1314"/>
      <c r="J148" s="1311"/>
      <c r="K148" s="1313"/>
      <c r="L148" s="1331"/>
      <c r="M148" s="1314"/>
      <c r="N148" s="1311"/>
      <c r="O148" s="1313"/>
      <c r="P148" s="1331"/>
      <c r="Q148" s="1314"/>
      <c r="R148" s="1311"/>
      <c r="S148" s="1313"/>
      <c r="T148" s="1331"/>
      <c r="U148" s="1314"/>
      <c r="V148" s="1311"/>
      <c r="W148" s="1313"/>
      <c r="X148" s="1314"/>
      <c r="Y148" s="1314"/>
      <c r="Z148" s="1311"/>
      <c r="AA148" s="1313"/>
      <c r="AB148" s="1314"/>
      <c r="AC148" s="1314"/>
      <c r="AD148" s="1314"/>
      <c r="AE148" s="1313"/>
      <c r="AF148" s="1314"/>
      <c r="AG148" s="1314"/>
      <c r="AH148" s="1316"/>
      <c r="AI148" s="1317"/>
    </row>
    <row r="149" spans="1:36" ht="21.95" customHeight="1">
      <c r="A149" s="580"/>
      <c r="B149" s="1333"/>
      <c r="C149" s="1313"/>
      <c r="D149" s="1331"/>
      <c r="E149" s="1314"/>
      <c r="F149" s="1311"/>
      <c r="G149" s="1313"/>
      <c r="H149" s="1331"/>
      <c r="I149" s="1314"/>
      <c r="J149" s="1311"/>
      <c r="K149" s="1313"/>
      <c r="L149" s="1331"/>
      <c r="M149" s="1314"/>
      <c r="N149" s="1311"/>
      <c r="O149" s="1313"/>
      <c r="P149" s="1331"/>
      <c r="Q149" s="1314"/>
      <c r="R149" s="1311"/>
      <c r="S149" s="1313"/>
      <c r="T149" s="1331"/>
      <c r="U149" s="1314"/>
      <c r="V149" s="1311"/>
      <c r="W149" s="1313"/>
      <c r="X149" s="1314"/>
      <c r="Y149" s="1314"/>
      <c r="Z149" s="1311"/>
      <c r="AA149" s="1313"/>
      <c r="AB149" s="1314"/>
      <c r="AC149" s="1314"/>
      <c r="AD149" s="1314"/>
      <c r="AE149" s="1313"/>
      <c r="AF149" s="1314"/>
      <c r="AG149" s="1314"/>
      <c r="AH149" s="1316"/>
      <c r="AI149" s="1317"/>
    </row>
    <row r="150" spans="1:36" ht="21.95" customHeight="1">
      <c r="A150" s="580"/>
      <c r="B150" s="1333"/>
      <c r="C150" s="1313"/>
      <c r="D150" s="1331"/>
      <c r="E150" s="1314"/>
      <c r="F150" s="1311"/>
      <c r="G150" s="1313"/>
      <c r="H150" s="1331"/>
      <c r="I150" s="1314"/>
      <c r="J150" s="1311"/>
      <c r="K150" s="1313"/>
      <c r="L150" s="1331"/>
      <c r="M150" s="1314"/>
      <c r="N150" s="1311"/>
      <c r="O150" s="1313"/>
      <c r="P150" s="1331"/>
      <c r="Q150" s="1314"/>
      <c r="R150" s="1311"/>
      <c r="S150" s="1313"/>
      <c r="T150" s="1331"/>
      <c r="U150" s="1314"/>
      <c r="V150" s="1311"/>
      <c r="W150" s="1313"/>
      <c r="X150" s="1314"/>
      <c r="Y150" s="1314"/>
      <c r="Z150" s="1311"/>
      <c r="AA150" s="1313"/>
      <c r="AB150" s="1314"/>
      <c r="AC150" s="1314"/>
      <c r="AD150" s="1314"/>
      <c r="AE150" s="1313"/>
      <c r="AF150" s="1314"/>
      <c r="AG150" s="1314"/>
      <c r="AH150" s="1316"/>
      <c r="AI150" s="1317"/>
    </row>
    <row r="151" spans="1:36" ht="21.95" customHeight="1" thickBot="1">
      <c r="A151" s="580"/>
      <c r="B151" s="1502"/>
      <c r="C151" s="559"/>
      <c r="D151" s="559"/>
      <c r="E151" s="559"/>
      <c r="F151" s="559"/>
      <c r="G151" s="559"/>
      <c r="H151" s="559"/>
      <c r="I151" s="559"/>
      <c r="J151" s="559"/>
      <c r="K151" s="559"/>
      <c r="L151" s="559"/>
      <c r="M151" s="559"/>
      <c r="N151" s="559"/>
      <c r="O151" s="559"/>
      <c r="P151" s="559"/>
      <c r="Q151" s="559"/>
      <c r="R151" s="559"/>
      <c r="S151" s="559"/>
      <c r="T151" s="559"/>
      <c r="U151" s="559"/>
      <c r="V151" s="559"/>
      <c r="W151" s="559"/>
      <c r="X151" s="559"/>
      <c r="Y151" s="559"/>
      <c r="Z151" s="559"/>
      <c r="AA151" s="559"/>
      <c r="AB151" s="559"/>
      <c r="AC151" s="559"/>
      <c r="AD151" s="559"/>
      <c r="AE151" s="559"/>
      <c r="AF151" s="559"/>
      <c r="AG151" s="559"/>
      <c r="AH151" s="560"/>
      <c r="AI151" s="560"/>
    </row>
    <row r="152" spans="1:36" ht="21.95" customHeight="1">
      <c r="A152" s="1232"/>
      <c r="B152" s="1298" t="s">
        <v>480</v>
      </c>
      <c r="C152" s="1234">
        <v>1</v>
      </c>
      <c r="D152" s="1234">
        <v>2</v>
      </c>
      <c r="E152" s="1234">
        <v>3</v>
      </c>
      <c r="F152" s="1234">
        <v>4</v>
      </c>
      <c r="G152" s="1235">
        <v>5</v>
      </c>
      <c r="H152" s="1235">
        <v>6</v>
      </c>
      <c r="I152" s="1213">
        <v>7</v>
      </c>
      <c r="J152" s="1213">
        <v>8</v>
      </c>
      <c r="K152" s="1234">
        <v>9</v>
      </c>
      <c r="L152" s="1234">
        <v>10</v>
      </c>
      <c r="M152" s="1234">
        <v>11</v>
      </c>
      <c r="N152" s="1235">
        <v>12</v>
      </c>
      <c r="O152" s="1235">
        <v>13</v>
      </c>
      <c r="P152" s="1213">
        <v>14</v>
      </c>
      <c r="Q152" s="1213">
        <v>15</v>
      </c>
      <c r="R152" s="1234">
        <v>16</v>
      </c>
      <c r="S152" s="1234">
        <v>17</v>
      </c>
      <c r="T152" s="1234">
        <v>18</v>
      </c>
      <c r="U152" s="1235">
        <v>19</v>
      </c>
      <c r="V152" s="1330">
        <v>20</v>
      </c>
      <c r="W152" s="1213">
        <v>21</v>
      </c>
      <c r="X152" s="1213">
        <v>22</v>
      </c>
      <c r="Y152" s="1234">
        <v>23</v>
      </c>
      <c r="Z152" s="1234">
        <v>24</v>
      </c>
      <c r="AA152" s="1234">
        <v>25</v>
      </c>
      <c r="AB152" s="1235">
        <v>26</v>
      </c>
      <c r="AC152" s="1235">
        <v>27</v>
      </c>
      <c r="AD152" s="1213">
        <v>28</v>
      </c>
      <c r="AE152" s="1213">
        <v>29</v>
      </c>
      <c r="AF152" s="1234">
        <v>30</v>
      </c>
      <c r="AG152" s="1234">
        <v>31</v>
      </c>
      <c r="AH152" s="1301" t="s">
        <v>481</v>
      </c>
      <c r="AI152" s="1302" t="s">
        <v>482</v>
      </c>
    </row>
    <row r="153" spans="1:36" ht="21.95" customHeight="1">
      <c r="A153" s="580"/>
      <c r="B153" s="1319" t="s">
        <v>752</v>
      </c>
      <c r="C153" s="1344" t="s">
        <v>535</v>
      </c>
      <c r="D153" s="1344" t="s">
        <v>535</v>
      </c>
      <c r="E153" s="1344" t="s">
        <v>535</v>
      </c>
      <c r="F153" s="1344" t="s">
        <v>535</v>
      </c>
      <c r="G153" s="1215"/>
      <c r="H153" s="1215"/>
      <c r="I153" s="1215" t="s">
        <v>535</v>
      </c>
      <c r="J153" s="1215" t="s">
        <v>535</v>
      </c>
      <c r="K153" s="1215" t="s">
        <v>535</v>
      </c>
      <c r="L153" s="1215" t="s">
        <v>535</v>
      </c>
      <c r="M153" s="1215" t="s">
        <v>535</v>
      </c>
      <c r="N153" s="1215"/>
      <c r="O153" s="1215"/>
      <c r="P153" s="1215" t="s">
        <v>535</v>
      </c>
      <c r="Q153" s="1215" t="s">
        <v>535</v>
      </c>
      <c r="R153" s="1215" t="s">
        <v>535</v>
      </c>
      <c r="S153" s="1215" t="s">
        <v>535</v>
      </c>
      <c r="T153" s="1215" t="s">
        <v>535</v>
      </c>
      <c r="U153" s="1215"/>
      <c r="V153" s="1215"/>
      <c r="W153" s="1215" t="s">
        <v>535</v>
      </c>
      <c r="X153" s="1215" t="s">
        <v>535</v>
      </c>
      <c r="Y153" s="1215" t="s">
        <v>535</v>
      </c>
      <c r="Z153" s="1215" t="s">
        <v>535</v>
      </c>
      <c r="AA153" s="1215" t="s">
        <v>535</v>
      </c>
      <c r="AB153" s="1215"/>
      <c r="AC153" s="1215"/>
      <c r="AD153" s="1215" t="s">
        <v>535</v>
      </c>
      <c r="AE153" s="1215" t="s">
        <v>535</v>
      </c>
      <c r="AF153" s="1215" t="s">
        <v>535</v>
      </c>
      <c r="AG153" s="1216" t="s">
        <v>535</v>
      </c>
      <c r="AH153" s="504">
        <v>185</v>
      </c>
      <c r="AI153" s="505">
        <v>37</v>
      </c>
    </row>
    <row r="154" spans="1:36" ht="21.95" customHeight="1">
      <c r="A154" s="580"/>
      <c r="B154" s="1319" t="s">
        <v>753</v>
      </c>
      <c r="C154" s="1215" t="s">
        <v>535</v>
      </c>
      <c r="D154" s="1215" t="s">
        <v>535</v>
      </c>
      <c r="E154" s="1215" t="s">
        <v>535</v>
      </c>
      <c r="F154" s="1215" t="s">
        <v>535</v>
      </c>
      <c r="G154" s="1215"/>
      <c r="H154" s="1215"/>
      <c r="I154" s="1215" t="s">
        <v>535</v>
      </c>
      <c r="J154" s="1215" t="s">
        <v>535</v>
      </c>
      <c r="K154" s="1215" t="s">
        <v>535</v>
      </c>
      <c r="L154" s="1215" t="s">
        <v>535</v>
      </c>
      <c r="M154" s="1215" t="s">
        <v>535</v>
      </c>
      <c r="N154" s="1215"/>
      <c r="O154" s="1215"/>
      <c r="P154" s="1215" t="s">
        <v>535</v>
      </c>
      <c r="Q154" s="1215" t="s">
        <v>535</v>
      </c>
      <c r="R154" s="1215" t="s">
        <v>535</v>
      </c>
      <c r="S154" s="1215" t="s">
        <v>535</v>
      </c>
      <c r="T154" s="1215" t="s">
        <v>535</v>
      </c>
      <c r="U154" s="1215"/>
      <c r="V154" s="1215"/>
      <c r="W154" s="1215" t="s">
        <v>535</v>
      </c>
      <c r="X154" s="1215" t="s">
        <v>535</v>
      </c>
      <c r="Y154" s="1215" t="s">
        <v>535</v>
      </c>
      <c r="Z154" s="1215" t="s">
        <v>535</v>
      </c>
      <c r="AA154" s="1215" t="s">
        <v>535</v>
      </c>
      <c r="AB154" s="1215"/>
      <c r="AC154" s="1215"/>
      <c r="AD154" s="1215" t="s">
        <v>535</v>
      </c>
      <c r="AE154" s="1215" t="s">
        <v>535</v>
      </c>
      <c r="AF154" s="1215" t="s">
        <v>535</v>
      </c>
      <c r="AG154" s="1216" t="s">
        <v>535</v>
      </c>
      <c r="AH154" s="504">
        <v>185</v>
      </c>
      <c r="AI154" s="505">
        <v>37</v>
      </c>
    </row>
    <row r="155" spans="1:36" ht="21.95" customHeight="1">
      <c r="A155" s="580"/>
      <c r="B155" s="1510" t="s">
        <v>754</v>
      </c>
      <c r="C155" s="1392" t="s">
        <v>535</v>
      </c>
      <c r="D155" s="1392" t="s">
        <v>570</v>
      </c>
      <c r="E155" s="1344" t="s">
        <v>535</v>
      </c>
      <c r="F155" s="1344" t="s">
        <v>535</v>
      </c>
      <c r="G155" s="1215"/>
      <c r="H155" s="1215"/>
      <c r="I155" s="1215" t="s">
        <v>535</v>
      </c>
      <c r="J155" s="1215" t="s">
        <v>535</v>
      </c>
      <c r="K155" s="1215" t="s">
        <v>535</v>
      </c>
      <c r="L155" s="1215" t="s">
        <v>535</v>
      </c>
      <c r="M155" s="1215" t="s">
        <v>535</v>
      </c>
      <c r="N155" s="1215"/>
      <c r="O155" s="1215"/>
      <c r="P155" s="1215" t="s">
        <v>535</v>
      </c>
      <c r="Q155" s="1215" t="s">
        <v>535</v>
      </c>
      <c r="R155" s="1215" t="s">
        <v>535</v>
      </c>
      <c r="S155" s="1215" t="s">
        <v>535</v>
      </c>
      <c r="T155" s="1215" t="s">
        <v>535</v>
      </c>
      <c r="U155" s="1215"/>
      <c r="V155" s="1215"/>
      <c r="W155" s="1215" t="s">
        <v>535</v>
      </c>
      <c r="X155" s="1215" t="s">
        <v>535</v>
      </c>
      <c r="Y155" s="1215" t="s">
        <v>535</v>
      </c>
      <c r="Z155" s="1215" t="s">
        <v>535</v>
      </c>
      <c r="AA155" s="1215" t="s">
        <v>535</v>
      </c>
      <c r="AB155" s="1215"/>
      <c r="AC155" s="1215"/>
      <c r="AD155" s="1215" t="s">
        <v>535</v>
      </c>
      <c r="AE155" s="1215" t="s">
        <v>535</v>
      </c>
      <c r="AF155" s="1215" t="s">
        <v>535</v>
      </c>
      <c r="AG155" s="1216" t="s">
        <v>535</v>
      </c>
      <c r="AH155" s="504">
        <v>185</v>
      </c>
      <c r="AI155" s="505">
        <v>37</v>
      </c>
    </row>
    <row r="156" spans="1:36" ht="21.95" customHeight="1">
      <c r="A156" s="580"/>
      <c r="B156" s="1299" t="s">
        <v>755</v>
      </c>
      <c r="C156" s="1215" t="s">
        <v>535</v>
      </c>
      <c r="D156" s="1215" t="s">
        <v>535</v>
      </c>
      <c r="E156" s="1215" t="s">
        <v>535</v>
      </c>
      <c r="F156" s="1215" t="s">
        <v>535</v>
      </c>
      <c r="G156" s="1215"/>
      <c r="H156" s="1215"/>
      <c r="I156" s="1215" t="s">
        <v>535</v>
      </c>
      <c r="J156" s="1215" t="s">
        <v>535</v>
      </c>
      <c r="K156" s="1215" t="s">
        <v>535</v>
      </c>
      <c r="L156" s="1215" t="s">
        <v>535</v>
      </c>
      <c r="M156" s="1215" t="s">
        <v>535</v>
      </c>
      <c r="N156" s="1215"/>
      <c r="O156" s="1215"/>
      <c r="P156" s="1215" t="s">
        <v>535</v>
      </c>
      <c r="Q156" s="1392" t="s">
        <v>535</v>
      </c>
      <c r="R156" s="1392" t="s">
        <v>535</v>
      </c>
      <c r="S156" s="1392" t="s">
        <v>535</v>
      </c>
      <c r="T156" s="1392" t="s">
        <v>570</v>
      </c>
      <c r="U156" s="1215"/>
      <c r="V156" s="1215"/>
      <c r="W156" s="1215" t="s">
        <v>535</v>
      </c>
      <c r="X156" s="1215" t="s">
        <v>535</v>
      </c>
      <c r="Y156" s="1215" t="s">
        <v>535</v>
      </c>
      <c r="Z156" s="1215" t="s">
        <v>535</v>
      </c>
      <c r="AA156" s="1215" t="s">
        <v>535</v>
      </c>
      <c r="AB156" s="1215"/>
      <c r="AC156" s="1215"/>
      <c r="AD156" s="1215" t="s">
        <v>535</v>
      </c>
      <c r="AE156" s="1215" t="s">
        <v>535</v>
      </c>
      <c r="AF156" s="1215" t="s">
        <v>535</v>
      </c>
      <c r="AG156" s="1216" t="s">
        <v>535</v>
      </c>
      <c r="AH156" s="504">
        <v>185</v>
      </c>
      <c r="AI156" s="505">
        <v>37</v>
      </c>
    </row>
    <row r="157" spans="1:36" ht="21.95" customHeight="1">
      <c r="A157" s="580"/>
      <c r="B157" s="1300" t="s">
        <v>756</v>
      </c>
      <c r="C157" s="1338" t="s">
        <v>535</v>
      </c>
      <c r="D157" s="1338" t="s">
        <v>514</v>
      </c>
      <c r="E157" s="1338" t="s">
        <v>535</v>
      </c>
      <c r="F157" s="1338" t="s">
        <v>535</v>
      </c>
      <c r="G157" s="1338"/>
      <c r="H157" s="1338"/>
      <c r="I157" s="1338" t="s">
        <v>535</v>
      </c>
      <c r="J157" s="1345" t="s">
        <v>535</v>
      </c>
      <c r="K157" s="1215" t="s">
        <v>535</v>
      </c>
      <c r="L157" s="1215" t="s">
        <v>535</v>
      </c>
      <c r="M157" s="1215" t="s">
        <v>535</v>
      </c>
      <c r="N157" s="1215"/>
      <c r="O157" s="1215"/>
      <c r="P157" s="1215" t="s">
        <v>535</v>
      </c>
      <c r="Q157" s="1215" t="s">
        <v>535</v>
      </c>
      <c r="R157" s="1215" t="s">
        <v>535</v>
      </c>
      <c r="S157" s="1215" t="s">
        <v>535</v>
      </c>
      <c r="T157" s="1215" t="s">
        <v>535</v>
      </c>
      <c r="U157" s="1215"/>
      <c r="V157" s="1215"/>
      <c r="W157" s="1215" t="s">
        <v>535</v>
      </c>
      <c r="X157" s="1215" t="s">
        <v>535</v>
      </c>
      <c r="Y157" s="1215" t="s">
        <v>535</v>
      </c>
      <c r="Z157" s="1215" t="s">
        <v>535</v>
      </c>
      <c r="AA157" s="1215" t="s">
        <v>535</v>
      </c>
      <c r="AB157" s="1215"/>
      <c r="AC157" s="1215"/>
      <c r="AD157" s="1215" t="s">
        <v>535</v>
      </c>
      <c r="AE157" s="1215" t="s">
        <v>535</v>
      </c>
      <c r="AF157" s="1215" t="s">
        <v>535</v>
      </c>
      <c r="AG157" s="1216" t="s">
        <v>535</v>
      </c>
      <c r="AH157" s="504">
        <v>185</v>
      </c>
      <c r="AI157" s="505">
        <v>37</v>
      </c>
    </row>
    <row r="158" spans="1:36" ht="21.95" customHeight="1">
      <c r="A158" s="580"/>
      <c r="B158" s="1299"/>
      <c r="C158" s="1215" t="s">
        <v>535</v>
      </c>
      <c r="D158" s="1215" t="s">
        <v>535</v>
      </c>
      <c r="E158" s="1215" t="s">
        <v>535</v>
      </c>
      <c r="F158" s="1215" t="s">
        <v>535</v>
      </c>
      <c r="G158" s="1215"/>
      <c r="H158" s="1215"/>
      <c r="I158" s="1215" t="s">
        <v>535</v>
      </c>
      <c r="J158" s="1215" t="s">
        <v>535</v>
      </c>
      <c r="K158" s="1215" t="s">
        <v>535</v>
      </c>
      <c r="L158" s="1215" t="s">
        <v>535</v>
      </c>
      <c r="M158" s="1215" t="s">
        <v>535</v>
      </c>
      <c r="N158" s="1215"/>
      <c r="O158" s="1215"/>
      <c r="P158" s="1215" t="s">
        <v>535</v>
      </c>
      <c r="Q158" s="1215" t="s">
        <v>535</v>
      </c>
      <c r="R158" s="1215" t="s">
        <v>535</v>
      </c>
      <c r="S158" s="1215" t="s">
        <v>535</v>
      </c>
      <c r="T158" s="1215" t="s">
        <v>535</v>
      </c>
      <c r="U158" s="1215"/>
      <c r="V158" s="1215"/>
      <c r="W158" s="1215" t="s">
        <v>535</v>
      </c>
      <c r="X158" s="1215" t="s">
        <v>535</v>
      </c>
      <c r="Y158" s="1215" t="s">
        <v>535</v>
      </c>
      <c r="Z158" s="1215" t="s">
        <v>535</v>
      </c>
      <c r="AA158" s="1215" t="s">
        <v>535</v>
      </c>
      <c r="AB158" s="1215"/>
      <c r="AC158" s="1215"/>
      <c r="AD158" s="1215" t="s">
        <v>535</v>
      </c>
      <c r="AE158" s="1215" t="s">
        <v>535</v>
      </c>
      <c r="AF158" s="1215" t="s">
        <v>535</v>
      </c>
      <c r="AG158" s="1216" t="s">
        <v>535</v>
      </c>
      <c r="AH158" s="504">
        <v>185</v>
      </c>
      <c r="AI158" s="505">
        <v>37</v>
      </c>
    </row>
    <row r="159" spans="1:36" ht="21.95" customHeight="1">
      <c r="A159" s="580"/>
      <c r="B159" s="1502"/>
      <c r="C159" s="559"/>
      <c r="D159" s="559"/>
      <c r="E159" s="559"/>
      <c r="F159" s="559"/>
      <c r="G159" s="559"/>
      <c r="H159" s="559"/>
      <c r="I159" s="559"/>
      <c r="J159" s="559"/>
      <c r="K159" s="559"/>
      <c r="L159" s="559"/>
      <c r="M159" s="559"/>
      <c r="N159" s="559"/>
      <c r="O159" s="559"/>
      <c r="P159" s="559"/>
      <c r="Q159" s="559"/>
      <c r="R159" s="559"/>
      <c r="S159" s="559"/>
      <c r="T159" s="559"/>
      <c r="U159" s="559"/>
      <c r="V159" s="559"/>
      <c r="W159" s="559"/>
      <c r="X159" s="559"/>
      <c r="Y159" s="559"/>
      <c r="Z159" s="559"/>
      <c r="AA159" s="559"/>
      <c r="AB159" s="559"/>
      <c r="AC159" s="559"/>
      <c r="AD159" s="559"/>
      <c r="AE159" s="559"/>
      <c r="AF159" s="559"/>
      <c r="AG159" s="559"/>
      <c r="AH159" s="560"/>
      <c r="AI159" s="560"/>
    </row>
    <row r="160" spans="1:36" ht="21.95" customHeight="1">
      <c r="A160" s="312" t="s">
        <v>527</v>
      </c>
      <c r="C160" s="559"/>
      <c r="D160" s="559"/>
      <c r="E160" s="559"/>
      <c r="F160" s="559"/>
      <c r="G160" s="559"/>
      <c r="H160" s="559"/>
      <c r="I160" s="559"/>
      <c r="J160" s="559"/>
      <c r="K160" s="559"/>
      <c r="L160" s="559"/>
      <c r="M160" s="559"/>
      <c r="N160" s="559"/>
      <c r="O160" s="559"/>
      <c r="P160" s="559"/>
      <c r="Q160" s="559"/>
      <c r="R160" s="559"/>
      <c r="S160" s="559"/>
      <c r="T160" s="559"/>
      <c r="U160" s="559"/>
      <c r="V160" s="559"/>
      <c r="W160" s="559"/>
      <c r="X160" s="559"/>
      <c r="Y160" s="559"/>
      <c r="Z160" s="559"/>
      <c r="AA160" s="559"/>
      <c r="AB160" s="559"/>
      <c r="AC160" s="559"/>
      <c r="AD160" s="559"/>
      <c r="AE160" s="559"/>
      <c r="AF160" s="559"/>
      <c r="AG160" s="559"/>
      <c r="AH160" s="560"/>
      <c r="AI160" s="560"/>
      <c r="AJ160" s="361"/>
    </row>
    <row r="161" spans="1:36" ht="21.95" customHeight="1">
      <c r="A161" s="299" t="s">
        <v>528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9" t="s">
        <v>10</v>
      </c>
      <c r="Y161" s="186"/>
      <c r="Z161" s="186"/>
      <c r="AA161" s="565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529</v>
      </c>
      <c r="C162" s="588" t="s">
        <v>124</v>
      </c>
      <c r="D162" s="585"/>
      <c r="E162" s="590"/>
      <c r="F162" s="588" t="s">
        <v>124</v>
      </c>
      <c r="G162" s="591"/>
      <c r="H162" s="590"/>
      <c r="I162" s="121" t="s">
        <v>124</v>
      </c>
      <c r="J162" s="569"/>
      <c r="K162" s="592"/>
      <c r="L162" s="121" t="s">
        <v>124</v>
      </c>
      <c r="M162" s="569"/>
      <c r="N162" s="592"/>
      <c r="O162" s="121" t="s">
        <v>125</v>
      </c>
      <c r="P162" s="569"/>
      <c r="Q162" s="477"/>
      <c r="R162" s="593" t="s">
        <v>28</v>
      </c>
      <c r="S162" s="569"/>
      <c r="T162" s="592"/>
      <c r="U162" s="569" t="s">
        <v>28</v>
      </c>
      <c r="V162" s="569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4"/>
      <c r="AH162" s="361"/>
      <c r="AI162" s="361"/>
      <c r="AJ162" s="361"/>
    </row>
    <row r="163" spans="1:36" ht="21.95" customHeight="1">
      <c r="A163" s="595">
        <v>8502</v>
      </c>
      <c r="B163" s="596" t="s">
        <v>530</v>
      </c>
      <c r="C163" s="121" t="s">
        <v>11</v>
      </c>
      <c r="D163" s="569"/>
      <c r="E163" s="477"/>
      <c r="F163" s="121" t="s">
        <v>11</v>
      </c>
      <c r="G163" s="569"/>
      <c r="H163" s="592"/>
      <c r="I163" s="121" t="s">
        <v>11</v>
      </c>
      <c r="J163" s="569"/>
      <c r="K163" s="592"/>
      <c r="L163" s="121" t="s">
        <v>11</v>
      </c>
      <c r="M163" s="569"/>
      <c r="N163" s="592"/>
      <c r="O163" s="121" t="s">
        <v>12</v>
      </c>
      <c r="P163" s="569"/>
      <c r="Q163" s="477"/>
      <c r="R163" s="597"/>
      <c r="S163" s="598"/>
      <c r="T163" s="592"/>
      <c r="U163" s="569"/>
      <c r="V163" s="569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9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9"/>
      <c r="B165" s="182" t="s">
        <v>480</v>
      </c>
      <c r="C165" s="1234">
        <v>1</v>
      </c>
      <c r="D165" s="1234">
        <v>2</v>
      </c>
      <c r="E165" s="1234">
        <v>3</v>
      </c>
      <c r="F165" s="1234">
        <v>4</v>
      </c>
      <c r="G165" s="1235">
        <v>5</v>
      </c>
      <c r="H165" s="1235">
        <v>6</v>
      </c>
      <c r="I165" s="1213">
        <v>7</v>
      </c>
      <c r="J165" s="1213">
        <v>8</v>
      </c>
      <c r="K165" s="1234">
        <v>9</v>
      </c>
      <c r="L165" s="1234">
        <v>10</v>
      </c>
      <c r="M165" s="1234">
        <v>11</v>
      </c>
      <c r="N165" s="1235">
        <v>12</v>
      </c>
      <c r="O165" s="1235">
        <v>13</v>
      </c>
      <c r="P165" s="1213">
        <v>14</v>
      </c>
      <c r="Q165" s="1213">
        <v>15</v>
      </c>
      <c r="R165" s="1234">
        <v>16</v>
      </c>
      <c r="S165" s="1234">
        <v>17</v>
      </c>
      <c r="T165" s="1234">
        <v>18</v>
      </c>
      <c r="U165" s="1235">
        <v>19</v>
      </c>
      <c r="V165" s="1330">
        <v>20</v>
      </c>
      <c r="W165" s="1213">
        <v>21</v>
      </c>
      <c r="X165" s="1213">
        <v>22</v>
      </c>
      <c r="Y165" s="1234">
        <v>23</v>
      </c>
      <c r="Z165" s="1234">
        <v>24</v>
      </c>
      <c r="AA165" s="1234">
        <v>25</v>
      </c>
      <c r="AB165" s="1235">
        <v>26</v>
      </c>
      <c r="AC165" s="1235">
        <v>27</v>
      </c>
      <c r="AD165" s="1213">
        <v>28</v>
      </c>
      <c r="AE165" s="1213">
        <v>29</v>
      </c>
      <c r="AF165" s="1234">
        <v>30</v>
      </c>
      <c r="AG165" s="1234">
        <v>31</v>
      </c>
      <c r="AH165" s="600" t="s">
        <v>481</v>
      </c>
      <c r="AI165" s="601" t="s">
        <v>482</v>
      </c>
    </row>
    <row r="166" spans="1:36" ht="21.95" customHeight="1">
      <c r="A166" s="602">
        <v>1</v>
      </c>
      <c r="B166" s="153" t="s">
        <v>531</v>
      </c>
      <c r="C166" s="1346" t="s">
        <v>535</v>
      </c>
      <c r="D166" s="1346" t="s">
        <v>535</v>
      </c>
      <c r="E166" s="1346" t="s">
        <v>535</v>
      </c>
      <c r="F166" s="1346" t="s">
        <v>535</v>
      </c>
      <c r="G166" s="1344"/>
      <c r="H166" s="1344"/>
      <c r="I166" s="1346" t="s">
        <v>535</v>
      </c>
      <c r="J166" s="1346" t="s">
        <v>535</v>
      </c>
      <c r="K166" s="1346" t="s">
        <v>535</v>
      </c>
      <c r="L166" s="1346" t="s">
        <v>535</v>
      </c>
      <c r="M166" s="1346" t="s">
        <v>535</v>
      </c>
      <c r="N166" s="1344"/>
      <c r="O166" s="1344"/>
      <c r="P166" s="1346" t="s">
        <v>535</v>
      </c>
      <c r="Q166" s="1346" t="s">
        <v>535</v>
      </c>
      <c r="R166" s="1346" t="s">
        <v>535</v>
      </c>
      <c r="S166" s="1346" t="s">
        <v>535</v>
      </c>
      <c r="T166" s="1346" t="s">
        <v>535</v>
      </c>
      <c r="U166" s="1344"/>
      <c r="V166" s="1344"/>
      <c r="W166" s="1346" t="s">
        <v>535</v>
      </c>
      <c r="X166" s="1346" t="s">
        <v>535</v>
      </c>
      <c r="Y166" s="1346" t="s">
        <v>535</v>
      </c>
      <c r="Z166" s="1346" t="s">
        <v>535</v>
      </c>
      <c r="AA166" s="1346" t="s">
        <v>535</v>
      </c>
      <c r="AB166" s="1344"/>
      <c r="AC166" s="1344"/>
      <c r="AD166" s="1346" t="s">
        <v>535</v>
      </c>
      <c r="AE166" s="1346" t="s">
        <v>535</v>
      </c>
      <c r="AF166" s="1346" t="s">
        <v>535</v>
      </c>
      <c r="AG166" s="1552" t="s">
        <v>535</v>
      </c>
      <c r="AH166" s="1320">
        <v>185</v>
      </c>
      <c r="AI166" s="1321">
        <v>37</v>
      </c>
    </row>
    <row r="167" spans="1:36" ht="21.95" customHeight="1">
      <c r="A167" s="602">
        <v>2</v>
      </c>
      <c r="B167" s="153" t="s">
        <v>534</v>
      </c>
      <c r="C167" s="1215">
        <v>1</v>
      </c>
      <c r="D167" s="1500" t="s">
        <v>514</v>
      </c>
      <c r="E167" s="1215">
        <v>1</v>
      </c>
      <c r="F167" s="1215">
        <v>1</v>
      </c>
      <c r="G167" s="1215">
        <v>1</v>
      </c>
      <c r="H167" s="1215"/>
      <c r="I167" s="1215" t="s">
        <v>550</v>
      </c>
      <c r="J167" s="1215">
        <v>2</v>
      </c>
      <c r="K167" s="1215">
        <v>2</v>
      </c>
      <c r="L167" s="1215">
        <v>2</v>
      </c>
      <c r="M167" s="1215">
        <v>2</v>
      </c>
      <c r="N167" s="1215"/>
      <c r="O167" s="1215"/>
      <c r="P167" s="1215" t="s">
        <v>487</v>
      </c>
      <c r="Q167" s="1215">
        <v>3</v>
      </c>
      <c r="R167" s="1215">
        <v>3</v>
      </c>
      <c r="S167" s="1215" t="s">
        <v>485</v>
      </c>
      <c r="T167" s="1215" t="s">
        <v>485</v>
      </c>
      <c r="U167" s="1215"/>
      <c r="V167" s="1215"/>
      <c r="W167" s="1215" t="s">
        <v>537</v>
      </c>
      <c r="X167" s="1508" t="s">
        <v>514</v>
      </c>
      <c r="Y167" s="1508" t="s">
        <v>514</v>
      </c>
      <c r="Z167" s="1508" t="s">
        <v>514</v>
      </c>
      <c r="AA167" s="1508" t="s">
        <v>514</v>
      </c>
      <c r="AB167" s="1392" t="s">
        <v>532</v>
      </c>
      <c r="AC167" s="1392" t="s">
        <v>533</v>
      </c>
      <c r="AD167" s="1215" t="s">
        <v>487</v>
      </c>
      <c r="AE167" s="1215" t="s">
        <v>487</v>
      </c>
      <c r="AF167" s="1215" t="s">
        <v>487</v>
      </c>
      <c r="AG167" s="1216" t="s">
        <v>487</v>
      </c>
      <c r="AH167" s="1322">
        <v>185</v>
      </c>
      <c r="AI167" s="1323">
        <v>37</v>
      </c>
    </row>
    <row r="168" spans="1:36" ht="21.95" customHeight="1">
      <c r="A168" s="602">
        <v>3</v>
      </c>
      <c r="B168" s="153" t="s">
        <v>536</v>
      </c>
      <c r="C168" s="1215">
        <v>7</v>
      </c>
      <c r="D168" s="1579">
        <v>7</v>
      </c>
      <c r="E168" s="1215">
        <v>7</v>
      </c>
      <c r="F168" s="1215">
        <v>7</v>
      </c>
      <c r="G168" s="1215"/>
      <c r="H168" s="1215"/>
      <c r="I168" s="1215">
        <v>4</v>
      </c>
      <c r="J168" s="1215">
        <v>4</v>
      </c>
      <c r="K168" s="1215">
        <v>4</v>
      </c>
      <c r="L168" s="1215">
        <v>4</v>
      </c>
      <c r="M168" s="1215">
        <v>4</v>
      </c>
      <c r="N168" s="1215"/>
      <c r="O168" s="1215"/>
      <c r="P168" s="1215">
        <v>3</v>
      </c>
      <c r="Q168" s="1215">
        <v>3</v>
      </c>
      <c r="R168" s="1215">
        <v>3</v>
      </c>
      <c r="S168" s="1215">
        <v>3</v>
      </c>
      <c r="T168" s="1215">
        <v>3</v>
      </c>
      <c r="U168" s="1215"/>
      <c r="V168" s="1215"/>
      <c r="W168" s="1215">
        <v>11</v>
      </c>
      <c r="X168" s="1215">
        <v>11</v>
      </c>
      <c r="Y168" s="1215">
        <v>11</v>
      </c>
      <c r="Z168" s="1215">
        <v>11</v>
      </c>
      <c r="AA168" s="1215">
        <v>11</v>
      </c>
      <c r="AB168" s="1392" t="s">
        <v>760</v>
      </c>
      <c r="AC168" s="1215" t="s">
        <v>657</v>
      </c>
      <c r="AD168" s="1215" t="s">
        <v>487</v>
      </c>
      <c r="AE168" s="1215" t="s">
        <v>487</v>
      </c>
      <c r="AF168" s="1215" t="s">
        <v>487</v>
      </c>
      <c r="AG168" s="1221" t="s">
        <v>487</v>
      </c>
      <c r="AH168" s="1322">
        <v>117</v>
      </c>
      <c r="AI168" s="1323">
        <v>37</v>
      </c>
    </row>
    <row r="169" spans="1:36" ht="21.95" customHeight="1">
      <c r="A169" s="602">
        <v>4</v>
      </c>
      <c r="B169" s="1241" t="s">
        <v>542</v>
      </c>
      <c r="C169" s="1215" t="s">
        <v>550</v>
      </c>
      <c r="D169" s="1500" t="s">
        <v>550</v>
      </c>
      <c r="E169" s="1215" t="s">
        <v>537</v>
      </c>
      <c r="F169" s="1215">
        <v>3</v>
      </c>
      <c r="G169" s="1215"/>
      <c r="H169" s="1215"/>
      <c r="I169" s="1215">
        <v>8</v>
      </c>
      <c r="J169" s="1215" t="s">
        <v>487</v>
      </c>
      <c r="K169" s="1215" t="s">
        <v>487</v>
      </c>
      <c r="L169" s="1215" t="s">
        <v>487</v>
      </c>
      <c r="M169" s="1215" t="s">
        <v>487</v>
      </c>
      <c r="N169" s="1215" t="s">
        <v>533</v>
      </c>
      <c r="O169" s="1215" t="s">
        <v>533</v>
      </c>
      <c r="P169" s="1335" t="s">
        <v>514</v>
      </c>
      <c r="Q169" s="1335" t="s">
        <v>514</v>
      </c>
      <c r="R169" s="1335" t="s">
        <v>514</v>
      </c>
      <c r="S169" s="1335" t="s">
        <v>514</v>
      </c>
      <c r="T169" s="1335" t="s">
        <v>514</v>
      </c>
      <c r="U169" s="1344"/>
      <c r="V169" s="1344"/>
      <c r="W169" s="1215" t="s">
        <v>487</v>
      </c>
      <c r="X169" s="1215" t="s">
        <v>550</v>
      </c>
      <c r="Y169" s="1215" t="s">
        <v>550</v>
      </c>
      <c r="Z169" s="1215">
        <v>6</v>
      </c>
      <c r="AA169" s="1215">
        <v>6</v>
      </c>
      <c r="AB169" s="1215"/>
      <c r="AC169" s="1215" t="s">
        <v>533</v>
      </c>
      <c r="AD169" s="1215" t="s">
        <v>550</v>
      </c>
      <c r="AE169" s="1215" t="s">
        <v>550</v>
      </c>
      <c r="AF169" s="1215" t="s">
        <v>550</v>
      </c>
      <c r="AG169" s="1344" t="s">
        <v>550</v>
      </c>
      <c r="AH169" s="1322">
        <v>185</v>
      </c>
      <c r="AI169" s="1323">
        <v>37</v>
      </c>
    </row>
    <row r="170" spans="1:36" ht="21.95" customHeight="1">
      <c r="A170" s="602">
        <v>5</v>
      </c>
      <c r="B170" s="319" t="s">
        <v>771</v>
      </c>
      <c r="C170" s="1215">
        <v>4</v>
      </c>
      <c r="D170" s="1215">
        <v>4</v>
      </c>
      <c r="E170" s="1215" t="s">
        <v>485</v>
      </c>
      <c r="F170" s="1215" t="s">
        <v>485</v>
      </c>
      <c r="G170" s="1215" t="s">
        <v>486</v>
      </c>
      <c r="H170" s="1215" t="s">
        <v>486</v>
      </c>
      <c r="I170" s="1215" t="s">
        <v>487</v>
      </c>
      <c r="J170" s="1215" t="s">
        <v>487</v>
      </c>
      <c r="K170" s="1215" t="s">
        <v>487</v>
      </c>
      <c r="L170" s="1215" t="s">
        <v>487</v>
      </c>
      <c r="M170" s="1215" t="s">
        <v>487</v>
      </c>
      <c r="N170" s="1215"/>
      <c r="O170" s="1215"/>
      <c r="P170" s="172" t="s">
        <v>514</v>
      </c>
      <c r="Q170" s="172" t="s">
        <v>514</v>
      </c>
      <c r="R170" s="172" t="s">
        <v>514</v>
      </c>
      <c r="S170" s="172" t="s">
        <v>514</v>
      </c>
      <c r="T170" s="172" t="s">
        <v>514</v>
      </c>
      <c r="U170" s="1215"/>
      <c r="V170" s="1215"/>
      <c r="W170" s="1215">
        <v>1</v>
      </c>
      <c r="X170" s="1215">
        <v>1</v>
      </c>
      <c r="Y170" s="1215">
        <v>1</v>
      </c>
      <c r="Z170" s="1215">
        <v>1</v>
      </c>
      <c r="AA170" s="1215">
        <v>1</v>
      </c>
      <c r="AB170" s="1215"/>
      <c r="AC170" s="1215" t="s">
        <v>28</v>
      </c>
      <c r="AD170" s="1215">
        <v>8</v>
      </c>
      <c r="AE170" s="1215">
        <v>8</v>
      </c>
      <c r="AF170" s="1215">
        <v>8</v>
      </c>
      <c r="AG170" s="1216">
        <v>8</v>
      </c>
      <c r="AH170" s="1324">
        <v>185</v>
      </c>
      <c r="AI170" s="1325">
        <v>37</v>
      </c>
    </row>
    <row r="171" spans="1:36" ht="21.95" customHeight="1">
      <c r="A171" s="602">
        <v>6</v>
      </c>
      <c r="B171" s="153" t="s">
        <v>773</v>
      </c>
      <c r="C171" s="1215" t="s">
        <v>487</v>
      </c>
      <c r="D171" s="1215" t="s">
        <v>514</v>
      </c>
      <c r="E171" s="1344" t="s">
        <v>487</v>
      </c>
      <c r="F171" s="1215" t="s">
        <v>487</v>
      </c>
      <c r="G171" s="1215"/>
      <c r="H171" s="1215"/>
      <c r="I171" s="172" t="s">
        <v>514</v>
      </c>
      <c r="J171" s="172" t="s">
        <v>514</v>
      </c>
      <c r="K171" s="172" t="s">
        <v>514</v>
      </c>
      <c r="L171" s="172" t="s">
        <v>514</v>
      </c>
      <c r="M171" s="172" t="s">
        <v>514</v>
      </c>
      <c r="N171" s="1215"/>
      <c r="O171" s="1215"/>
      <c r="P171" s="1344" t="s">
        <v>485</v>
      </c>
      <c r="Q171" s="1344" t="s">
        <v>485</v>
      </c>
      <c r="R171" s="1344" t="s">
        <v>485</v>
      </c>
      <c r="S171" s="1344" t="s">
        <v>484</v>
      </c>
      <c r="T171" s="1344" t="s">
        <v>484</v>
      </c>
      <c r="U171" s="1215" t="s">
        <v>533</v>
      </c>
      <c r="V171" s="1215" t="s">
        <v>533</v>
      </c>
      <c r="W171" s="1215" t="s">
        <v>487</v>
      </c>
      <c r="X171" s="1444" t="s">
        <v>487</v>
      </c>
      <c r="Y171" s="1215" t="s">
        <v>487</v>
      </c>
      <c r="Z171" s="1215" t="s">
        <v>487</v>
      </c>
      <c r="AA171" s="1215" t="s">
        <v>487</v>
      </c>
      <c r="AB171" s="1215" t="s">
        <v>657</v>
      </c>
      <c r="AC171" s="1215"/>
      <c r="AD171" s="1215" t="s">
        <v>535</v>
      </c>
      <c r="AE171" s="1215" t="s">
        <v>535</v>
      </c>
      <c r="AF171" s="1215" t="s">
        <v>535</v>
      </c>
      <c r="AG171" s="1215" t="s">
        <v>535</v>
      </c>
      <c r="AH171" s="1326">
        <v>185</v>
      </c>
      <c r="AI171" s="1327">
        <v>37</v>
      </c>
    </row>
    <row r="172" spans="1:36" ht="21.95" customHeight="1">
      <c r="A172" s="602">
        <v>7</v>
      </c>
      <c r="B172" s="545" t="s">
        <v>553</v>
      </c>
      <c r="C172" s="172" t="s">
        <v>514</v>
      </c>
      <c r="D172" s="172" t="s">
        <v>514</v>
      </c>
      <c r="E172" s="172" t="s">
        <v>514</v>
      </c>
      <c r="F172" s="172" t="s">
        <v>514</v>
      </c>
      <c r="G172" s="1215"/>
      <c r="H172" s="1215"/>
      <c r="I172" s="1215">
        <v>3</v>
      </c>
      <c r="J172" s="1215">
        <v>3</v>
      </c>
      <c r="K172" s="1215">
        <v>3</v>
      </c>
      <c r="L172" s="1392">
        <v>3</v>
      </c>
      <c r="M172" s="1392" t="s">
        <v>777</v>
      </c>
      <c r="N172" s="1344"/>
      <c r="O172" s="1344"/>
      <c r="P172" s="1344">
        <v>10</v>
      </c>
      <c r="Q172" s="1215">
        <v>10</v>
      </c>
      <c r="R172" s="1215">
        <v>10</v>
      </c>
      <c r="S172" s="1215">
        <v>10</v>
      </c>
      <c r="T172" s="1215">
        <v>10</v>
      </c>
      <c r="U172" s="1215" t="s">
        <v>555</v>
      </c>
      <c r="V172" s="1215" t="s">
        <v>555</v>
      </c>
      <c r="W172" s="1215" t="s">
        <v>487</v>
      </c>
      <c r="X172" s="1215" t="s">
        <v>487</v>
      </c>
      <c r="Y172" s="1215" t="s">
        <v>487</v>
      </c>
      <c r="Z172" s="1500" t="s">
        <v>487</v>
      </c>
      <c r="AA172" s="1215" t="s">
        <v>487</v>
      </c>
      <c r="AB172" s="1215" t="s">
        <v>532</v>
      </c>
      <c r="AC172" s="1215" t="s">
        <v>533</v>
      </c>
      <c r="AD172" s="172" t="s">
        <v>514</v>
      </c>
      <c r="AE172" s="172" t="s">
        <v>514</v>
      </c>
      <c r="AF172" s="172" t="s">
        <v>514</v>
      </c>
      <c r="AG172" s="1600" t="s">
        <v>514</v>
      </c>
      <c r="AH172" s="1326">
        <v>148</v>
      </c>
      <c r="AI172" s="1327">
        <v>37</v>
      </c>
    </row>
    <row r="173" spans="1:36" ht="21.95" customHeight="1">
      <c r="A173" s="602">
        <v>8</v>
      </c>
      <c r="B173" s="902" t="s">
        <v>778</v>
      </c>
      <c r="C173" s="1213" t="s">
        <v>514</v>
      </c>
      <c r="D173" s="1213" t="s">
        <v>514</v>
      </c>
      <c r="E173" s="1213" t="s">
        <v>514</v>
      </c>
      <c r="F173" s="1213" t="s">
        <v>514</v>
      </c>
      <c r="G173" s="1213"/>
      <c r="H173" s="1213"/>
      <c r="I173" s="1213" t="s">
        <v>514</v>
      </c>
      <c r="J173" s="1213" t="s">
        <v>514</v>
      </c>
      <c r="K173" s="1213" t="s">
        <v>514</v>
      </c>
      <c r="L173" s="1213" t="s">
        <v>514</v>
      </c>
      <c r="M173" s="1213" t="s">
        <v>514</v>
      </c>
      <c r="N173" s="1213"/>
      <c r="O173" s="1213"/>
      <c r="P173" s="1213" t="s">
        <v>514</v>
      </c>
      <c r="Q173" s="1213" t="s">
        <v>514</v>
      </c>
      <c r="R173" s="1213" t="s">
        <v>514</v>
      </c>
      <c r="S173" s="1213" t="s">
        <v>514</v>
      </c>
      <c r="T173" s="1213" t="s">
        <v>514</v>
      </c>
      <c r="U173" s="1213"/>
      <c r="V173" s="1213"/>
      <c r="W173" s="1213" t="s">
        <v>514</v>
      </c>
      <c r="X173" s="1213" t="s">
        <v>514</v>
      </c>
      <c r="Y173" s="1213" t="s">
        <v>514</v>
      </c>
      <c r="Z173" s="1213" t="s">
        <v>514</v>
      </c>
      <c r="AA173" s="1213" t="s">
        <v>514</v>
      </c>
      <c r="AB173" s="1213"/>
      <c r="AC173" s="1213"/>
      <c r="AD173" s="1213" t="s">
        <v>514</v>
      </c>
      <c r="AE173" s="1213" t="s">
        <v>514</v>
      </c>
      <c r="AF173" s="1213" t="s">
        <v>514</v>
      </c>
      <c r="AG173" s="1213" t="s">
        <v>514</v>
      </c>
      <c r="AH173" s="1326">
        <v>185</v>
      </c>
      <c r="AI173" s="1327">
        <v>37</v>
      </c>
    </row>
    <row r="174" spans="1:36" ht="21.95" customHeight="1">
      <c r="A174" s="602">
        <v>9</v>
      </c>
      <c r="B174" s="153"/>
      <c r="C174" s="1215"/>
      <c r="D174" s="1215"/>
      <c r="E174" s="1215"/>
      <c r="F174" s="1215"/>
      <c r="G174" s="1215"/>
      <c r="H174" s="1215"/>
      <c r="I174" s="1215"/>
      <c r="J174" s="1215"/>
      <c r="K174" s="1215"/>
      <c r="L174" s="1215"/>
      <c r="M174" s="1215"/>
      <c r="N174" s="1215"/>
      <c r="O174" s="1215"/>
      <c r="P174" s="1215"/>
      <c r="Q174" s="1215"/>
      <c r="R174" s="1215"/>
      <c r="S174" s="1215"/>
      <c r="T174" s="1215"/>
      <c r="U174" s="1215"/>
      <c r="V174" s="1215"/>
      <c r="W174" s="1215"/>
      <c r="X174" s="1215"/>
      <c r="Y174" s="1215"/>
      <c r="Z174" s="1215"/>
      <c r="AA174" s="1215"/>
      <c r="AB174" s="1215"/>
      <c r="AC174" s="1215"/>
      <c r="AD174" s="1215"/>
      <c r="AE174" s="1215"/>
      <c r="AF174" s="1215"/>
      <c r="AG174" s="1216"/>
      <c r="AH174" s="1326">
        <v>185</v>
      </c>
      <c r="AI174" s="1327">
        <v>37</v>
      </c>
    </row>
    <row r="175" spans="1:36" ht="21.95" customHeight="1">
      <c r="A175" s="602">
        <v>10</v>
      </c>
      <c r="B175" s="153"/>
      <c r="C175" s="1213"/>
      <c r="D175" s="1213"/>
      <c r="E175" s="1213"/>
      <c r="F175" s="1213"/>
      <c r="G175" s="1213"/>
      <c r="H175" s="1213"/>
      <c r="I175" s="1213"/>
      <c r="J175" s="1213"/>
      <c r="K175" s="1213"/>
      <c r="L175" s="1213"/>
      <c r="M175" s="1213"/>
      <c r="N175" s="1213"/>
      <c r="O175" s="1213"/>
      <c r="P175" s="1213"/>
      <c r="Q175" s="1213"/>
      <c r="R175" s="1213"/>
      <c r="S175" s="1213"/>
      <c r="T175" s="1213"/>
      <c r="U175" s="1213"/>
      <c r="V175" s="1213"/>
      <c r="W175" s="1215"/>
      <c r="X175" s="1213"/>
      <c r="Y175" s="1213"/>
      <c r="Z175" s="1213"/>
      <c r="AA175" s="1213"/>
      <c r="AB175" s="1213"/>
      <c r="AC175" s="1213"/>
      <c r="AD175" s="1213"/>
      <c r="AE175" s="1213"/>
      <c r="AF175" s="1213"/>
      <c r="AG175" s="1230"/>
      <c r="AH175" s="1326">
        <v>185</v>
      </c>
      <c r="AI175" s="1327">
        <v>37</v>
      </c>
    </row>
    <row r="176" spans="1:36" ht="21.95" customHeight="1">
      <c r="A176" s="602">
        <v>11</v>
      </c>
      <c r="B176" s="153"/>
      <c r="C176" s="1213"/>
      <c r="D176" s="1213"/>
      <c r="E176" s="1213"/>
      <c r="F176" s="1213"/>
      <c r="G176" s="1213"/>
      <c r="H176" s="1213"/>
      <c r="I176" s="1213"/>
      <c r="J176" s="1213"/>
      <c r="K176" s="1213"/>
      <c r="L176" s="1213"/>
      <c r="M176" s="1213"/>
      <c r="N176" s="1213"/>
      <c r="O176" s="1213"/>
      <c r="P176" s="1213"/>
      <c r="Q176" s="1213"/>
      <c r="R176" s="1213"/>
      <c r="S176" s="1213"/>
      <c r="T176" s="1213"/>
      <c r="U176" s="1213"/>
      <c r="V176" s="1213"/>
      <c r="W176" s="1215"/>
      <c r="X176" s="1213"/>
      <c r="Y176" s="1213"/>
      <c r="Z176" s="1213"/>
      <c r="AA176" s="1213"/>
      <c r="AB176" s="1213"/>
      <c r="AC176" s="1213"/>
      <c r="AD176" s="1213"/>
      <c r="AE176" s="1213"/>
      <c r="AF176" s="1213"/>
      <c r="AG176" s="1230"/>
      <c r="AH176" s="1326">
        <v>185</v>
      </c>
      <c r="AI176" s="1327">
        <v>37</v>
      </c>
    </row>
    <row r="177" spans="1:35" ht="21.95" customHeight="1" thickBot="1">
      <c r="A177" s="602">
        <v>12</v>
      </c>
      <c r="B177" s="153"/>
      <c r="C177" s="1213"/>
      <c r="D177" s="1213"/>
      <c r="E177" s="1213"/>
      <c r="F177" s="1213"/>
      <c r="G177" s="1213"/>
      <c r="H177" s="1213"/>
      <c r="I177" s="1213"/>
      <c r="J177" s="1213"/>
      <c r="K177" s="1213"/>
      <c r="L177" s="1213"/>
      <c r="M177" s="1213"/>
      <c r="N177" s="1213"/>
      <c r="O177" s="1213"/>
      <c r="P177" s="1213"/>
      <c r="Q177" s="1213"/>
      <c r="R177" s="1213"/>
      <c r="S177" s="1213"/>
      <c r="T177" s="1213"/>
      <c r="U177" s="1213"/>
      <c r="V177" s="1213"/>
      <c r="W177" s="1215"/>
      <c r="X177" s="1213"/>
      <c r="Y177" s="1213"/>
      <c r="Z177" s="1213"/>
      <c r="AA177" s="1213"/>
      <c r="AB177" s="1213"/>
      <c r="AC177" s="1213"/>
      <c r="AD177" s="1213"/>
      <c r="AE177" s="1213"/>
      <c r="AF177" s="1213"/>
      <c r="AG177" s="1230"/>
      <c r="AH177" s="1328">
        <v>185</v>
      </c>
      <c r="AI177" s="1329">
        <v>37</v>
      </c>
    </row>
    <row r="178" spans="1:35" ht="21" customHeight="1">
      <c r="A178" s="312" t="s">
        <v>551</v>
      </c>
    </row>
    <row r="179" spans="1:35" ht="21" customHeight="1">
      <c r="A179" s="556"/>
      <c r="B179" s="297" t="s">
        <v>480</v>
      </c>
      <c r="C179" s="1234">
        <v>1</v>
      </c>
      <c r="D179" s="1234">
        <v>2</v>
      </c>
      <c r="E179" s="1234">
        <v>3</v>
      </c>
      <c r="F179" s="1234">
        <v>4</v>
      </c>
      <c r="G179" s="1235">
        <v>5</v>
      </c>
      <c r="H179" s="1235">
        <v>6</v>
      </c>
      <c r="I179" s="1213">
        <v>7</v>
      </c>
      <c r="J179" s="1213">
        <v>8</v>
      </c>
      <c r="K179" s="1234">
        <v>9</v>
      </c>
      <c r="L179" s="1234">
        <v>10</v>
      </c>
      <c r="M179" s="1234">
        <v>11</v>
      </c>
      <c r="N179" s="1235">
        <v>12</v>
      </c>
      <c r="O179" s="1235">
        <v>13</v>
      </c>
      <c r="P179" s="1213">
        <v>14</v>
      </c>
      <c r="Q179" s="1213">
        <v>15</v>
      </c>
      <c r="R179" s="1234">
        <v>16</v>
      </c>
      <c r="S179" s="1234">
        <v>17</v>
      </c>
      <c r="T179" s="1234">
        <v>18</v>
      </c>
      <c r="U179" s="1235">
        <v>19</v>
      </c>
      <c r="V179" s="1330">
        <v>20</v>
      </c>
      <c r="W179" s="1213">
        <v>21</v>
      </c>
      <c r="X179" s="1213">
        <v>22</v>
      </c>
      <c r="Y179" s="1234">
        <v>23</v>
      </c>
      <c r="Z179" s="1234">
        <v>24</v>
      </c>
      <c r="AA179" s="1234">
        <v>25</v>
      </c>
      <c r="AB179" s="1235">
        <v>26</v>
      </c>
      <c r="AC179" s="1235">
        <v>27</v>
      </c>
      <c r="AD179" s="1213">
        <v>28</v>
      </c>
      <c r="AE179" s="1213">
        <v>29</v>
      </c>
      <c r="AF179" s="1234">
        <v>30</v>
      </c>
      <c r="AG179" s="1234">
        <v>31</v>
      </c>
      <c r="AH179" s="606"/>
    </row>
    <row r="180" spans="1:35" ht="21" customHeight="1">
      <c r="A180" s="556">
        <v>1</v>
      </c>
      <c r="B180" s="319" t="s">
        <v>552</v>
      </c>
      <c r="C180" s="1213" t="s">
        <v>514</v>
      </c>
      <c r="D180" s="1213" t="s">
        <v>514</v>
      </c>
      <c r="E180" s="1213" t="s">
        <v>514</v>
      </c>
      <c r="F180" s="1213" t="s">
        <v>514</v>
      </c>
      <c r="G180" s="1213"/>
      <c r="H180" s="1213"/>
      <c r="I180" s="1213" t="s">
        <v>514</v>
      </c>
      <c r="J180" s="1213" t="s">
        <v>514</v>
      </c>
      <c r="K180" s="1213" t="s">
        <v>514</v>
      </c>
      <c r="L180" s="1213" t="s">
        <v>514</v>
      </c>
      <c r="M180" s="1213" t="s">
        <v>514</v>
      </c>
      <c r="N180" s="1213"/>
      <c r="O180" s="1213"/>
      <c r="P180" s="1213" t="s">
        <v>514</v>
      </c>
      <c r="Q180" s="1213" t="s">
        <v>514</v>
      </c>
      <c r="R180" s="1213" t="s">
        <v>514</v>
      </c>
      <c r="S180" s="1213" t="s">
        <v>514</v>
      </c>
      <c r="T180" s="1213" t="s">
        <v>514</v>
      </c>
      <c r="U180" s="1213"/>
      <c r="V180" s="1213"/>
      <c r="W180" s="1213" t="s">
        <v>514</v>
      </c>
      <c r="X180" s="1213" t="s">
        <v>514</v>
      </c>
      <c r="Y180" s="1213" t="s">
        <v>514</v>
      </c>
      <c r="Z180" s="1213" t="s">
        <v>514</v>
      </c>
      <c r="AA180" s="1213" t="s">
        <v>514</v>
      </c>
      <c r="AB180" s="1213"/>
      <c r="AC180" s="1213"/>
      <c r="AD180" s="1213" t="s">
        <v>514</v>
      </c>
      <c r="AE180" s="1213" t="s">
        <v>514</v>
      </c>
      <c r="AF180" s="1213" t="s">
        <v>514</v>
      </c>
      <c r="AG180" s="1213" t="s">
        <v>514</v>
      </c>
      <c r="AH180" s="606"/>
    </row>
    <row r="181" spans="1:35" ht="21" customHeight="1">
      <c r="A181" s="556">
        <v>2</v>
      </c>
      <c r="B181" s="545" t="s">
        <v>554</v>
      </c>
      <c r="C181" s="172" t="s">
        <v>514</v>
      </c>
      <c r="D181" s="172" t="s">
        <v>514</v>
      </c>
      <c r="E181" s="172" t="s">
        <v>514</v>
      </c>
      <c r="F181" s="172" t="s">
        <v>514</v>
      </c>
      <c r="G181" s="172"/>
      <c r="H181" s="172"/>
      <c r="I181" s="172">
        <v>3</v>
      </c>
      <c r="J181" s="1590" t="s">
        <v>550</v>
      </c>
      <c r="K181" s="1590" t="s">
        <v>550</v>
      </c>
      <c r="L181" s="1590" t="s">
        <v>550</v>
      </c>
      <c r="M181" s="1590">
        <v>3</v>
      </c>
      <c r="N181" s="172"/>
      <c r="O181" s="172"/>
      <c r="P181" s="172">
        <v>11</v>
      </c>
      <c r="Q181" s="172">
        <v>11</v>
      </c>
      <c r="R181" s="172">
        <v>11</v>
      </c>
      <c r="S181" s="172">
        <v>11</v>
      </c>
      <c r="T181" s="172">
        <v>11</v>
      </c>
      <c r="U181" s="172" t="s">
        <v>657</v>
      </c>
      <c r="V181" s="172" t="s">
        <v>657</v>
      </c>
      <c r="W181" s="172" t="s">
        <v>487</v>
      </c>
      <c r="X181" s="172" t="s">
        <v>487</v>
      </c>
      <c r="Y181" s="172" t="s">
        <v>487</v>
      </c>
      <c r="Z181" s="172" t="s">
        <v>514</v>
      </c>
      <c r="AA181" s="172" t="s">
        <v>514</v>
      </c>
      <c r="AB181" s="172" t="s">
        <v>28</v>
      </c>
      <c r="AC181" s="172" t="s">
        <v>28</v>
      </c>
      <c r="AD181" s="1213">
        <v>6</v>
      </c>
      <c r="AE181" s="172">
        <v>6</v>
      </c>
      <c r="AF181" s="172">
        <v>6</v>
      </c>
      <c r="AG181" s="172" t="s">
        <v>514</v>
      </c>
      <c r="AH181" s="606"/>
    </row>
    <row r="182" spans="1:35" ht="21" customHeight="1">
      <c r="A182" s="556">
        <v>3</v>
      </c>
      <c r="B182" s="545" t="s">
        <v>779</v>
      </c>
      <c r="C182" s="172"/>
      <c r="D182" s="172"/>
      <c r="E182" s="172"/>
      <c r="F182" s="172"/>
      <c r="G182" s="172"/>
      <c r="H182" s="172"/>
      <c r="I182" s="172"/>
      <c r="J182" s="172"/>
      <c r="K182" s="172"/>
      <c r="L182" s="172"/>
      <c r="M182" s="172"/>
      <c r="N182" s="607"/>
      <c r="O182" s="172"/>
      <c r="P182" s="172"/>
      <c r="Q182" s="172"/>
      <c r="R182" s="172"/>
      <c r="S182" s="172"/>
      <c r="T182" s="172"/>
      <c r="U182" s="172"/>
      <c r="V182" s="172"/>
      <c r="W182" s="1455" t="s">
        <v>514</v>
      </c>
      <c r="X182" s="1455">
        <v>8</v>
      </c>
      <c r="Y182" s="1455" t="s">
        <v>484</v>
      </c>
      <c r="Z182" s="1455" t="s">
        <v>556</v>
      </c>
      <c r="AA182" s="1455" t="s">
        <v>537</v>
      </c>
      <c r="AB182" s="172"/>
      <c r="AC182" s="172"/>
      <c r="AD182" s="172"/>
      <c r="AE182" s="172"/>
      <c r="AF182" s="172"/>
      <c r="AG182" s="172"/>
      <c r="AH182" s="606"/>
    </row>
    <row r="183" spans="1:35" ht="21" customHeight="1">
      <c r="A183" s="556">
        <v>4</v>
      </c>
      <c r="B183" s="545"/>
      <c r="C183" s="172"/>
      <c r="D183" s="172"/>
      <c r="E183" s="172"/>
      <c r="F183" s="172"/>
      <c r="G183" s="172"/>
      <c r="H183" s="172"/>
      <c r="I183" s="172"/>
      <c r="J183" s="172"/>
      <c r="K183" s="172"/>
      <c r="L183" s="172"/>
      <c r="M183" s="172"/>
      <c r="N183" s="172"/>
      <c r="O183" s="172"/>
      <c r="P183" s="172"/>
      <c r="Q183" s="172"/>
      <c r="R183" s="172"/>
      <c r="S183" s="172"/>
      <c r="T183" s="172"/>
      <c r="U183" s="172"/>
      <c r="V183" s="172"/>
      <c r="W183" s="172"/>
      <c r="X183" s="172"/>
      <c r="Y183" s="172"/>
      <c r="Z183" s="172"/>
      <c r="AA183" s="172"/>
      <c r="AB183" s="607"/>
      <c r="AC183" s="172"/>
      <c r="AD183" s="172"/>
      <c r="AE183" s="172"/>
      <c r="AF183" s="172"/>
      <c r="AG183" s="172"/>
      <c r="AH183" s="606"/>
    </row>
    <row r="184" spans="1:35" ht="21" customHeight="1">
      <c r="A184" s="556">
        <v>5</v>
      </c>
      <c r="B184" s="545"/>
      <c r="C184" s="172"/>
      <c r="D184" s="172"/>
      <c r="E184" s="172"/>
      <c r="F184" s="172"/>
      <c r="G184" s="172"/>
      <c r="H184" s="172"/>
      <c r="I184" s="172"/>
      <c r="J184" s="172"/>
      <c r="K184" s="172"/>
      <c r="L184" s="172"/>
      <c r="M184" s="172"/>
      <c r="N184" s="172"/>
      <c r="O184" s="172"/>
      <c r="P184" s="172"/>
      <c r="Q184" s="172"/>
      <c r="R184" s="172"/>
      <c r="S184" s="172"/>
      <c r="T184" s="172"/>
      <c r="U184" s="172"/>
      <c r="V184" s="172"/>
      <c r="W184" s="172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172"/>
      <c r="AH184" s="606"/>
    </row>
    <row r="185" spans="1:35" ht="21" customHeight="1">
      <c r="A185" s="1232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1233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6"/>
    </row>
    <row r="186" spans="1:35" ht="21.95" customHeight="1" thickBot="1">
      <c r="A186" s="1" t="s">
        <v>560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1290" t="s">
        <v>516</v>
      </c>
      <c r="C187" s="51" t="s">
        <v>2</v>
      </c>
      <c r="D187" s="51"/>
      <c r="E187" s="51"/>
      <c r="F187" s="51"/>
      <c r="G187" s="1292" t="s">
        <v>3</v>
      </c>
      <c r="H187" s="51"/>
      <c r="I187" s="51"/>
      <c r="J187" s="51"/>
      <c r="K187" s="1292" t="s">
        <v>4</v>
      </c>
      <c r="L187" s="51"/>
      <c r="M187" s="51"/>
      <c r="N187" s="51"/>
      <c r="O187" s="1292" t="s">
        <v>5</v>
      </c>
      <c r="P187" s="51"/>
      <c r="Q187" s="51"/>
      <c r="R187" s="51"/>
      <c r="S187" s="1292" t="s">
        <v>6</v>
      </c>
      <c r="T187" s="51"/>
      <c r="U187" s="51"/>
      <c r="V187" s="51"/>
      <c r="W187" s="51"/>
      <c r="X187" s="1296" t="s">
        <v>7</v>
      </c>
      <c r="Y187" s="51"/>
      <c r="Z187" s="551"/>
      <c r="AA187" s="7"/>
      <c r="AB187" s="525" t="s">
        <v>8</v>
      </c>
      <c r="AC187" s="51"/>
      <c r="AD187" s="51"/>
      <c r="AE187" s="425" t="s">
        <v>10</v>
      </c>
      <c r="AF187" s="51"/>
      <c r="AG187" s="51"/>
      <c r="AH187" s="51"/>
      <c r="AI187" s="526"/>
    </row>
    <row r="188" spans="1:35" ht="21.95" customHeight="1">
      <c r="A188" s="1"/>
      <c r="B188" s="1290">
        <v>3701</v>
      </c>
      <c r="C188" s="55" t="s">
        <v>561</v>
      </c>
      <c r="D188" s="55"/>
      <c r="E188" s="55"/>
      <c r="F188" s="55"/>
      <c r="G188" s="1293" t="s">
        <v>124</v>
      </c>
      <c r="H188" s="55"/>
      <c r="I188" s="55"/>
      <c r="J188" s="55"/>
      <c r="K188" s="1293" t="s">
        <v>124</v>
      </c>
      <c r="L188" s="55"/>
      <c r="M188" s="55"/>
      <c r="N188" s="55"/>
      <c r="O188" s="1293" t="s">
        <v>124</v>
      </c>
      <c r="P188" s="55"/>
      <c r="Q188" s="55"/>
      <c r="R188" s="55"/>
      <c r="S188" s="1293" t="s">
        <v>125</v>
      </c>
      <c r="T188" s="55"/>
      <c r="U188" s="55"/>
      <c r="V188" s="55"/>
      <c r="W188" s="55"/>
      <c r="X188" s="1297"/>
      <c r="Y188" s="55"/>
      <c r="Z188" s="608"/>
      <c r="AA188" s="14"/>
      <c r="AB188" s="609"/>
      <c r="AC188" s="55"/>
      <c r="AD188" s="55"/>
      <c r="AE188" s="610"/>
      <c r="AF188" s="55"/>
      <c r="AG188" s="55"/>
      <c r="AH188" s="55"/>
      <c r="AI188" s="611"/>
    </row>
    <row r="189" spans="1:35" ht="21.95" customHeight="1">
      <c r="B189" s="1290">
        <v>3700</v>
      </c>
      <c r="C189" s="157" t="s">
        <v>512</v>
      </c>
      <c r="D189" s="157"/>
      <c r="E189" s="157"/>
      <c r="F189" s="157"/>
      <c r="G189" s="897" t="s">
        <v>512</v>
      </c>
      <c r="H189" s="157"/>
      <c r="I189" s="157"/>
      <c r="J189" s="157"/>
      <c r="K189" s="897" t="s">
        <v>512</v>
      </c>
      <c r="L189" s="157"/>
      <c r="M189" s="157"/>
      <c r="N189" s="157"/>
      <c r="O189" s="897" t="s">
        <v>512</v>
      </c>
      <c r="P189" s="157"/>
      <c r="Q189" s="157"/>
      <c r="R189" s="157"/>
      <c r="S189" s="897" t="s">
        <v>116</v>
      </c>
      <c r="T189" s="157"/>
      <c r="U189" s="157"/>
      <c r="V189" s="157"/>
      <c r="W189" s="157"/>
      <c r="X189" s="897"/>
      <c r="Y189" s="157"/>
      <c r="Z189" s="568"/>
      <c r="AA189" s="567"/>
      <c r="AB189" s="157"/>
      <c r="AC189" s="157"/>
      <c r="AD189" s="569"/>
      <c r="AE189" s="613"/>
      <c r="AF189" s="157"/>
      <c r="AG189" s="157" t="s">
        <v>28</v>
      </c>
      <c r="AH189" s="569"/>
      <c r="AI189" s="490"/>
    </row>
    <row r="190" spans="1:35" ht="21.95" customHeight="1">
      <c r="A190" s="1"/>
      <c r="B190" s="1290">
        <v>8514</v>
      </c>
      <c r="C190" s="157" t="s">
        <v>124</v>
      </c>
      <c r="D190" s="157"/>
      <c r="E190" s="157"/>
      <c r="F190" s="157"/>
      <c r="G190" s="897" t="s">
        <v>124</v>
      </c>
      <c r="H190" s="157"/>
      <c r="I190" s="157"/>
      <c r="J190" s="157"/>
      <c r="K190" s="897" t="s">
        <v>124</v>
      </c>
      <c r="L190" s="157"/>
      <c r="M190" s="157"/>
      <c r="N190" s="157"/>
      <c r="O190" s="897" t="s">
        <v>124</v>
      </c>
      <c r="P190" s="157"/>
      <c r="Q190" s="157"/>
      <c r="R190" s="157"/>
      <c r="S190" s="897" t="s">
        <v>562</v>
      </c>
      <c r="T190" s="157"/>
      <c r="U190" s="157"/>
      <c r="V190" s="157"/>
      <c r="W190" s="157"/>
      <c r="X190" s="897"/>
      <c r="Y190" s="157"/>
      <c r="Z190" s="568"/>
      <c r="AA190" s="121"/>
      <c r="AB190" s="157"/>
      <c r="AC190" s="157"/>
      <c r="AD190" s="569"/>
      <c r="AE190" s="121"/>
      <c r="AF190" s="157"/>
      <c r="AG190" s="157"/>
      <c r="AH190" s="569"/>
      <c r="AI190" s="490"/>
    </row>
    <row r="191" spans="1:35" ht="21.95" customHeight="1">
      <c r="A191" s="1"/>
      <c r="B191" s="1290">
        <v>8500</v>
      </c>
      <c r="C191" s="55" t="s">
        <v>11</v>
      </c>
      <c r="D191" s="55"/>
      <c r="E191" s="55"/>
      <c r="F191" s="55"/>
      <c r="G191" s="1293" t="s">
        <v>11</v>
      </c>
      <c r="H191" s="55"/>
      <c r="I191" s="55"/>
      <c r="J191" s="55"/>
      <c r="K191" s="1293" t="s">
        <v>11</v>
      </c>
      <c r="L191" s="55"/>
      <c r="M191" s="55"/>
      <c r="N191" s="55"/>
      <c r="O191" s="1293" t="s">
        <v>11</v>
      </c>
      <c r="P191" s="55"/>
      <c r="Q191" s="55"/>
      <c r="R191" s="55"/>
      <c r="S191" s="1293" t="s">
        <v>12</v>
      </c>
      <c r="T191" s="55"/>
      <c r="U191" s="55"/>
      <c r="V191" s="55"/>
      <c r="W191" s="55"/>
      <c r="X191" s="1293"/>
      <c r="Y191" s="55"/>
      <c r="Z191" s="615"/>
      <c r="AA191" s="614"/>
      <c r="AB191" s="55"/>
      <c r="AC191" s="55"/>
      <c r="AD191" s="615"/>
      <c r="AE191" s="614"/>
      <c r="AF191" s="55"/>
      <c r="AG191" s="55"/>
      <c r="AH191" s="598"/>
      <c r="AI191" s="611"/>
    </row>
    <row r="192" spans="1:35" ht="21.95" customHeight="1">
      <c r="A192" s="1"/>
      <c r="B192" s="1290">
        <v>8514</v>
      </c>
      <c r="C192" s="616" t="s">
        <v>124</v>
      </c>
      <c r="D192" s="616"/>
      <c r="E192" s="616"/>
      <c r="F192" s="616"/>
      <c r="G192" s="1294" t="s">
        <v>124</v>
      </c>
      <c r="H192" s="616"/>
      <c r="I192" s="616"/>
      <c r="J192" s="616"/>
      <c r="K192" s="1294" t="s">
        <v>124</v>
      </c>
      <c r="L192" s="616"/>
      <c r="M192" s="616"/>
      <c r="N192" s="616"/>
      <c r="O192" s="1294" t="s">
        <v>124</v>
      </c>
      <c r="P192" s="616"/>
      <c r="Q192" s="616"/>
      <c r="R192" s="616"/>
      <c r="S192" s="1294" t="s">
        <v>562</v>
      </c>
      <c r="T192" s="616"/>
      <c r="U192" s="616"/>
      <c r="V192" s="616"/>
      <c r="W192" s="616"/>
      <c r="X192" s="1297"/>
      <c r="Y192" s="55"/>
      <c r="Z192" s="608"/>
      <c r="AA192" s="14"/>
      <c r="AB192" s="609"/>
      <c r="AC192" s="55"/>
      <c r="AD192" s="55"/>
      <c r="AE192" s="610"/>
      <c r="AF192" s="55"/>
      <c r="AG192" s="55"/>
      <c r="AH192" s="55"/>
      <c r="AI192" s="611"/>
    </row>
    <row r="193" spans="1:35" ht="21.95" customHeight="1" thickBot="1">
      <c r="A193" s="1"/>
      <c r="B193" s="1291" t="s">
        <v>563</v>
      </c>
      <c r="C193" s="53" t="s">
        <v>564</v>
      </c>
      <c r="D193" s="53"/>
      <c r="E193" s="53"/>
      <c r="F193" s="53"/>
      <c r="G193" s="1295" t="s">
        <v>564</v>
      </c>
      <c r="H193" s="53"/>
      <c r="I193" s="53"/>
      <c r="J193" s="53"/>
      <c r="K193" s="53" t="s">
        <v>564</v>
      </c>
      <c r="L193" s="53"/>
      <c r="M193" s="53"/>
      <c r="N193" s="53"/>
      <c r="O193" s="1295" t="s">
        <v>564</v>
      </c>
      <c r="P193" s="53"/>
      <c r="Q193" s="53"/>
      <c r="R193" s="53"/>
      <c r="S193" s="1295" t="s">
        <v>565</v>
      </c>
      <c r="T193" s="53"/>
      <c r="U193" s="53"/>
      <c r="V193" s="53"/>
      <c r="W193" s="53"/>
      <c r="X193" s="1295"/>
      <c r="Y193" s="53"/>
      <c r="Z193" s="575"/>
      <c r="AA193" s="574"/>
      <c r="AB193" s="53"/>
      <c r="AC193" s="53"/>
      <c r="AD193" s="577"/>
      <c r="AE193" s="618"/>
      <c r="AF193" s="53"/>
      <c r="AG193" s="53" t="s">
        <v>28</v>
      </c>
      <c r="AH193" s="577"/>
      <c r="AI193" s="539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509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>
      <c r="A196" s="556"/>
      <c r="B196" s="297" t="s">
        <v>480</v>
      </c>
      <c r="C196" s="1234">
        <v>1</v>
      </c>
      <c r="D196" s="1234">
        <v>2</v>
      </c>
      <c r="E196" s="1234">
        <v>3</v>
      </c>
      <c r="F196" s="1234">
        <v>4</v>
      </c>
      <c r="G196" s="1235">
        <v>5</v>
      </c>
      <c r="H196" s="1235">
        <v>6</v>
      </c>
      <c r="I196" s="1213">
        <v>7</v>
      </c>
      <c r="J196" s="1213">
        <v>8</v>
      </c>
      <c r="K196" s="1234">
        <v>9</v>
      </c>
      <c r="L196" s="1234">
        <v>10</v>
      </c>
      <c r="M196" s="1234">
        <v>11</v>
      </c>
      <c r="N196" s="1235">
        <v>12</v>
      </c>
      <c r="O196" s="1235">
        <v>13</v>
      </c>
      <c r="P196" s="1213">
        <v>14</v>
      </c>
      <c r="Q196" s="1213">
        <v>15</v>
      </c>
      <c r="R196" s="1234">
        <v>16</v>
      </c>
      <c r="S196" s="1234">
        <v>17</v>
      </c>
      <c r="T196" s="1234">
        <v>18</v>
      </c>
      <c r="U196" s="1235">
        <v>19</v>
      </c>
      <c r="V196" s="1330">
        <v>20</v>
      </c>
      <c r="W196" s="1213">
        <v>21</v>
      </c>
      <c r="X196" s="1213">
        <v>22</v>
      </c>
      <c r="Y196" s="1234">
        <v>23</v>
      </c>
      <c r="Z196" s="1234">
        <v>24</v>
      </c>
      <c r="AA196" s="1234">
        <v>25</v>
      </c>
      <c r="AB196" s="1235">
        <v>26</v>
      </c>
      <c r="AC196" s="1235">
        <v>27</v>
      </c>
      <c r="AD196" s="1213">
        <v>28</v>
      </c>
      <c r="AE196" s="1213">
        <v>29</v>
      </c>
      <c r="AF196" s="1234">
        <v>30</v>
      </c>
      <c r="AG196" s="1234">
        <v>31</v>
      </c>
      <c r="AH196" s="498" t="s">
        <v>481</v>
      </c>
      <c r="AI196" s="499" t="s">
        <v>482</v>
      </c>
    </row>
    <row r="197" spans="1:35" ht="21.95" customHeight="1">
      <c r="A197" s="556"/>
      <c r="B197" s="1236" t="s">
        <v>768</v>
      </c>
      <c r="C197" s="1215" t="s">
        <v>535</v>
      </c>
      <c r="D197" s="1215" t="s">
        <v>535</v>
      </c>
      <c r="E197" s="1215" t="s">
        <v>535</v>
      </c>
      <c r="F197" s="1215" t="s">
        <v>535</v>
      </c>
      <c r="G197" s="1215"/>
      <c r="H197" s="1215"/>
      <c r="I197" s="1215" t="s">
        <v>535</v>
      </c>
      <c r="J197" s="1215" t="s">
        <v>535</v>
      </c>
      <c r="K197" s="1215" t="s">
        <v>535</v>
      </c>
      <c r="L197" s="1215" t="s">
        <v>535</v>
      </c>
      <c r="M197" s="1215" t="s">
        <v>535</v>
      </c>
      <c r="N197" s="1215"/>
      <c r="O197" s="1215"/>
      <c r="P197" s="1338" t="s">
        <v>535</v>
      </c>
      <c r="Q197" s="1338" t="s">
        <v>535</v>
      </c>
      <c r="R197" s="1215" t="s">
        <v>535</v>
      </c>
      <c r="S197" s="1215" t="s">
        <v>535</v>
      </c>
      <c r="T197" s="1338" t="s">
        <v>535</v>
      </c>
      <c r="U197" s="1215"/>
      <c r="V197" s="1215"/>
      <c r="W197" s="1215" t="s">
        <v>535</v>
      </c>
      <c r="X197" s="1215" t="s">
        <v>535</v>
      </c>
      <c r="Y197" s="1215" t="s">
        <v>535</v>
      </c>
      <c r="Z197" s="1215" t="s">
        <v>535</v>
      </c>
      <c r="AA197" s="1215" t="s">
        <v>535</v>
      </c>
      <c r="AB197" s="1215"/>
      <c r="AC197" s="1215"/>
      <c r="AD197" s="1215" t="s">
        <v>535</v>
      </c>
      <c r="AE197" s="1215" t="s">
        <v>535</v>
      </c>
      <c r="AF197" s="1215" t="s">
        <v>535</v>
      </c>
      <c r="AG197" s="1215" t="s">
        <v>535</v>
      </c>
      <c r="AH197" s="603">
        <v>185</v>
      </c>
      <c r="AI197" s="604">
        <v>37</v>
      </c>
    </row>
    <row r="198" spans="1:35" ht="21.95" customHeight="1">
      <c r="A198" s="620">
        <v>8500</v>
      </c>
      <c r="B198" s="1237" t="s">
        <v>151</v>
      </c>
      <c r="C198" s="1215" t="s">
        <v>535</v>
      </c>
      <c r="D198" s="1215" t="s">
        <v>535</v>
      </c>
      <c r="E198" s="1215" t="s">
        <v>535</v>
      </c>
      <c r="F198" s="1215" t="s">
        <v>535</v>
      </c>
      <c r="G198" s="1215"/>
      <c r="H198" s="1215"/>
      <c r="I198" s="1342" t="s">
        <v>535</v>
      </c>
      <c r="J198" s="1342" t="s">
        <v>535</v>
      </c>
      <c r="K198" s="1342" t="s">
        <v>535</v>
      </c>
      <c r="L198" s="1215" t="s">
        <v>535</v>
      </c>
      <c r="M198" s="1215" t="s">
        <v>535</v>
      </c>
      <c r="N198" s="1215"/>
      <c r="O198" s="1215"/>
      <c r="P198" s="1215" t="s">
        <v>535</v>
      </c>
      <c r="Q198" s="1215" t="s">
        <v>535</v>
      </c>
      <c r="R198" s="1215" t="s">
        <v>535</v>
      </c>
      <c r="S198" s="1215" t="s">
        <v>535</v>
      </c>
      <c r="T198" s="1215" t="s">
        <v>535</v>
      </c>
      <c r="U198" s="1215"/>
      <c r="V198" s="1215"/>
      <c r="W198" s="1215" t="s">
        <v>535</v>
      </c>
      <c r="X198" s="1215" t="s">
        <v>535</v>
      </c>
      <c r="Y198" s="1215" t="s">
        <v>535</v>
      </c>
      <c r="Z198" s="1215" t="s">
        <v>535</v>
      </c>
      <c r="AA198" s="1215" t="s">
        <v>535</v>
      </c>
      <c r="AB198" s="1215"/>
      <c r="AC198" s="1215"/>
      <c r="AD198" s="1215" t="s">
        <v>535</v>
      </c>
      <c r="AE198" s="1215" t="s">
        <v>535</v>
      </c>
      <c r="AF198" s="1500" t="s">
        <v>535</v>
      </c>
      <c r="AG198" s="1215" t="s">
        <v>535</v>
      </c>
      <c r="AH198" s="603">
        <v>185</v>
      </c>
      <c r="AI198" s="604">
        <v>37</v>
      </c>
    </row>
    <row r="199" spans="1:35" ht="21" customHeight="1">
      <c r="A199" s="442"/>
      <c r="B199" s="1236" t="s">
        <v>567</v>
      </c>
      <c r="C199" s="1215" t="s">
        <v>535</v>
      </c>
      <c r="D199" s="1215" t="s">
        <v>535</v>
      </c>
      <c r="E199" s="1215" t="s">
        <v>535</v>
      </c>
      <c r="F199" s="1215" t="s">
        <v>535</v>
      </c>
      <c r="G199" s="1215"/>
      <c r="H199" s="1215"/>
      <c r="I199" s="1215" t="s">
        <v>535</v>
      </c>
      <c r="J199" s="1215" t="s">
        <v>535</v>
      </c>
      <c r="K199" s="1215" t="s">
        <v>535</v>
      </c>
      <c r="L199" s="1215" t="s">
        <v>535</v>
      </c>
      <c r="M199" s="1215" t="s">
        <v>535</v>
      </c>
      <c r="N199" s="1215"/>
      <c r="O199" s="1215"/>
      <c r="P199" s="1215" t="s">
        <v>535</v>
      </c>
      <c r="Q199" s="1215" t="s">
        <v>535</v>
      </c>
      <c r="R199" s="1215" t="s">
        <v>535</v>
      </c>
      <c r="S199" s="1215" t="s">
        <v>535</v>
      </c>
      <c r="T199" s="1215" t="s">
        <v>535</v>
      </c>
      <c r="U199" s="1215"/>
      <c r="V199" s="1215"/>
      <c r="W199" s="1215" t="s">
        <v>535</v>
      </c>
      <c r="X199" s="1215" t="s">
        <v>535</v>
      </c>
      <c r="Y199" s="1215" t="s">
        <v>535</v>
      </c>
      <c r="Z199" s="1215" t="s">
        <v>535</v>
      </c>
      <c r="AA199" s="1215" t="s">
        <v>535</v>
      </c>
      <c r="AB199" s="1215"/>
      <c r="AC199" s="1215"/>
      <c r="AD199" s="1215" t="s">
        <v>535</v>
      </c>
      <c r="AE199" s="1215" t="s">
        <v>535</v>
      </c>
      <c r="AF199" s="1215" t="s">
        <v>535</v>
      </c>
      <c r="AG199" s="1215" t="s">
        <v>535</v>
      </c>
      <c r="AH199" s="603">
        <v>185</v>
      </c>
      <c r="AI199" s="604">
        <v>37</v>
      </c>
    </row>
    <row r="200" spans="1:35" ht="21" customHeight="1">
      <c r="A200" s="442">
        <v>8521</v>
      </c>
      <c r="B200" s="1236" t="s">
        <v>568</v>
      </c>
      <c r="C200" s="1215" t="s">
        <v>535</v>
      </c>
      <c r="D200" s="1215" t="s">
        <v>535</v>
      </c>
      <c r="E200" s="1215" t="s">
        <v>535</v>
      </c>
      <c r="F200" s="1215" t="s">
        <v>535</v>
      </c>
      <c r="G200" s="1215"/>
      <c r="H200" s="1215"/>
      <c r="I200" s="1215" t="s">
        <v>535</v>
      </c>
      <c r="J200" s="1215" t="s">
        <v>535</v>
      </c>
      <c r="K200" s="1215" t="s">
        <v>535</v>
      </c>
      <c r="L200" s="1215" t="s">
        <v>535</v>
      </c>
      <c r="M200" s="1215" t="s">
        <v>535</v>
      </c>
      <c r="N200" s="1215"/>
      <c r="O200" s="1215"/>
      <c r="P200" s="1335" t="s">
        <v>535</v>
      </c>
      <c r="Q200" s="1215" t="s">
        <v>535</v>
      </c>
      <c r="R200" s="1215" t="s">
        <v>535</v>
      </c>
      <c r="S200" s="1335" t="s">
        <v>535</v>
      </c>
      <c r="T200" s="1335" t="s">
        <v>535</v>
      </c>
      <c r="U200" s="1215"/>
      <c r="V200" s="1215"/>
      <c r="W200" s="1215" t="s">
        <v>535</v>
      </c>
      <c r="X200" s="1215" t="s">
        <v>535</v>
      </c>
      <c r="Y200" s="1215" t="s">
        <v>535</v>
      </c>
      <c r="Z200" s="1215" t="s">
        <v>535</v>
      </c>
      <c r="AA200" s="1215" t="s">
        <v>535</v>
      </c>
      <c r="AB200" s="1215"/>
      <c r="AC200" s="1215"/>
      <c r="AD200" s="1215" t="s">
        <v>535</v>
      </c>
      <c r="AE200" s="1215" t="s">
        <v>535</v>
      </c>
      <c r="AF200" s="1215" t="s">
        <v>535</v>
      </c>
      <c r="AG200" s="1215" t="s">
        <v>535</v>
      </c>
      <c r="AH200" s="603">
        <v>185</v>
      </c>
      <c r="AI200" s="604">
        <v>37</v>
      </c>
    </row>
    <row r="201" spans="1:35" ht="21" customHeight="1">
      <c r="A201" s="442"/>
      <c r="B201" s="1236" t="s">
        <v>758</v>
      </c>
      <c r="C201" s="1215" t="s">
        <v>535</v>
      </c>
      <c r="D201" s="1215" t="s">
        <v>535</v>
      </c>
      <c r="E201" s="1215" t="s">
        <v>535</v>
      </c>
      <c r="F201" s="1215" t="s">
        <v>535</v>
      </c>
      <c r="G201" s="1215"/>
      <c r="H201" s="1215"/>
      <c r="I201" s="1215" t="s">
        <v>535</v>
      </c>
      <c r="J201" s="1215" t="s">
        <v>535</v>
      </c>
      <c r="K201" s="1215" t="s">
        <v>535</v>
      </c>
      <c r="L201" s="1215" t="s">
        <v>535</v>
      </c>
      <c r="M201" s="1215" t="s">
        <v>535</v>
      </c>
      <c r="N201" s="1215"/>
      <c r="O201" s="1215"/>
      <c r="P201" s="1215" t="s">
        <v>535</v>
      </c>
      <c r="Q201" s="1215" t="s">
        <v>535</v>
      </c>
      <c r="R201" s="1215" t="s">
        <v>535</v>
      </c>
      <c r="S201" s="1215" t="s">
        <v>535</v>
      </c>
      <c r="T201" s="1215" t="s">
        <v>535</v>
      </c>
      <c r="U201" s="1215"/>
      <c r="V201" s="1215"/>
      <c r="W201" s="1215" t="s">
        <v>535</v>
      </c>
      <c r="X201" s="1215" t="s">
        <v>535</v>
      </c>
      <c r="Y201" s="1215" t="s">
        <v>535</v>
      </c>
      <c r="Z201" s="1215" t="s">
        <v>535</v>
      </c>
      <c r="AA201" s="1215" t="s">
        <v>535</v>
      </c>
      <c r="AB201" s="1215"/>
      <c r="AC201" s="1215"/>
      <c r="AD201" s="1215" t="s">
        <v>535</v>
      </c>
      <c r="AE201" s="1215" t="s">
        <v>535</v>
      </c>
      <c r="AF201" s="1215" t="s">
        <v>535</v>
      </c>
      <c r="AG201" s="1215" t="s">
        <v>535</v>
      </c>
      <c r="AH201" s="603">
        <v>185</v>
      </c>
      <c r="AI201" s="604">
        <v>37</v>
      </c>
    </row>
    <row r="202" spans="1:35" ht="21" customHeight="1">
      <c r="A202" s="442">
        <v>8514</v>
      </c>
      <c r="B202" s="1238" t="s">
        <v>569</v>
      </c>
      <c r="C202" s="1215" t="s">
        <v>535</v>
      </c>
      <c r="D202" s="1215" t="s">
        <v>535</v>
      </c>
      <c r="E202" s="1215" t="s">
        <v>535</v>
      </c>
      <c r="F202" s="1215" t="s">
        <v>535</v>
      </c>
      <c r="G202" s="1215"/>
      <c r="H202" s="1215"/>
      <c r="I202" s="1215" t="s">
        <v>535</v>
      </c>
      <c r="J202" s="1215" t="s">
        <v>535</v>
      </c>
      <c r="K202" s="1215" t="s">
        <v>535</v>
      </c>
      <c r="L202" s="1215" t="s">
        <v>535</v>
      </c>
      <c r="M202" s="1215" t="s">
        <v>535</v>
      </c>
      <c r="N202" s="1215"/>
      <c r="O202" s="1215"/>
      <c r="P202" s="1215" t="s">
        <v>535</v>
      </c>
      <c r="Q202" s="1215" t="s">
        <v>535</v>
      </c>
      <c r="R202" s="1335" t="s">
        <v>535</v>
      </c>
      <c r="S202" s="1335" t="s">
        <v>535</v>
      </c>
      <c r="T202" s="1335" t="s">
        <v>535</v>
      </c>
      <c r="U202" s="1215"/>
      <c r="V202" s="1215"/>
      <c r="W202" s="1215" t="s">
        <v>535</v>
      </c>
      <c r="X202" s="1215" t="s">
        <v>535</v>
      </c>
      <c r="Y202" s="1215" t="s">
        <v>535</v>
      </c>
      <c r="Z202" s="1215" t="s">
        <v>535</v>
      </c>
      <c r="AA202" s="1215" t="s">
        <v>535</v>
      </c>
      <c r="AB202" s="1215"/>
      <c r="AC202" s="1215"/>
      <c r="AD202" s="1215" t="s">
        <v>535</v>
      </c>
      <c r="AE202" s="1215" t="s">
        <v>535</v>
      </c>
      <c r="AF202" s="1215" t="s">
        <v>535</v>
      </c>
      <c r="AG202" s="1215" t="s">
        <v>535</v>
      </c>
      <c r="AH202" s="603">
        <v>185</v>
      </c>
      <c r="AI202" s="604">
        <v>37</v>
      </c>
    </row>
    <row r="203" spans="1:35" ht="21.95" customHeight="1">
      <c r="A203" s="442">
        <v>3701</v>
      </c>
      <c r="B203" s="545" t="s">
        <v>513</v>
      </c>
      <c r="C203" s="1215" t="s">
        <v>535</v>
      </c>
      <c r="D203" s="1500" t="s">
        <v>514</v>
      </c>
      <c r="E203" s="1215" t="s">
        <v>535</v>
      </c>
      <c r="F203" s="1215" t="s">
        <v>535</v>
      </c>
      <c r="G203" s="1215"/>
      <c r="H203" s="1215"/>
      <c r="I203" s="1215" t="s">
        <v>535</v>
      </c>
      <c r="J203" s="1215" t="s">
        <v>535</v>
      </c>
      <c r="K203" s="1215" t="s">
        <v>535</v>
      </c>
      <c r="L203" s="1215" t="s">
        <v>535</v>
      </c>
      <c r="M203" s="1215" t="s">
        <v>535</v>
      </c>
      <c r="N203" s="1215"/>
      <c r="O203" s="1215"/>
      <c r="P203" s="1215" t="s">
        <v>535</v>
      </c>
      <c r="Q203" s="1215" t="s">
        <v>535</v>
      </c>
      <c r="R203" s="1215" t="s">
        <v>535</v>
      </c>
      <c r="S203" s="1335" t="s">
        <v>535</v>
      </c>
      <c r="T203" s="1215" t="s">
        <v>535</v>
      </c>
      <c r="U203" s="1215"/>
      <c r="V203" s="1215"/>
      <c r="W203" s="1215" t="s">
        <v>535</v>
      </c>
      <c r="X203" s="1215" t="s">
        <v>535</v>
      </c>
      <c r="Y203" s="1215" t="s">
        <v>535</v>
      </c>
      <c r="Z203" s="1215" t="s">
        <v>535</v>
      </c>
      <c r="AA203" s="1215" t="s">
        <v>535</v>
      </c>
      <c r="AB203" s="1215"/>
      <c r="AC203" s="1215"/>
      <c r="AD203" s="1215" t="s">
        <v>535</v>
      </c>
      <c r="AE203" s="1215" t="s">
        <v>535</v>
      </c>
      <c r="AF203" s="1215" t="s">
        <v>535</v>
      </c>
      <c r="AG203" s="1215" t="s">
        <v>535</v>
      </c>
      <c r="AH203" s="603">
        <v>185</v>
      </c>
      <c r="AI203" s="604">
        <v>37</v>
      </c>
    </row>
    <row r="204" spans="1:35" ht="21.95" customHeight="1">
      <c r="A204" s="442">
        <v>3701</v>
      </c>
      <c r="B204" s="1236" t="s">
        <v>345</v>
      </c>
      <c r="C204" s="1215" t="s">
        <v>535</v>
      </c>
      <c r="D204" s="1215" t="s">
        <v>535</v>
      </c>
      <c r="E204" s="1215" t="s">
        <v>535</v>
      </c>
      <c r="F204" s="1215" t="s">
        <v>535</v>
      </c>
      <c r="G204" s="1215"/>
      <c r="H204" s="1215"/>
      <c r="I204" s="1215" t="s">
        <v>535</v>
      </c>
      <c r="J204" s="1215" t="s">
        <v>535</v>
      </c>
      <c r="K204" s="1215" t="s">
        <v>535</v>
      </c>
      <c r="L204" s="1215" t="s">
        <v>535</v>
      </c>
      <c r="M204" s="1215" t="s">
        <v>535</v>
      </c>
      <c r="N204" s="1215"/>
      <c r="O204" s="1215"/>
      <c r="P204" s="1338" t="s">
        <v>535</v>
      </c>
      <c r="Q204" s="1338" t="s">
        <v>535</v>
      </c>
      <c r="R204" s="1338" t="s">
        <v>535</v>
      </c>
      <c r="S204" s="1338" t="s">
        <v>535</v>
      </c>
      <c r="T204" s="1338" t="s">
        <v>535</v>
      </c>
      <c r="U204" s="1338"/>
      <c r="V204" s="1338"/>
      <c r="W204" s="1215" t="s">
        <v>535</v>
      </c>
      <c r="X204" s="1215" t="s">
        <v>535</v>
      </c>
      <c r="Y204" s="1215" t="s">
        <v>535</v>
      </c>
      <c r="Z204" s="1215" t="s">
        <v>535</v>
      </c>
      <c r="AA204" s="1215" t="s">
        <v>535</v>
      </c>
      <c r="AB204" s="1215"/>
      <c r="AC204" s="1215"/>
      <c r="AD204" s="1215" t="s">
        <v>535</v>
      </c>
      <c r="AE204" s="1215" t="s">
        <v>535</v>
      </c>
      <c r="AF204" s="1215" t="s">
        <v>535</v>
      </c>
      <c r="AG204" s="1215" t="s">
        <v>535</v>
      </c>
      <c r="AH204" s="603">
        <v>185</v>
      </c>
      <c r="AI204" s="604">
        <v>37</v>
      </c>
    </row>
    <row r="205" spans="1:35" ht="21.95" customHeight="1">
      <c r="A205" s="442">
        <v>3701</v>
      </c>
      <c r="B205" s="1236" t="s">
        <v>348</v>
      </c>
      <c r="C205" s="1335" t="s">
        <v>535</v>
      </c>
      <c r="D205" s="1335" t="s">
        <v>535</v>
      </c>
      <c r="E205" s="1335" t="s">
        <v>535</v>
      </c>
      <c r="F205" s="1335" t="s">
        <v>535</v>
      </c>
      <c r="G205" s="1215"/>
      <c r="H205" s="1215"/>
      <c r="I205" s="1338" t="s">
        <v>535</v>
      </c>
      <c r="J205" s="1338" t="s">
        <v>535</v>
      </c>
      <c r="K205" s="1338" t="s">
        <v>535</v>
      </c>
      <c r="L205" s="1338" t="s">
        <v>535</v>
      </c>
      <c r="M205" s="1338" t="s">
        <v>535</v>
      </c>
      <c r="N205" s="1338"/>
      <c r="O205" s="1338"/>
      <c r="P205" s="1335" t="s">
        <v>535</v>
      </c>
      <c r="Q205" s="1215" t="s">
        <v>535</v>
      </c>
      <c r="R205" s="1215" t="s">
        <v>535</v>
      </c>
      <c r="S205" s="1215" t="s">
        <v>535</v>
      </c>
      <c r="T205" s="1215" t="s">
        <v>535</v>
      </c>
      <c r="U205" s="1215"/>
      <c r="V205" s="1215"/>
      <c r="W205" s="1215" t="s">
        <v>535</v>
      </c>
      <c r="X205" s="1215" t="s">
        <v>535</v>
      </c>
      <c r="Y205" s="1215" t="s">
        <v>535</v>
      </c>
      <c r="Z205" s="1215" t="s">
        <v>535</v>
      </c>
      <c r="AA205" s="1215" t="s">
        <v>535</v>
      </c>
      <c r="AB205" s="1215"/>
      <c r="AC205" s="1215"/>
      <c r="AD205" s="1215">
        <v>19</v>
      </c>
      <c r="AE205" s="1215">
        <v>19</v>
      </c>
      <c r="AF205" s="1215">
        <v>19</v>
      </c>
      <c r="AG205" s="1215">
        <v>19</v>
      </c>
      <c r="AH205" s="603">
        <v>185</v>
      </c>
      <c r="AI205" s="604">
        <v>37</v>
      </c>
    </row>
    <row r="206" spans="1:35" ht="21.95" customHeight="1">
      <c r="A206" s="442">
        <v>3701</v>
      </c>
      <c r="B206" s="1236" t="s">
        <v>350</v>
      </c>
      <c r="C206" s="1215" t="s">
        <v>535</v>
      </c>
      <c r="D206" s="1500" t="s">
        <v>514</v>
      </c>
      <c r="E206" s="1215" t="s">
        <v>535</v>
      </c>
      <c r="F206" s="1215" t="s">
        <v>535</v>
      </c>
      <c r="G206" s="1215"/>
      <c r="H206" s="1215"/>
      <c r="I206" s="1215">
        <v>19</v>
      </c>
      <c r="J206" s="1215">
        <v>19</v>
      </c>
      <c r="K206" s="1215">
        <v>19</v>
      </c>
      <c r="L206" s="1215">
        <v>19</v>
      </c>
      <c r="M206" s="1215">
        <v>19</v>
      </c>
      <c r="N206" s="1215"/>
      <c r="O206" s="1215"/>
      <c r="P206" s="1215" t="s">
        <v>535</v>
      </c>
      <c r="Q206" s="1215" t="s">
        <v>535</v>
      </c>
      <c r="R206" s="1335" t="s">
        <v>535</v>
      </c>
      <c r="S206" s="1215" t="s">
        <v>535</v>
      </c>
      <c r="T206" s="1215" t="s">
        <v>535</v>
      </c>
      <c r="U206" s="1215"/>
      <c r="V206" s="1215"/>
      <c r="W206" s="1215" t="s">
        <v>535</v>
      </c>
      <c r="X206" s="1215" t="s">
        <v>535</v>
      </c>
      <c r="Y206" s="1215" t="s">
        <v>535</v>
      </c>
      <c r="Z206" s="1215" t="s">
        <v>535</v>
      </c>
      <c r="AA206" s="1215" t="s">
        <v>535</v>
      </c>
      <c r="AB206" s="1215"/>
      <c r="AC206" s="1215"/>
      <c r="AD206" s="1215" t="s">
        <v>535</v>
      </c>
      <c r="AE206" s="1215" t="s">
        <v>535</v>
      </c>
      <c r="AF206" s="1215" t="s">
        <v>535</v>
      </c>
      <c r="AG206" s="1215" t="s">
        <v>535</v>
      </c>
      <c r="AH206" s="603">
        <v>185</v>
      </c>
      <c r="AI206" s="604">
        <v>37</v>
      </c>
    </row>
    <row r="207" spans="1:35" ht="21.95" customHeight="1">
      <c r="A207" s="442">
        <v>3701</v>
      </c>
      <c r="B207" s="1236" t="s">
        <v>351</v>
      </c>
      <c r="C207" s="1215" t="s">
        <v>535</v>
      </c>
      <c r="D207" s="1500" t="s">
        <v>514</v>
      </c>
      <c r="E207" s="1215" t="s">
        <v>535</v>
      </c>
      <c r="F207" s="1215" t="s">
        <v>535</v>
      </c>
      <c r="G207" s="1215"/>
      <c r="H207" s="1215"/>
      <c r="I207" s="1215" t="s">
        <v>535</v>
      </c>
      <c r="J207" s="1215" t="s">
        <v>535</v>
      </c>
      <c r="K207" s="1215" t="s">
        <v>535</v>
      </c>
      <c r="L207" s="1215" t="s">
        <v>535</v>
      </c>
      <c r="M207" s="1215" t="s">
        <v>535</v>
      </c>
      <c r="N207" s="1215"/>
      <c r="O207" s="1215"/>
      <c r="P207" s="1335" t="s">
        <v>535</v>
      </c>
      <c r="Q207" s="1335" t="s">
        <v>535</v>
      </c>
      <c r="R207" s="1215" t="s">
        <v>535</v>
      </c>
      <c r="S207" s="1215" t="s">
        <v>535</v>
      </c>
      <c r="T207" s="1215" t="s">
        <v>535</v>
      </c>
      <c r="U207" s="1215"/>
      <c r="V207" s="1215"/>
      <c r="W207" s="1215">
        <v>19</v>
      </c>
      <c r="X207" s="1215">
        <v>19</v>
      </c>
      <c r="Y207" s="1215">
        <v>19</v>
      </c>
      <c r="Z207" s="1215">
        <v>19</v>
      </c>
      <c r="AA207" s="1215">
        <v>19</v>
      </c>
      <c r="AB207" s="1215"/>
      <c r="AC207" s="1215"/>
      <c r="AD207" s="1215" t="s">
        <v>535</v>
      </c>
      <c r="AE207" s="1215" t="s">
        <v>535</v>
      </c>
      <c r="AF207" s="1215" t="s">
        <v>535</v>
      </c>
      <c r="AG207" s="1215" t="s">
        <v>535</v>
      </c>
      <c r="AH207" s="603">
        <v>185</v>
      </c>
      <c r="AI207" s="604">
        <v>37</v>
      </c>
    </row>
    <row r="208" spans="1:35" ht="21.95" customHeight="1">
      <c r="A208" s="442">
        <v>3701</v>
      </c>
      <c r="B208" s="1236" t="s">
        <v>571</v>
      </c>
      <c r="C208" s="1215" t="s">
        <v>535</v>
      </c>
      <c r="D208" s="1500" t="s">
        <v>514</v>
      </c>
      <c r="E208" s="1215" t="s">
        <v>535</v>
      </c>
      <c r="F208" s="1338" t="s">
        <v>535</v>
      </c>
      <c r="G208" s="1215"/>
      <c r="H208" s="1215"/>
      <c r="I208" s="1215" t="s">
        <v>535</v>
      </c>
      <c r="J208" s="1215" t="s">
        <v>535</v>
      </c>
      <c r="K208" s="1215" t="s">
        <v>535</v>
      </c>
      <c r="L208" s="1215" t="s">
        <v>535</v>
      </c>
      <c r="M208" s="1215" t="s">
        <v>535</v>
      </c>
      <c r="N208" s="1215"/>
      <c r="O208" s="1215"/>
      <c r="P208" s="1338" t="s">
        <v>535</v>
      </c>
      <c r="Q208" s="1338" t="s">
        <v>535</v>
      </c>
      <c r="R208" s="1338" t="s">
        <v>535</v>
      </c>
      <c r="S208" s="1338" t="s">
        <v>535</v>
      </c>
      <c r="T208" s="1338" t="s">
        <v>535</v>
      </c>
      <c r="U208" s="1215"/>
      <c r="V208" s="1215"/>
      <c r="W208" s="1215" t="s">
        <v>535</v>
      </c>
      <c r="X208" s="1215" t="s">
        <v>535</v>
      </c>
      <c r="Y208" s="1215" t="s">
        <v>535</v>
      </c>
      <c r="Z208" s="1215" t="s">
        <v>535</v>
      </c>
      <c r="AA208" s="1215" t="s">
        <v>535</v>
      </c>
      <c r="AB208" s="1215"/>
      <c r="AC208" s="1215"/>
      <c r="AD208" s="1215" t="s">
        <v>535</v>
      </c>
      <c r="AE208" s="1215" t="s">
        <v>535</v>
      </c>
      <c r="AF208" s="1215" t="s">
        <v>535</v>
      </c>
      <c r="AG208" s="1392" t="s">
        <v>535</v>
      </c>
      <c r="AH208" s="603">
        <v>185</v>
      </c>
      <c r="AI208" s="604">
        <v>37</v>
      </c>
    </row>
    <row r="209" spans="1:35" ht="21.95" customHeight="1">
      <c r="A209" s="442">
        <v>3701</v>
      </c>
      <c r="B209" s="545" t="s">
        <v>490</v>
      </c>
      <c r="C209" s="1215" t="s">
        <v>535</v>
      </c>
      <c r="D209" s="1215" t="s">
        <v>535</v>
      </c>
      <c r="E209" s="1215" t="s">
        <v>535</v>
      </c>
      <c r="F209" s="1215" t="s">
        <v>535</v>
      </c>
      <c r="G209" s="1215"/>
      <c r="H209" s="1215"/>
      <c r="I209" s="1215" t="s">
        <v>535</v>
      </c>
      <c r="J209" s="1215" t="s">
        <v>535</v>
      </c>
      <c r="K209" s="1215" t="s">
        <v>535</v>
      </c>
      <c r="L209" s="1215" t="s">
        <v>535</v>
      </c>
      <c r="M209" s="1215" t="s">
        <v>535</v>
      </c>
      <c r="N209" s="1215"/>
      <c r="O209" s="1215"/>
      <c r="P209" s="1215">
        <v>19</v>
      </c>
      <c r="Q209" s="1215">
        <v>19</v>
      </c>
      <c r="R209" s="1215">
        <v>19</v>
      </c>
      <c r="S209" s="1215">
        <v>19</v>
      </c>
      <c r="T209" s="1215">
        <v>19</v>
      </c>
      <c r="U209" s="1215"/>
      <c r="V209" s="1215"/>
      <c r="W209" s="1215" t="s">
        <v>514</v>
      </c>
      <c r="X209" s="1215" t="s">
        <v>514</v>
      </c>
      <c r="Y209" s="1215" t="s">
        <v>514</v>
      </c>
      <c r="Z209" s="1215" t="s">
        <v>514</v>
      </c>
      <c r="AA209" s="1215" t="s">
        <v>514</v>
      </c>
      <c r="AB209" s="1215"/>
      <c r="AC209" s="1215"/>
      <c r="AD209" s="1215" t="s">
        <v>514</v>
      </c>
      <c r="AE209" s="1215" t="s">
        <v>514</v>
      </c>
      <c r="AF209" s="1215" t="s">
        <v>514</v>
      </c>
      <c r="AG209" s="1215" t="s">
        <v>514</v>
      </c>
      <c r="AH209" s="603">
        <v>185</v>
      </c>
      <c r="AI209" s="604">
        <v>37</v>
      </c>
    </row>
    <row r="210" spans="1:35" ht="21.95" customHeight="1">
      <c r="A210" s="1318">
        <v>3701</v>
      </c>
      <c r="B210" s="1319" t="s">
        <v>573</v>
      </c>
      <c r="C210" s="1215">
        <v>19</v>
      </c>
      <c r="D210" s="1392">
        <v>19</v>
      </c>
      <c r="E210" s="1392">
        <v>19</v>
      </c>
      <c r="F210" s="1392">
        <v>19</v>
      </c>
      <c r="G210" s="1392"/>
      <c r="H210" s="1392"/>
      <c r="I210" s="1392" t="s">
        <v>535</v>
      </c>
      <c r="J210" s="1392" t="s">
        <v>535</v>
      </c>
      <c r="K210" s="1392" t="s">
        <v>535</v>
      </c>
      <c r="L210" s="1392" t="s">
        <v>535</v>
      </c>
      <c r="M210" s="1392" t="s">
        <v>570</v>
      </c>
      <c r="N210" s="1344"/>
      <c r="O210" s="1344"/>
      <c r="P210" s="1344" t="s">
        <v>535</v>
      </c>
      <c r="Q210" s="1335" t="s">
        <v>535</v>
      </c>
      <c r="R210" s="1335" t="s">
        <v>535</v>
      </c>
      <c r="S210" s="1344" t="s">
        <v>535</v>
      </c>
      <c r="T210" s="1344" t="s">
        <v>535</v>
      </c>
      <c r="U210" s="1215"/>
      <c r="V210" s="1215"/>
      <c r="W210" s="1215" t="s">
        <v>535</v>
      </c>
      <c r="X210" s="1215" t="s">
        <v>535</v>
      </c>
      <c r="Y210" s="1215" t="s">
        <v>535</v>
      </c>
      <c r="Z210" s="1215" t="s">
        <v>535</v>
      </c>
      <c r="AA210" s="1215" t="s">
        <v>535</v>
      </c>
      <c r="AB210" s="1215"/>
      <c r="AC210" s="1215"/>
      <c r="AD210" s="1215" t="s">
        <v>535</v>
      </c>
      <c r="AE210" s="1215" t="s">
        <v>535</v>
      </c>
      <c r="AF210" s="1215" t="s">
        <v>535</v>
      </c>
      <c r="AG210" s="1215" t="s">
        <v>535</v>
      </c>
      <c r="AH210" s="603">
        <v>185</v>
      </c>
      <c r="AI210" s="604">
        <v>37</v>
      </c>
    </row>
    <row r="211" spans="1:35" ht="21.95" customHeight="1">
      <c r="A211" s="442">
        <v>3701</v>
      </c>
      <c r="B211" s="1236" t="s">
        <v>574</v>
      </c>
      <c r="C211" s="1215" t="s">
        <v>535</v>
      </c>
      <c r="D211" s="1215" t="s">
        <v>535</v>
      </c>
      <c r="E211" s="1215" t="s">
        <v>535</v>
      </c>
      <c r="F211" s="1215" t="s">
        <v>535</v>
      </c>
      <c r="G211" s="1215"/>
      <c r="H211" s="1215"/>
      <c r="I211" s="1215" t="s">
        <v>535</v>
      </c>
      <c r="J211" s="1215" t="s">
        <v>535</v>
      </c>
      <c r="K211" s="1215" t="s">
        <v>535</v>
      </c>
      <c r="L211" s="1215" t="s">
        <v>535</v>
      </c>
      <c r="M211" s="1215" t="s">
        <v>535</v>
      </c>
      <c r="N211" s="1215"/>
      <c r="O211" s="1215"/>
      <c r="P211" s="1338" t="s">
        <v>535</v>
      </c>
      <c r="Q211" s="1338" t="s">
        <v>535</v>
      </c>
      <c r="R211" s="1338" t="s">
        <v>535</v>
      </c>
      <c r="S211" s="1338" t="s">
        <v>535</v>
      </c>
      <c r="T211" s="1338" t="s">
        <v>535</v>
      </c>
      <c r="U211" s="1338"/>
      <c r="V211" s="1338"/>
      <c r="W211" s="1215" t="s">
        <v>535</v>
      </c>
      <c r="X211" s="1215" t="s">
        <v>535</v>
      </c>
      <c r="Y211" s="1215" t="s">
        <v>535</v>
      </c>
      <c r="Z211" s="1215" t="s">
        <v>535</v>
      </c>
      <c r="AA211" s="1215" t="s">
        <v>535</v>
      </c>
      <c r="AB211" s="1215"/>
      <c r="AC211" s="1215"/>
      <c r="AD211" s="1215" t="s">
        <v>535</v>
      </c>
      <c r="AE211" s="1215" t="s">
        <v>535</v>
      </c>
      <c r="AF211" s="1215" t="s">
        <v>535</v>
      </c>
      <c r="AG211" s="1215" t="s">
        <v>535</v>
      </c>
      <c r="AH211" s="603">
        <v>185</v>
      </c>
      <c r="AI211" s="604">
        <v>37</v>
      </c>
    </row>
    <row r="212" spans="1:35" ht="21.95" customHeight="1">
      <c r="A212" s="442">
        <v>3701</v>
      </c>
      <c r="B212" s="1239" t="s">
        <v>575</v>
      </c>
      <c r="C212" s="1215" t="s">
        <v>535</v>
      </c>
      <c r="D212" s="1392" t="s">
        <v>514</v>
      </c>
      <c r="E212" s="1392" t="s">
        <v>570</v>
      </c>
      <c r="F212" s="1215" t="s">
        <v>535</v>
      </c>
      <c r="G212" s="1215"/>
      <c r="H212" s="1215"/>
      <c r="I212" s="1215" t="s">
        <v>535</v>
      </c>
      <c r="J212" s="1215" t="s">
        <v>535</v>
      </c>
      <c r="K212" s="1215" t="s">
        <v>535</v>
      </c>
      <c r="L212" s="1215" t="s">
        <v>535</v>
      </c>
      <c r="M212" s="1215" t="s">
        <v>535</v>
      </c>
      <c r="N212" s="1215"/>
      <c r="O212" s="1215"/>
      <c r="P212" s="1215" t="s">
        <v>535</v>
      </c>
      <c r="Q212" s="1215" t="s">
        <v>535</v>
      </c>
      <c r="R212" s="1215" t="s">
        <v>535</v>
      </c>
      <c r="S212" s="1215" t="s">
        <v>535</v>
      </c>
      <c r="T212" s="1215" t="s">
        <v>535</v>
      </c>
      <c r="U212" s="1215"/>
      <c r="V212" s="1215"/>
      <c r="W212" s="1215" t="s">
        <v>535</v>
      </c>
      <c r="X212" s="1215" t="s">
        <v>535</v>
      </c>
      <c r="Y212" s="1215" t="s">
        <v>535</v>
      </c>
      <c r="Z212" s="1215" t="s">
        <v>535</v>
      </c>
      <c r="AA212" s="1215" t="s">
        <v>535</v>
      </c>
      <c r="AB212" s="1215"/>
      <c r="AC212" s="1215"/>
      <c r="AD212" s="1215" t="s">
        <v>535</v>
      </c>
      <c r="AE212" s="1215" t="s">
        <v>535</v>
      </c>
      <c r="AF212" s="1215" t="s">
        <v>535</v>
      </c>
      <c r="AG212" s="1215" t="s">
        <v>535</v>
      </c>
      <c r="AH212" s="603">
        <v>185</v>
      </c>
      <c r="AI212" s="604">
        <v>37</v>
      </c>
    </row>
    <row r="213" spans="1:35" ht="21.95" customHeight="1">
      <c r="A213" s="442">
        <v>3701</v>
      </c>
      <c r="B213" s="1240" t="s">
        <v>576</v>
      </c>
      <c r="C213" s="1215" t="s">
        <v>535</v>
      </c>
      <c r="D213" s="1215" t="s">
        <v>535</v>
      </c>
      <c r="E213" s="1215" t="s">
        <v>535</v>
      </c>
      <c r="F213" s="1215" t="s">
        <v>535</v>
      </c>
      <c r="G213" s="1215"/>
      <c r="H213" s="1215"/>
      <c r="I213" s="1215" t="s">
        <v>535</v>
      </c>
      <c r="J213" s="1215" t="s">
        <v>535</v>
      </c>
      <c r="K213" s="1215" t="s">
        <v>535</v>
      </c>
      <c r="L213" s="1215" t="s">
        <v>535</v>
      </c>
      <c r="M213" s="1215" t="s">
        <v>535</v>
      </c>
      <c r="N213" s="1215"/>
      <c r="O213" s="1215"/>
      <c r="P213" s="1215" t="s">
        <v>535</v>
      </c>
      <c r="Q213" s="1215" t="s">
        <v>535</v>
      </c>
      <c r="R213" s="1215" t="s">
        <v>535</v>
      </c>
      <c r="S213" s="1215" t="s">
        <v>535</v>
      </c>
      <c r="T213" s="1215" t="s">
        <v>535</v>
      </c>
      <c r="U213" s="1215"/>
      <c r="V213" s="1215"/>
      <c r="W213" s="1215" t="s">
        <v>535</v>
      </c>
      <c r="X213" s="1215" t="s">
        <v>535</v>
      </c>
      <c r="Y213" s="1215" t="s">
        <v>535</v>
      </c>
      <c r="Z213" s="1215" t="s">
        <v>535</v>
      </c>
      <c r="AA213" s="1215" t="s">
        <v>535</v>
      </c>
      <c r="AB213" s="1215"/>
      <c r="AC213" s="1215"/>
      <c r="AD213" s="1215" t="s">
        <v>535</v>
      </c>
      <c r="AE213" s="1215" t="s">
        <v>535</v>
      </c>
      <c r="AF213" s="1215" t="s">
        <v>535</v>
      </c>
      <c r="AG213" s="1215" t="s">
        <v>535</v>
      </c>
      <c r="AH213" s="603">
        <v>185</v>
      </c>
      <c r="AI213" s="604">
        <v>37</v>
      </c>
    </row>
    <row r="214" spans="1:35" ht="21.95" customHeight="1">
      <c r="A214" s="903">
        <v>3701</v>
      </c>
      <c r="B214" s="1240"/>
      <c r="C214" s="1229"/>
      <c r="D214" s="1229"/>
      <c r="E214" s="1229"/>
      <c r="F214" s="1229"/>
      <c r="G214" s="1229"/>
      <c r="H214" s="1229"/>
      <c r="I214" s="1229"/>
      <c r="J214" s="1229"/>
      <c r="K214" s="1229"/>
      <c r="L214" s="1229"/>
      <c r="M214" s="1229"/>
      <c r="N214" s="1229"/>
      <c r="O214" s="1229"/>
      <c r="P214" s="1229"/>
      <c r="Q214" s="1229"/>
      <c r="R214" s="1229"/>
      <c r="S214" s="1229"/>
      <c r="T214" s="1229"/>
      <c r="U214" s="1229"/>
      <c r="V214" s="1229"/>
      <c r="W214" s="1229"/>
      <c r="X214" s="1229"/>
      <c r="Y214" s="1229"/>
      <c r="Z214" s="1229"/>
      <c r="AA214" s="1229"/>
      <c r="AB214" s="1229"/>
      <c r="AC214" s="1229"/>
      <c r="AD214" s="1229"/>
      <c r="AE214" s="1229"/>
      <c r="AF214" s="1229"/>
      <c r="AG214" s="1229"/>
      <c r="AH214" s="904"/>
      <c r="AI214" s="904"/>
    </row>
    <row r="215" spans="1:35" ht="21.95" customHeight="1">
      <c r="A215" s="578"/>
      <c r="B215" s="621"/>
      <c r="C215" s="559"/>
      <c r="D215" s="559"/>
      <c r="E215" s="559"/>
      <c r="F215" s="559"/>
      <c r="G215" s="559"/>
      <c r="H215" s="559"/>
      <c r="I215" s="559"/>
      <c r="J215" s="559"/>
      <c r="K215" s="520"/>
      <c r="L215" s="559"/>
      <c r="M215" s="559"/>
      <c r="N215" s="559"/>
      <c r="O215" s="559"/>
      <c r="P215" s="541"/>
      <c r="Q215" s="541"/>
      <c r="R215" s="541"/>
      <c r="S215" s="559"/>
      <c r="T215" s="559"/>
      <c r="U215" s="559"/>
      <c r="V215" s="559"/>
      <c r="W215" s="559"/>
      <c r="X215" s="559"/>
      <c r="Y215" s="559"/>
      <c r="Z215" s="559"/>
      <c r="AA215" s="559"/>
      <c r="AB215" s="559"/>
      <c r="AC215" s="559"/>
      <c r="AD215" s="559"/>
      <c r="AE215" s="559"/>
      <c r="AF215" s="559"/>
      <c r="AG215" s="559"/>
      <c r="AH215" s="560"/>
      <c r="AI215" s="560"/>
    </row>
    <row r="216" spans="1:35" ht="21" customHeight="1" thickBot="1">
      <c r="A216" s="1" t="s">
        <v>577</v>
      </c>
    </row>
    <row r="217" spans="1:35" ht="21" customHeight="1">
      <c r="B217" s="201" t="s">
        <v>516</v>
      </c>
      <c r="C217" s="7"/>
      <c r="D217" s="525" t="s">
        <v>2</v>
      </c>
      <c r="E217" s="51"/>
      <c r="F217" s="551"/>
      <c r="G217" s="7"/>
      <c r="H217" s="525" t="s">
        <v>3</v>
      </c>
      <c r="I217" s="51"/>
      <c r="J217" s="551"/>
      <c r="K217" s="7"/>
      <c r="L217" s="525" t="s">
        <v>4</v>
      </c>
      <c r="M217" s="51"/>
      <c r="N217" s="551"/>
      <c r="O217" s="7"/>
      <c r="P217" s="525" t="s">
        <v>5</v>
      </c>
      <c r="Q217" s="51"/>
      <c r="R217" s="551"/>
      <c r="S217" s="7"/>
      <c r="T217" s="525" t="s">
        <v>6</v>
      </c>
      <c r="U217" s="51"/>
      <c r="V217" s="551"/>
      <c r="W217" s="7"/>
      <c r="X217" s="525" t="s">
        <v>7</v>
      </c>
      <c r="Y217" s="51"/>
      <c r="Z217" s="551"/>
      <c r="AA217" s="7"/>
      <c r="AB217" s="525" t="s">
        <v>8</v>
      </c>
      <c r="AC217" s="51"/>
      <c r="AD217" s="51"/>
      <c r="AE217" s="425" t="s">
        <v>10</v>
      </c>
      <c r="AF217" s="51"/>
      <c r="AG217" s="51"/>
      <c r="AH217" s="51"/>
      <c r="AI217" s="526"/>
    </row>
    <row r="218" spans="1:35" ht="21" customHeight="1">
      <c r="B218" s="9">
        <v>8502</v>
      </c>
      <c r="C218" s="14" t="s">
        <v>11</v>
      </c>
      <c r="D218" s="609"/>
      <c r="E218" s="55"/>
      <c r="F218" s="608"/>
      <c r="G218" s="14" t="s">
        <v>11</v>
      </c>
      <c r="H218" s="609"/>
      <c r="I218" s="55"/>
      <c r="J218" s="608"/>
      <c r="K218" s="14" t="s">
        <v>11</v>
      </c>
      <c r="L218" s="609"/>
      <c r="M218" s="55"/>
      <c r="N218" s="608"/>
      <c r="O218" s="14" t="s">
        <v>11</v>
      </c>
      <c r="P218" s="609"/>
      <c r="Q218" s="55"/>
      <c r="R218" s="608"/>
      <c r="S218" s="14" t="s">
        <v>12</v>
      </c>
      <c r="T218" s="609"/>
      <c r="U218" s="55"/>
      <c r="V218" s="608"/>
      <c r="W218" s="14"/>
      <c r="X218" s="609"/>
      <c r="Y218" s="55"/>
      <c r="Z218" s="608"/>
      <c r="AA218" s="14"/>
      <c r="AB218" s="609"/>
      <c r="AC218" s="55"/>
      <c r="AD218" s="55"/>
      <c r="AE218" s="610"/>
      <c r="AF218" s="55"/>
      <c r="AG218" s="55"/>
      <c r="AH218" s="55"/>
      <c r="AI218" s="611"/>
    </row>
    <row r="219" spans="1:35" ht="21" customHeight="1">
      <c r="B219" s="612">
        <v>3701</v>
      </c>
      <c r="C219" s="121" t="s">
        <v>11</v>
      </c>
      <c r="D219" s="131"/>
      <c r="E219" s="55"/>
      <c r="F219" s="608"/>
      <c r="G219" s="121" t="s">
        <v>11</v>
      </c>
      <c r="H219" s="609"/>
      <c r="I219" s="55"/>
      <c r="J219" s="608"/>
      <c r="K219" s="121" t="s">
        <v>11</v>
      </c>
      <c r="L219" s="609"/>
      <c r="M219" s="55"/>
      <c r="N219" s="608"/>
      <c r="O219" s="121" t="s">
        <v>11</v>
      </c>
      <c r="P219" s="609"/>
      <c r="Q219" s="55"/>
      <c r="R219" s="608"/>
      <c r="S219" s="14" t="s">
        <v>12</v>
      </c>
      <c r="T219" s="609"/>
      <c r="U219" s="55"/>
      <c r="V219" s="608"/>
      <c r="W219" s="14"/>
      <c r="X219" s="609"/>
      <c r="Y219" s="55"/>
      <c r="Z219" s="608"/>
      <c r="AA219" s="14"/>
      <c r="AB219" s="609"/>
      <c r="AC219" s="55"/>
      <c r="AD219" s="55"/>
      <c r="AE219" s="610"/>
      <c r="AF219" s="55"/>
      <c r="AG219" s="55"/>
      <c r="AH219" s="55"/>
      <c r="AI219" s="611"/>
    </row>
    <row r="220" spans="1:35" ht="21" customHeight="1">
      <c r="B220" s="612">
        <v>3705</v>
      </c>
      <c r="C220" s="121" t="s">
        <v>147</v>
      </c>
      <c r="D220" s="131"/>
      <c r="E220" s="55"/>
      <c r="F220" s="608"/>
      <c r="G220" s="121" t="s">
        <v>147</v>
      </c>
      <c r="H220" s="609"/>
      <c r="I220" s="55"/>
      <c r="J220" s="608"/>
      <c r="K220" s="121" t="s">
        <v>147</v>
      </c>
      <c r="L220" s="609"/>
      <c r="M220" s="55"/>
      <c r="N220" s="608"/>
      <c r="O220" s="121" t="s">
        <v>147</v>
      </c>
      <c r="P220" s="609"/>
      <c r="Q220" s="55"/>
      <c r="R220" s="608"/>
      <c r="S220" s="121" t="s">
        <v>578</v>
      </c>
      <c r="T220" s="609"/>
      <c r="U220" s="55"/>
      <c r="V220" s="608"/>
      <c r="W220" s="14"/>
      <c r="X220" s="609"/>
      <c r="Y220" s="55"/>
      <c r="Z220" s="608"/>
      <c r="AA220" s="14"/>
      <c r="AB220" s="609"/>
      <c r="AC220" s="55"/>
      <c r="AD220" s="55"/>
      <c r="AE220" s="610"/>
      <c r="AF220" s="55"/>
      <c r="AG220" s="55"/>
      <c r="AH220" s="55"/>
      <c r="AI220" s="611"/>
    </row>
    <row r="221" spans="1:35" ht="21" customHeight="1">
      <c r="B221" s="612" t="s">
        <v>579</v>
      </c>
      <c r="C221" s="567" t="s">
        <v>580</v>
      </c>
      <c r="D221" s="131"/>
      <c r="E221" s="55"/>
      <c r="F221" s="608"/>
      <c r="G221" s="567" t="s">
        <v>580</v>
      </c>
      <c r="H221" s="609"/>
      <c r="I221" s="55"/>
      <c r="J221" s="608"/>
      <c r="K221" s="567" t="s">
        <v>580</v>
      </c>
      <c r="L221" s="609"/>
      <c r="M221" s="55"/>
      <c r="N221" s="608"/>
      <c r="O221" s="567" t="s">
        <v>580</v>
      </c>
      <c r="P221" s="609"/>
      <c r="Q221" s="55"/>
      <c r="R221" s="608"/>
      <c r="S221" s="567" t="s">
        <v>580</v>
      </c>
      <c r="T221" s="609"/>
      <c r="U221" s="55"/>
      <c r="V221" s="608"/>
      <c r="W221" s="14"/>
      <c r="X221" s="609"/>
      <c r="Y221" s="55"/>
      <c r="Z221" s="608"/>
      <c r="AA221" s="14"/>
      <c r="AB221" s="609"/>
      <c r="AC221" s="55"/>
      <c r="AD221" s="55"/>
      <c r="AE221" s="610"/>
      <c r="AF221" s="55"/>
      <c r="AG221" s="55"/>
      <c r="AH221" s="55"/>
      <c r="AI221" s="611"/>
    </row>
    <row r="222" spans="1:35" ht="21" customHeight="1">
      <c r="B222" s="612" t="s">
        <v>581</v>
      </c>
      <c r="C222" s="567" t="s">
        <v>582</v>
      </c>
      <c r="D222" s="131"/>
      <c r="E222" s="55"/>
      <c r="F222" s="608"/>
      <c r="G222" s="609" t="s">
        <v>583</v>
      </c>
      <c r="H222" s="609"/>
      <c r="I222" s="55"/>
      <c r="J222" s="608"/>
      <c r="K222" s="609" t="s">
        <v>584</v>
      </c>
      <c r="L222" s="609"/>
      <c r="M222" s="55"/>
      <c r="N222" s="608"/>
      <c r="O222" s="609" t="s">
        <v>584</v>
      </c>
      <c r="P222" s="609"/>
      <c r="Q222" s="55"/>
      <c r="R222" s="608"/>
      <c r="S222" s="609" t="s">
        <v>585</v>
      </c>
      <c r="T222" s="609"/>
      <c r="U222" s="55"/>
      <c r="V222" s="608"/>
      <c r="W222" s="14"/>
      <c r="X222" s="609"/>
      <c r="Y222" s="55"/>
      <c r="Z222" s="608"/>
      <c r="AA222" s="14"/>
      <c r="AB222" s="609"/>
      <c r="AC222" s="55"/>
      <c r="AD222" s="55"/>
      <c r="AE222" s="610"/>
      <c r="AF222" s="55"/>
      <c r="AG222" s="55"/>
      <c r="AH222" s="55"/>
      <c r="AI222" s="611"/>
    </row>
    <row r="223" spans="1:35" ht="21" customHeight="1">
      <c r="B223" s="612" t="s">
        <v>164</v>
      </c>
      <c r="C223" s="567" t="s">
        <v>518</v>
      </c>
      <c r="D223" s="131"/>
      <c r="E223" s="55"/>
      <c r="F223" s="608"/>
      <c r="G223" s="567" t="s">
        <v>518</v>
      </c>
      <c r="H223" s="131"/>
      <c r="I223" s="55"/>
      <c r="J223" s="608"/>
      <c r="K223" s="567" t="s">
        <v>518</v>
      </c>
      <c r="L223" s="131"/>
      <c r="M223" s="55"/>
      <c r="N223" s="608"/>
      <c r="O223" s="567" t="s">
        <v>518</v>
      </c>
      <c r="P223" s="131"/>
      <c r="Q223" s="55"/>
      <c r="R223" s="608"/>
      <c r="S223" s="609" t="s">
        <v>519</v>
      </c>
      <c r="T223" s="609"/>
      <c r="U223" s="55"/>
      <c r="V223" s="608"/>
      <c r="W223" s="14"/>
      <c r="X223" s="609"/>
      <c r="Y223" s="55"/>
      <c r="Z223" s="608"/>
      <c r="AA223" s="14"/>
      <c r="AB223" s="609"/>
      <c r="AC223" s="55"/>
      <c r="AD223" s="55"/>
      <c r="AE223" s="610"/>
      <c r="AF223" s="55"/>
      <c r="AG223" s="55"/>
      <c r="AH223" s="55"/>
      <c r="AI223" s="611"/>
    </row>
    <row r="224" spans="1:35" ht="21" customHeight="1">
      <c r="B224" s="612" t="s">
        <v>167</v>
      </c>
      <c r="C224" s="567" t="s">
        <v>521</v>
      </c>
      <c r="D224" s="131"/>
      <c r="E224" s="55"/>
      <c r="F224" s="608"/>
      <c r="G224" s="567" t="s">
        <v>521</v>
      </c>
      <c r="H224" s="131"/>
      <c r="I224" s="55"/>
      <c r="J224" s="608"/>
      <c r="K224" s="567" t="s">
        <v>521</v>
      </c>
      <c r="L224" s="131"/>
      <c r="M224" s="55"/>
      <c r="N224" s="608"/>
      <c r="O224" s="567" t="s">
        <v>521</v>
      </c>
      <c r="P224" s="131"/>
      <c r="Q224" s="55"/>
      <c r="R224" s="608"/>
      <c r="S224" s="609" t="s">
        <v>522</v>
      </c>
      <c r="T224" s="609"/>
      <c r="U224" s="55"/>
      <c r="V224" s="608"/>
      <c r="W224" s="14"/>
      <c r="X224" s="609"/>
      <c r="Y224" s="55"/>
      <c r="Z224" s="608"/>
      <c r="AA224" s="14"/>
      <c r="AB224" s="609"/>
      <c r="AC224" s="55"/>
      <c r="AD224" s="55"/>
      <c r="AE224" s="610"/>
      <c r="AF224" s="55"/>
      <c r="AG224" s="55"/>
      <c r="AH224" s="55"/>
      <c r="AI224" s="611"/>
    </row>
    <row r="225" spans="1:35" ht="21" customHeight="1" thickBot="1">
      <c r="B225" s="617" t="s">
        <v>170</v>
      </c>
      <c r="C225" s="574" t="s">
        <v>524</v>
      </c>
      <c r="D225" s="48"/>
      <c r="E225" s="622"/>
      <c r="F225" s="240"/>
      <c r="G225" s="574" t="s">
        <v>524</v>
      </c>
      <c r="H225" s="48"/>
      <c r="I225" s="622"/>
      <c r="J225" s="240"/>
      <c r="K225" s="574" t="s">
        <v>524</v>
      </c>
      <c r="L225" s="48"/>
      <c r="M225" s="622"/>
      <c r="N225" s="240"/>
      <c r="O225" s="574" t="s">
        <v>524</v>
      </c>
      <c r="P225" s="48"/>
      <c r="Q225" s="622"/>
      <c r="R225" s="240"/>
      <c r="S225" s="149" t="s">
        <v>525</v>
      </c>
      <c r="T225" s="149"/>
      <c r="U225" s="622"/>
      <c r="V225" s="240"/>
      <c r="W225" s="623"/>
      <c r="X225" s="149"/>
      <c r="Y225" s="622"/>
      <c r="Z225" s="240"/>
      <c r="AA225" s="623"/>
      <c r="AB225" s="149"/>
      <c r="AC225" s="622"/>
      <c r="AD225" s="622"/>
      <c r="AE225" s="624"/>
      <c r="AF225" s="622"/>
      <c r="AG225" s="622"/>
      <c r="AH225" s="622"/>
      <c r="AI225" s="625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6" t="s">
        <v>586</v>
      </c>
    </row>
    <row r="228" spans="1:35" ht="21" customHeight="1">
      <c r="A228" s="556"/>
      <c r="B228" s="297" t="s">
        <v>480</v>
      </c>
      <c r="C228" s="1234">
        <v>1</v>
      </c>
      <c r="D228" s="1234">
        <v>2</v>
      </c>
      <c r="E228" s="1234">
        <v>3</v>
      </c>
      <c r="F228" s="1234">
        <v>4</v>
      </c>
      <c r="G228" s="1235">
        <v>5</v>
      </c>
      <c r="H228" s="1235">
        <v>6</v>
      </c>
      <c r="I228" s="1213">
        <v>7</v>
      </c>
      <c r="J228" s="1213">
        <v>8</v>
      </c>
      <c r="K228" s="1234">
        <v>9</v>
      </c>
      <c r="L228" s="1234">
        <v>10</v>
      </c>
      <c r="M228" s="1234">
        <v>11</v>
      </c>
      <c r="N228" s="1235">
        <v>12</v>
      </c>
      <c r="O228" s="1235">
        <v>13</v>
      </c>
      <c r="P228" s="1213">
        <v>14</v>
      </c>
      <c r="Q228" s="1213">
        <v>15</v>
      </c>
      <c r="R228" s="1234">
        <v>16</v>
      </c>
      <c r="S228" s="1234">
        <v>17</v>
      </c>
      <c r="T228" s="1234">
        <v>18</v>
      </c>
      <c r="U228" s="1235">
        <v>19</v>
      </c>
      <c r="V228" s="1330">
        <v>20</v>
      </c>
      <c r="W228" s="1213">
        <v>21</v>
      </c>
      <c r="X228" s="1213">
        <v>22</v>
      </c>
      <c r="Y228" s="1234">
        <v>23</v>
      </c>
      <c r="Z228" s="1234">
        <v>24</v>
      </c>
      <c r="AA228" s="1234">
        <v>25</v>
      </c>
      <c r="AB228" s="1235">
        <v>26</v>
      </c>
      <c r="AC228" s="1235">
        <v>27</v>
      </c>
      <c r="AD228" s="1213">
        <v>28</v>
      </c>
      <c r="AE228" s="1213">
        <v>29</v>
      </c>
      <c r="AF228" s="1234">
        <v>30</v>
      </c>
      <c r="AG228" s="1234">
        <v>31</v>
      </c>
      <c r="AH228" s="498" t="s">
        <v>481</v>
      </c>
      <c r="AI228" s="499" t="s">
        <v>482</v>
      </c>
    </row>
    <row r="229" spans="1:35" ht="21" customHeight="1">
      <c r="A229" s="442">
        <v>3702</v>
      </c>
      <c r="B229" s="153" t="s">
        <v>587</v>
      </c>
      <c r="C229" s="557">
        <v>1</v>
      </c>
      <c r="D229" s="557">
        <v>1</v>
      </c>
      <c r="E229" s="557">
        <v>1</v>
      </c>
      <c r="F229" s="557">
        <v>1</v>
      </c>
      <c r="G229" s="1215"/>
      <c r="H229" s="557"/>
      <c r="I229" s="557">
        <v>2</v>
      </c>
      <c r="J229" s="1591">
        <v>2</v>
      </c>
      <c r="K229" s="557">
        <v>2</v>
      </c>
      <c r="L229" s="557">
        <v>2</v>
      </c>
      <c r="M229" s="557">
        <v>2</v>
      </c>
      <c r="N229" s="1215"/>
      <c r="O229" s="1215"/>
      <c r="P229" s="557">
        <v>1</v>
      </c>
      <c r="Q229" s="557">
        <v>1</v>
      </c>
      <c r="R229" s="557">
        <v>1</v>
      </c>
      <c r="S229" s="557">
        <v>1</v>
      </c>
      <c r="T229" s="557">
        <v>1</v>
      </c>
      <c r="U229" s="1208"/>
      <c r="V229" s="1208"/>
      <c r="W229" s="1208">
        <v>2</v>
      </c>
      <c r="X229" s="1208">
        <v>2</v>
      </c>
      <c r="Y229" s="1208">
        <v>2</v>
      </c>
      <c r="Z229" s="557">
        <v>2</v>
      </c>
      <c r="AA229" s="557">
        <v>2</v>
      </c>
      <c r="AB229" s="1215"/>
      <c r="AC229" s="1215"/>
      <c r="AD229" s="557">
        <v>1</v>
      </c>
      <c r="AE229" s="557">
        <v>1</v>
      </c>
      <c r="AF229" s="557">
        <v>1</v>
      </c>
      <c r="AG229" s="557">
        <v>1</v>
      </c>
      <c r="AH229" s="504">
        <v>185</v>
      </c>
      <c r="AI229" s="505">
        <v>37</v>
      </c>
    </row>
    <row r="230" spans="1:35" ht="21" customHeight="1">
      <c r="A230" s="442">
        <v>3701</v>
      </c>
      <c r="B230" s="153" t="s">
        <v>588</v>
      </c>
      <c r="C230" s="557" t="s">
        <v>535</v>
      </c>
      <c r="D230" s="557" t="s">
        <v>535</v>
      </c>
      <c r="E230" s="557" t="s">
        <v>535</v>
      </c>
      <c r="F230" s="557" t="s">
        <v>535</v>
      </c>
      <c r="G230" s="1215"/>
      <c r="H230" s="557"/>
      <c r="I230" s="557" t="s">
        <v>535</v>
      </c>
      <c r="J230" s="557" t="s">
        <v>535</v>
      </c>
      <c r="K230" s="557" t="s">
        <v>535</v>
      </c>
      <c r="L230" s="557" t="s">
        <v>535</v>
      </c>
      <c r="M230" s="557" t="s">
        <v>535</v>
      </c>
      <c r="N230" s="1215"/>
      <c r="O230" s="1215"/>
      <c r="P230" s="557" t="s">
        <v>535</v>
      </c>
      <c r="Q230" s="557" t="s">
        <v>535</v>
      </c>
      <c r="R230" s="557" t="s">
        <v>535</v>
      </c>
      <c r="S230" s="557" t="s">
        <v>535</v>
      </c>
      <c r="T230" s="557" t="s">
        <v>535</v>
      </c>
      <c r="U230" s="1208"/>
      <c r="V230" s="1208"/>
      <c r="W230" s="1368" t="s">
        <v>535</v>
      </c>
      <c r="X230" s="1208" t="s">
        <v>535</v>
      </c>
      <c r="Y230" s="1208" t="s">
        <v>535</v>
      </c>
      <c r="Z230" s="557" t="s">
        <v>535</v>
      </c>
      <c r="AA230" s="1368" t="s">
        <v>535</v>
      </c>
      <c r="AB230" s="1215"/>
      <c r="AC230" s="1215"/>
      <c r="AD230" s="557" t="s">
        <v>535</v>
      </c>
      <c r="AE230" s="557" t="s">
        <v>535</v>
      </c>
      <c r="AF230" s="557" t="s">
        <v>535</v>
      </c>
      <c r="AG230" s="557" t="s">
        <v>535</v>
      </c>
      <c r="AH230" s="504">
        <v>185</v>
      </c>
      <c r="AI230" s="505">
        <v>37</v>
      </c>
    </row>
    <row r="231" spans="1:35" ht="21" customHeight="1">
      <c r="A231" s="442">
        <v>3702</v>
      </c>
      <c r="B231" s="153" t="s">
        <v>589</v>
      </c>
      <c r="C231" s="557">
        <v>2</v>
      </c>
      <c r="D231" s="1500" t="s">
        <v>514</v>
      </c>
      <c r="E231" s="557">
        <v>2</v>
      </c>
      <c r="F231" s="557">
        <v>2</v>
      </c>
      <c r="G231" s="1215"/>
      <c r="H231" s="557"/>
      <c r="I231" s="557">
        <v>1</v>
      </c>
      <c r="J231" s="557">
        <v>1</v>
      </c>
      <c r="K231" s="557">
        <v>1</v>
      </c>
      <c r="L231" s="557">
        <v>1</v>
      </c>
      <c r="M231" s="557">
        <v>1</v>
      </c>
      <c r="N231" s="1215"/>
      <c r="O231" s="1215"/>
      <c r="P231" s="557">
        <v>2</v>
      </c>
      <c r="Q231" s="557">
        <v>2</v>
      </c>
      <c r="R231" s="557">
        <v>2</v>
      </c>
      <c r="S231" s="557">
        <v>2</v>
      </c>
      <c r="T231" s="557">
        <v>2</v>
      </c>
      <c r="U231" s="1208"/>
      <c r="V231" s="1208"/>
      <c r="W231" s="1208">
        <v>1</v>
      </c>
      <c r="X231" s="1208">
        <v>1</v>
      </c>
      <c r="Y231" s="1208">
        <v>1</v>
      </c>
      <c r="Z231" s="557">
        <v>1</v>
      </c>
      <c r="AA231" s="557">
        <v>1</v>
      </c>
      <c r="AB231" s="1215"/>
      <c r="AC231" s="1215"/>
      <c r="AD231" s="557">
        <v>2</v>
      </c>
      <c r="AE231" s="557">
        <v>2</v>
      </c>
      <c r="AF231" s="557">
        <v>2</v>
      </c>
      <c r="AG231" s="557">
        <v>2</v>
      </c>
      <c r="AH231" s="504">
        <v>185</v>
      </c>
      <c r="AI231" s="505">
        <v>37</v>
      </c>
    </row>
    <row r="232" spans="1:35" ht="21" customHeight="1">
      <c r="A232" s="627">
        <v>3706</v>
      </c>
      <c r="B232" s="545"/>
      <c r="C232" s="1215"/>
      <c r="D232" s="1215"/>
      <c r="E232" s="1215"/>
      <c r="F232" s="1215"/>
      <c r="G232" s="1215"/>
      <c r="H232" s="1215"/>
      <c r="I232" s="1215"/>
      <c r="J232" s="1215"/>
      <c r="K232" s="1215"/>
      <c r="L232" s="1215"/>
      <c r="M232" s="1215"/>
      <c r="N232" s="1215"/>
      <c r="O232" s="1215"/>
      <c r="P232" s="1215"/>
      <c r="Q232" s="1215"/>
      <c r="R232" s="1215"/>
      <c r="S232" s="1215"/>
      <c r="T232" s="1215"/>
      <c r="U232" s="1215"/>
      <c r="V232" s="1215"/>
      <c r="W232" s="1215"/>
      <c r="X232" s="1215"/>
      <c r="Y232" s="1215"/>
      <c r="Z232" s="1215"/>
      <c r="AA232" s="1215"/>
      <c r="AB232" s="1215"/>
      <c r="AC232" s="1215"/>
      <c r="AD232" s="1215"/>
      <c r="AE232" s="1215"/>
      <c r="AF232" s="1215"/>
      <c r="AG232" s="1215"/>
      <c r="AH232" s="504">
        <v>185</v>
      </c>
      <c r="AI232" s="505">
        <v>37</v>
      </c>
    </row>
    <row r="233" spans="1:35" ht="21" customHeight="1">
      <c r="A233" s="628"/>
      <c r="B233" s="629" t="s">
        <v>590</v>
      </c>
      <c r="C233" s="630"/>
      <c r="D233" s="630"/>
      <c r="E233" s="630"/>
      <c r="F233" s="630"/>
      <c r="G233" s="630"/>
      <c r="H233" s="630"/>
      <c r="I233" s="630"/>
      <c r="J233" s="630"/>
      <c r="K233" s="630"/>
      <c r="L233" s="630"/>
      <c r="M233" s="630"/>
      <c r="N233" s="630"/>
      <c r="O233" s="630"/>
      <c r="P233" s="630"/>
      <c r="Q233" s="630"/>
      <c r="R233" s="630"/>
      <c r="S233" s="630"/>
      <c r="T233" s="630"/>
      <c r="U233" s="630"/>
      <c r="V233" s="630"/>
      <c r="W233" s="630"/>
      <c r="X233" s="630"/>
      <c r="Y233" s="630"/>
      <c r="Z233" s="630"/>
      <c r="AA233" s="630"/>
      <c r="AB233" s="630"/>
      <c r="AC233" s="630"/>
      <c r="AD233" s="630"/>
      <c r="AE233" s="630"/>
      <c r="AF233" s="630"/>
      <c r="AG233" s="631"/>
      <c r="AH233" s="632"/>
      <c r="AI233" s="633"/>
    </row>
    <row r="234" spans="1:35" ht="21" customHeight="1">
      <c r="A234" s="442">
        <v>3702</v>
      </c>
      <c r="B234" s="902" t="s">
        <v>520</v>
      </c>
      <c r="C234" s="557" t="s">
        <v>591</v>
      </c>
      <c r="D234" s="557" t="s">
        <v>591</v>
      </c>
      <c r="E234" s="557" t="s">
        <v>591</v>
      </c>
      <c r="F234" s="557" t="s">
        <v>591</v>
      </c>
      <c r="G234" s="557"/>
      <c r="H234" s="557"/>
      <c r="I234" s="557" t="s">
        <v>591</v>
      </c>
      <c r="J234" s="557" t="s">
        <v>591</v>
      </c>
      <c r="K234" s="557" t="s">
        <v>591</v>
      </c>
      <c r="L234" s="557" t="s">
        <v>591</v>
      </c>
      <c r="M234" s="557" t="s">
        <v>591</v>
      </c>
      <c r="N234" s="1215"/>
      <c r="O234" s="1215"/>
      <c r="P234" s="557" t="s">
        <v>591</v>
      </c>
      <c r="Q234" s="557" t="s">
        <v>591</v>
      </c>
      <c r="R234" s="557" t="s">
        <v>591</v>
      </c>
      <c r="S234" s="557" t="s">
        <v>591</v>
      </c>
      <c r="T234" s="557" t="s">
        <v>591</v>
      </c>
      <c r="U234" s="502"/>
      <c r="V234" s="502"/>
      <c r="W234" s="1440" t="s">
        <v>591</v>
      </c>
      <c r="X234" s="557" t="s">
        <v>591</v>
      </c>
      <c r="Y234" s="557" t="s">
        <v>591</v>
      </c>
      <c r="Z234" s="557" t="s">
        <v>591</v>
      </c>
      <c r="AA234" s="557" t="s">
        <v>591</v>
      </c>
      <c r="AB234" s="1231"/>
      <c r="AC234" s="1215"/>
      <c r="AD234" s="557" t="s">
        <v>591</v>
      </c>
      <c r="AE234" s="557" t="s">
        <v>591</v>
      </c>
      <c r="AF234" s="557" t="s">
        <v>591</v>
      </c>
      <c r="AG234" s="557" t="s">
        <v>591</v>
      </c>
      <c r="AH234" s="504">
        <v>185</v>
      </c>
      <c r="AI234" s="505">
        <v>37</v>
      </c>
    </row>
    <row r="235" spans="1:35" ht="21" customHeight="1">
      <c r="A235" s="442"/>
      <c r="B235" s="153" t="s">
        <v>517</v>
      </c>
      <c r="C235" s="557" t="s">
        <v>592</v>
      </c>
      <c r="D235" s="1500" t="s">
        <v>592</v>
      </c>
      <c r="E235" s="557" t="s">
        <v>592</v>
      </c>
      <c r="F235" s="557" t="s">
        <v>592</v>
      </c>
      <c r="G235" s="557"/>
      <c r="H235" s="557"/>
      <c r="I235" s="557" t="s">
        <v>592</v>
      </c>
      <c r="J235" s="557" t="s">
        <v>592</v>
      </c>
      <c r="K235" s="557" t="s">
        <v>592</v>
      </c>
      <c r="L235" s="557" t="s">
        <v>592</v>
      </c>
      <c r="M235" s="557" t="s">
        <v>592</v>
      </c>
      <c r="N235" s="1215"/>
      <c r="O235" s="1215"/>
      <c r="P235" s="557" t="s">
        <v>592</v>
      </c>
      <c r="Q235" s="557" t="s">
        <v>592</v>
      </c>
      <c r="R235" s="557" t="s">
        <v>592</v>
      </c>
      <c r="S235" s="557" t="s">
        <v>592</v>
      </c>
      <c r="T235" s="557" t="s">
        <v>592</v>
      </c>
      <c r="U235" s="502"/>
      <c r="V235" s="502"/>
      <c r="W235" s="1439" t="s">
        <v>592</v>
      </c>
      <c r="X235" s="1439" t="s">
        <v>592</v>
      </c>
      <c r="Y235" s="1439" t="s">
        <v>592</v>
      </c>
      <c r="Z235" s="1439" t="s">
        <v>592</v>
      </c>
      <c r="AA235" s="1439" t="s">
        <v>592</v>
      </c>
      <c r="AB235" s="1231"/>
      <c r="AC235" s="1215"/>
      <c r="AD235" s="557" t="s">
        <v>592</v>
      </c>
      <c r="AE235" s="557" t="s">
        <v>592</v>
      </c>
      <c r="AF235" s="557" t="s">
        <v>592</v>
      </c>
      <c r="AG235" s="557" t="s">
        <v>592</v>
      </c>
      <c r="AH235" s="504">
        <v>185</v>
      </c>
      <c r="AI235" s="505">
        <v>37</v>
      </c>
    </row>
    <row r="236" spans="1:35" ht="21" customHeight="1">
      <c r="A236" s="442"/>
      <c r="B236" s="153" t="s">
        <v>523</v>
      </c>
      <c r="C236" s="557" t="s">
        <v>556</v>
      </c>
      <c r="D236" s="557" t="s">
        <v>556</v>
      </c>
      <c r="E236" s="557" t="s">
        <v>556</v>
      </c>
      <c r="F236" s="557" t="s">
        <v>556</v>
      </c>
      <c r="G236" s="557"/>
      <c r="H236" s="557"/>
      <c r="I236" s="557" t="s">
        <v>556</v>
      </c>
      <c r="J236" s="557" t="s">
        <v>556</v>
      </c>
      <c r="K236" s="557" t="s">
        <v>556</v>
      </c>
      <c r="L236" s="557" t="s">
        <v>556</v>
      </c>
      <c r="M236" s="557" t="s">
        <v>556</v>
      </c>
      <c r="N236" s="1215"/>
      <c r="O236" s="1215"/>
      <c r="P236" s="557" t="s">
        <v>556</v>
      </c>
      <c r="Q236" s="557" t="s">
        <v>556</v>
      </c>
      <c r="R236" s="557" t="s">
        <v>556</v>
      </c>
      <c r="S236" s="557" t="s">
        <v>556</v>
      </c>
      <c r="T236" s="557" t="s">
        <v>556</v>
      </c>
      <c r="U236" s="502"/>
      <c r="V236" s="502"/>
      <c r="W236" s="557" t="s">
        <v>556</v>
      </c>
      <c r="X236" s="557" t="s">
        <v>556</v>
      </c>
      <c r="Y236" s="557" t="s">
        <v>556</v>
      </c>
      <c r="Z236" s="557" t="s">
        <v>556</v>
      </c>
      <c r="AA236" s="557" t="s">
        <v>556</v>
      </c>
      <c r="AB236" s="1231"/>
      <c r="AC236" s="1215"/>
      <c r="AD236" s="557" t="s">
        <v>556</v>
      </c>
      <c r="AE236" s="557" t="s">
        <v>556</v>
      </c>
      <c r="AF236" s="557" t="s">
        <v>556</v>
      </c>
      <c r="AG236" s="557" t="s">
        <v>556</v>
      </c>
      <c r="AH236" s="504">
        <v>185</v>
      </c>
      <c r="AI236" s="505">
        <v>37</v>
      </c>
    </row>
    <row r="237" spans="1:35" ht="21" customHeight="1"/>
    <row r="238" spans="1:35" ht="21" customHeight="1"/>
    <row r="239" spans="1:35" ht="21" customHeight="1" thickBot="1">
      <c r="A239" s="1" t="s">
        <v>593</v>
      </c>
    </row>
    <row r="240" spans="1:35" ht="21" customHeight="1">
      <c r="B240" s="201" t="s">
        <v>516</v>
      </c>
      <c r="C240" s="7"/>
      <c r="D240" s="525" t="s">
        <v>2</v>
      </c>
      <c r="E240" s="51"/>
      <c r="F240" s="551"/>
      <c r="G240" s="7"/>
      <c r="H240" s="525" t="s">
        <v>3</v>
      </c>
      <c r="I240" s="51"/>
      <c r="J240" s="551"/>
      <c r="K240" s="7"/>
      <c r="L240" s="525" t="s">
        <v>4</v>
      </c>
      <c r="M240" s="51"/>
      <c r="N240" s="551"/>
      <c r="O240" s="7"/>
      <c r="P240" s="525" t="s">
        <v>5</v>
      </c>
      <c r="Q240" s="51"/>
      <c r="R240" s="551"/>
      <c r="S240" s="7"/>
      <c r="T240" s="525" t="s">
        <v>6</v>
      </c>
      <c r="U240" s="51"/>
      <c r="V240" s="551"/>
      <c r="W240" s="7"/>
      <c r="X240" s="525" t="s">
        <v>7</v>
      </c>
      <c r="Y240" s="51"/>
      <c r="Z240" s="551"/>
      <c r="AA240" s="7"/>
      <c r="AB240" s="525" t="s">
        <v>8</v>
      </c>
      <c r="AC240" s="51"/>
      <c r="AD240" s="51"/>
      <c r="AE240" s="425" t="s">
        <v>10</v>
      </c>
      <c r="AF240" s="51"/>
      <c r="AG240" s="51"/>
      <c r="AH240" s="51"/>
      <c r="AI240" s="526"/>
    </row>
    <row r="241" spans="1:35" ht="21" customHeight="1">
      <c r="B241" s="9">
        <v>8500</v>
      </c>
      <c r="C241" s="121" t="s">
        <v>33</v>
      </c>
      <c r="D241" s="609"/>
      <c r="E241" s="55"/>
      <c r="F241" s="608"/>
      <c r="G241" s="121" t="s">
        <v>33</v>
      </c>
      <c r="H241" s="609"/>
      <c r="I241" s="55"/>
      <c r="J241" s="608"/>
      <c r="K241" s="121" t="s">
        <v>33</v>
      </c>
      <c r="L241" s="609"/>
      <c r="M241" s="55"/>
      <c r="N241" s="608"/>
      <c r="O241" s="121" t="s">
        <v>33</v>
      </c>
      <c r="P241" s="609"/>
      <c r="Q241" s="55"/>
      <c r="R241" s="608"/>
      <c r="S241" s="121" t="s">
        <v>34</v>
      </c>
      <c r="T241" s="609"/>
      <c r="U241" s="55"/>
      <c r="V241" s="608"/>
      <c r="W241" s="14"/>
      <c r="X241" s="609"/>
      <c r="Y241" s="55"/>
      <c r="Z241" s="608"/>
      <c r="AA241" s="14"/>
      <c r="AB241" s="609"/>
      <c r="AC241" s="55"/>
      <c r="AD241" s="55"/>
      <c r="AE241" s="610"/>
      <c r="AF241" s="55"/>
      <c r="AG241" s="55"/>
      <c r="AH241" s="55"/>
      <c r="AI241" s="611"/>
    </row>
    <row r="242" spans="1:35" ht="21" customHeight="1" thickBot="1">
      <c r="B242" s="163" t="s">
        <v>594</v>
      </c>
      <c r="C242" s="634" t="s">
        <v>595</v>
      </c>
      <c r="D242" s="635"/>
      <c r="E242" s="622"/>
      <c r="F242" s="240"/>
      <c r="G242" s="634" t="s">
        <v>595</v>
      </c>
      <c r="H242" s="149"/>
      <c r="I242" s="622"/>
      <c r="J242" s="240"/>
      <c r="K242" s="634" t="s">
        <v>595</v>
      </c>
      <c r="L242" s="149"/>
      <c r="M242" s="622"/>
      <c r="N242" s="240"/>
      <c r="O242" s="634" t="s">
        <v>596</v>
      </c>
      <c r="P242" s="149"/>
      <c r="Q242" s="622"/>
      <c r="R242" s="240"/>
      <c r="S242" s="634" t="s">
        <v>16</v>
      </c>
      <c r="T242" s="149"/>
      <c r="U242" s="622"/>
      <c r="V242" s="240"/>
      <c r="W242" s="623"/>
      <c r="X242" s="149"/>
      <c r="Y242" s="622"/>
      <c r="Z242" s="240"/>
      <c r="AA242" s="623"/>
      <c r="AB242" s="149"/>
      <c r="AC242" s="622"/>
      <c r="AD242" s="622"/>
      <c r="AE242" s="624"/>
      <c r="AF242" s="622"/>
      <c r="AG242" s="622"/>
      <c r="AH242" s="622"/>
      <c r="AI242" s="625"/>
    </row>
    <row r="243" spans="1:35" ht="21" customHeight="1" thickBot="1">
      <c r="A243" s="60" t="s">
        <v>597</v>
      </c>
    </row>
    <row r="244" spans="1:35" ht="21" customHeight="1">
      <c r="A244" s="636"/>
      <c r="B244" s="297" t="s">
        <v>480</v>
      </c>
      <c r="C244" s="1234">
        <v>1</v>
      </c>
      <c r="D244" s="1234">
        <v>2</v>
      </c>
      <c r="E244" s="1234">
        <v>3</v>
      </c>
      <c r="F244" s="1234">
        <v>4</v>
      </c>
      <c r="G244" s="1235">
        <v>5</v>
      </c>
      <c r="H244" s="1235">
        <v>6</v>
      </c>
      <c r="I244" s="1213">
        <v>7</v>
      </c>
      <c r="J244" s="1213">
        <v>8</v>
      </c>
      <c r="K244" s="1234">
        <v>9</v>
      </c>
      <c r="L244" s="1234">
        <v>10</v>
      </c>
      <c r="M244" s="1234">
        <v>11</v>
      </c>
      <c r="N244" s="1235">
        <v>12</v>
      </c>
      <c r="O244" s="1235">
        <v>13</v>
      </c>
      <c r="P244" s="1213">
        <v>14</v>
      </c>
      <c r="Q244" s="1213">
        <v>15</v>
      </c>
      <c r="R244" s="1234">
        <v>16</v>
      </c>
      <c r="S244" s="1234">
        <v>17</v>
      </c>
      <c r="T244" s="1234">
        <v>18</v>
      </c>
      <c r="U244" s="1235">
        <v>19</v>
      </c>
      <c r="V244" s="1330">
        <v>20</v>
      </c>
      <c r="W244" s="1213">
        <v>21</v>
      </c>
      <c r="X244" s="1213">
        <v>22</v>
      </c>
      <c r="Y244" s="1234">
        <v>23</v>
      </c>
      <c r="Z244" s="1234">
        <v>24</v>
      </c>
      <c r="AA244" s="1234">
        <v>25</v>
      </c>
      <c r="AB244" s="1235">
        <v>26</v>
      </c>
      <c r="AC244" s="1235">
        <v>27</v>
      </c>
      <c r="AD244" s="1213">
        <v>28</v>
      </c>
      <c r="AE244" s="1213">
        <v>29</v>
      </c>
      <c r="AF244" s="1234">
        <v>30</v>
      </c>
      <c r="AG244" s="1234">
        <v>31</v>
      </c>
      <c r="AH244" s="498" t="s">
        <v>481</v>
      </c>
      <c r="AI244" s="499" t="s">
        <v>482</v>
      </c>
    </row>
    <row r="245" spans="1:35" ht="21" customHeight="1">
      <c r="A245" s="155">
        <v>8500</v>
      </c>
      <c r="B245" s="637" t="s">
        <v>598</v>
      </c>
      <c r="C245" s="557" t="s">
        <v>535</v>
      </c>
      <c r="D245" s="557" t="s">
        <v>535</v>
      </c>
      <c r="E245" s="1439" t="s">
        <v>535</v>
      </c>
      <c r="F245" s="1439" t="s">
        <v>535</v>
      </c>
      <c r="G245" s="1215"/>
      <c r="H245" s="557"/>
      <c r="I245" s="557" t="s">
        <v>535</v>
      </c>
      <c r="J245" s="557" t="s">
        <v>535</v>
      </c>
      <c r="K245" s="557" t="s">
        <v>535</v>
      </c>
      <c r="L245" s="557" t="s">
        <v>535</v>
      </c>
      <c r="M245" s="557" t="s">
        <v>535</v>
      </c>
      <c r="N245" s="1215"/>
      <c r="O245" s="1215"/>
      <c r="P245" s="557" t="s">
        <v>535</v>
      </c>
      <c r="Q245" s="557" t="s">
        <v>535</v>
      </c>
      <c r="R245" s="557" t="s">
        <v>535</v>
      </c>
      <c r="S245" s="557" t="s">
        <v>535</v>
      </c>
      <c r="T245" s="557" t="s">
        <v>535</v>
      </c>
      <c r="U245" s="1208"/>
      <c r="V245" s="1208"/>
      <c r="W245" s="1208" t="s">
        <v>535</v>
      </c>
      <c r="X245" s="1208" t="s">
        <v>535</v>
      </c>
      <c r="Y245" s="1208" t="s">
        <v>535</v>
      </c>
      <c r="Z245" s="557" t="s">
        <v>535</v>
      </c>
      <c r="AA245" s="557" t="s">
        <v>535</v>
      </c>
      <c r="AB245" s="1215"/>
      <c r="AC245" s="1215"/>
      <c r="AD245" s="557" t="s">
        <v>535</v>
      </c>
      <c r="AE245" s="557" t="s">
        <v>535</v>
      </c>
      <c r="AF245" s="557" t="s">
        <v>535</v>
      </c>
      <c r="AG245" s="557" t="s">
        <v>535</v>
      </c>
      <c r="AH245" s="638">
        <v>185</v>
      </c>
      <c r="AI245" s="639">
        <v>37</v>
      </c>
    </row>
    <row r="246" spans="1:35" ht="21" customHeight="1">
      <c r="A246" s="500" t="s">
        <v>599</v>
      </c>
      <c r="B246" s="153" t="s">
        <v>600</v>
      </c>
      <c r="C246" s="1365" t="s">
        <v>535</v>
      </c>
      <c r="D246" s="1365" t="s">
        <v>535</v>
      </c>
      <c r="E246" s="1365" t="s">
        <v>535</v>
      </c>
      <c r="F246" s="1365" t="s">
        <v>535</v>
      </c>
      <c r="G246" s="1338"/>
      <c r="H246" s="1365"/>
      <c r="I246" s="1365" t="s">
        <v>535</v>
      </c>
      <c r="J246" s="1365" t="s">
        <v>535</v>
      </c>
      <c r="K246" s="1365" t="s">
        <v>535</v>
      </c>
      <c r="L246" s="1365" t="s">
        <v>535</v>
      </c>
      <c r="M246" s="1365" t="s">
        <v>535</v>
      </c>
      <c r="N246" s="1338"/>
      <c r="O246" s="1338"/>
      <c r="P246" s="557" t="s">
        <v>535</v>
      </c>
      <c r="Q246" s="557" t="s">
        <v>535</v>
      </c>
      <c r="R246" s="557" t="s">
        <v>535</v>
      </c>
      <c r="S246" s="557" t="s">
        <v>535</v>
      </c>
      <c r="T246" s="557" t="s">
        <v>535</v>
      </c>
      <c r="U246" s="1208"/>
      <c r="V246" s="1208"/>
      <c r="W246" s="1208" t="s">
        <v>535</v>
      </c>
      <c r="X246" s="1208" t="s">
        <v>535</v>
      </c>
      <c r="Y246" s="1208" t="s">
        <v>535</v>
      </c>
      <c r="Z246" s="557" t="s">
        <v>535</v>
      </c>
      <c r="AA246" s="557" t="s">
        <v>535</v>
      </c>
      <c r="AB246" s="1215"/>
      <c r="AC246" s="1215"/>
      <c r="AD246" s="557" t="s">
        <v>535</v>
      </c>
      <c r="AE246" s="557" t="s">
        <v>535</v>
      </c>
      <c r="AF246" s="557" t="s">
        <v>535</v>
      </c>
      <c r="AG246" s="557" t="s">
        <v>535</v>
      </c>
      <c r="AH246" s="638">
        <v>185</v>
      </c>
      <c r="AI246" s="639">
        <v>37</v>
      </c>
    </row>
    <row r="247" spans="1:35" ht="21" customHeight="1">
      <c r="A247" s="153">
        <v>8500</v>
      </c>
      <c r="B247" s="153"/>
      <c r="C247" s="557" t="s">
        <v>535</v>
      </c>
      <c r="D247" s="557" t="s">
        <v>535</v>
      </c>
      <c r="E247" s="557" t="s">
        <v>535</v>
      </c>
      <c r="F247" s="557" t="s">
        <v>535</v>
      </c>
      <c r="G247" s="1215"/>
      <c r="H247" s="557"/>
      <c r="I247" s="557" t="s">
        <v>535</v>
      </c>
      <c r="J247" s="557" t="s">
        <v>535</v>
      </c>
      <c r="K247" s="557" t="s">
        <v>535</v>
      </c>
      <c r="L247" s="557" t="s">
        <v>535</v>
      </c>
      <c r="M247" s="557" t="s">
        <v>535</v>
      </c>
      <c r="N247" s="1215"/>
      <c r="O247" s="1215"/>
      <c r="P247" s="557" t="s">
        <v>535</v>
      </c>
      <c r="Q247" s="557" t="s">
        <v>535</v>
      </c>
      <c r="R247" s="557" t="s">
        <v>535</v>
      </c>
      <c r="S247" s="557" t="s">
        <v>535</v>
      </c>
      <c r="T247" s="557" t="s">
        <v>535</v>
      </c>
      <c r="U247" s="1208"/>
      <c r="V247" s="1208"/>
      <c r="W247" s="1208" t="s">
        <v>535</v>
      </c>
      <c r="X247" s="1208" t="s">
        <v>535</v>
      </c>
      <c r="Y247" s="1208" t="s">
        <v>535</v>
      </c>
      <c r="Z247" s="557" t="s">
        <v>535</v>
      </c>
      <c r="AA247" s="557" t="s">
        <v>535</v>
      </c>
      <c r="AB247" s="1215"/>
      <c r="AC247" s="1215"/>
      <c r="AD247" s="557" t="s">
        <v>535</v>
      </c>
      <c r="AE247" s="557" t="s">
        <v>535</v>
      </c>
      <c r="AF247" s="557" t="s">
        <v>535</v>
      </c>
      <c r="AG247" s="557" t="s">
        <v>535</v>
      </c>
      <c r="AH247" s="638">
        <v>185</v>
      </c>
      <c r="AI247" s="639">
        <v>37</v>
      </c>
    </row>
    <row r="248" spans="1:35" ht="21.95" customHeight="1">
      <c r="A248" s="442"/>
      <c r="B248" s="153" t="s">
        <v>601</v>
      </c>
      <c r="C248" s="557" t="s">
        <v>535</v>
      </c>
      <c r="D248" s="557" t="s">
        <v>535</v>
      </c>
      <c r="E248" s="557" t="s">
        <v>535</v>
      </c>
      <c r="F248" s="557" t="s">
        <v>535</v>
      </c>
      <c r="G248" s="1215"/>
      <c r="H248" s="557"/>
      <c r="I248" s="557" t="s">
        <v>535</v>
      </c>
      <c r="J248" s="557" t="s">
        <v>535</v>
      </c>
      <c r="K248" s="557" t="s">
        <v>535</v>
      </c>
      <c r="L248" s="557" t="s">
        <v>535</v>
      </c>
      <c r="M248" s="557" t="s">
        <v>535</v>
      </c>
      <c r="N248" s="1215"/>
      <c r="O248" s="1215"/>
      <c r="P248" s="557" t="s">
        <v>535</v>
      </c>
      <c r="Q248" s="557" t="s">
        <v>535</v>
      </c>
      <c r="R248" s="557" t="s">
        <v>535</v>
      </c>
      <c r="S248" s="557" t="s">
        <v>535</v>
      </c>
      <c r="T248" s="557" t="s">
        <v>535</v>
      </c>
      <c r="U248" s="1208"/>
      <c r="V248" s="1208"/>
      <c r="W248" s="1208" t="s">
        <v>535</v>
      </c>
      <c r="X248" s="1208" t="s">
        <v>535</v>
      </c>
      <c r="Y248" s="1208" t="s">
        <v>535</v>
      </c>
      <c r="Z248" s="557" t="s">
        <v>535</v>
      </c>
      <c r="AA248" s="557" t="s">
        <v>535</v>
      </c>
      <c r="AB248" s="1215"/>
      <c r="AC248" s="1215"/>
      <c r="AD248" s="557" t="s">
        <v>535</v>
      </c>
      <c r="AE248" s="557" t="s">
        <v>535</v>
      </c>
      <c r="AF248" s="557" t="s">
        <v>535</v>
      </c>
      <c r="AG248" s="557" t="s">
        <v>535</v>
      </c>
      <c r="AH248" s="638">
        <v>185</v>
      </c>
      <c r="AI248" s="639">
        <v>37</v>
      </c>
    </row>
    <row r="249" spans="1:35" ht="21.95" customHeight="1">
      <c r="A249" s="511">
        <v>3350</v>
      </c>
      <c r="B249" s="54"/>
      <c r="C249" s="557" t="s">
        <v>535</v>
      </c>
      <c r="D249" s="557" t="s">
        <v>535</v>
      </c>
      <c r="E249" s="557" t="s">
        <v>535</v>
      </c>
      <c r="F249" s="557" t="s">
        <v>535</v>
      </c>
      <c r="G249" s="1215"/>
      <c r="H249" s="557"/>
      <c r="I249" s="557" t="s">
        <v>535</v>
      </c>
      <c r="J249" s="557" t="s">
        <v>535</v>
      </c>
      <c r="K249" s="557" t="s">
        <v>535</v>
      </c>
      <c r="L249" s="557" t="s">
        <v>535</v>
      </c>
      <c r="M249" s="557" t="s">
        <v>535</v>
      </c>
      <c r="N249" s="1215"/>
      <c r="O249" s="1215"/>
      <c r="P249" s="557" t="s">
        <v>535</v>
      </c>
      <c r="Q249" s="557" t="s">
        <v>535</v>
      </c>
      <c r="R249" s="557" t="s">
        <v>535</v>
      </c>
      <c r="S249" s="557" t="s">
        <v>535</v>
      </c>
      <c r="T249" s="557" t="s">
        <v>535</v>
      </c>
      <c r="U249" s="1208"/>
      <c r="V249" s="1208"/>
      <c r="W249" s="1208" t="s">
        <v>535</v>
      </c>
      <c r="X249" s="1208" t="s">
        <v>535</v>
      </c>
      <c r="Y249" s="1208" t="s">
        <v>535</v>
      </c>
      <c r="Z249" s="557" t="s">
        <v>535</v>
      </c>
      <c r="AA249" s="557" t="s">
        <v>535</v>
      </c>
      <c r="AB249" s="1215"/>
      <c r="AC249" s="1215"/>
      <c r="AD249" s="557" t="s">
        <v>535</v>
      </c>
      <c r="AE249" s="557" t="s">
        <v>535</v>
      </c>
      <c r="AF249" s="557" t="s">
        <v>535</v>
      </c>
      <c r="AG249" s="557" t="s">
        <v>535</v>
      </c>
      <c r="AH249" s="638">
        <v>185</v>
      </c>
      <c r="AI249" s="639">
        <v>37</v>
      </c>
    </row>
    <row r="250" spans="1:35" ht="21.95" customHeight="1">
      <c r="A250" s="519">
        <v>3701</v>
      </c>
      <c r="B250" s="153" t="s">
        <v>603</v>
      </c>
      <c r="C250" s="557" t="s">
        <v>535</v>
      </c>
      <c r="D250" s="557" t="s">
        <v>535</v>
      </c>
      <c r="E250" s="557" t="s">
        <v>535</v>
      </c>
      <c r="F250" s="557" t="s">
        <v>535</v>
      </c>
      <c r="G250" s="1215"/>
      <c r="H250" s="557"/>
      <c r="I250" s="557" t="s">
        <v>535</v>
      </c>
      <c r="J250" s="557" t="s">
        <v>535</v>
      </c>
      <c r="K250" s="557" t="s">
        <v>535</v>
      </c>
      <c r="L250" s="557" t="s">
        <v>535</v>
      </c>
      <c r="M250" s="557" t="s">
        <v>535</v>
      </c>
      <c r="N250" s="1215"/>
      <c r="O250" s="1215"/>
      <c r="P250" s="557" t="s">
        <v>535</v>
      </c>
      <c r="Q250" s="557" t="s">
        <v>535</v>
      </c>
      <c r="R250" s="557" t="s">
        <v>535</v>
      </c>
      <c r="S250" s="557" t="s">
        <v>535</v>
      </c>
      <c r="T250" s="557" t="s">
        <v>535</v>
      </c>
      <c r="U250" s="1208"/>
      <c r="V250" s="1208"/>
      <c r="W250" s="1208" t="s">
        <v>535</v>
      </c>
      <c r="X250" s="1208" t="s">
        <v>535</v>
      </c>
      <c r="Y250" s="1208" t="s">
        <v>535</v>
      </c>
      <c r="Z250" s="557" t="s">
        <v>535</v>
      </c>
      <c r="AA250" s="557" t="s">
        <v>535</v>
      </c>
      <c r="AB250" s="1215"/>
      <c r="AC250" s="1215"/>
      <c r="AD250" s="1365" t="s">
        <v>535</v>
      </c>
      <c r="AE250" s="1365" t="s">
        <v>535</v>
      </c>
      <c r="AF250" s="1365" t="s">
        <v>535</v>
      </c>
      <c r="AG250" s="1365" t="s">
        <v>535</v>
      </c>
      <c r="AH250" s="638">
        <v>185</v>
      </c>
      <c r="AI250" s="639">
        <v>37</v>
      </c>
    </row>
    <row r="251" spans="1:35" ht="25.5" customHeight="1" thickBot="1">
      <c r="A251" s="1" t="s">
        <v>604</v>
      </c>
    </row>
    <row r="252" spans="1:35" ht="21" customHeight="1">
      <c r="A252" s="1"/>
      <c r="B252" s="201" t="s">
        <v>516</v>
      </c>
      <c r="C252" s="7"/>
      <c r="D252" s="525" t="s">
        <v>2</v>
      </c>
      <c r="E252" s="51"/>
      <c r="F252" s="551"/>
      <c r="G252" s="7"/>
      <c r="H252" s="525" t="s">
        <v>3</v>
      </c>
      <c r="I252" s="51"/>
      <c r="J252" s="551"/>
      <c r="K252" s="7"/>
      <c r="L252" s="525" t="s">
        <v>4</v>
      </c>
      <c r="M252" s="51"/>
      <c r="N252" s="551"/>
      <c r="O252" s="7"/>
      <c r="P252" s="525" t="s">
        <v>5</v>
      </c>
      <c r="Q252" s="51"/>
      <c r="R252" s="551"/>
      <c r="S252" s="7"/>
      <c r="T252" s="525" t="s">
        <v>6</v>
      </c>
      <c r="U252" s="51"/>
      <c r="V252" s="551"/>
      <c r="W252" s="7"/>
      <c r="X252" s="525" t="s">
        <v>7</v>
      </c>
      <c r="Y252" s="51"/>
      <c r="Z252" s="551"/>
      <c r="AA252" s="7"/>
      <c r="AB252" s="525" t="s">
        <v>8</v>
      </c>
      <c r="AC252" s="51"/>
      <c r="AD252" s="51"/>
      <c r="AE252" s="425" t="s">
        <v>10</v>
      </c>
      <c r="AF252" s="51"/>
      <c r="AG252" s="51"/>
      <c r="AH252" s="51"/>
      <c r="AI252" s="526"/>
    </row>
    <row r="253" spans="1:35" ht="21" customHeight="1">
      <c r="A253" s="1"/>
      <c r="B253" s="9"/>
      <c r="C253" s="14"/>
      <c r="D253" s="609"/>
      <c r="E253" s="55"/>
      <c r="F253" s="608"/>
      <c r="G253" s="14"/>
      <c r="H253" s="609"/>
      <c r="I253" s="55"/>
      <c r="J253" s="608"/>
      <c r="K253" s="14"/>
      <c r="L253" s="609"/>
      <c r="M253" s="55"/>
      <c r="N253" s="608"/>
      <c r="O253" s="14"/>
      <c r="P253" s="609"/>
      <c r="Q253" s="55"/>
      <c r="R253" s="608"/>
      <c r="S253" s="14"/>
      <c r="T253" s="609"/>
      <c r="U253" s="55"/>
      <c r="V253" s="608"/>
      <c r="W253" s="14"/>
      <c r="X253" s="609"/>
      <c r="Y253" s="55"/>
      <c r="Z253" s="608"/>
      <c r="AA253" s="14"/>
      <c r="AB253" s="609"/>
      <c r="AC253" s="55"/>
      <c r="AD253" s="55"/>
      <c r="AE253" s="610"/>
      <c r="AF253" s="55"/>
      <c r="AG253" s="55"/>
      <c r="AH253" s="55"/>
      <c r="AI253" s="611"/>
    </row>
    <row r="254" spans="1:35" ht="21" customHeight="1">
      <c r="B254" s="612"/>
      <c r="C254" s="121"/>
      <c r="D254" s="157"/>
      <c r="E254" s="157"/>
      <c r="F254" s="568"/>
      <c r="G254" s="121"/>
      <c r="H254" s="157"/>
      <c r="I254" s="157"/>
      <c r="J254" s="568"/>
      <c r="K254" s="121"/>
      <c r="L254" s="157"/>
      <c r="M254" s="157"/>
      <c r="N254" s="568"/>
      <c r="O254" s="121"/>
      <c r="P254" s="157"/>
      <c r="Q254" s="157"/>
      <c r="R254" s="568"/>
      <c r="S254" s="121"/>
      <c r="T254" s="157"/>
      <c r="U254" s="157"/>
      <c r="V254" s="568"/>
      <c r="W254" s="121"/>
      <c r="X254" s="157"/>
      <c r="Y254" s="157"/>
      <c r="Z254" s="568"/>
      <c r="AA254" s="567"/>
      <c r="AB254" s="157"/>
      <c r="AC254" s="157"/>
      <c r="AD254" s="569"/>
      <c r="AE254" s="613"/>
      <c r="AF254" s="157"/>
      <c r="AG254" s="157" t="s">
        <v>28</v>
      </c>
      <c r="AH254" s="569"/>
      <c r="AI254" s="490"/>
    </row>
    <row r="255" spans="1:35" ht="21" customHeight="1" thickBot="1">
      <c r="A255" s="1"/>
      <c r="B255" s="47"/>
      <c r="C255" s="574"/>
      <c r="D255" s="53"/>
      <c r="E255" s="53"/>
      <c r="F255" s="575"/>
      <c r="G255" s="574"/>
      <c r="H255" s="53"/>
      <c r="I255" s="53"/>
      <c r="J255" s="575"/>
      <c r="K255" s="574"/>
      <c r="L255" s="53"/>
      <c r="M255" s="53"/>
      <c r="N255" s="575"/>
      <c r="O255" s="574"/>
      <c r="P255" s="53"/>
      <c r="Q255" s="53"/>
      <c r="R255" s="575"/>
      <c r="S255" s="574"/>
      <c r="T255" s="53"/>
      <c r="U255" s="53"/>
      <c r="V255" s="575"/>
      <c r="W255" s="57"/>
      <c r="X255" s="53"/>
      <c r="Y255" s="53"/>
      <c r="Z255" s="575"/>
      <c r="AA255" s="57"/>
      <c r="AB255" s="53"/>
      <c r="AC255" s="53"/>
      <c r="AD255" s="577"/>
      <c r="AE255" s="57"/>
      <c r="AF255" s="53"/>
      <c r="AG255" s="53"/>
      <c r="AH255" s="577"/>
      <c r="AI255" s="539"/>
    </row>
    <row r="256" spans="1:35" ht="33" customHeight="1" thickBot="1">
      <c r="A256" s="1" t="s">
        <v>605</v>
      </c>
      <c r="B256" s="72"/>
      <c r="C256" s="312"/>
      <c r="F256" s="354"/>
      <c r="G256" s="312"/>
      <c r="J256" s="354"/>
      <c r="K256" s="312"/>
      <c r="N256" s="354"/>
      <c r="O256" s="312"/>
      <c r="R256" s="354"/>
      <c r="S256" s="312"/>
      <c r="V256" s="354"/>
      <c r="W256" s="354"/>
      <c r="Z256" s="354"/>
      <c r="AA256" s="354"/>
      <c r="AD256" s="354"/>
      <c r="AE256" s="354"/>
      <c r="AH256" s="354"/>
    </row>
    <row r="257" spans="1:35" ht="21" customHeight="1">
      <c r="A257" s="556" t="s">
        <v>528</v>
      </c>
      <c r="B257" s="297" t="s">
        <v>480</v>
      </c>
      <c r="C257" s="1234">
        <v>1</v>
      </c>
      <c r="D257" s="1234">
        <v>2</v>
      </c>
      <c r="E257" s="1234">
        <v>3</v>
      </c>
      <c r="F257" s="1234">
        <v>4</v>
      </c>
      <c r="G257" s="1235">
        <v>5</v>
      </c>
      <c r="H257" s="1235">
        <v>6</v>
      </c>
      <c r="I257" s="1213">
        <v>7</v>
      </c>
      <c r="J257" s="1213">
        <v>8</v>
      </c>
      <c r="K257" s="1234">
        <v>9</v>
      </c>
      <c r="L257" s="1234">
        <v>10</v>
      </c>
      <c r="M257" s="1234">
        <v>11</v>
      </c>
      <c r="N257" s="1235">
        <v>12</v>
      </c>
      <c r="O257" s="1235">
        <v>13</v>
      </c>
      <c r="P257" s="1213">
        <v>14</v>
      </c>
      <c r="Q257" s="1213">
        <v>15</v>
      </c>
      <c r="R257" s="1234">
        <v>16</v>
      </c>
      <c r="S257" s="1234">
        <v>17</v>
      </c>
      <c r="T257" s="1234">
        <v>18</v>
      </c>
      <c r="U257" s="1235">
        <v>19</v>
      </c>
      <c r="V257" s="1330">
        <v>20</v>
      </c>
      <c r="W257" s="1213">
        <v>21</v>
      </c>
      <c r="X257" s="1213">
        <v>22</v>
      </c>
      <c r="Y257" s="1234">
        <v>23</v>
      </c>
      <c r="Z257" s="1234">
        <v>24</v>
      </c>
      <c r="AA257" s="1234">
        <v>25</v>
      </c>
      <c r="AB257" s="1235">
        <v>26</v>
      </c>
      <c r="AC257" s="1235">
        <v>27</v>
      </c>
      <c r="AD257" s="1213">
        <v>28</v>
      </c>
      <c r="AE257" s="1213">
        <v>29</v>
      </c>
      <c r="AF257" s="1234">
        <v>30</v>
      </c>
      <c r="AG257" s="1234">
        <v>31</v>
      </c>
      <c r="AH257" s="498" t="s">
        <v>481</v>
      </c>
      <c r="AI257" s="499" t="s">
        <v>482</v>
      </c>
    </row>
    <row r="258" spans="1:35" ht="21" customHeight="1">
      <c r="A258" s="442"/>
      <c r="B258" s="619" t="s">
        <v>606</v>
      </c>
      <c r="C258" s="557" t="s">
        <v>535</v>
      </c>
      <c r="D258" s="557" t="s">
        <v>535</v>
      </c>
      <c r="E258" s="557" t="s">
        <v>535</v>
      </c>
      <c r="F258" s="557" t="s">
        <v>535</v>
      </c>
      <c r="G258" s="1215"/>
      <c r="H258" s="557"/>
      <c r="I258" s="557" t="s">
        <v>535</v>
      </c>
      <c r="J258" s="557" t="s">
        <v>535</v>
      </c>
      <c r="K258" s="557" t="s">
        <v>535</v>
      </c>
      <c r="L258" s="557" t="s">
        <v>535</v>
      </c>
      <c r="M258" s="557" t="s">
        <v>535</v>
      </c>
      <c r="N258" s="1215"/>
      <c r="O258" s="1215"/>
      <c r="P258" s="557" t="s">
        <v>535</v>
      </c>
      <c r="Q258" s="557" t="s">
        <v>535</v>
      </c>
      <c r="R258" s="557" t="s">
        <v>535</v>
      </c>
      <c r="S258" s="557" t="s">
        <v>535</v>
      </c>
      <c r="T258" s="557" t="s">
        <v>535</v>
      </c>
      <c r="U258" s="1208"/>
      <c r="V258" s="1208"/>
      <c r="W258" s="1208" t="s">
        <v>535</v>
      </c>
      <c r="X258" s="1208" t="s">
        <v>535</v>
      </c>
      <c r="Y258" s="1208" t="s">
        <v>535</v>
      </c>
      <c r="Z258" s="557" t="s">
        <v>535</v>
      </c>
      <c r="AA258" s="557" t="s">
        <v>535</v>
      </c>
      <c r="AB258" s="1215"/>
      <c r="AC258" s="1215"/>
      <c r="AD258" s="557" t="s">
        <v>535</v>
      </c>
      <c r="AE258" s="557" t="s">
        <v>535</v>
      </c>
      <c r="AF258" s="557" t="s">
        <v>535</v>
      </c>
      <c r="AG258" s="557" t="s">
        <v>535</v>
      </c>
      <c r="AH258" s="638">
        <v>185</v>
      </c>
      <c r="AI258" s="639">
        <v>37</v>
      </c>
    </row>
    <row r="259" spans="1:35" ht="21" customHeight="1">
      <c r="A259" s="442"/>
      <c r="B259" s="619" t="s">
        <v>607</v>
      </c>
      <c r="C259" s="557" t="s">
        <v>535</v>
      </c>
      <c r="D259" s="557" t="s">
        <v>535</v>
      </c>
      <c r="E259" s="557" t="s">
        <v>535</v>
      </c>
      <c r="F259" s="557" t="s">
        <v>535</v>
      </c>
      <c r="G259" s="1215"/>
      <c r="H259" s="557"/>
      <c r="I259" s="557" t="s">
        <v>535</v>
      </c>
      <c r="J259" s="557" t="s">
        <v>535</v>
      </c>
      <c r="K259" s="557" t="s">
        <v>535</v>
      </c>
      <c r="L259" s="557" t="s">
        <v>535</v>
      </c>
      <c r="M259" s="557" t="s">
        <v>535</v>
      </c>
      <c r="N259" s="1215"/>
      <c r="O259" s="1215"/>
      <c r="P259" s="1365" t="s">
        <v>535</v>
      </c>
      <c r="Q259" s="1365" t="s">
        <v>535</v>
      </c>
      <c r="R259" s="1365" t="s">
        <v>535</v>
      </c>
      <c r="S259" s="1365" t="s">
        <v>535</v>
      </c>
      <c r="T259" s="1365" t="s">
        <v>535</v>
      </c>
      <c r="U259" s="1208"/>
      <c r="V259" s="1208"/>
      <c r="W259" s="1208" t="s">
        <v>535</v>
      </c>
      <c r="X259" s="1208" t="s">
        <v>535</v>
      </c>
      <c r="Y259" s="1208" t="s">
        <v>535</v>
      </c>
      <c r="Z259" s="557" t="s">
        <v>535</v>
      </c>
      <c r="AA259" s="557" t="s">
        <v>535</v>
      </c>
      <c r="AB259" s="1215"/>
      <c r="AC259" s="1215"/>
      <c r="AD259" s="557" t="s">
        <v>535</v>
      </c>
      <c r="AE259" s="557" t="s">
        <v>535</v>
      </c>
      <c r="AF259" s="557" t="s">
        <v>535</v>
      </c>
      <c r="AG259" s="557" t="s">
        <v>535</v>
      </c>
      <c r="AH259" s="638">
        <v>185</v>
      </c>
      <c r="AI259" s="639">
        <v>37</v>
      </c>
    </row>
    <row r="260" spans="1:35" ht="21" customHeight="1">
      <c r="A260" s="442"/>
      <c r="B260" s="619" t="s">
        <v>608</v>
      </c>
      <c r="C260" s="557" t="s">
        <v>535</v>
      </c>
      <c r="D260" s="557" t="s">
        <v>535</v>
      </c>
      <c r="E260" s="557" t="s">
        <v>535</v>
      </c>
      <c r="F260" s="557" t="s">
        <v>535</v>
      </c>
      <c r="G260" s="1215"/>
      <c r="H260" s="557"/>
      <c r="I260" s="557" t="s">
        <v>535</v>
      </c>
      <c r="J260" s="557" t="s">
        <v>535</v>
      </c>
      <c r="K260" s="557" t="s">
        <v>535</v>
      </c>
      <c r="L260" s="557" t="s">
        <v>535</v>
      </c>
      <c r="M260" s="557" t="s">
        <v>535</v>
      </c>
      <c r="N260" s="1215"/>
      <c r="O260" s="1215"/>
      <c r="P260" s="557" t="s">
        <v>535</v>
      </c>
      <c r="Q260" s="557" t="s">
        <v>535</v>
      </c>
      <c r="R260" s="557" t="s">
        <v>535</v>
      </c>
      <c r="S260" s="557" t="s">
        <v>535</v>
      </c>
      <c r="T260" s="557" t="s">
        <v>535</v>
      </c>
      <c r="U260" s="1208"/>
      <c r="V260" s="1208"/>
      <c r="W260" s="1208" t="s">
        <v>535</v>
      </c>
      <c r="X260" s="1208" t="s">
        <v>535</v>
      </c>
      <c r="Y260" s="1208" t="s">
        <v>535</v>
      </c>
      <c r="Z260" s="557" t="s">
        <v>535</v>
      </c>
      <c r="AA260" s="557" t="s">
        <v>535</v>
      </c>
      <c r="AB260" s="1215"/>
      <c r="AC260" s="1215"/>
      <c r="AD260" s="557" t="s">
        <v>535</v>
      </c>
      <c r="AE260" s="557" t="s">
        <v>535</v>
      </c>
      <c r="AF260" s="557" t="s">
        <v>535</v>
      </c>
      <c r="AG260" s="557" t="s">
        <v>535</v>
      </c>
      <c r="AH260" s="638">
        <v>185</v>
      </c>
      <c r="AI260" s="639">
        <v>37</v>
      </c>
    </row>
    <row r="261" spans="1:35" ht="21" customHeight="1">
      <c r="A261" s="442"/>
      <c r="B261" s="619" t="s">
        <v>609</v>
      </c>
      <c r="C261" s="557" t="s">
        <v>535</v>
      </c>
      <c r="D261" s="1500" t="s">
        <v>514</v>
      </c>
      <c r="E261" s="557" t="s">
        <v>535</v>
      </c>
      <c r="F261" s="557" t="s">
        <v>535</v>
      </c>
      <c r="G261" s="1215"/>
      <c r="H261" s="557"/>
      <c r="I261" s="557" t="s">
        <v>535</v>
      </c>
      <c r="J261" s="557" t="s">
        <v>535</v>
      </c>
      <c r="K261" s="557" t="s">
        <v>535</v>
      </c>
      <c r="L261" s="557" t="s">
        <v>535</v>
      </c>
      <c r="M261" s="557" t="s">
        <v>535</v>
      </c>
      <c r="N261" s="1215"/>
      <c r="O261" s="1215"/>
      <c r="P261" s="557" t="s">
        <v>535</v>
      </c>
      <c r="Q261" s="557" t="s">
        <v>535</v>
      </c>
      <c r="R261" s="557" t="s">
        <v>535</v>
      </c>
      <c r="S261" s="557" t="s">
        <v>535</v>
      </c>
      <c r="T261" s="557" t="s">
        <v>535</v>
      </c>
      <c r="U261" s="1208"/>
      <c r="V261" s="1208"/>
      <c r="W261" s="1208" t="s">
        <v>535</v>
      </c>
      <c r="X261" s="1208" t="s">
        <v>535</v>
      </c>
      <c r="Y261" s="1208" t="s">
        <v>535</v>
      </c>
      <c r="Z261" s="557" t="s">
        <v>535</v>
      </c>
      <c r="AA261" s="557" t="s">
        <v>535</v>
      </c>
      <c r="AB261" s="1215"/>
      <c r="AC261" s="1215"/>
      <c r="AD261" s="557" t="s">
        <v>535</v>
      </c>
      <c r="AE261" s="557" t="s">
        <v>535</v>
      </c>
      <c r="AF261" s="557" t="s">
        <v>535</v>
      </c>
      <c r="AG261" s="557" t="s">
        <v>535</v>
      </c>
      <c r="AH261" s="638">
        <v>185</v>
      </c>
      <c r="AI261" s="639">
        <v>37</v>
      </c>
    </row>
    <row r="262" spans="1:35" ht="21" customHeight="1">
      <c r="A262" s="442"/>
      <c r="B262" s="619" t="s">
        <v>610</v>
      </c>
      <c r="C262" s="557" t="s">
        <v>535</v>
      </c>
      <c r="D262" s="1500" t="s">
        <v>514</v>
      </c>
      <c r="E262" s="557" t="s">
        <v>535</v>
      </c>
      <c r="F262" s="557" t="s">
        <v>535</v>
      </c>
      <c r="G262" s="1215"/>
      <c r="H262" s="557"/>
      <c r="I262" s="557" t="s">
        <v>535</v>
      </c>
      <c r="J262" s="557" t="s">
        <v>535</v>
      </c>
      <c r="K262" s="557" t="s">
        <v>535</v>
      </c>
      <c r="L262" s="557" t="s">
        <v>535</v>
      </c>
      <c r="M262" s="557" t="s">
        <v>535</v>
      </c>
      <c r="N262" s="1215"/>
      <c r="O262" s="1215"/>
      <c r="P262" s="1365" t="s">
        <v>535</v>
      </c>
      <c r="Q262" s="1365" t="s">
        <v>535</v>
      </c>
      <c r="R262" s="1365" t="s">
        <v>535</v>
      </c>
      <c r="S262" s="1365" t="s">
        <v>535</v>
      </c>
      <c r="T262" s="1365" t="s">
        <v>535</v>
      </c>
      <c r="U262" s="1365"/>
      <c r="V262" s="1365"/>
      <c r="W262" s="1208" t="s">
        <v>535</v>
      </c>
      <c r="X262" s="1208" t="s">
        <v>535</v>
      </c>
      <c r="Y262" s="1208" t="s">
        <v>535</v>
      </c>
      <c r="Z262" s="557" t="s">
        <v>535</v>
      </c>
      <c r="AA262" s="557" t="s">
        <v>535</v>
      </c>
      <c r="AB262" s="1215"/>
      <c r="AC262" s="1215"/>
      <c r="AD262" s="557" t="s">
        <v>535</v>
      </c>
      <c r="AE262" s="557" t="s">
        <v>535</v>
      </c>
      <c r="AF262" s="557" t="s">
        <v>535</v>
      </c>
      <c r="AG262" s="557" t="s">
        <v>535</v>
      </c>
      <c r="AH262" s="638">
        <v>185</v>
      </c>
      <c r="AI262" s="639">
        <v>37</v>
      </c>
    </row>
    <row r="263" spans="1:35" ht="21" customHeight="1">
      <c r="A263" s="442"/>
      <c r="B263" s="619" t="s">
        <v>611</v>
      </c>
      <c r="C263" s="557" t="s">
        <v>535</v>
      </c>
      <c r="D263" s="557" t="s">
        <v>535</v>
      </c>
      <c r="E263" s="557" t="s">
        <v>535</v>
      </c>
      <c r="F263" s="1347" t="s">
        <v>535</v>
      </c>
      <c r="G263" s="1215"/>
      <c r="H263" s="557"/>
      <c r="I263" s="557" t="s">
        <v>535</v>
      </c>
      <c r="J263" s="557" t="s">
        <v>535</v>
      </c>
      <c r="K263" s="557" t="s">
        <v>535</v>
      </c>
      <c r="L263" s="557" t="s">
        <v>535</v>
      </c>
      <c r="M263" s="557" t="s">
        <v>535</v>
      </c>
      <c r="N263" s="1215"/>
      <c r="O263" s="1215"/>
      <c r="P263" s="557" t="s">
        <v>535</v>
      </c>
      <c r="Q263" s="557" t="s">
        <v>535</v>
      </c>
      <c r="R263" s="557" t="s">
        <v>535</v>
      </c>
      <c r="S263" s="557" t="s">
        <v>535</v>
      </c>
      <c r="T263" s="557" t="s">
        <v>535</v>
      </c>
      <c r="U263" s="1208"/>
      <c r="V263" s="1208"/>
      <c r="W263" s="1208" t="s">
        <v>535</v>
      </c>
      <c r="X263" s="1208" t="s">
        <v>535</v>
      </c>
      <c r="Y263" s="1208" t="s">
        <v>535</v>
      </c>
      <c r="Z263" s="557" t="s">
        <v>535</v>
      </c>
      <c r="AA263" s="557" t="s">
        <v>535</v>
      </c>
      <c r="AB263" s="1215"/>
      <c r="AC263" s="1215"/>
      <c r="AD263" s="557" t="s">
        <v>535</v>
      </c>
      <c r="AE263" s="557" t="s">
        <v>535</v>
      </c>
      <c r="AF263" s="557" t="s">
        <v>535</v>
      </c>
      <c r="AG263" s="557" t="s">
        <v>535</v>
      </c>
      <c r="AH263" s="638">
        <v>185</v>
      </c>
      <c r="AI263" s="639">
        <v>37</v>
      </c>
    </row>
    <row r="264" spans="1:35" ht="21" customHeight="1">
      <c r="A264" s="442"/>
      <c r="B264" s="619" t="s">
        <v>612</v>
      </c>
      <c r="C264" s="557" t="s">
        <v>535</v>
      </c>
      <c r="D264" s="557" t="s">
        <v>535</v>
      </c>
      <c r="E264" s="557" t="s">
        <v>535</v>
      </c>
      <c r="F264" s="557" t="s">
        <v>535</v>
      </c>
      <c r="G264" s="1215"/>
      <c r="H264" s="557"/>
      <c r="I264" s="557" t="s">
        <v>535</v>
      </c>
      <c r="J264" s="557" t="s">
        <v>535</v>
      </c>
      <c r="K264" s="557" t="s">
        <v>535</v>
      </c>
      <c r="L264" s="557" t="s">
        <v>535</v>
      </c>
      <c r="M264" s="557" t="s">
        <v>535</v>
      </c>
      <c r="N264" s="1215"/>
      <c r="O264" s="1215"/>
      <c r="P264" s="557" t="s">
        <v>535</v>
      </c>
      <c r="Q264" s="557" t="s">
        <v>535</v>
      </c>
      <c r="R264" s="557" t="s">
        <v>535</v>
      </c>
      <c r="S264" s="557" t="s">
        <v>535</v>
      </c>
      <c r="T264" s="557" t="s">
        <v>535</v>
      </c>
      <c r="U264" s="1208"/>
      <c r="V264" s="1208"/>
      <c r="W264" s="1439" t="s">
        <v>535</v>
      </c>
      <c r="X264" s="1439" t="s">
        <v>535</v>
      </c>
      <c r="Y264" s="1439" t="s">
        <v>570</v>
      </c>
      <c r="Z264" s="557" t="s">
        <v>535</v>
      </c>
      <c r="AA264" s="557" t="s">
        <v>535</v>
      </c>
      <c r="AB264" s="1215"/>
      <c r="AC264" s="1215"/>
      <c r="AD264" s="557" t="s">
        <v>535</v>
      </c>
      <c r="AE264" s="557" t="s">
        <v>535</v>
      </c>
      <c r="AF264" s="557" t="s">
        <v>535</v>
      </c>
      <c r="AG264" s="557" t="s">
        <v>535</v>
      </c>
      <c r="AH264" s="638">
        <v>185</v>
      </c>
      <c r="AI264" s="639">
        <v>37</v>
      </c>
    </row>
    <row r="265" spans="1:35" ht="21" customHeight="1">
      <c r="A265" s="442"/>
      <c r="B265" s="619" t="s">
        <v>613</v>
      </c>
      <c r="C265" s="1347" t="s">
        <v>535</v>
      </c>
      <c r="D265" s="1347" t="s">
        <v>535</v>
      </c>
      <c r="E265" s="1347" t="s">
        <v>535</v>
      </c>
      <c r="F265" s="1347" t="s">
        <v>535</v>
      </c>
      <c r="G265" s="1215"/>
      <c r="H265" s="557"/>
      <c r="I265" s="557" t="s">
        <v>535</v>
      </c>
      <c r="J265" s="557" t="s">
        <v>535</v>
      </c>
      <c r="K265" s="557" t="s">
        <v>535</v>
      </c>
      <c r="L265" s="557" t="s">
        <v>535</v>
      </c>
      <c r="M265" s="557" t="s">
        <v>535</v>
      </c>
      <c r="N265" s="1215"/>
      <c r="O265" s="1215"/>
      <c r="P265" s="1439" t="s">
        <v>535</v>
      </c>
      <c r="Q265" s="1439" t="s">
        <v>570</v>
      </c>
      <c r="R265" s="557" t="s">
        <v>535</v>
      </c>
      <c r="S265" s="557" t="s">
        <v>535</v>
      </c>
      <c r="T265" s="557" t="s">
        <v>535</v>
      </c>
      <c r="U265" s="1208"/>
      <c r="V265" s="1208"/>
      <c r="W265" s="1208" t="s">
        <v>535</v>
      </c>
      <c r="X265" s="1208" t="s">
        <v>535</v>
      </c>
      <c r="Y265" s="1208" t="s">
        <v>535</v>
      </c>
      <c r="Z265" s="557" t="s">
        <v>535</v>
      </c>
      <c r="AA265" s="557" t="s">
        <v>535</v>
      </c>
      <c r="AB265" s="1215"/>
      <c r="AC265" s="1215"/>
      <c r="AD265" s="557" t="s">
        <v>535</v>
      </c>
      <c r="AE265" s="557" t="s">
        <v>535</v>
      </c>
      <c r="AF265" s="557" t="s">
        <v>535</v>
      </c>
      <c r="AG265" s="557" t="s">
        <v>535</v>
      </c>
      <c r="AH265" s="638">
        <v>185</v>
      </c>
      <c r="AI265" s="639">
        <v>37</v>
      </c>
    </row>
    <row r="266" spans="1:35" ht="21" customHeight="1">
      <c r="A266" s="442"/>
      <c r="B266" s="619" t="s">
        <v>614</v>
      </c>
      <c r="C266" s="1439" t="s">
        <v>535</v>
      </c>
      <c r="D266" s="1392" t="s">
        <v>514</v>
      </c>
      <c r="E266" s="1439" t="s">
        <v>535</v>
      </c>
      <c r="F266" s="1439" t="s">
        <v>535</v>
      </c>
      <c r="G266" s="1392"/>
      <c r="H266" s="1439"/>
      <c r="I266" s="1439" t="s">
        <v>535</v>
      </c>
      <c r="J266" s="1439" t="s">
        <v>535</v>
      </c>
      <c r="K266" s="1439" t="s">
        <v>535</v>
      </c>
      <c r="L266" s="1439" t="s">
        <v>535</v>
      </c>
      <c r="M266" s="1439" t="s">
        <v>535</v>
      </c>
      <c r="N266" s="1392"/>
      <c r="O266" s="1392"/>
      <c r="P266" s="1439" t="s">
        <v>535</v>
      </c>
      <c r="Q266" s="1439" t="s">
        <v>535</v>
      </c>
      <c r="R266" s="1439" t="s">
        <v>570</v>
      </c>
      <c r="S266" s="557" t="s">
        <v>535</v>
      </c>
      <c r="T266" s="557" t="s">
        <v>535</v>
      </c>
      <c r="U266" s="1208"/>
      <c r="V266" s="1208"/>
      <c r="W266" s="1208" t="s">
        <v>535</v>
      </c>
      <c r="X266" s="1208" t="s">
        <v>535</v>
      </c>
      <c r="Y266" s="1208" t="s">
        <v>535</v>
      </c>
      <c r="Z266" s="557" t="s">
        <v>535</v>
      </c>
      <c r="AA266" s="557" t="s">
        <v>535</v>
      </c>
      <c r="AB266" s="1215"/>
      <c r="AC266" s="1215"/>
      <c r="AD266" s="557" t="s">
        <v>535</v>
      </c>
      <c r="AE266" s="557" t="s">
        <v>535</v>
      </c>
      <c r="AF266" s="557" t="s">
        <v>535</v>
      </c>
      <c r="AG266" s="557" t="s">
        <v>535</v>
      </c>
      <c r="AH266" s="638">
        <v>185</v>
      </c>
      <c r="AI266" s="639">
        <v>37</v>
      </c>
    </row>
    <row r="267" spans="1:35" ht="21" customHeight="1">
      <c r="A267" s="442"/>
      <c r="B267" s="619" t="s">
        <v>615</v>
      </c>
      <c r="C267" s="557" t="s">
        <v>535</v>
      </c>
      <c r="D267" s="557" t="s">
        <v>535</v>
      </c>
      <c r="E267" s="557" t="s">
        <v>535</v>
      </c>
      <c r="F267" s="557" t="s">
        <v>535</v>
      </c>
      <c r="G267" s="1215"/>
      <c r="H267" s="557"/>
      <c r="I267" s="557" t="s">
        <v>535</v>
      </c>
      <c r="J267" s="557" t="s">
        <v>535</v>
      </c>
      <c r="K267" s="557" t="s">
        <v>535</v>
      </c>
      <c r="L267" s="557" t="s">
        <v>535</v>
      </c>
      <c r="M267" s="557" t="s">
        <v>535</v>
      </c>
      <c r="N267" s="1215"/>
      <c r="O267" s="1215"/>
      <c r="P267" s="557" t="s">
        <v>535</v>
      </c>
      <c r="Q267" s="557" t="s">
        <v>535</v>
      </c>
      <c r="R267" s="557" t="s">
        <v>535</v>
      </c>
      <c r="S267" s="557" t="s">
        <v>535</v>
      </c>
      <c r="T267" s="557" t="s">
        <v>535</v>
      </c>
      <c r="U267" s="1208"/>
      <c r="V267" s="1208"/>
      <c r="W267" s="1208" t="s">
        <v>535</v>
      </c>
      <c r="X267" s="1208" t="s">
        <v>535</v>
      </c>
      <c r="Y267" s="1208" t="s">
        <v>535</v>
      </c>
      <c r="Z267" s="557" t="s">
        <v>535</v>
      </c>
      <c r="AA267" s="557" t="s">
        <v>535</v>
      </c>
      <c r="AB267" s="1215"/>
      <c r="AC267" s="1215"/>
      <c r="AD267" s="557" t="s">
        <v>535</v>
      </c>
      <c r="AE267" s="557" t="s">
        <v>535</v>
      </c>
      <c r="AF267" s="557" t="s">
        <v>535</v>
      </c>
      <c r="AG267" s="557" t="s">
        <v>535</v>
      </c>
      <c r="AH267" s="638">
        <v>185</v>
      </c>
      <c r="AI267" s="639">
        <v>37</v>
      </c>
    </row>
    <row r="268" spans="1:35" ht="21" customHeight="1">
      <c r="A268" s="442"/>
      <c r="B268" s="153" t="s">
        <v>616</v>
      </c>
      <c r="C268" s="557" t="s">
        <v>535</v>
      </c>
      <c r="D268" s="557" t="s">
        <v>535</v>
      </c>
      <c r="E268" s="557" t="s">
        <v>535</v>
      </c>
      <c r="F268" s="557" t="s">
        <v>535</v>
      </c>
      <c r="G268" s="1215"/>
      <c r="H268" s="557"/>
      <c r="I268" s="557" t="s">
        <v>535</v>
      </c>
      <c r="J268" s="557" t="s">
        <v>535</v>
      </c>
      <c r="K268" s="1439" t="s">
        <v>535</v>
      </c>
      <c r="L268" s="1439" t="s">
        <v>535</v>
      </c>
      <c r="M268" s="1439" t="s">
        <v>535</v>
      </c>
      <c r="N268" s="1392"/>
      <c r="O268" s="1392"/>
      <c r="P268" s="1439" t="s">
        <v>535</v>
      </c>
      <c r="Q268" s="1439" t="s">
        <v>570</v>
      </c>
      <c r="R268" s="557" t="s">
        <v>514</v>
      </c>
      <c r="S268" s="557" t="s">
        <v>535</v>
      </c>
      <c r="T268" s="557" t="s">
        <v>535</v>
      </c>
      <c r="U268" s="1208"/>
      <c r="V268" s="1208"/>
      <c r="W268" s="1208" t="s">
        <v>535</v>
      </c>
      <c r="X268" s="1208" t="s">
        <v>535</v>
      </c>
      <c r="Y268" s="1208" t="s">
        <v>535</v>
      </c>
      <c r="Z268" s="557" t="s">
        <v>535</v>
      </c>
      <c r="AA268" s="557" t="s">
        <v>535</v>
      </c>
      <c r="AB268" s="1215"/>
      <c r="AC268" s="1215"/>
      <c r="AD268" s="557" t="s">
        <v>535</v>
      </c>
      <c r="AE268" s="557" t="s">
        <v>535</v>
      </c>
      <c r="AF268" s="557" t="s">
        <v>535</v>
      </c>
      <c r="AG268" s="557" t="s">
        <v>535</v>
      </c>
      <c r="AH268" s="638">
        <v>185</v>
      </c>
      <c r="AI268" s="639">
        <v>37</v>
      </c>
    </row>
    <row r="269" spans="1:35" ht="21" customHeight="1">
      <c r="A269" s="442"/>
      <c r="B269" s="153" t="s">
        <v>617</v>
      </c>
      <c r="C269" s="557" t="s">
        <v>535</v>
      </c>
      <c r="D269" s="1500" t="s">
        <v>514</v>
      </c>
      <c r="E269" s="557" t="s">
        <v>535</v>
      </c>
      <c r="F269" s="557" t="s">
        <v>535</v>
      </c>
      <c r="G269" s="1215"/>
      <c r="H269" s="557"/>
      <c r="I269" s="557" t="s">
        <v>535</v>
      </c>
      <c r="J269" s="557" t="s">
        <v>535</v>
      </c>
      <c r="K269" s="557" t="s">
        <v>535</v>
      </c>
      <c r="L269" s="557" t="s">
        <v>535</v>
      </c>
      <c r="M269" s="557" t="s">
        <v>535</v>
      </c>
      <c r="N269" s="1215"/>
      <c r="O269" s="1215"/>
      <c r="P269" s="557" t="s">
        <v>535</v>
      </c>
      <c r="Q269" s="557" t="s">
        <v>535</v>
      </c>
      <c r="R269" s="557" t="s">
        <v>535</v>
      </c>
      <c r="S269" s="557" t="s">
        <v>535</v>
      </c>
      <c r="T269" s="557" t="s">
        <v>535</v>
      </c>
      <c r="U269" s="1208"/>
      <c r="V269" s="1208"/>
      <c r="W269" s="1208" t="s">
        <v>535</v>
      </c>
      <c r="X269" s="1208" t="s">
        <v>535</v>
      </c>
      <c r="Y269" s="1208" t="s">
        <v>535</v>
      </c>
      <c r="Z269" s="557" t="s">
        <v>535</v>
      </c>
      <c r="AA269" s="557" t="s">
        <v>535</v>
      </c>
      <c r="AB269" s="1215"/>
      <c r="AC269" s="1215"/>
      <c r="AD269" s="557" t="s">
        <v>535</v>
      </c>
      <c r="AE269" s="557" t="s">
        <v>535</v>
      </c>
      <c r="AF269" s="557" t="s">
        <v>535</v>
      </c>
      <c r="AG269" s="557" t="s">
        <v>535</v>
      </c>
      <c r="AH269" s="638">
        <v>185</v>
      </c>
      <c r="AI269" s="639">
        <v>37</v>
      </c>
    </row>
    <row r="270" spans="1:35" ht="21" customHeight="1">
      <c r="A270" s="134"/>
      <c r="B270" s="134" t="s">
        <v>619</v>
      </c>
      <c r="C270" s="1563" t="s">
        <v>535</v>
      </c>
      <c r="D270" s="1500" t="s">
        <v>514</v>
      </c>
      <c r="E270" s="1563" t="s">
        <v>535</v>
      </c>
      <c r="F270" s="1563" t="s">
        <v>535</v>
      </c>
      <c r="G270" s="1219"/>
      <c r="H270" s="1563"/>
      <c r="I270" s="1563" t="s">
        <v>535</v>
      </c>
      <c r="J270" s="1563" t="s">
        <v>535</v>
      </c>
      <c r="K270" s="1563" t="s">
        <v>535</v>
      </c>
      <c r="L270" s="1563" t="s">
        <v>535</v>
      </c>
      <c r="M270" s="1563" t="s">
        <v>535</v>
      </c>
      <c r="N270" s="1219"/>
      <c r="O270" s="1219"/>
      <c r="P270" s="1589" t="s">
        <v>535</v>
      </c>
      <c r="Q270" s="1589" t="s">
        <v>535</v>
      </c>
      <c r="R270" s="1589" t="s">
        <v>535</v>
      </c>
      <c r="S270" s="1589" t="s">
        <v>535</v>
      </c>
      <c r="T270" s="1589" t="s">
        <v>535</v>
      </c>
      <c r="U270" s="1564"/>
      <c r="V270" s="1564"/>
      <c r="W270" s="1572" t="s">
        <v>535</v>
      </c>
      <c r="X270" s="1572" t="s">
        <v>535</v>
      </c>
      <c r="Y270" s="1572" t="s">
        <v>535</v>
      </c>
      <c r="Z270" s="1572" t="s">
        <v>535</v>
      </c>
      <c r="AA270" s="1572" t="s">
        <v>535</v>
      </c>
      <c r="AB270" s="1219"/>
      <c r="AC270" s="1219"/>
      <c r="AD270" s="1563" t="s">
        <v>535</v>
      </c>
      <c r="AE270" s="1563" t="s">
        <v>535</v>
      </c>
      <c r="AF270" s="1563" t="s">
        <v>535</v>
      </c>
      <c r="AG270" s="1563" t="s">
        <v>535</v>
      </c>
      <c r="AH270" s="1565">
        <v>185</v>
      </c>
      <c r="AI270" s="1566">
        <v>37</v>
      </c>
    </row>
    <row r="271" spans="1:35" ht="21" customHeight="1">
      <c r="A271" s="902"/>
      <c r="B271" s="902" t="s">
        <v>618</v>
      </c>
      <c r="C271" s="1594" t="s">
        <v>535</v>
      </c>
      <c r="D271" s="1595" t="s">
        <v>514</v>
      </c>
      <c r="E271" s="1596" t="s">
        <v>535</v>
      </c>
      <c r="F271" s="1596" t="s">
        <v>535</v>
      </c>
      <c r="G271" s="1597"/>
      <c r="H271" s="1388"/>
      <c r="I271" s="1388" t="s">
        <v>535</v>
      </c>
      <c r="J271" s="1388" t="s">
        <v>535</v>
      </c>
      <c r="K271" s="1388" t="s">
        <v>535</v>
      </c>
      <c r="L271" s="1388" t="s">
        <v>535</v>
      </c>
      <c r="M271" s="1388" t="s">
        <v>535</v>
      </c>
      <c r="N271" s="1597"/>
      <c r="O271" s="1597"/>
      <c r="P271" s="1388" t="s">
        <v>535</v>
      </c>
      <c r="Q271" s="1388" t="s">
        <v>535</v>
      </c>
      <c r="R271" s="1388" t="s">
        <v>535</v>
      </c>
      <c r="S271" s="1388" t="s">
        <v>535</v>
      </c>
      <c r="T271" s="1388" t="s">
        <v>535</v>
      </c>
      <c r="U271" s="1598"/>
      <c r="V271" s="1598"/>
      <c r="W271" s="1598" t="s">
        <v>535</v>
      </c>
      <c r="X271" s="1598" t="s">
        <v>535</v>
      </c>
      <c r="Y271" s="1598" t="s">
        <v>535</v>
      </c>
      <c r="Z271" s="1388" t="s">
        <v>535</v>
      </c>
      <c r="AA271" s="1388" t="s">
        <v>535</v>
      </c>
      <c r="AB271" s="1597"/>
      <c r="AC271" s="1597"/>
      <c r="AD271" s="1388" t="s">
        <v>535</v>
      </c>
      <c r="AE271" s="1388" t="s">
        <v>535</v>
      </c>
      <c r="AF271" s="1388" t="s">
        <v>535</v>
      </c>
      <c r="AG271" s="1599" t="s">
        <v>535</v>
      </c>
      <c r="AH271" s="1565">
        <v>185</v>
      </c>
      <c r="AI271" s="1566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28"/>
  <dimension ref="A1:AL273"/>
  <sheetViews>
    <sheetView topLeftCell="A34" zoomScale="70" zoomScaleNormal="70" workbookViewId="0">
      <selection activeCell="AN192" sqref="AN192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620</v>
      </c>
      <c r="B6" s="157"/>
      <c r="C6" s="489"/>
      <c r="D6" s="488" t="s">
        <v>621</v>
      </c>
      <c r="E6" s="157"/>
      <c r="F6" s="157"/>
      <c r="G6" s="157"/>
      <c r="H6" s="490"/>
      <c r="I6" s="157"/>
      <c r="J6" s="157"/>
      <c r="K6" s="157"/>
      <c r="L6" s="488" t="s">
        <v>622</v>
      </c>
      <c r="M6" s="157"/>
      <c r="N6" s="157"/>
      <c r="O6" s="157"/>
      <c r="P6" s="157"/>
      <c r="Q6" s="157"/>
      <c r="R6" s="157"/>
      <c r="S6" s="489"/>
      <c r="T6" s="491" t="s">
        <v>623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624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625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626</v>
      </c>
      <c r="L8" s="496"/>
      <c r="AB8" s="1"/>
    </row>
    <row r="9" spans="1:35" ht="21.95" customHeight="1" thickBot="1">
      <c r="B9" s="497" t="s">
        <v>627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528</v>
      </c>
      <c r="B10" s="297" t="s">
        <v>480</v>
      </c>
      <c r="C10" s="1234">
        <v>1</v>
      </c>
      <c r="D10" s="1235">
        <v>2</v>
      </c>
      <c r="E10" s="1235">
        <v>3</v>
      </c>
      <c r="F10" s="1234">
        <v>4</v>
      </c>
      <c r="G10" s="1234">
        <v>5</v>
      </c>
      <c r="H10" s="1234">
        <v>6</v>
      </c>
      <c r="I10" s="1213">
        <v>7</v>
      </c>
      <c r="J10" s="1213">
        <v>8</v>
      </c>
      <c r="K10" s="1235">
        <v>9</v>
      </c>
      <c r="L10" s="1235">
        <v>10</v>
      </c>
      <c r="M10" s="1234">
        <v>11</v>
      </c>
      <c r="N10" s="1234">
        <v>12</v>
      </c>
      <c r="O10" s="1234">
        <v>13</v>
      </c>
      <c r="P10" s="1213">
        <v>14</v>
      </c>
      <c r="Q10" s="1213">
        <v>15</v>
      </c>
      <c r="R10" s="1235">
        <v>16</v>
      </c>
      <c r="S10" s="1235">
        <v>17</v>
      </c>
      <c r="T10" s="1234">
        <v>18</v>
      </c>
      <c r="U10" s="1234">
        <v>19</v>
      </c>
      <c r="V10" s="1213">
        <v>20</v>
      </c>
      <c r="W10" s="1213">
        <v>21</v>
      </c>
      <c r="X10" s="1213">
        <v>22</v>
      </c>
      <c r="Y10" s="1235">
        <v>23</v>
      </c>
      <c r="Z10" s="1235">
        <v>24</v>
      </c>
      <c r="AA10" s="1234">
        <v>25</v>
      </c>
      <c r="AB10" s="1234">
        <v>26</v>
      </c>
      <c r="AC10" s="1234">
        <v>27</v>
      </c>
      <c r="AD10" s="1213">
        <v>28</v>
      </c>
      <c r="AE10" s="1213">
        <v>29</v>
      </c>
      <c r="AF10" s="1235">
        <v>30</v>
      </c>
      <c r="AG10" s="1234"/>
      <c r="AH10" s="498" t="s">
        <v>481</v>
      </c>
      <c r="AI10" s="499" t="s">
        <v>482</v>
      </c>
    </row>
    <row r="11" spans="1:35" ht="21.95" customHeight="1">
      <c r="A11" s="500"/>
      <c r="B11" s="501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1215"/>
      <c r="N11" s="1215"/>
      <c r="O11" s="1215"/>
      <c r="P11" s="1215"/>
      <c r="Q11" s="1215"/>
      <c r="R11" s="1215"/>
      <c r="S11" s="1215"/>
      <c r="T11" s="1215"/>
      <c r="U11" s="1215"/>
      <c r="V11" s="1215"/>
      <c r="W11" s="1215"/>
      <c r="X11" s="1215"/>
      <c r="Y11" s="1215"/>
      <c r="Z11" s="1215"/>
      <c r="AA11" s="1215"/>
      <c r="AB11" s="1215"/>
      <c r="AC11" s="1215"/>
      <c r="AD11" s="1215"/>
      <c r="AE11" s="1215"/>
      <c r="AF11" s="1215"/>
      <c r="AG11" s="503"/>
      <c r="AH11" s="504"/>
      <c r="AI11" s="505"/>
    </row>
    <row r="12" spans="1:35" ht="21.95" customHeight="1">
      <c r="A12" s="506" t="s">
        <v>628</v>
      </c>
      <c r="B12" s="45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509"/>
      <c r="AI12" s="510"/>
    </row>
    <row r="13" spans="1:35" ht="21.95" customHeight="1">
      <c r="A13" s="511">
        <v>8546</v>
      </c>
      <c r="B13" s="512" t="s">
        <v>629</v>
      </c>
      <c r="C13" s="1211">
        <v>1</v>
      </c>
      <c r="D13" s="1211"/>
      <c r="E13" s="1211"/>
      <c r="F13" s="1554">
        <v>2</v>
      </c>
      <c r="G13" s="1554">
        <v>2</v>
      </c>
      <c r="H13" s="1215">
        <v>2</v>
      </c>
      <c r="I13" s="1211">
        <v>2</v>
      </c>
      <c r="J13" s="1211">
        <v>2</v>
      </c>
      <c r="K13" s="1211" t="s">
        <v>631</v>
      </c>
      <c r="L13" s="1211" t="s">
        <v>631</v>
      </c>
      <c r="M13" s="1211" t="s">
        <v>487</v>
      </c>
      <c r="N13" s="1211" t="s">
        <v>487</v>
      </c>
      <c r="O13" s="1211" t="s">
        <v>487</v>
      </c>
      <c r="P13" s="1211" t="s">
        <v>487</v>
      </c>
      <c r="Q13" s="1211" t="s">
        <v>487</v>
      </c>
      <c r="R13" s="1211"/>
      <c r="S13" s="1211"/>
      <c r="T13" s="1211">
        <v>3</v>
      </c>
      <c r="U13" s="1211">
        <v>3</v>
      </c>
      <c r="V13" s="1211">
        <v>3</v>
      </c>
      <c r="W13" s="1211">
        <v>3</v>
      </c>
      <c r="X13" s="1211">
        <v>3</v>
      </c>
      <c r="Y13" s="1211"/>
      <c r="Z13" s="1211"/>
      <c r="AA13" s="1452">
        <v>4</v>
      </c>
      <c r="AB13" s="1211">
        <v>4</v>
      </c>
      <c r="AC13" s="1211">
        <v>4</v>
      </c>
      <c r="AD13" s="1211">
        <v>4</v>
      </c>
      <c r="AE13" s="1211">
        <v>4</v>
      </c>
      <c r="AF13" s="1211" t="s">
        <v>630</v>
      </c>
      <c r="AG13" s="1218"/>
      <c r="AH13" s="513">
        <v>185</v>
      </c>
      <c r="AI13" s="514">
        <v>37</v>
      </c>
    </row>
    <row r="14" spans="1:35" ht="21.95" customHeight="1">
      <c r="A14" s="500">
        <v>8546</v>
      </c>
      <c r="B14" s="347" t="s">
        <v>632</v>
      </c>
      <c r="C14" s="1215">
        <v>4</v>
      </c>
      <c r="D14" s="1215" t="s">
        <v>630</v>
      </c>
      <c r="E14" s="1215" t="s">
        <v>630</v>
      </c>
      <c r="F14" s="1215" t="s">
        <v>487</v>
      </c>
      <c r="G14" s="1215" t="s">
        <v>487</v>
      </c>
      <c r="H14" s="1215" t="s">
        <v>487</v>
      </c>
      <c r="I14" s="1215" t="s">
        <v>487</v>
      </c>
      <c r="J14" s="1215" t="s">
        <v>487</v>
      </c>
      <c r="K14" s="1215"/>
      <c r="L14" s="1215"/>
      <c r="M14" s="1215">
        <v>1</v>
      </c>
      <c r="N14" s="1215">
        <v>1</v>
      </c>
      <c r="O14" s="1215">
        <v>1</v>
      </c>
      <c r="P14" s="1215">
        <v>1</v>
      </c>
      <c r="Q14" s="1215" t="s">
        <v>514</v>
      </c>
      <c r="R14" s="1215"/>
      <c r="S14" s="1215"/>
      <c r="T14" s="1215" t="s">
        <v>514</v>
      </c>
      <c r="U14" s="1215">
        <v>2</v>
      </c>
      <c r="V14" s="1215">
        <v>2</v>
      </c>
      <c r="W14" s="1215">
        <v>2</v>
      </c>
      <c r="X14" s="1215">
        <v>2</v>
      </c>
      <c r="Y14" s="1215" t="s">
        <v>631</v>
      </c>
      <c r="Z14" s="1215" t="s">
        <v>631</v>
      </c>
      <c r="AA14" s="1215" t="s">
        <v>487</v>
      </c>
      <c r="AB14" s="1215" t="s">
        <v>487</v>
      </c>
      <c r="AC14" s="1215" t="s">
        <v>487</v>
      </c>
      <c r="AD14" s="1215" t="s">
        <v>487</v>
      </c>
      <c r="AE14" s="1215" t="s">
        <v>487</v>
      </c>
      <c r="AF14" s="1215"/>
      <c r="AG14" s="1216"/>
      <c r="AH14" s="513">
        <v>185</v>
      </c>
      <c r="AI14" s="514">
        <v>37</v>
      </c>
    </row>
    <row r="15" spans="1:35" ht="21.95" customHeight="1">
      <c r="A15" s="500">
        <v>8546</v>
      </c>
      <c r="B15" s="347" t="s">
        <v>171</v>
      </c>
      <c r="C15" s="1215" t="s">
        <v>487</v>
      </c>
      <c r="D15" s="1215"/>
      <c r="E15" s="1215"/>
      <c r="F15" s="1392">
        <v>1</v>
      </c>
      <c r="G15" s="1392" t="s">
        <v>769</v>
      </c>
      <c r="H15" s="1215">
        <v>1</v>
      </c>
      <c r="I15" s="1215">
        <v>1</v>
      </c>
      <c r="J15" s="1215">
        <v>1</v>
      </c>
      <c r="K15" s="1215"/>
      <c r="L15" s="1215"/>
      <c r="M15" s="1215">
        <v>2</v>
      </c>
      <c r="N15" s="1215">
        <v>2</v>
      </c>
      <c r="O15" s="1215">
        <v>2</v>
      </c>
      <c r="P15" s="1215">
        <v>2</v>
      </c>
      <c r="Q15" s="1215" t="s">
        <v>514</v>
      </c>
      <c r="R15" s="1215" t="s">
        <v>631</v>
      </c>
      <c r="S15" s="1215" t="s">
        <v>631</v>
      </c>
      <c r="T15" s="1215" t="s">
        <v>514</v>
      </c>
      <c r="U15" s="1215" t="s">
        <v>487</v>
      </c>
      <c r="V15" s="1215" t="s">
        <v>487</v>
      </c>
      <c r="W15" s="1215" t="s">
        <v>487</v>
      </c>
      <c r="X15" s="1215" t="s">
        <v>487</v>
      </c>
      <c r="Y15" s="1215"/>
      <c r="Z15" s="1215"/>
      <c r="AA15" s="1338">
        <v>3</v>
      </c>
      <c r="AB15" s="1338">
        <v>3</v>
      </c>
      <c r="AC15" s="1338">
        <v>3</v>
      </c>
      <c r="AD15" s="1338">
        <v>3</v>
      </c>
      <c r="AE15" s="1338">
        <v>3</v>
      </c>
      <c r="AF15" s="1338"/>
      <c r="AG15" s="1216"/>
      <c r="AH15" s="513">
        <v>185</v>
      </c>
      <c r="AI15" s="514">
        <v>37</v>
      </c>
    </row>
    <row r="16" spans="1:35" ht="21.95" customHeight="1">
      <c r="A16" s="500">
        <v>8546</v>
      </c>
      <c r="B16" s="347" t="s">
        <v>633</v>
      </c>
      <c r="C16" s="1215" t="s">
        <v>487</v>
      </c>
      <c r="D16" s="1215"/>
      <c r="E16" s="1215"/>
      <c r="F16" s="1500">
        <v>3</v>
      </c>
      <c r="G16" s="1500">
        <v>3</v>
      </c>
      <c r="H16" s="1215">
        <v>3</v>
      </c>
      <c r="I16" s="1215">
        <v>3</v>
      </c>
      <c r="J16" s="1215">
        <v>3</v>
      </c>
      <c r="K16" s="1215"/>
      <c r="L16" s="1215"/>
      <c r="M16" s="1215">
        <v>4</v>
      </c>
      <c r="N16" s="1215">
        <v>4</v>
      </c>
      <c r="O16" s="1215">
        <v>4</v>
      </c>
      <c r="P16" s="1215">
        <v>4</v>
      </c>
      <c r="Q16" s="1215">
        <v>4</v>
      </c>
      <c r="R16" s="1215" t="s">
        <v>630</v>
      </c>
      <c r="S16" s="1335" t="s">
        <v>630</v>
      </c>
      <c r="T16" s="1215" t="s">
        <v>487</v>
      </c>
      <c r="U16" s="1215" t="s">
        <v>487</v>
      </c>
      <c r="V16" s="1215" t="s">
        <v>487</v>
      </c>
      <c r="W16" s="1215" t="s">
        <v>487</v>
      </c>
      <c r="X16" s="1215" t="s">
        <v>487</v>
      </c>
      <c r="Y16" s="1215"/>
      <c r="Z16" s="1215"/>
      <c r="AA16" s="1344">
        <v>1</v>
      </c>
      <c r="AB16" s="1215">
        <v>1</v>
      </c>
      <c r="AC16" s="1346">
        <v>1</v>
      </c>
      <c r="AD16" s="1215">
        <v>1</v>
      </c>
      <c r="AE16" s="1346">
        <v>1</v>
      </c>
      <c r="AF16" s="1215"/>
      <c r="AG16" s="1216"/>
      <c r="AH16" s="513">
        <v>185</v>
      </c>
      <c r="AI16" s="514">
        <v>37</v>
      </c>
    </row>
    <row r="17" spans="1:37" ht="21.95" customHeight="1">
      <c r="A17" s="500">
        <v>8546</v>
      </c>
      <c r="B17" s="347" t="s">
        <v>634</v>
      </c>
      <c r="C17" s="1215">
        <v>2</v>
      </c>
      <c r="D17" s="1335" t="s">
        <v>631</v>
      </c>
      <c r="E17" s="1215" t="s">
        <v>631</v>
      </c>
      <c r="F17" s="1500" t="s">
        <v>487</v>
      </c>
      <c r="G17" s="1500" t="s">
        <v>487</v>
      </c>
      <c r="H17" s="1215" t="s">
        <v>487</v>
      </c>
      <c r="I17" s="1215" t="s">
        <v>487</v>
      </c>
      <c r="J17" s="1215" t="s">
        <v>487</v>
      </c>
      <c r="K17" s="1444"/>
      <c r="L17" s="1215"/>
      <c r="M17" s="1215">
        <v>3</v>
      </c>
      <c r="N17" s="1215">
        <v>3</v>
      </c>
      <c r="O17" s="1215" t="s">
        <v>514</v>
      </c>
      <c r="P17" s="1215">
        <v>3</v>
      </c>
      <c r="Q17" s="1215">
        <v>3</v>
      </c>
      <c r="R17" s="1215"/>
      <c r="S17" s="1215"/>
      <c r="T17" s="1215" t="s">
        <v>514</v>
      </c>
      <c r="U17" s="1215">
        <v>4</v>
      </c>
      <c r="V17" s="1215">
        <v>4</v>
      </c>
      <c r="W17" s="1215">
        <v>4</v>
      </c>
      <c r="X17" s="1215">
        <v>4</v>
      </c>
      <c r="Y17" s="1335" t="s">
        <v>630</v>
      </c>
      <c r="Z17" s="1335" t="s">
        <v>630</v>
      </c>
      <c r="AA17" s="1344" t="s">
        <v>487</v>
      </c>
      <c r="AB17" s="1215" t="s">
        <v>487</v>
      </c>
      <c r="AC17" s="1215" t="s">
        <v>487</v>
      </c>
      <c r="AD17" s="1215" t="s">
        <v>487</v>
      </c>
      <c r="AE17" s="1215" t="s">
        <v>487</v>
      </c>
      <c r="AF17" s="1215"/>
      <c r="AG17" s="1216"/>
      <c r="AH17" s="513">
        <v>185</v>
      </c>
      <c r="AI17" s="514">
        <v>37</v>
      </c>
    </row>
    <row r="18" spans="1:37" ht="21.95" customHeight="1">
      <c r="A18" s="500">
        <v>8546</v>
      </c>
      <c r="B18" s="347" t="s">
        <v>635</v>
      </c>
      <c r="C18" s="1215">
        <v>3</v>
      </c>
      <c r="D18" s="1215"/>
      <c r="E18" s="1215"/>
      <c r="F18" s="1392">
        <v>4</v>
      </c>
      <c r="G18" s="1392">
        <v>4</v>
      </c>
      <c r="H18" s="1392" t="s">
        <v>570</v>
      </c>
      <c r="I18" s="1344" t="s">
        <v>514</v>
      </c>
      <c r="J18" s="1344" t="s">
        <v>514</v>
      </c>
      <c r="K18" s="1344" t="s">
        <v>630</v>
      </c>
      <c r="L18" s="1344" t="s">
        <v>630</v>
      </c>
      <c r="M18" s="1215" t="s">
        <v>487</v>
      </c>
      <c r="N18" s="1215" t="s">
        <v>487</v>
      </c>
      <c r="O18" s="1215" t="s">
        <v>487</v>
      </c>
      <c r="P18" s="1215" t="s">
        <v>487</v>
      </c>
      <c r="Q18" s="1215" t="s">
        <v>487</v>
      </c>
      <c r="R18" s="1215"/>
      <c r="S18" s="1215"/>
      <c r="T18" s="1215">
        <v>1</v>
      </c>
      <c r="U18" s="1215">
        <v>1</v>
      </c>
      <c r="V18" s="1215">
        <v>1</v>
      </c>
      <c r="W18" s="1335">
        <v>1</v>
      </c>
      <c r="X18" s="1335">
        <v>1</v>
      </c>
      <c r="Y18" s="1215"/>
      <c r="Z18" s="1215"/>
      <c r="AA18" s="1344">
        <v>2</v>
      </c>
      <c r="AB18" s="1215">
        <v>2</v>
      </c>
      <c r="AC18" s="1215">
        <v>2</v>
      </c>
      <c r="AD18" s="1215">
        <v>2</v>
      </c>
      <c r="AE18" s="1215">
        <v>2</v>
      </c>
      <c r="AF18" s="1215" t="s">
        <v>631</v>
      </c>
      <c r="AG18" s="1216"/>
      <c r="AH18" s="513">
        <v>185</v>
      </c>
      <c r="AI18" s="514">
        <v>37</v>
      </c>
    </row>
    <row r="19" spans="1:37" ht="21.95" customHeight="1">
      <c r="A19" s="515" t="s">
        <v>636</v>
      </c>
      <c r="B19" s="516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2"/>
      <c r="AB19" s="507"/>
      <c r="AC19" s="507"/>
      <c r="AD19" s="507"/>
      <c r="AE19" s="507"/>
      <c r="AF19" s="507"/>
      <c r="AG19" s="508"/>
      <c r="AH19" s="509"/>
      <c r="AI19" s="510"/>
    </row>
    <row r="20" spans="1:37" ht="21.95" customHeight="1">
      <c r="A20" s="500">
        <v>8500</v>
      </c>
      <c r="B20" s="186" t="s">
        <v>192</v>
      </c>
      <c r="C20" s="1215" t="s">
        <v>535</v>
      </c>
      <c r="D20" s="1215" t="s">
        <v>631</v>
      </c>
      <c r="E20" s="1215"/>
      <c r="F20" s="1500" t="s">
        <v>535</v>
      </c>
      <c r="G20" s="1500" t="s">
        <v>535</v>
      </c>
      <c r="H20" s="1215">
        <v>4</v>
      </c>
      <c r="I20" s="1215">
        <v>4</v>
      </c>
      <c r="J20" s="1215">
        <v>4</v>
      </c>
      <c r="K20" s="1215" t="s">
        <v>637</v>
      </c>
      <c r="L20" s="1215"/>
      <c r="M20" s="1346" t="s">
        <v>535</v>
      </c>
      <c r="N20" s="1215">
        <v>6</v>
      </c>
      <c r="O20" s="1215">
        <v>3</v>
      </c>
      <c r="P20" s="1335" t="s">
        <v>535</v>
      </c>
      <c r="Q20" s="1335" t="s">
        <v>535</v>
      </c>
      <c r="R20" s="1215" t="s">
        <v>637</v>
      </c>
      <c r="S20" s="1215" t="s">
        <v>637</v>
      </c>
      <c r="T20" s="1215">
        <v>2</v>
      </c>
      <c r="U20" s="1215" t="s">
        <v>514</v>
      </c>
      <c r="V20" s="1215" t="s">
        <v>514</v>
      </c>
      <c r="W20" s="1335" t="s">
        <v>535</v>
      </c>
      <c r="X20" s="1215">
        <v>1</v>
      </c>
      <c r="Y20" s="1215" t="s">
        <v>637</v>
      </c>
      <c r="Z20" s="1215"/>
      <c r="AA20" s="1344">
        <v>3</v>
      </c>
      <c r="AB20" s="1335" t="s">
        <v>514</v>
      </c>
      <c r="AC20" s="1215">
        <v>3</v>
      </c>
      <c r="AD20" s="1215">
        <v>3</v>
      </c>
      <c r="AE20" s="1215">
        <v>3</v>
      </c>
      <c r="AF20" s="1215"/>
      <c r="AG20" s="1215"/>
      <c r="AH20" s="504">
        <v>185</v>
      </c>
      <c r="AI20" s="505">
        <v>37</v>
      </c>
    </row>
    <row r="21" spans="1:37" ht="21.95" customHeight="1" thickBot="1">
      <c r="A21" s="500">
        <v>8500</v>
      </c>
      <c r="B21" s="153" t="s">
        <v>638</v>
      </c>
      <c r="C21" s="1215" t="s">
        <v>535</v>
      </c>
      <c r="D21" s="1215"/>
      <c r="E21" s="1215"/>
      <c r="F21" s="1500" t="s">
        <v>535</v>
      </c>
      <c r="G21" s="1500" t="s">
        <v>535</v>
      </c>
      <c r="H21" s="1215" t="s">
        <v>535</v>
      </c>
      <c r="I21" s="1215" t="s">
        <v>535</v>
      </c>
      <c r="J21" s="1215" t="s">
        <v>637</v>
      </c>
      <c r="K21" s="1215"/>
      <c r="L21" s="1215"/>
      <c r="M21" s="1215" t="s">
        <v>535</v>
      </c>
      <c r="N21" s="1215" t="s">
        <v>535</v>
      </c>
      <c r="O21" s="1215" t="s">
        <v>535</v>
      </c>
      <c r="P21" s="1445" t="s">
        <v>514</v>
      </c>
      <c r="Q21" s="1215">
        <v>2</v>
      </c>
      <c r="R21" s="1215"/>
      <c r="S21" s="1215" t="s">
        <v>630</v>
      </c>
      <c r="T21" s="1215" t="s">
        <v>487</v>
      </c>
      <c r="U21" s="1215" t="s">
        <v>487</v>
      </c>
      <c r="V21" s="1215" t="s">
        <v>514</v>
      </c>
      <c r="W21" s="1215" t="s">
        <v>535</v>
      </c>
      <c r="X21" s="1335" t="s">
        <v>535</v>
      </c>
      <c r="Y21" s="1215" t="s">
        <v>630</v>
      </c>
      <c r="Z21" s="1215"/>
      <c r="AA21" s="1344" t="s">
        <v>487</v>
      </c>
      <c r="AB21" s="1215">
        <v>3</v>
      </c>
      <c r="AC21" s="1215">
        <v>1</v>
      </c>
      <c r="AD21" s="1215" t="s">
        <v>535</v>
      </c>
      <c r="AE21" s="1215">
        <v>1</v>
      </c>
      <c r="AF21" s="1215"/>
      <c r="AG21" s="1215"/>
      <c r="AH21" s="504">
        <v>185</v>
      </c>
      <c r="AI21" s="505">
        <v>37</v>
      </c>
    </row>
    <row r="22" spans="1:37" ht="21.95" customHeight="1" thickBot="1">
      <c r="A22" s="500"/>
      <c r="B22" s="153"/>
      <c r="C22" s="1215"/>
      <c r="D22" s="1215"/>
      <c r="E22" s="1215"/>
      <c r="F22" s="1215"/>
      <c r="G22" s="1215"/>
      <c r="H22" s="1215"/>
      <c r="I22" s="1215"/>
      <c r="J22" s="1215"/>
      <c r="K22" s="1215"/>
      <c r="L22" s="1215"/>
      <c r="M22" s="1215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15"/>
      <c r="AA22" s="1215"/>
      <c r="AB22" s="1215"/>
      <c r="AC22" s="1215"/>
      <c r="AD22" s="1215"/>
      <c r="AE22" s="1215"/>
      <c r="AF22" s="1215"/>
      <c r="AG22" s="1215"/>
      <c r="AH22" s="517">
        <v>185</v>
      </c>
      <c r="AI22" s="518">
        <v>37</v>
      </c>
    </row>
    <row r="23" spans="1:37" ht="21.95" customHeight="1">
      <c r="A23" s="519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</row>
    <row r="24" spans="1:37" ht="21.95" customHeight="1">
      <c r="A24" s="519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</row>
    <row r="25" spans="1:37" ht="21.95" customHeight="1">
      <c r="A25" s="519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</row>
    <row r="26" spans="1:37" ht="21.95" customHeight="1">
      <c r="A26" s="519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</row>
    <row r="27" spans="1:37" ht="21.95" customHeight="1">
      <c r="A27" s="519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</row>
    <row r="28" spans="1:37" ht="21.95" customHeight="1">
      <c r="A28" s="519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</row>
    <row r="29" spans="1:37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7" ht="21.95" customHeight="1" thickBot="1">
      <c r="A30" s="1" t="s">
        <v>639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640</v>
      </c>
      <c r="B31" s="521"/>
      <c r="C31" s="521"/>
      <c r="D31" s="425" t="s">
        <v>641</v>
      </c>
      <c r="E31" s="522"/>
      <c r="F31" s="522"/>
      <c r="G31" s="522"/>
      <c r="H31" s="522"/>
      <c r="I31" s="522"/>
      <c r="J31" s="522"/>
      <c r="K31" s="522"/>
      <c r="L31" s="522"/>
      <c r="M31" s="523" t="s">
        <v>642</v>
      </c>
      <c r="N31" s="522"/>
      <c r="O31" s="522"/>
      <c r="P31" s="522"/>
      <c r="Q31" s="522"/>
      <c r="R31" s="522"/>
      <c r="S31" s="524"/>
      <c r="T31" s="524" t="s">
        <v>643</v>
      </c>
      <c r="U31" s="522"/>
      <c r="V31" s="522"/>
      <c r="W31" s="522"/>
      <c r="X31" s="522"/>
      <c r="Y31" s="522"/>
      <c r="Z31" s="238"/>
      <c r="AA31" s="525" t="s">
        <v>644</v>
      </c>
      <c r="AB31" s="51"/>
      <c r="AC31" s="51"/>
      <c r="AD31" s="51"/>
      <c r="AE31" s="51"/>
      <c r="AF31" s="51"/>
      <c r="AG31" s="526"/>
      <c r="AK31" s="1"/>
    </row>
    <row r="32" spans="1:37" ht="21.95" customHeight="1">
      <c r="A32" s="527" t="s">
        <v>645</v>
      </c>
      <c r="B32" s="135"/>
      <c r="C32" s="135"/>
      <c r="D32" s="495" t="s">
        <v>646</v>
      </c>
      <c r="E32" s="491"/>
      <c r="F32" s="157"/>
      <c r="G32" s="157"/>
      <c r="H32" s="157"/>
      <c r="I32" s="157"/>
      <c r="J32" s="157"/>
      <c r="K32" s="157"/>
      <c r="L32" s="489"/>
      <c r="M32" s="528" t="s">
        <v>647</v>
      </c>
      <c r="N32" s="135"/>
      <c r="O32" s="529"/>
      <c r="P32" s="135"/>
      <c r="Q32" s="135"/>
      <c r="R32" s="135"/>
      <c r="S32" s="530"/>
      <c r="T32" s="495" t="s">
        <v>648</v>
      </c>
      <c r="U32" s="157"/>
      <c r="V32" s="491"/>
      <c r="W32" s="157"/>
      <c r="X32" s="157"/>
      <c r="Y32" s="157"/>
      <c r="Z32" s="489"/>
      <c r="AA32" s="1" t="s">
        <v>649</v>
      </c>
      <c r="AD32" s="496"/>
      <c r="AG32" s="531"/>
      <c r="AK32" s="1"/>
    </row>
    <row r="33" spans="1:38" ht="21.95" customHeight="1">
      <c r="A33" s="532" t="s">
        <v>650</v>
      </c>
      <c r="B33" s="157"/>
      <c r="C33" s="157"/>
      <c r="D33" s="157"/>
      <c r="E33" s="157"/>
      <c r="F33" s="157"/>
      <c r="G33" s="489"/>
      <c r="H33" s="495" t="s">
        <v>651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3" t="s">
        <v>652</v>
      </c>
      <c r="AA33" s="529"/>
      <c r="AB33" s="135"/>
      <c r="AC33" s="135"/>
      <c r="AD33" s="135"/>
      <c r="AE33" s="135"/>
      <c r="AF33" s="135"/>
      <c r="AG33" s="534"/>
      <c r="AK33" s="312"/>
    </row>
    <row r="34" spans="1:38" ht="21.95" customHeight="1" thickBot="1">
      <c r="A34" s="535" t="s">
        <v>653</v>
      </c>
      <c r="B34" s="53"/>
      <c r="C34" s="53"/>
      <c r="D34" s="53"/>
      <c r="E34" s="53"/>
      <c r="F34" s="53"/>
      <c r="G34" s="536"/>
      <c r="H34" s="537" t="s">
        <v>654</v>
      </c>
      <c r="I34" s="536"/>
      <c r="J34" s="53"/>
      <c r="K34" s="53"/>
      <c r="L34" s="53"/>
      <c r="M34" s="53"/>
      <c r="N34" s="53"/>
      <c r="O34" s="53"/>
      <c r="P34" s="53"/>
      <c r="Q34" s="538"/>
      <c r="R34" s="538"/>
      <c r="S34" s="538"/>
      <c r="T34" s="53"/>
      <c r="U34" s="537" t="s">
        <v>655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9"/>
      <c r="AK34" s="1"/>
    </row>
    <row r="35" spans="1:38" ht="21.95" customHeight="1" thickBot="1">
      <c r="B35" s="540" t="s">
        <v>627</v>
      </c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41"/>
      <c r="Y35" s="541"/>
      <c r="Z35" s="541"/>
      <c r="AA35" s="541"/>
      <c r="AB35" s="541"/>
      <c r="AC35" s="541"/>
      <c r="AD35" s="541"/>
      <c r="AE35" s="541"/>
      <c r="AF35" s="541"/>
      <c r="AG35" s="541"/>
      <c r="AH35" s="1"/>
    </row>
    <row r="36" spans="1:38" ht="21.95" customHeight="1" thickBot="1">
      <c r="A36" s="542" t="s">
        <v>528</v>
      </c>
      <c r="B36" s="182" t="s">
        <v>480</v>
      </c>
      <c r="C36" s="1234">
        <v>1</v>
      </c>
      <c r="D36" s="1235">
        <v>2</v>
      </c>
      <c r="E36" s="1235">
        <v>3</v>
      </c>
      <c r="F36" s="1234">
        <v>4</v>
      </c>
      <c r="G36" s="1234">
        <v>5</v>
      </c>
      <c r="H36" s="1234">
        <v>6</v>
      </c>
      <c r="I36" s="1213">
        <v>7</v>
      </c>
      <c r="J36" s="1213">
        <v>8</v>
      </c>
      <c r="K36" s="1235">
        <v>9</v>
      </c>
      <c r="L36" s="1235">
        <v>10</v>
      </c>
      <c r="M36" s="1234">
        <v>11</v>
      </c>
      <c r="N36" s="1234">
        <v>12</v>
      </c>
      <c r="O36" s="1234">
        <v>13</v>
      </c>
      <c r="P36" s="1213">
        <v>14</v>
      </c>
      <c r="Q36" s="1213">
        <v>15</v>
      </c>
      <c r="R36" s="1235">
        <v>16</v>
      </c>
      <c r="S36" s="1235">
        <v>17</v>
      </c>
      <c r="T36" s="1234">
        <v>18</v>
      </c>
      <c r="U36" s="1234">
        <v>19</v>
      </c>
      <c r="V36" s="1213">
        <v>20</v>
      </c>
      <c r="W36" s="1213">
        <v>21</v>
      </c>
      <c r="X36" s="1213">
        <v>22</v>
      </c>
      <c r="Y36" s="1235">
        <v>23</v>
      </c>
      <c r="Z36" s="1235">
        <v>24</v>
      </c>
      <c r="AA36" s="1234">
        <v>25</v>
      </c>
      <c r="AB36" s="1234">
        <v>26</v>
      </c>
      <c r="AC36" s="1234">
        <v>27</v>
      </c>
      <c r="AD36" s="1213">
        <v>28</v>
      </c>
      <c r="AE36" s="1213">
        <v>29</v>
      </c>
      <c r="AF36" s="1235">
        <v>30</v>
      </c>
      <c r="AG36" s="1234"/>
      <c r="AH36" s="498" t="s">
        <v>481</v>
      </c>
      <c r="AI36" s="499" t="s">
        <v>482</v>
      </c>
      <c r="AL36" t="s">
        <v>28</v>
      </c>
    </row>
    <row r="37" spans="1:38" ht="21.95" customHeight="1">
      <c r="A37" s="543">
        <v>1</v>
      </c>
      <c r="B37" s="45" t="s">
        <v>656</v>
      </c>
      <c r="C37" s="1209" t="s">
        <v>487</v>
      </c>
      <c r="D37" s="1209" t="s">
        <v>660</v>
      </c>
      <c r="E37" s="1209" t="s">
        <v>660</v>
      </c>
      <c r="F37" s="1209">
        <v>7</v>
      </c>
      <c r="G37" s="1209">
        <v>7</v>
      </c>
      <c r="H37" s="1209">
        <v>7</v>
      </c>
      <c r="I37" s="1209">
        <v>7</v>
      </c>
      <c r="J37" s="1209">
        <v>7</v>
      </c>
      <c r="K37" s="1209"/>
      <c r="L37" s="1209"/>
      <c r="M37" s="1612">
        <v>4</v>
      </c>
      <c r="N37" s="1209">
        <v>4</v>
      </c>
      <c r="O37" s="1612">
        <v>4</v>
      </c>
      <c r="P37" s="1209">
        <v>4</v>
      </c>
      <c r="Q37" s="1209">
        <v>4</v>
      </c>
      <c r="R37" s="1209"/>
      <c r="S37" s="1209"/>
      <c r="T37" s="1215">
        <v>3</v>
      </c>
      <c r="U37" s="1215">
        <v>3</v>
      </c>
      <c r="V37" s="1444">
        <v>3</v>
      </c>
      <c r="W37" s="1209">
        <v>3</v>
      </c>
      <c r="X37" s="1209">
        <v>3</v>
      </c>
      <c r="Y37" s="1209"/>
      <c r="Z37" s="1209"/>
      <c r="AA37" s="1209">
        <v>11</v>
      </c>
      <c r="AB37" s="1209">
        <v>11</v>
      </c>
      <c r="AC37" s="1209">
        <v>11</v>
      </c>
      <c r="AD37" s="1209">
        <v>11</v>
      </c>
      <c r="AE37" s="1209">
        <v>11</v>
      </c>
      <c r="AF37" s="1209" t="s">
        <v>657</v>
      </c>
      <c r="AG37" s="1220"/>
      <c r="AH37" s="504">
        <v>185</v>
      </c>
      <c r="AI37" s="505">
        <v>37</v>
      </c>
    </row>
    <row r="38" spans="1:38" ht="21.95" customHeight="1">
      <c r="A38" s="544">
        <v>6</v>
      </c>
      <c r="B38" s="545" t="s">
        <v>658</v>
      </c>
      <c r="C38" s="1376" t="s">
        <v>487</v>
      </c>
      <c r="D38" s="1376"/>
      <c r="E38" s="1376"/>
      <c r="F38" s="1376">
        <v>8</v>
      </c>
      <c r="G38" s="1376">
        <v>8</v>
      </c>
      <c r="H38" s="1376">
        <v>8</v>
      </c>
      <c r="I38" s="1376">
        <v>8</v>
      </c>
      <c r="J38" s="1376">
        <v>8</v>
      </c>
      <c r="K38" s="1376" t="s">
        <v>533</v>
      </c>
      <c r="L38" s="1376" t="s">
        <v>533</v>
      </c>
      <c r="M38" s="1376" t="s">
        <v>487</v>
      </c>
      <c r="N38" s="1376" t="s">
        <v>487</v>
      </c>
      <c r="O38" s="1376" t="s">
        <v>487</v>
      </c>
      <c r="P38" s="1376" t="s">
        <v>487</v>
      </c>
      <c r="Q38" s="1376" t="s">
        <v>487</v>
      </c>
      <c r="R38" s="1376"/>
      <c r="S38" s="1376"/>
      <c r="T38" s="1376">
        <v>1</v>
      </c>
      <c r="U38" s="1376">
        <v>1</v>
      </c>
      <c r="V38" s="1376">
        <v>1</v>
      </c>
      <c r="W38" s="1376">
        <v>1</v>
      </c>
      <c r="X38" s="1376">
        <v>1</v>
      </c>
      <c r="Y38" s="1376"/>
      <c r="Z38" s="1376"/>
      <c r="AA38" s="1376">
        <v>9</v>
      </c>
      <c r="AB38" s="1376">
        <v>9</v>
      </c>
      <c r="AC38" s="1376">
        <v>9</v>
      </c>
      <c r="AD38" s="1376">
        <v>9</v>
      </c>
      <c r="AE38" s="1376">
        <v>9</v>
      </c>
      <c r="AF38" s="1376" t="s">
        <v>543</v>
      </c>
      <c r="AG38" s="1221"/>
      <c r="AH38" s="504">
        <v>185</v>
      </c>
      <c r="AI38" s="505">
        <v>37</v>
      </c>
    </row>
    <row r="39" spans="1:38" ht="21.95" customHeight="1" thickBot="1">
      <c r="A39" s="546">
        <v>11</v>
      </c>
      <c r="B39" s="1242" t="s">
        <v>659</v>
      </c>
      <c r="C39" s="1207" t="s">
        <v>487</v>
      </c>
      <c r="D39" s="1207"/>
      <c r="E39" s="1207"/>
      <c r="F39" s="1445">
        <v>6</v>
      </c>
      <c r="G39" s="1445">
        <v>6</v>
      </c>
      <c r="H39" s="1371">
        <v>6</v>
      </c>
      <c r="I39" s="1371">
        <v>6</v>
      </c>
      <c r="J39" s="1371">
        <v>6</v>
      </c>
      <c r="K39" s="1207" t="s">
        <v>532</v>
      </c>
      <c r="L39" s="1207" t="s">
        <v>533</v>
      </c>
      <c r="M39" s="1207" t="s">
        <v>487</v>
      </c>
      <c r="N39" s="1207" t="s">
        <v>487</v>
      </c>
      <c r="O39" s="1207" t="s">
        <v>487</v>
      </c>
      <c r="P39" s="1207" t="s">
        <v>487</v>
      </c>
      <c r="Q39" s="1207" t="s">
        <v>487</v>
      </c>
      <c r="R39" s="1207"/>
      <c r="S39" s="1207"/>
      <c r="T39" s="1215" t="s">
        <v>514</v>
      </c>
      <c r="U39" s="1215" t="s">
        <v>514</v>
      </c>
      <c r="V39" s="1215" t="s">
        <v>514</v>
      </c>
      <c r="W39" s="1207">
        <v>6</v>
      </c>
      <c r="X39" s="1371">
        <v>5</v>
      </c>
      <c r="Y39" s="1207"/>
      <c r="Z39" s="1207"/>
      <c r="AA39" s="1207">
        <v>10</v>
      </c>
      <c r="AB39" s="1207">
        <v>10</v>
      </c>
      <c r="AC39" s="1207">
        <v>10</v>
      </c>
      <c r="AD39" s="1207">
        <v>10</v>
      </c>
      <c r="AE39" s="1207">
        <v>10</v>
      </c>
      <c r="AF39" s="1207" t="s">
        <v>555</v>
      </c>
      <c r="AG39" s="1222"/>
      <c r="AH39" s="504">
        <v>185</v>
      </c>
      <c r="AI39" s="505">
        <v>37</v>
      </c>
    </row>
    <row r="40" spans="1:38" ht="21.95" customHeight="1">
      <c r="A40" s="543">
        <v>2</v>
      </c>
      <c r="B40" s="45" t="s">
        <v>662</v>
      </c>
      <c r="C40" s="1209">
        <v>7</v>
      </c>
      <c r="D40" s="1209"/>
      <c r="E40" s="1209"/>
      <c r="F40" s="1223">
        <v>4</v>
      </c>
      <c r="G40" s="1223">
        <v>4</v>
      </c>
      <c r="H40" s="1209">
        <v>4</v>
      </c>
      <c r="I40" s="1209">
        <v>4</v>
      </c>
      <c r="J40" s="1209">
        <v>4</v>
      </c>
      <c r="K40" s="1209"/>
      <c r="L40" s="1209"/>
      <c r="M40" s="1353">
        <v>3</v>
      </c>
      <c r="N40" s="1353">
        <v>3</v>
      </c>
      <c r="O40" s="1353">
        <v>3</v>
      </c>
      <c r="P40" s="1353">
        <v>3</v>
      </c>
      <c r="Q40" s="1353">
        <v>3</v>
      </c>
      <c r="R40" s="1209"/>
      <c r="S40" s="1209"/>
      <c r="T40" s="1223">
        <v>11</v>
      </c>
      <c r="U40" s="1223">
        <v>11</v>
      </c>
      <c r="V40" s="1209">
        <v>11</v>
      </c>
      <c r="W40" s="1209">
        <v>11</v>
      </c>
      <c r="X40" s="1209">
        <v>11</v>
      </c>
      <c r="Y40" s="1209" t="s">
        <v>657</v>
      </c>
      <c r="Z40" s="1209" t="s">
        <v>657</v>
      </c>
      <c r="AA40" s="1209" t="s">
        <v>487</v>
      </c>
      <c r="AB40" s="1209" t="s">
        <v>487</v>
      </c>
      <c r="AC40" s="1209" t="s">
        <v>487</v>
      </c>
      <c r="AD40" s="1209" t="s">
        <v>487</v>
      </c>
      <c r="AE40" s="1209" t="s">
        <v>487</v>
      </c>
      <c r="AF40" s="1209"/>
      <c r="AG40" s="1209"/>
      <c r="AH40" s="504">
        <v>185</v>
      </c>
      <c r="AI40" s="505">
        <v>37</v>
      </c>
    </row>
    <row r="41" spans="1:38" ht="21.95" customHeight="1">
      <c r="A41" s="544">
        <v>7</v>
      </c>
      <c r="B41" s="153" t="s">
        <v>664</v>
      </c>
      <c r="C41" s="1335">
        <v>8</v>
      </c>
      <c r="D41" s="1335" t="s">
        <v>533</v>
      </c>
      <c r="E41" s="1335" t="s">
        <v>533</v>
      </c>
      <c r="F41" s="1215">
        <v>2</v>
      </c>
      <c r="G41" s="1215">
        <v>2</v>
      </c>
      <c r="H41" s="1215" t="s">
        <v>487</v>
      </c>
      <c r="I41" s="1215" t="s">
        <v>487</v>
      </c>
      <c r="J41" s="1215" t="s">
        <v>487</v>
      </c>
      <c r="K41" s="1215"/>
      <c r="L41" s="1215"/>
      <c r="M41" s="1335">
        <v>1</v>
      </c>
      <c r="N41" s="1335">
        <v>1</v>
      </c>
      <c r="O41" s="1335">
        <v>1</v>
      </c>
      <c r="P41" s="1335">
        <v>1</v>
      </c>
      <c r="Q41" s="1335">
        <v>1</v>
      </c>
      <c r="R41" s="1215"/>
      <c r="S41" s="1215"/>
      <c r="T41" s="1215">
        <v>9</v>
      </c>
      <c r="U41" s="1215" t="s">
        <v>487</v>
      </c>
      <c r="V41" s="1215" t="s">
        <v>514</v>
      </c>
      <c r="W41" s="1215" t="s">
        <v>487</v>
      </c>
      <c r="X41" s="1215">
        <v>9</v>
      </c>
      <c r="Y41" s="1215" t="s">
        <v>543</v>
      </c>
      <c r="Z41" s="1215" t="s">
        <v>630</v>
      </c>
      <c r="AA41" s="1215" t="s">
        <v>487</v>
      </c>
      <c r="AB41" s="1215" t="s">
        <v>487</v>
      </c>
      <c r="AC41" s="1215" t="s">
        <v>487</v>
      </c>
      <c r="AD41" s="1215" t="s">
        <v>487</v>
      </c>
      <c r="AE41" s="1215" t="s">
        <v>487</v>
      </c>
      <c r="AF41" s="1215"/>
      <c r="AG41" s="1221"/>
      <c r="AH41" s="504">
        <v>185</v>
      </c>
      <c r="AI41" s="505">
        <v>37</v>
      </c>
    </row>
    <row r="42" spans="1:38" ht="21.95" customHeight="1" thickBot="1">
      <c r="A42" s="546">
        <v>12</v>
      </c>
      <c r="B42" s="547" t="s">
        <v>665</v>
      </c>
      <c r="C42" s="1207">
        <v>6</v>
      </c>
      <c r="D42" s="1207" t="s">
        <v>532</v>
      </c>
      <c r="E42" s="1207" t="s">
        <v>533</v>
      </c>
      <c r="F42" s="1207" t="s">
        <v>487</v>
      </c>
      <c r="G42" s="1207" t="s">
        <v>487</v>
      </c>
      <c r="H42" s="1207" t="s">
        <v>487</v>
      </c>
      <c r="I42" s="1207" t="s">
        <v>487</v>
      </c>
      <c r="J42" s="1207" t="s">
        <v>487</v>
      </c>
      <c r="K42" s="1207"/>
      <c r="L42" s="1207"/>
      <c r="M42" s="1340">
        <v>5</v>
      </c>
      <c r="N42" s="1340">
        <v>5</v>
      </c>
      <c r="O42" s="1340">
        <v>5</v>
      </c>
      <c r="P42" s="1445" t="s">
        <v>514</v>
      </c>
      <c r="Q42" s="1340">
        <v>5</v>
      </c>
      <c r="R42" s="1207"/>
      <c r="S42" s="1207"/>
      <c r="T42" s="1215" t="s">
        <v>514</v>
      </c>
      <c r="U42" s="1215" t="s">
        <v>514</v>
      </c>
      <c r="V42" s="1215" t="s">
        <v>514</v>
      </c>
      <c r="W42" s="1207">
        <v>10</v>
      </c>
      <c r="X42" s="1207">
        <v>10</v>
      </c>
      <c r="Y42" s="1207" t="s">
        <v>555</v>
      </c>
      <c r="Z42" s="1207" t="s">
        <v>555</v>
      </c>
      <c r="AA42" s="1207" t="s">
        <v>487</v>
      </c>
      <c r="AB42" s="1207" t="s">
        <v>487</v>
      </c>
      <c r="AC42" s="1207" t="s">
        <v>487</v>
      </c>
      <c r="AD42" s="1207" t="s">
        <v>487</v>
      </c>
      <c r="AE42" s="1207" t="s">
        <v>487</v>
      </c>
      <c r="AF42" s="1371" t="s">
        <v>660</v>
      </c>
      <c r="AG42" s="1222"/>
      <c r="AH42" s="504">
        <v>185</v>
      </c>
      <c r="AI42" s="505">
        <v>37</v>
      </c>
    </row>
    <row r="43" spans="1:38" ht="21.95" customHeight="1">
      <c r="A43" s="548">
        <v>3</v>
      </c>
      <c r="B43" s="1373" t="s">
        <v>666</v>
      </c>
      <c r="C43" s="1211">
        <v>4</v>
      </c>
      <c r="D43" s="1211"/>
      <c r="E43" s="1211"/>
      <c r="F43" s="1211">
        <v>3</v>
      </c>
      <c r="G43" s="1211">
        <v>3</v>
      </c>
      <c r="H43" s="1211">
        <v>3</v>
      </c>
      <c r="I43" s="1211">
        <v>3</v>
      </c>
      <c r="J43" s="1211">
        <v>3</v>
      </c>
      <c r="K43" s="1211"/>
      <c r="L43" s="1211"/>
      <c r="M43" s="1211">
        <v>11</v>
      </c>
      <c r="N43" s="1211">
        <v>11</v>
      </c>
      <c r="O43" s="1211">
        <v>11</v>
      </c>
      <c r="P43" s="1211">
        <v>11</v>
      </c>
      <c r="Q43" s="1211">
        <v>11</v>
      </c>
      <c r="R43" s="1214" t="s">
        <v>657</v>
      </c>
      <c r="S43" s="1211" t="s">
        <v>657</v>
      </c>
      <c r="T43" s="1211" t="s">
        <v>487</v>
      </c>
      <c r="U43" s="1211" t="s">
        <v>487</v>
      </c>
      <c r="V43" s="1211" t="s">
        <v>487</v>
      </c>
      <c r="W43" s="1211" t="s">
        <v>487</v>
      </c>
      <c r="X43" s="1211" t="s">
        <v>487</v>
      </c>
      <c r="Y43" s="1211"/>
      <c r="Z43" s="1211"/>
      <c r="AA43" s="1211">
        <v>8</v>
      </c>
      <c r="AB43" s="1211">
        <v>8</v>
      </c>
      <c r="AC43" s="1211">
        <v>8</v>
      </c>
      <c r="AD43" s="1211">
        <v>8</v>
      </c>
      <c r="AE43" s="1211">
        <v>8</v>
      </c>
      <c r="AF43" s="1211" t="s">
        <v>533</v>
      </c>
      <c r="AG43" s="1224"/>
      <c r="AH43" s="504">
        <v>185</v>
      </c>
      <c r="AI43" s="505">
        <v>37</v>
      </c>
    </row>
    <row r="44" spans="1:38" ht="21.95" customHeight="1">
      <c r="A44" s="544">
        <v>8</v>
      </c>
      <c r="B44" s="319" t="s">
        <v>667</v>
      </c>
      <c r="C44" s="1215" t="s">
        <v>487</v>
      </c>
      <c r="D44" s="1215"/>
      <c r="E44" s="1215"/>
      <c r="F44" s="1215">
        <v>1</v>
      </c>
      <c r="G44" s="1225">
        <v>1</v>
      </c>
      <c r="H44" s="1215">
        <v>1</v>
      </c>
      <c r="I44" s="1215">
        <v>1</v>
      </c>
      <c r="J44" s="1215">
        <v>1</v>
      </c>
      <c r="K44" s="1215"/>
      <c r="L44" s="1215"/>
      <c r="M44" s="1215">
        <v>9</v>
      </c>
      <c r="N44" s="1215">
        <v>9</v>
      </c>
      <c r="O44" s="1215">
        <v>9</v>
      </c>
      <c r="P44" s="1215">
        <v>9</v>
      </c>
      <c r="Q44" s="1216">
        <v>9</v>
      </c>
      <c r="R44" s="1215" t="s">
        <v>543</v>
      </c>
      <c r="S44" s="1226" t="s">
        <v>555</v>
      </c>
      <c r="T44" s="1215" t="s">
        <v>487</v>
      </c>
      <c r="U44" s="1215" t="s">
        <v>487</v>
      </c>
      <c r="V44" s="1215" t="s">
        <v>487</v>
      </c>
      <c r="W44" s="1215" t="s">
        <v>487</v>
      </c>
      <c r="X44" s="1215" t="s">
        <v>487</v>
      </c>
      <c r="Y44" s="1215"/>
      <c r="Z44" s="1215"/>
      <c r="AA44" s="1215">
        <v>6</v>
      </c>
      <c r="AB44" s="1215">
        <v>6</v>
      </c>
      <c r="AC44" s="1215">
        <v>6</v>
      </c>
      <c r="AD44" s="1215">
        <v>6</v>
      </c>
      <c r="AE44" s="1215">
        <v>6</v>
      </c>
      <c r="AF44" s="1215" t="s">
        <v>532</v>
      </c>
      <c r="AG44" s="1215"/>
      <c r="AH44" s="504">
        <v>185</v>
      </c>
      <c r="AI44" s="505">
        <v>37</v>
      </c>
    </row>
    <row r="45" spans="1:38" ht="21.95" customHeight="1" thickBot="1">
      <c r="A45" s="546">
        <v>13</v>
      </c>
      <c r="B45" s="52" t="s">
        <v>668</v>
      </c>
      <c r="C45" s="1207" t="s">
        <v>487</v>
      </c>
      <c r="D45" s="1207"/>
      <c r="E45" s="1207"/>
      <c r="F45" s="1207" t="s">
        <v>548</v>
      </c>
      <c r="G45" s="1207" t="s">
        <v>548</v>
      </c>
      <c r="H45" s="1371">
        <v>5</v>
      </c>
      <c r="I45" s="1371">
        <v>5</v>
      </c>
      <c r="J45" s="1371">
        <v>5</v>
      </c>
      <c r="K45" s="1207"/>
      <c r="L45" s="1207"/>
      <c r="M45" s="1207">
        <v>10</v>
      </c>
      <c r="N45" s="1207">
        <v>10</v>
      </c>
      <c r="O45" s="1207">
        <v>10</v>
      </c>
      <c r="P45" s="1207">
        <v>10</v>
      </c>
      <c r="Q45" s="1207">
        <v>10</v>
      </c>
      <c r="R45" s="1217" t="s">
        <v>555</v>
      </c>
      <c r="S45" s="1207" t="s">
        <v>555</v>
      </c>
      <c r="T45" s="1207" t="s">
        <v>487</v>
      </c>
      <c r="U45" s="1207" t="s">
        <v>487</v>
      </c>
      <c r="V45" s="1207" t="s">
        <v>487</v>
      </c>
      <c r="W45" s="1207" t="s">
        <v>487</v>
      </c>
      <c r="X45" s="1207" t="s">
        <v>487</v>
      </c>
      <c r="Y45" s="1371" t="s">
        <v>660</v>
      </c>
      <c r="Z45" s="1371" t="s">
        <v>660</v>
      </c>
      <c r="AA45" s="1207">
        <v>7</v>
      </c>
      <c r="AB45" s="1207">
        <v>7</v>
      </c>
      <c r="AC45" s="1550">
        <v>7</v>
      </c>
      <c r="AD45" s="1207">
        <v>7</v>
      </c>
      <c r="AE45" s="1371">
        <v>7</v>
      </c>
      <c r="AF45" s="1207"/>
      <c r="AG45" s="1207"/>
      <c r="AH45" s="504">
        <v>185</v>
      </c>
      <c r="AI45" s="505">
        <v>37</v>
      </c>
    </row>
    <row r="46" spans="1:38" ht="21.95" customHeight="1">
      <c r="A46" s="548">
        <v>4</v>
      </c>
      <c r="B46" s="319" t="s">
        <v>669</v>
      </c>
      <c r="C46" s="1215">
        <v>3</v>
      </c>
      <c r="D46" s="1215"/>
      <c r="E46" s="1215"/>
      <c r="F46" s="1338">
        <v>11</v>
      </c>
      <c r="G46" s="1338">
        <v>11</v>
      </c>
      <c r="H46" s="1338">
        <v>11</v>
      </c>
      <c r="I46" s="1338">
        <v>11</v>
      </c>
      <c r="J46" s="1349">
        <v>11</v>
      </c>
      <c r="K46" s="1349" t="s">
        <v>657</v>
      </c>
      <c r="L46" s="1394" t="s">
        <v>657</v>
      </c>
      <c r="M46" s="1211" t="s">
        <v>487</v>
      </c>
      <c r="N46" s="1211" t="s">
        <v>487</v>
      </c>
      <c r="O46" s="1211" t="s">
        <v>487</v>
      </c>
      <c r="P46" s="1211" t="s">
        <v>487</v>
      </c>
      <c r="Q46" s="1211" t="s">
        <v>487</v>
      </c>
      <c r="R46" s="1211"/>
      <c r="S46" s="1211"/>
      <c r="T46" s="1215" t="s">
        <v>514</v>
      </c>
      <c r="U46" s="1215">
        <v>8</v>
      </c>
      <c r="V46" s="1215" t="s">
        <v>514</v>
      </c>
      <c r="W46" s="1211">
        <v>8</v>
      </c>
      <c r="X46" s="1211">
        <v>8</v>
      </c>
      <c r="Y46" s="1211" t="s">
        <v>533</v>
      </c>
      <c r="Z46" s="1211" t="s">
        <v>533</v>
      </c>
      <c r="AA46" s="1452" t="s">
        <v>487</v>
      </c>
      <c r="AB46" s="1211" t="s">
        <v>487</v>
      </c>
      <c r="AC46" s="1211" t="s">
        <v>487</v>
      </c>
      <c r="AD46" s="1211" t="s">
        <v>487</v>
      </c>
      <c r="AE46" s="1211" t="s">
        <v>487</v>
      </c>
      <c r="AF46" s="1211"/>
      <c r="AG46" s="1218"/>
      <c r="AH46" s="504">
        <v>185</v>
      </c>
      <c r="AI46" s="505">
        <v>37</v>
      </c>
    </row>
    <row r="47" spans="1:38" ht="21.95" customHeight="1">
      <c r="A47" s="544">
        <v>9</v>
      </c>
      <c r="B47" s="319" t="s">
        <v>670</v>
      </c>
      <c r="C47" s="1338">
        <v>1</v>
      </c>
      <c r="D47" s="1338"/>
      <c r="E47" s="1338"/>
      <c r="F47" s="1500">
        <v>9</v>
      </c>
      <c r="G47" s="1215">
        <v>9</v>
      </c>
      <c r="H47" s="1344">
        <v>9</v>
      </c>
      <c r="I47" s="1344">
        <v>9</v>
      </c>
      <c r="J47" s="1215">
        <v>9</v>
      </c>
      <c r="K47" s="1215" t="s">
        <v>543</v>
      </c>
      <c r="L47" s="1215" t="s">
        <v>555</v>
      </c>
      <c r="M47" s="1215" t="s">
        <v>487</v>
      </c>
      <c r="N47" s="1215" t="s">
        <v>487</v>
      </c>
      <c r="O47" s="1215" t="s">
        <v>487</v>
      </c>
      <c r="P47" s="1500" t="s">
        <v>487</v>
      </c>
      <c r="Q47" s="1215" t="s">
        <v>487</v>
      </c>
      <c r="R47" s="1215"/>
      <c r="S47" s="1215"/>
      <c r="T47" s="1215">
        <v>6</v>
      </c>
      <c r="U47" s="1215">
        <v>6</v>
      </c>
      <c r="V47" s="1215">
        <v>6</v>
      </c>
      <c r="W47" s="1500">
        <v>6</v>
      </c>
      <c r="X47" s="1215">
        <v>6</v>
      </c>
      <c r="Y47" s="1215" t="s">
        <v>532</v>
      </c>
      <c r="Z47" s="1215" t="s">
        <v>533</v>
      </c>
      <c r="AA47" s="1215" t="s">
        <v>487</v>
      </c>
      <c r="AB47" s="1215" t="s">
        <v>487</v>
      </c>
      <c r="AC47" s="1215" t="s">
        <v>487</v>
      </c>
      <c r="AD47" s="1500" t="s">
        <v>487</v>
      </c>
      <c r="AE47" s="1215" t="s">
        <v>487</v>
      </c>
      <c r="AF47" s="1215"/>
      <c r="AG47" s="1216"/>
      <c r="AH47" s="504">
        <v>185</v>
      </c>
      <c r="AI47" s="505">
        <v>37</v>
      </c>
    </row>
    <row r="48" spans="1:38" ht="21.95" customHeight="1" thickBot="1">
      <c r="A48" s="546">
        <v>14</v>
      </c>
      <c r="B48" s="547" t="s">
        <v>671</v>
      </c>
      <c r="C48" s="1371">
        <v>5</v>
      </c>
      <c r="D48" s="1207"/>
      <c r="E48" s="1211"/>
      <c r="F48" s="1211">
        <v>10</v>
      </c>
      <c r="G48" s="1211">
        <v>10</v>
      </c>
      <c r="H48" s="1211">
        <v>10</v>
      </c>
      <c r="I48" s="1211">
        <v>10</v>
      </c>
      <c r="J48" s="1211">
        <v>10</v>
      </c>
      <c r="K48" s="1211" t="s">
        <v>555</v>
      </c>
      <c r="L48" s="1207" t="s">
        <v>555</v>
      </c>
      <c r="M48" s="1207" t="s">
        <v>487</v>
      </c>
      <c r="N48" s="1207" t="s">
        <v>487</v>
      </c>
      <c r="O48" s="1207" t="s">
        <v>487</v>
      </c>
      <c r="P48" s="1207" t="s">
        <v>487</v>
      </c>
      <c r="Q48" s="1207" t="s">
        <v>487</v>
      </c>
      <c r="R48" s="1207" t="s">
        <v>660</v>
      </c>
      <c r="S48" s="1207" t="s">
        <v>660</v>
      </c>
      <c r="T48" s="1207">
        <v>7</v>
      </c>
      <c r="U48" s="1207">
        <v>7</v>
      </c>
      <c r="V48" s="1207">
        <v>7</v>
      </c>
      <c r="W48" s="1207">
        <v>7</v>
      </c>
      <c r="X48" s="1207">
        <v>7</v>
      </c>
      <c r="Y48" s="1207"/>
      <c r="Z48" s="1207"/>
      <c r="AA48" s="1207">
        <v>4</v>
      </c>
      <c r="AB48" s="1500">
        <v>4</v>
      </c>
      <c r="AC48" s="1500">
        <v>4</v>
      </c>
      <c r="AD48" s="1500">
        <v>4</v>
      </c>
      <c r="AE48" s="1207">
        <v>4</v>
      </c>
      <c r="AF48" s="1207"/>
      <c r="AG48" s="1227"/>
      <c r="AH48" s="504">
        <v>185</v>
      </c>
      <c r="AI48" s="505">
        <v>37</v>
      </c>
    </row>
    <row r="49" spans="1:35" ht="21.95" customHeight="1">
      <c r="A49" s="543">
        <v>5</v>
      </c>
      <c r="B49" s="545" t="s">
        <v>672</v>
      </c>
      <c r="C49" s="1209">
        <v>11</v>
      </c>
      <c r="D49" s="1209" t="s">
        <v>657</v>
      </c>
      <c r="E49" s="1209" t="s">
        <v>657</v>
      </c>
      <c r="F49" s="1209" t="s">
        <v>487</v>
      </c>
      <c r="G49" s="1209" t="s">
        <v>487</v>
      </c>
      <c r="H49" s="1209" t="s">
        <v>487</v>
      </c>
      <c r="I49" s="1209" t="s">
        <v>487</v>
      </c>
      <c r="J49" s="1209" t="s">
        <v>487</v>
      </c>
      <c r="K49" s="1209"/>
      <c r="L49" s="1209"/>
      <c r="M49" s="1209">
        <v>8</v>
      </c>
      <c r="N49" s="1209">
        <v>8</v>
      </c>
      <c r="O49" s="1209">
        <v>8</v>
      </c>
      <c r="P49" s="1209">
        <v>8</v>
      </c>
      <c r="Q49" s="1209">
        <v>8</v>
      </c>
      <c r="R49" s="1209" t="s">
        <v>533</v>
      </c>
      <c r="S49" s="1215" t="s">
        <v>533</v>
      </c>
      <c r="T49" s="1215" t="s">
        <v>487</v>
      </c>
      <c r="U49" s="1215" t="s">
        <v>487</v>
      </c>
      <c r="V49" s="1215" t="s">
        <v>487</v>
      </c>
      <c r="W49" s="1215" t="s">
        <v>487</v>
      </c>
      <c r="X49" s="1215" t="s">
        <v>487</v>
      </c>
      <c r="Y49" s="1215"/>
      <c r="Z49" s="1215"/>
      <c r="AA49" s="1335">
        <v>1</v>
      </c>
      <c r="AB49" s="1335">
        <v>1</v>
      </c>
      <c r="AC49" s="1335">
        <v>1</v>
      </c>
      <c r="AD49" s="1335">
        <v>1</v>
      </c>
      <c r="AE49" s="1592">
        <v>1</v>
      </c>
      <c r="AF49" s="1209"/>
      <c r="AG49" s="1228"/>
      <c r="AH49" s="504">
        <v>185</v>
      </c>
      <c r="AI49" s="505">
        <v>37</v>
      </c>
    </row>
    <row r="50" spans="1:35" ht="21.95" customHeight="1">
      <c r="A50" s="544">
        <v>10</v>
      </c>
      <c r="B50" s="319" t="s">
        <v>673</v>
      </c>
      <c r="C50" s="1215">
        <v>9</v>
      </c>
      <c r="D50" s="1215" t="s">
        <v>543</v>
      </c>
      <c r="E50" s="1500" t="s">
        <v>555</v>
      </c>
      <c r="F50" s="1500" t="s">
        <v>487</v>
      </c>
      <c r="G50" s="1500" t="s">
        <v>487</v>
      </c>
      <c r="H50" s="1215" t="s">
        <v>487</v>
      </c>
      <c r="I50" s="1215" t="s">
        <v>487</v>
      </c>
      <c r="J50" s="1215" t="s">
        <v>487</v>
      </c>
      <c r="K50" s="1215"/>
      <c r="L50" s="1215"/>
      <c r="M50" s="1392">
        <v>6</v>
      </c>
      <c r="N50" s="1392">
        <v>6</v>
      </c>
      <c r="O50" s="1392" t="s">
        <v>772</v>
      </c>
      <c r="P50" s="1215">
        <v>6</v>
      </c>
      <c r="Q50" s="1215">
        <v>6</v>
      </c>
      <c r="R50" s="1215" t="s">
        <v>532</v>
      </c>
      <c r="S50" s="1215" t="s">
        <v>533</v>
      </c>
      <c r="T50" s="1215" t="s">
        <v>487</v>
      </c>
      <c r="U50" s="1215" t="s">
        <v>487</v>
      </c>
      <c r="V50" s="1215" t="s">
        <v>487</v>
      </c>
      <c r="W50" s="1215" t="s">
        <v>487</v>
      </c>
      <c r="X50" s="1215" t="s">
        <v>487</v>
      </c>
      <c r="Y50" s="1215"/>
      <c r="Z50" s="1215"/>
      <c r="AA50" s="1344">
        <v>5</v>
      </c>
      <c r="AB50" s="1215">
        <v>3</v>
      </c>
      <c r="AC50" s="1215">
        <v>3</v>
      </c>
      <c r="AD50" s="1215">
        <v>3</v>
      </c>
      <c r="AE50" s="1354" t="s">
        <v>694</v>
      </c>
      <c r="AF50" s="1215"/>
      <c r="AG50" s="1216"/>
      <c r="AH50" s="504">
        <v>185</v>
      </c>
      <c r="AI50" s="505">
        <v>37</v>
      </c>
    </row>
    <row r="51" spans="1:35" ht="21.95" customHeight="1" thickBot="1">
      <c r="A51" s="546">
        <v>15</v>
      </c>
      <c r="B51" s="52" t="s">
        <v>674</v>
      </c>
      <c r="C51" s="1207">
        <v>10</v>
      </c>
      <c r="D51" s="1207" t="s">
        <v>555</v>
      </c>
      <c r="E51" s="1207" t="s">
        <v>555</v>
      </c>
      <c r="F51" s="1207" t="s">
        <v>487</v>
      </c>
      <c r="G51" s="1207" t="s">
        <v>487</v>
      </c>
      <c r="H51" s="1207" t="s">
        <v>487</v>
      </c>
      <c r="I51" s="1207" t="s">
        <v>487</v>
      </c>
      <c r="J51" s="1207" t="s">
        <v>487</v>
      </c>
      <c r="K51" s="1207" t="s">
        <v>660</v>
      </c>
      <c r="L51" s="1207" t="s">
        <v>660</v>
      </c>
      <c r="M51" s="1207">
        <v>7</v>
      </c>
      <c r="N51" s="1207">
        <v>7</v>
      </c>
      <c r="O51" s="1207">
        <v>7</v>
      </c>
      <c r="P51" s="1207">
        <v>7</v>
      </c>
      <c r="Q51" s="1207">
        <v>7</v>
      </c>
      <c r="R51" s="1207"/>
      <c r="S51" s="1207"/>
      <c r="T51" s="1207">
        <v>4</v>
      </c>
      <c r="U51" s="1207">
        <v>4</v>
      </c>
      <c r="V51" s="1207">
        <v>4</v>
      </c>
      <c r="W51" s="1207">
        <v>4</v>
      </c>
      <c r="X51" s="1207">
        <v>4</v>
      </c>
      <c r="Y51" s="1207"/>
      <c r="Z51" s="1207"/>
      <c r="AA51" s="1366">
        <v>3</v>
      </c>
      <c r="AB51" s="1366">
        <v>3</v>
      </c>
      <c r="AC51" s="1366">
        <v>3</v>
      </c>
      <c r="AD51" s="1366">
        <v>3</v>
      </c>
      <c r="AE51" s="1380">
        <v>3</v>
      </c>
      <c r="AF51" s="1366"/>
      <c r="AG51" s="1380"/>
      <c r="AH51" s="504">
        <v>185</v>
      </c>
      <c r="AI51" s="505">
        <v>37</v>
      </c>
    </row>
    <row r="52" spans="1:35" ht="21.95" customHeight="1">
      <c r="A52" s="519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  <c r="T52" s="541"/>
      <c r="U52" s="541"/>
      <c r="V52" s="541"/>
      <c r="W52" s="541"/>
      <c r="X52" s="541"/>
      <c r="Y52" s="541"/>
      <c r="Z52" s="541"/>
      <c r="AA52" s="541"/>
      <c r="AB52" s="541"/>
      <c r="AC52" s="541"/>
      <c r="AD52" s="541"/>
      <c r="AE52" s="541"/>
      <c r="AF52" s="541"/>
      <c r="AG52" s="541"/>
      <c r="AH52" s="1"/>
    </row>
    <row r="53" spans="1:35" ht="21.95" customHeight="1">
      <c r="A53" s="519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1"/>
      <c r="W53" s="541"/>
      <c r="X53" s="541"/>
      <c r="Y53" s="541"/>
      <c r="Z53" s="541"/>
      <c r="AA53" s="541"/>
      <c r="AB53" s="541"/>
      <c r="AC53" s="541"/>
      <c r="AD53" s="541"/>
      <c r="AE53" s="541"/>
      <c r="AF53" s="541"/>
      <c r="AG53" s="541"/>
      <c r="AH53" s="1"/>
    </row>
    <row r="54" spans="1:35" ht="21.95" customHeight="1">
      <c r="A54" s="519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1"/>
      <c r="AA54" s="541"/>
      <c r="AB54" s="541"/>
      <c r="AC54" s="541"/>
      <c r="AD54" s="541"/>
      <c r="AE54" s="541"/>
      <c r="AF54" s="541"/>
      <c r="AG54" s="541"/>
      <c r="AH54" s="1"/>
    </row>
    <row r="55" spans="1:35" ht="21.95" customHeight="1" thickBot="1">
      <c r="A55" s="558"/>
      <c r="C55" s="559"/>
      <c r="D55" s="559"/>
      <c r="E55" s="559"/>
      <c r="F55" s="559"/>
      <c r="G55" s="559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59"/>
      <c r="AA55" s="559"/>
      <c r="AB55" s="559"/>
      <c r="AC55" s="559"/>
      <c r="AD55" s="559"/>
      <c r="AE55" s="559"/>
      <c r="AF55" s="559"/>
      <c r="AG55" s="559"/>
      <c r="AH55" s="560"/>
      <c r="AI55" s="560"/>
    </row>
    <row r="56" spans="1:35" ht="21.95" customHeight="1">
      <c r="A56" s="361"/>
      <c r="B56" s="23" t="s">
        <v>675</v>
      </c>
      <c r="C56" s="7"/>
      <c r="D56" s="414" t="s">
        <v>2</v>
      </c>
      <c r="E56" s="550"/>
      <c r="F56" s="7"/>
      <c r="G56" s="6" t="s">
        <v>3</v>
      </c>
      <c r="H56" s="551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52"/>
      <c r="R56" s="118"/>
      <c r="S56" s="6" t="s">
        <v>7</v>
      </c>
      <c r="T56" s="553"/>
      <c r="U56" s="118"/>
      <c r="V56" s="6" t="s">
        <v>8</v>
      </c>
      <c r="W56" s="552"/>
      <c r="X56" s="349" t="s">
        <v>9</v>
      </c>
      <c r="Y56" s="561"/>
      <c r="Z56" s="561"/>
      <c r="AA56" s="562"/>
      <c r="AB56" s="27" t="s">
        <v>10</v>
      </c>
      <c r="AC56" s="554"/>
      <c r="AD56" s="554"/>
      <c r="AE56" s="563"/>
      <c r="AF56" s="563"/>
      <c r="AG56" s="564"/>
    </row>
    <row r="57" spans="1:35" ht="21.95" customHeight="1">
      <c r="A57" s="361"/>
      <c r="B57" s="306" t="s">
        <v>676</v>
      </c>
      <c r="C57" s="565" t="s">
        <v>512</v>
      </c>
      <c r="D57" s="483"/>
      <c r="E57" s="484"/>
      <c r="F57" s="565" t="s">
        <v>512</v>
      </c>
      <c r="G57" s="483"/>
      <c r="H57" s="484"/>
      <c r="I57" s="565" t="s">
        <v>512</v>
      </c>
      <c r="J57" s="483"/>
      <c r="K57" s="484"/>
      <c r="L57" s="565" t="s">
        <v>512</v>
      </c>
      <c r="M57" s="483"/>
      <c r="N57" s="484"/>
      <c r="O57" s="565" t="s">
        <v>116</v>
      </c>
      <c r="P57" s="483"/>
      <c r="Q57" s="484"/>
      <c r="R57" s="565"/>
      <c r="S57" s="483"/>
      <c r="T57" s="484"/>
      <c r="U57" s="565"/>
      <c r="V57" s="483"/>
      <c r="W57" s="484"/>
      <c r="X57" s="565"/>
      <c r="Y57" s="483"/>
      <c r="Z57" s="483"/>
      <c r="AA57" s="483"/>
      <c r="AB57" s="476"/>
      <c r="AC57" s="483"/>
      <c r="AD57" s="483"/>
      <c r="AE57" s="483"/>
      <c r="AF57" s="483"/>
      <c r="AG57" s="566"/>
    </row>
    <row r="58" spans="1:35" ht="21.95" customHeight="1">
      <c r="A58" s="361"/>
      <c r="B58" s="306" t="s">
        <v>677</v>
      </c>
      <c r="C58" s="565" t="s">
        <v>147</v>
      </c>
      <c r="D58" s="483"/>
      <c r="E58" s="484"/>
      <c r="F58" s="565" t="s">
        <v>147</v>
      </c>
      <c r="G58" s="483"/>
      <c r="H58" s="484"/>
      <c r="I58" s="565" t="s">
        <v>147</v>
      </c>
      <c r="J58" s="483"/>
      <c r="K58" s="484"/>
      <c r="L58" s="565" t="s">
        <v>147</v>
      </c>
      <c r="M58" s="483"/>
      <c r="N58" s="484"/>
      <c r="O58" s="565" t="s">
        <v>578</v>
      </c>
      <c r="P58" s="483"/>
      <c r="Q58" s="484"/>
      <c r="R58" s="565"/>
      <c r="S58" s="483"/>
      <c r="T58" s="484"/>
      <c r="U58" s="565"/>
      <c r="V58" s="483"/>
      <c r="W58" s="484"/>
      <c r="X58" s="565"/>
      <c r="Y58" s="483"/>
      <c r="Z58" s="483"/>
      <c r="AA58" s="483"/>
      <c r="AB58" s="476"/>
      <c r="AC58" s="483"/>
      <c r="AD58" s="483"/>
      <c r="AE58" s="483"/>
      <c r="AF58" s="483"/>
      <c r="AG58" s="566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>
      <c r="A60" s="556" t="s">
        <v>528</v>
      </c>
      <c r="B60" s="297" t="s">
        <v>480</v>
      </c>
      <c r="C60" s="1234">
        <v>1</v>
      </c>
      <c r="D60" s="1235">
        <v>2</v>
      </c>
      <c r="E60" s="1235">
        <v>3</v>
      </c>
      <c r="F60" s="1234">
        <v>4</v>
      </c>
      <c r="G60" s="1234">
        <v>5</v>
      </c>
      <c r="H60" s="1234">
        <v>6</v>
      </c>
      <c r="I60" s="1213">
        <v>7</v>
      </c>
      <c r="J60" s="1213">
        <v>8</v>
      </c>
      <c r="K60" s="1235">
        <v>9</v>
      </c>
      <c r="L60" s="1235">
        <v>10</v>
      </c>
      <c r="M60" s="1234">
        <v>11</v>
      </c>
      <c r="N60" s="1234">
        <v>12</v>
      </c>
      <c r="O60" s="1234">
        <v>13</v>
      </c>
      <c r="P60" s="1213">
        <v>14</v>
      </c>
      <c r="Q60" s="1213">
        <v>15</v>
      </c>
      <c r="R60" s="1235">
        <v>16</v>
      </c>
      <c r="S60" s="1235">
        <v>17</v>
      </c>
      <c r="T60" s="1234">
        <v>18</v>
      </c>
      <c r="U60" s="1234">
        <v>19</v>
      </c>
      <c r="V60" s="1213">
        <v>20</v>
      </c>
      <c r="W60" s="1213">
        <v>21</v>
      </c>
      <c r="X60" s="1213">
        <v>22</v>
      </c>
      <c r="Y60" s="1235">
        <v>23</v>
      </c>
      <c r="Z60" s="1235">
        <v>24</v>
      </c>
      <c r="AA60" s="1234">
        <v>25</v>
      </c>
      <c r="AB60" s="1234">
        <v>26</v>
      </c>
      <c r="AC60" s="1234">
        <v>27</v>
      </c>
      <c r="AD60" s="1213">
        <v>28</v>
      </c>
      <c r="AE60" s="1213">
        <v>29</v>
      </c>
      <c r="AF60" s="1235">
        <v>30</v>
      </c>
      <c r="AG60" s="1234"/>
      <c r="AH60" s="498" t="s">
        <v>481</v>
      </c>
      <c r="AI60" s="499" t="s">
        <v>482</v>
      </c>
    </row>
    <row r="61" spans="1:35" ht="21.95" customHeight="1">
      <c r="A61" s="186">
        <v>8520</v>
      </c>
      <c r="B61" s="186" t="s">
        <v>678</v>
      </c>
      <c r="C61" s="1215" t="s">
        <v>679</v>
      </c>
      <c r="D61" s="1215"/>
      <c r="E61" s="1215"/>
      <c r="F61" s="1338" t="s">
        <v>679</v>
      </c>
      <c r="G61" s="1338" t="s">
        <v>679</v>
      </c>
      <c r="H61" s="1338" t="s">
        <v>679</v>
      </c>
      <c r="I61" s="1338" t="s">
        <v>679</v>
      </c>
      <c r="J61" s="1338" t="s">
        <v>679</v>
      </c>
      <c r="K61" s="1338"/>
      <c r="L61" s="1338"/>
      <c r="M61" s="1215" t="s">
        <v>679</v>
      </c>
      <c r="N61" s="1215" t="s">
        <v>679</v>
      </c>
      <c r="O61" s="1215" t="s">
        <v>679</v>
      </c>
      <c r="P61" s="1215" t="s">
        <v>679</v>
      </c>
      <c r="Q61" s="1215" t="s">
        <v>679</v>
      </c>
      <c r="R61" s="1215"/>
      <c r="S61" s="1215"/>
      <c r="T61" s="1215" t="s">
        <v>679</v>
      </c>
      <c r="U61" s="1215" t="s">
        <v>679</v>
      </c>
      <c r="V61" s="1215" t="s">
        <v>679</v>
      </c>
      <c r="W61" s="1215" t="s">
        <v>679</v>
      </c>
      <c r="X61" s="1215" t="s">
        <v>679</v>
      </c>
      <c r="Y61" s="1215"/>
      <c r="Z61" s="1215"/>
      <c r="AA61" s="1500" t="s">
        <v>679</v>
      </c>
      <c r="AB61" s="1215" t="s">
        <v>679</v>
      </c>
      <c r="AC61" s="1215" t="s">
        <v>679</v>
      </c>
      <c r="AD61" s="1215" t="s">
        <v>679</v>
      </c>
      <c r="AE61" s="1215" t="s">
        <v>679</v>
      </c>
      <c r="AF61" s="1215"/>
      <c r="AG61" s="1215"/>
      <c r="AH61" s="504">
        <v>185</v>
      </c>
      <c r="AI61" s="505">
        <v>37</v>
      </c>
    </row>
    <row r="62" spans="1:35" ht="21.95" customHeight="1">
      <c r="A62" s="186">
        <v>8521</v>
      </c>
      <c r="B62" s="186" t="s">
        <v>681</v>
      </c>
      <c r="C62" s="1215" t="s">
        <v>550</v>
      </c>
      <c r="D62" s="1215"/>
      <c r="E62" s="1215"/>
      <c r="F62" s="1500" t="s">
        <v>550</v>
      </c>
      <c r="G62" s="1215" t="s">
        <v>550</v>
      </c>
      <c r="H62" s="1215" t="s">
        <v>550</v>
      </c>
      <c r="I62" s="1215" t="s">
        <v>550</v>
      </c>
      <c r="J62" s="1215" t="s">
        <v>550</v>
      </c>
      <c r="K62" s="1215"/>
      <c r="L62" s="1215"/>
      <c r="M62" s="1500" t="s">
        <v>550</v>
      </c>
      <c r="N62" s="1215" t="s">
        <v>550</v>
      </c>
      <c r="O62" s="1215" t="s">
        <v>550</v>
      </c>
      <c r="P62" s="1215" t="s">
        <v>550</v>
      </c>
      <c r="Q62" s="1215" t="s">
        <v>550</v>
      </c>
      <c r="R62" s="1215"/>
      <c r="S62" s="1215"/>
      <c r="T62" s="1587" t="s">
        <v>550</v>
      </c>
      <c r="U62" s="1500" t="s">
        <v>550</v>
      </c>
      <c r="V62" s="1215" t="s">
        <v>550</v>
      </c>
      <c r="W62" s="1215" t="s">
        <v>550</v>
      </c>
      <c r="X62" s="1215" t="s">
        <v>550</v>
      </c>
      <c r="Y62" s="1215"/>
      <c r="Z62" s="1215"/>
      <c r="AA62" s="1215" t="s">
        <v>550</v>
      </c>
      <c r="AB62" s="1215" t="s">
        <v>550</v>
      </c>
      <c r="AC62" s="1215" t="s">
        <v>550</v>
      </c>
      <c r="AD62" s="1215" t="s">
        <v>550</v>
      </c>
      <c r="AE62" s="1215" t="s">
        <v>550</v>
      </c>
      <c r="AF62" s="1215"/>
      <c r="AG62" s="1215"/>
      <c r="AH62" s="504">
        <v>185</v>
      </c>
      <c r="AI62" s="505">
        <v>37</v>
      </c>
    </row>
    <row r="63" spans="1:35" ht="21.95" customHeight="1">
      <c r="A63" s="361"/>
      <c r="B63" s="361"/>
      <c r="C63" s="541"/>
      <c r="D63" s="520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520"/>
      <c r="AE63" s="520"/>
      <c r="AF63" s="520"/>
      <c r="AG63" s="520"/>
      <c r="AH63" s="560"/>
      <c r="AI63" s="560"/>
    </row>
    <row r="64" spans="1:35" ht="21.95" customHeight="1">
      <c r="A64" s="361"/>
      <c r="B64" s="361"/>
      <c r="C64" s="541"/>
      <c r="D64" s="520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520"/>
      <c r="AE64" s="520"/>
      <c r="AF64" s="520"/>
      <c r="AG64" s="520"/>
      <c r="AH64" s="560"/>
      <c r="AI64" s="560"/>
    </row>
    <row r="65" spans="1:35" ht="21.95" customHeight="1">
      <c r="A65" s="361"/>
      <c r="B65" s="361"/>
      <c r="C65" s="541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60"/>
      <c r="AI65" s="560"/>
    </row>
    <row r="66" spans="1:35" ht="21.95" customHeight="1" thickBot="1">
      <c r="A66" s="1" t="s">
        <v>468</v>
      </c>
      <c r="D66" s="361"/>
      <c r="E66" s="361"/>
      <c r="F66" s="361"/>
      <c r="G66" s="549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726</v>
      </c>
      <c r="C67" s="7"/>
      <c r="D67" s="525" t="s">
        <v>2</v>
      </c>
      <c r="E67" s="51"/>
      <c r="F67" s="551"/>
      <c r="G67" s="7"/>
      <c r="H67" s="525" t="s">
        <v>3</v>
      </c>
      <c r="I67" s="51"/>
      <c r="J67" s="551"/>
      <c r="K67" s="7"/>
      <c r="L67" s="525" t="s">
        <v>4</v>
      </c>
      <c r="M67" s="51"/>
      <c r="N67" s="551"/>
      <c r="O67" s="7"/>
      <c r="P67" s="525" t="s">
        <v>5</v>
      </c>
      <c r="Q67" s="51"/>
      <c r="R67" s="551"/>
      <c r="S67" s="7"/>
      <c r="T67" s="525" t="s">
        <v>6</v>
      </c>
      <c r="U67" s="51"/>
      <c r="V67" s="551"/>
      <c r="W67" s="27"/>
      <c r="X67" s="898" t="s">
        <v>7</v>
      </c>
      <c r="Y67" s="522"/>
      <c r="Z67" s="238"/>
      <c r="AA67" s="7"/>
      <c r="AB67" s="525" t="s">
        <v>8</v>
      </c>
      <c r="AC67" s="51"/>
      <c r="AD67" s="51"/>
      <c r="AE67" s="349" t="s">
        <v>9</v>
      </c>
      <c r="AF67" s="51"/>
      <c r="AG67" s="51"/>
      <c r="AH67" s="51"/>
      <c r="AI67" s="526"/>
    </row>
    <row r="68" spans="1:35" ht="21.95" customHeight="1">
      <c r="A68" s="1"/>
      <c r="B68" s="129" t="s">
        <v>164</v>
      </c>
      <c r="C68" s="567" t="s">
        <v>780</v>
      </c>
      <c r="E68" s="157"/>
      <c r="F68" s="568"/>
      <c r="G68" s="567" t="s">
        <v>780</v>
      </c>
      <c r="H68" s="157"/>
      <c r="I68" s="157"/>
      <c r="J68" s="568"/>
      <c r="K68" s="567" t="s">
        <v>780</v>
      </c>
      <c r="L68" s="157"/>
      <c r="M68" s="157"/>
      <c r="N68" s="568"/>
      <c r="O68" s="567" t="s">
        <v>781</v>
      </c>
      <c r="P68" s="157"/>
      <c r="Q68" s="157"/>
      <c r="R68" s="568"/>
      <c r="S68" s="567" t="s">
        <v>782</v>
      </c>
      <c r="T68" s="157"/>
      <c r="U68" s="157"/>
      <c r="V68" s="569"/>
      <c r="W68" s="899"/>
      <c r="X68" s="900"/>
      <c r="Y68" s="900"/>
      <c r="Z68" s="901"/>
      <c r="AA68" s="569"/>
      <c r="AB68" s="157"/>
      <c r="AC68" s="157"/>
      <c r="AD68" s="569"/>
      <c r="AE68" s="121">
        <v>37</v>
      </c>
      <c r="AG68" s="157"/>
      <c r="AH68" s="569"/>
      <c r="AI68" s="490"/>
    </row>
    <row r="69" spans="1:35" ht="21.95" customHeight="1">
      <c r="A69" s="1"/>
      <c r="B69" s="129" t="s">
        <v>167</v>
      </c>
      <c r="C69" s="567" t="s">
        <v>474</v>
      </c>
      <c r="D69" s="157"/>
      <c r="E69" s="157"/>
      <c r="F69" s="568"/>
      <c r="G69" s="567" t="s">
        <v>474</v>
      </c>
      <c r="H69" s="157"/>
      <c r="I69" s="157"/>
      <c r="J69" s="568"/>
      <c r="K69" s="567" t="s">
        <v>474</v>
      </c>
      <c r="L69" s="157"/>
      <c r="M69" s="157"/>
      <c r="N69" s="568"/>
      <c r="O69" s="567" t="s">
        <v>475</v>
      </c>
      <c r="P69" s="157"/>
      <c r="Q69" s="157"/>
      <c r="R69" s="568"/>
      <c r="S69" s="567" t="s">
        <v>477</v>
      </c>
      <c r="T69" s="157"/>
      <c r="U69" s="157"/>
      <c r="V69" s="568"/>
      <c r="W69" s="610" t="s">
        <v>775</v>
      </c>
      <c r="X69" s="55"/>
      <c r="Y69" s="55"/>
      <c r="Z69" s="55"/>
      <c r="AA69" s="567" t="s">
        <v>479</v>
      </c>
      <c r="AB69" s="567"/>
      <c r="AC69" s="567"/>
      <c r="AD69" s="567"/>
      <c r="AE69" s="155">
        <v>68.25</v>
      </c>
      <c r="AF69" s="157"/>
      <c r="AG69" s="571"/>
      <c r="AH69" s="572"/>
      <c r="AI69" s="573"/>
    </row>
    <row r="70" spans="1:35" ht="21.95" customHeight="1">
      <c r="A70" s="1"/>
      <c r="B70" s="129" t="s">
        <v>170</v>
      </c>
      <c r="C70" s="897" t="s">
        <v>162</v>
      </c>
      <c r="D70" s="157"/>
      <c r="E70" s="157"/>
      <c r="F70" s="568"/>
      <c r="G70" s="157" t="s">
        <v>162</v>
      </c>
      <c r="H70" s="157"/>
      <c r="I70" s="157"/>
      <c r="J70" s="568"/>
      <c r="K70" s="157" t="s">
        <v>162</v>
      </c>
      <c r="L70" s="157"/>
      <c r="M70" s="157"/>
      <c r="N70" s="568"/>
      <c r="O70" s="157" t="s">
        <v>162</v>
      </c>
      <c r="P70" s="157"/>
      <c r="Q70" s="157"/>
      <c r="R70" s="568"/>
      <c r="S70" s="157" t="s">
        <v>162</v>
      </c>
      <c r="T70" s="157"/>
      <c r="U70" s="157"/>
      <c r="V70" s="568"/>
      <c r="W70" s="567"/>
      <c r="X70" s="157"/>
      <c r="Y70" s="157"/>
      <c r="Z70" s="568"/>
      <c r="AA70" s="567"/>
      <c r="AB70" s="157"/>
      <c r="AC70" s="157"/>
      <c r="AD70" s="569"/>
      <c r="AE70" s="570">
        <v>0</v>
      </c>
      <c r="AF70" s="571"/>
      <c r="AG70" s="157"/>
      <c r="AH70" s="569"/>
      <c r="AI70" s="490"/>
    </row>
    <row r="71" spans="1:35" ht="21.95" customHeight="1" thickBot="1">
      <c r="A71" s="1"/>
      <c r="B71" s="47"/>
      <c r="C71" s="574"/>
      <c r="D71" s="53"/>
      <c r="E71" s="53"/>
      <c r="F71" s="575"/>
      <c r="G71" s="574"/>
      <c r="H71" s="53"/>
      <c r="I71" s="53"/>
      <c r="J71" s="575"/>
      <c r="K71" s="574"/>
      <c r="L71" s="53"/>
      <c r="M71" s="53"/>
      <c r="N71" s="575"/>
      <c r="O71" s="574"/>
      <c r="P71" s="53"/>
      <c r="Q71" s="53"/>
      <c r="R71" s="575"/>
      <c r="S71" s="574"/>
      <c r="T71" s="53"/>
      <c r="U71" s="53"/>
      <c r="V71" s="575"/>
      <c r="W71" s="53"/>
      <c r="X71" s="53"/>
      <c r="Y71" s="53"/>
      <c r="Z71" s="53"/>
      <c r="AA71" s="53"/>
      <c r="AB71" s="53"/>
      <c r="AC71" s="53"/>
      <c r="AD71" s="53"/>
      <c r="AE71" s="576"/>
      <c r="AF71" s="53"/>
      <c r="AG71" s="53"/>
      <c r="AH71" s="577"/>
      <c r="AI71" s="539"/>
    </row>
    <row r="72" spans="1:35" ht="21.95" customHeight="1" thickBot="1">
      <c r="A72" s="578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>
      <c r="A73" s="556"/>
      <c r="B73" s="297" t="s">
        <v>480</v>
      </c>
      <c r="C73" s="1234">
        <v>1</v>
      </c>
      <c r="D73" s="1235">
        <v>2</v>
      </c>
      <c r="E73" s="1235">
        <v>3</v>
      </c>
      <c r="F73" s="1234">
        <v>4</v>
      </c>
      <c r="G73" s="1234">
        <v>5</v>
      </c>
      <c r="H73" s="1234">
        <v>6</v>
      </c>
      <c r="I73" s="1213">
        <v>7</v>
      </c>
      <c r="J73" s="1213">
        <v>8</v>
      </c>
      <c r="K73" s="1235">
        <v>9</v>
      </c>
      <c r="L73" s="1235">
        <v>10</v>
      </c>
      <c r="M73" s="1234">
        <v>11</v>
      </c>
      <c r="N73" s="1234">
        <v>12</v>
      </c>
      <c r="O73" s="1234">
        <v>13</v>
      </c>
      <c r="P73" s="1213">
        <v>14</v>
      </c>
      <c r="Q73" s="1213">
        <v>15</v>
      </c>
      <c r="R73" s="1235">
        <v>16</v>
      </c>
      <c r="S73" s="1235">
        <v>17</v>
      </c>
      <c r="T73" s="1234">
        <v>18</v>
      </c>
      <c r="U73" s="1234">
        <v>19</v>
      </c>
      <c r="V73" s="1213">
        <v>20</v>
      </c>
      <c r="W73" s="1213">
        <v>21</v>
      </c>
      <c r="X73" s="1213">
        <v>22</v>
      </c>
      <c r="Y73" s="1235">
        <v>23</v>
      </c>
      <c r="Z73" s="1235">
        <v>24</v>
      </c>
      <c r="AA73" s="1234">
        <v>25</v>
      </c>
      <c r="AB73" s="1234">
        <v>26</v>
      </c>
      <c r="AC73" s="1234">
        <v>27</v>
      </c>
      <c r="AD73" s="1213">
        <v>28</v>
      </c>
      <c r="AE73" s="1213">
        <v>29</v>
      </c>
      <c r="AF73" s="1235">
        <v>30</v>
      </c>
      <c r="AG73" s="1234"/>
      <c r="AH73" s="498" t="s">
        <v>481</v>
      </c>
      <c r="AI73" s="499" t="s">
        <v>482</v>
      </c>
    </row>
    <row r="74" spans="1:35" ht="21.95" customHeight="1" thickBot="1">
      <c r="A74" s="579">
        <v>1</v>
      </c>
      <c r="B74" s="153" t="s">
        <v>483</v>
      </c>
      <c r="C74" s="557" t="s">
        <v>682</v>
      </c>
      <c r="D74" s="557"/>
      <c r="E74" s="557"/>
      <c r="F74" s="1511" t="s">
        <v>484</v>
      </c>
      <c r="G74" s="1511" t="s">
        <v>484</v>
      </c>
      <c r="H74" s="1347" t="s">
        <v>484</v>
      </c>
      <c r="I74" s="1439" t="s">
        <v>485</v>
      </c>
      <c r="J74" s="1439" t="s">
        <v>485</v>
      </c>
      <c r="K74" s="1439" t="s">
        <v>486</v>
      </c>
      <c r="L74" s="1439" t="s">
        <v>783</v>
      </c>
      <c r="M74" s="557" t="s">
        <v>683</v>
      </c>
      <c r="N74" s="557" t="s">
        <v>683</v>
      </c>
      <c r="O74" s="557" t="s">
        <v>683</v>
      </c>
      <c r="P74" s="557" t="s">
        <v>487</v>
      </c>
      <c r="Q74" s="557" t="s">
        <v>487</v>
      </c>
      <c r="R74" s="557"/>
      <c r="S74" s="557"/>
      <c r="T74" s="557" t="s">
        <v>784</v>
      </c>
      <c r="U74" s="1215" t="s">
        <v>682</v>
      </c>
      <c r="V74" s="1215" t="s">
        <v>514</v>
      </c>
      <c r="W74" s="1215" t="s">
        <v>514</v>
      </c>
      <c r="X74" s="1368" t="s">
        <v>682</v>
      </c>
      <c r="Y74" s="557"/>
      <c r="Z74" s="557"/>
      <c r="AA74" s="557" t="s">
        <v>682</v>
      </c>
      <c r="AB74" s="1368" t="s">
        <v>484</v>
      </c>
      <c r="AC74" s="1368" t="s">
        <v>484</v>
      </c>
      <c r="AD74" s="1368" t="s">
        <v>485</v>
      </c>
      <c r="AE74" s="1368" t="s">
        <v>485</v>
      </c>
      <c r="AF74" s="1368" t="s">
        <v>486</v>
      </c>
      <c r="AG74" s="557"/>
      <c r="AH74" s="504">
        <v>185</v>
      </c>
      <c r="AI74" s="505">
        <v>37</v>
      </c>
    </row>
    <row r="75" spans="1:35" ht="21.95" customHeight="1">
      <c r="A75" s="579">
        <v>2</v>
      </c>
      <c r="B75" s="45" t="s">
        <v>489</v>
      </c>
      <c r="C75" s="557" t="s">
        <v>485</v>
      </c>
      <c r="D75" s="557" t="s">
        <v>486</v>
      </c>
      <c r="E75" s="557" t="s">
        <v>486</v>
      </c>
      <c r="F75" s="557" t="s">
        <v>487</v>
      </c>
      <c r="G75" s="557" t="s">
        <v>487</v>
      </c>
      <c r="H75" s="557" t="s">
        <v>487</v>
      </c>
      <c r="I75" s="557" t="s">
        <v>487</v>
      </c>
      <c r="J75" s="557" t="s">
        <v>487</v>
      </c>
      <c r="K75" s="557"/>
      <c r="L75" s="557"/>
      <c r="M75" s="1347" t="s">
        <v>682</v>
      </c>
      <c r="N75" s="1347" t="s">
        <v>682</v>
      </c>
      <c r="O75" s="1347" t="s">
        <v>682</v>
      </c>
      <c r="P75" s="1347" t="s">
        <v>682</v>
      </c>
      <c r="Q75" s="1347" t="s">
        <v>682</v>
      </c>
      <c r="R75" s="557"/>
      <c r="S75" s="557"/>
      <c r="T75" s="1365" t="s">
        <v>484</v>
      </c>
      <c r="U75" s="1365" t="s">
        <v>484</v>
      </c>
      <c r="V75" s="1365" t="s">
        <v>484</v>
      </c>
      <c r="W75" s="1365" t="s">
        <v>485</v>
      </c>
      <c r="X75" s="1365" t="s">
        <v>485</v>
      </c>
      <c r="Y75" s="1365" t="s">
        <v>486</v>
      </c>
      <c r="Z75" s="1365" t="s">
        <v>486</v>
      </c>
      <c r="AA75" s="557" t="s">
        <v>487</v>
      </c>
      <c r="AB75" s="557" t="s">
        <v>487</v>
      </c>
      <c r="AC75" s="557" t="s">
        <v>487</v>
      </c>
      <c r="AD75" s="557" t="s">
        <v>487</v>
      </c>
      <c r="AE75" s="557" t="s">
        <v>487</v>
      </c>
      <c r="AF75" s="557"/>
      <c r="AG75" s="557"/>
      <c r="AH75" s="504">
        <v>185</v>
      </c>
      <c r="AI75" s="505">
        <v>37</v>
      </c>
    </row>
    <row r="76" spans="1:35" ht="21.95" customHeight="1">
      <c r="A76" s="579">
        <v>3</v>
      </c>
      <c r="B76" s="545" t="s">
        <v>721</v>
      </c>
      <c r="C76" s="557" t="s">
        <v>487</v>
      </c>
      <c r="D76" s="557"/>
      <c r="E76" s="557"/>
      <c r="F76" s="557" t="s">
        <v>682</v>
      </c>
      <c r="G76" s="557" t="s">
        <v>682</v>
      </c>
      <c r="H76" s="1608" t="s">
        <v>682</v>
      </c>
      <c r="I76" s="557" t="s">
        <v>682</v>
      </c>
      <c r="J76" s="557" t="s">
        <v>682</v>
      </c>
      <c r="K76" s="557"/>
      <c r="L76" s="557"/>
      <c r="M76" s="1208" t="s">
        <v>485</v>
      </c>
      <c r="N76" s="1396" t="s">
        <v>485</v>
      </c>
      <c r="O76" s="1396" t="s">
        <v>485</v>
      </c>
      <c r="P76" s="1396" t="s">
        <v>484</v>
      </c>
      <c r="Q76" s="1396" t="s">
        <v>484</v>
      </c>
      <c r="R76" s="557" t="s">
        <v>486</v>
      </c>
      <c r="S76" s="557" t="s">
        <v>486</v>
      </c>
      <c r="T76" s="557" t="s">
        <v>487</v>
      </c>
      <c r="U76" s="557" t="s">
        <v>487</v>
      </c>
      <c r="V76" s="557" t="s">
        <v>487</v>
      </c>
      <c r="W76" s="557" t="s">
        <v>487</v>
      </c>
      <c r="X76" s="557" t="s">
        <v>487</v>
      </c>
      <c r="Y76" s="557"/>
      <c r="Z76" s="557"/>
      <c r="AA76" s="557" t="s">
        <v>682</v>
      </c>
      <c r="AB76" s="557" t="s">
        <v>682</v>
      </c>
      <c r="AC76" s="557" t="s">
        <v>682</v>
      </c>
      <c r="AD76" s="557" t="s">
        <v>682</v>
      </c>
      <c r="AE76" s="557" t="s">
        <v>682</v>
      </c>
      <c r="AF76" s="557"/>
      <c r="AG76" s="557"/>
      <c r="AH76" s="504">
        <v>185</v>
      </c>
      <c r="AI76" s="505">
        <v>37</v>
      </c>
    </row>
    <row r="77" spans="1:35" ht="21" customHeight="1"/>
    <row r="78" spans="1:35" ht="21.95" customHeight="1" thickBot="1">
      <c r="A78" s="312" t="s">
        <v>491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  <c r="O78" s="559"/>
      <c r="P78" s="559"/>
      <c r="Q78" s="559"/>
      <c r="R78" s="559"/>
      <c r="S78" s="559"/>
      <c r="T78" s="559"/>
      <c r="U78" s="559"/>
      <c r="V78" s="559"/>
      <c r="W78" s="559"/>
      <c r="X78" s="559"/>
      <c r="Y78" s="559"/>
      <c r="Z78" s="559"/>
      <c r="AA78" s="559"/>
      <c r="AB78" s="559"/>
      <c r="AC78" s="559"/>
      <c r="AD78" s="559"/>
      <c r="AE78" s="559"/>
      <c r="AF78" s="559"/>
      <c r="AH78" s="560"/>
      <c r="AI78" s="560"/>
    </row>
    <row r="79" spans="1:35" ht="21.95" customHeight="1">
      <c r="A79" s="580"/>
      <c r="B79" s="23" t="s">
        <v>726</v>
      </c>
      <c r="C79" s="7"/>
      <c r="D79" s="525" t="s">
        <v>2</v>
      </c>
      <c r="E79" s="51"/>
      <c r="F79" s="551"/>
      <c r="G79" s="7"/>
      <c r="H79" s="525" t="s">
        <v>3</v>
      </c>
      <c r="I79" s="51"/>
      <c r="J79" s="551"/>
      <c r="K79" s="7"/>
      <c r="L79" s="525" t="s">
        <v>4</v>
      </c>
      <c r="M79" s="51"/>
      <c r="N79" s="551"/>
      <c r="O79" s="7"/>
      <c r="P79" s="525" t="s">
        <v>5</v>
      </c>
      <c r="Q79" s="51"/>
      <c r="R79" s="551"/>
      <c r="S79" s="7"/>
      <c r="T79" s="525" t="s">
        <v>6</v>
      </c>
      <c r="U79" s="51"/>
      <c r="V79" s="551"/>
      <c r="W79" s="27"/>
      <c r="X79" s="898" t="s">
        <v>7</v>
      </c>
      <c r="Y79" s="522"/>
      <c r="Z79" s="238"/>
      <c r="AA79" s="7"/>
      <c r="AB79" s="525" t="s">
        <v>8</v>
      </c>
      <c r="AC79" s="51"/>
      <c r="AD79" s="51"/>
      <c r="AE79" s="349" t="s">
        <v>9</v>
      </c>
      <c r="AF79" s="51"/>
      <c r="AG79" s="51"/>
      <c r="AH79" s="51"/>
      <c r="AI79" s="526"/>
    </row>
    <row r="80" spans="1:35" ht="21.95" customHeight="1">
      <c r="B80" s="129" t="s">
        <v>164</v>
      </c>
      <c r="C80" s="593" t="s">
        <v>492</v>
      </c>
      <c r="E80" s="157"/>
      <c r="F80" s="568"/>
      <c r="G80" s="567" t="s">
        <v>488</v>
      </c>
      <c r="H80" s="483" t="s">
        <v>493</v>
      </c>
      <c r="I80" s="157"/>
      <c r="J80" s="568"/>
      <c r="K80" s="593" t="s">
        <v>492</v>
      </c>
      <c r="L80" s="483"/>
      <c r="M80" s="483"/>
      <c r="N80" s="592"/>
      <c r="O80" s="593" t="s">
        <v>494</v>
      </c>
      <c r="P80" s="483"/>
      <c r="Q80" s="483"/>
      <c r="R80" s="592"/>
      <c r="S80" s="593" t="s">
        <v>495</v>
      </c>
      <c r="T80" s="483"/>
      <c r="U80" s="483"/>
      <c r="V80" s="477"/>
      <c r="W80" s="899"/>
      <c r="X80" s="900"/>
      <c r="Y80" s="900"/>
      <c r="Z80" s="901"/>
      <c r="AA80" s="569"/>
      <c r="AB80" s="157"/>
      <c r="AC80" s="157"/>
      <c r="AD80" s="569"/>
      <c r="AE80" s="121">
        <v>37</v>
      </c>
      <c r="AG80" s="157"/>
      <c r="AH80" s="569"/>
      <c r="AI80" s="490"/>
    </row>
    <row r="81" spans="1:35" ht="21.95" customHeight="1">
      <c r="B81" s="129" t="s">
        <v>167</v>
      </c>
      <c r="C81" s="593" t="s">
        <v>496</v>
      </c>
      <c r="E81" s="157"/>
      <c r="F81" s="568"/>
      <c r="G81" s="593" t="s">
        <v>496</v>
      </c>
      <c r="I81" s="157"/>
      <c r="J81" s="568"/>
      <c r="K81" s="593" t="s">
        <v>496</v>
      </c>
      <c r="L81" s="157"/>
      <c r="M81" s="157"/>
      <c r="N81" s="568"/>
      <c r="O81" s="593" t="s">
        <v>497</v>
      </c>
      <c r="P81" s="157"/>
      <c r="Q81" s="157"/>
      <c r="R81" s="568"/>
      <c r="S81" s="567" t="s">
        <v>498</v>
      </c>
      <c r="T81" s="157"/>
      <c r="U81" s="157"/>
      <c r="V81" s="568"/>
      <c r="W81" s="610" t="s">
        <v>414</v>
      </c>
      <c r="X81" s="55"/>
      <c r="Y81" s="55"/>
      <c r="Z81" s="55"/>
      <c r="AA81" s="567" t="s">
        <v>28</v>
      </c>
      <c r="AB81" s="567"/>
      <c r="AC81" s="567"/>
      <c r="AD81" s="567"/>
      <c r="AE81" s="155">
        <v>37</v>
      </c>
      <c r="AF81" s="157"/>
      <c r="AG81" s="571"/>
      <c r="AH81" s="572"/>
      <c r="AI81" s="573"/>
    </row>
    <row r="82" spans="1:35" ht="21.95" customHeight="1">
      <c r="B82" s="129" t="s">
        <v>170</v>
      </c>
      <c r="C82" s="1336" t="s">
        <v>499</v>
      </c>
      <c r="D82" s="157"/>
      <c r="E82" s="157"/>
      <c r="F82" s="568"/>
      <c r="G82" s="157" t="s">
        <v>500</v>
      </c>
      <c r="H82" s="157"/>
      <c r="I82" s="157"/>
      <c r="J82" s="568"/>
      <c r="K82" s="1337" t="s">
        <v>501</v>
      </c>
      <c r="L82" s="157"/>
      <c r="M82" s="157"/>
      <c r="N82" s="568"/>
      <c r="O82" s="581" t="s">
        <v>502</v>
      </c>
      <c r="P82" s="157"/>
      <c r="Q82" s="157"/>
      <c r="R82" s="568"/>
      <c r="S82" s="581" t="s">
        <v>504</v>
      </c>
      <c r="T82" s="157"/>
      <c r="U82" s="157"/>
      <c r="V82" s="568"/>
      <c r="W82" s="567"/>
      <c r="X82" s="157"/>
      <c r="Y82" s="157"/>
      <c r="Z82" s="568"/>
      <c r="AA82" s="567"/>
      <c r="AB82" s="157"/>
      <c r="AC82" s="157"/>
      <c r="AD82" s="569"/>
      <c r="AE82" s="570">
        <v>36</v>
      </c>
      <c r="AF82" s="571"/>
      <c r="AG82" s="157"/>
      <c r="AH82" s="569"/>
      <c r="AI82" s="490"/>
    </row>
    <row r="83" spans="1:35" ht="21.95" customHeight="1" thickBot="1">
      <c r="B83" s="47"/>
      <c r="C83" s="574"/>
      <c r="D83" s="53"/>
      <c r="E83" s="53"/>
      <c r="F83" s="575"/>
      <c r="G83" s="574"/>
      <c r="H83" s="53"/>
      <c r="I83" s="53"/>
      <c r="J83" s="575"/>
      <c r="K83" s="574"/>
      <c r="L83" s="53"/>
      <c r="M83" s="53"/>
      <c r="N83" s="575"/>
      <c r="O83" s="574"/>
      <c r="P83" s="53"/>
      <c r="Q83" s="53"/>
      <c r="R83" s="575"/>
      <c r="S83" s="574"/>
      <c r="T83" s="53"/>
      <c r="U83" s="53"/>
      <c r="V83" s="575"/>
      <c r="W83" s="53"/>
      <c r="X83" s="53"/>
      <c r="Y83" s="53"/>
      <c r="Z83" s="53"/>
      <c r="AA83" s="53"/>
      <c r="AB83" s="53"/>
      <c r="AC83" s="53"/>
      <c r="AD83" s="53"/>
      <c r="AE83" s="576"/>
      <c r="AF83" s="53"/>
      <c r="AG83" s="53"/>
      <c r="AH83" s="577"/>
      <c r="AI83" s="539"/>
    </row>
    <row r="84" spans="1:35" ht="21.95" customHeight="1" thickBot="1"/>
    <row r="85" spans="1:35" ht="21.95" customHeight="1">
      <c r="A85" s="556"/>
      <c r="B85" s="297" t="s">
        <v>480</v>
      </c>
      <c r="C85" s="1234">
        <v>1</v>
      </c>
      <c r="D85" s="1235">
        <v>2</v>
      </c>
      <c r="E85" s="1235">
        <v>3</v>
      </c>
      <c r="F85" s="1234">
        <v>4</v>
      </c>
      <c r="G85" s="1234">
        <v>5</v>
      </c>
      <c r="H85" s="1234">
        <v>6</v>
      </c>
      <c r="I85" s="1213">
        <v>7</v>
      </c>
      <c r="J85" s="1213">
        <v>8</v>
      </c>
      <c r="K85" s="1235">
        <v>9</v>
      </c>
      <c r="L85" s="1235">
        <v>10</v>
      </c>
      <c r="M85" s="1234">
        <v>11</v>
      </c>
      <c r="N85" s="1234">
        <v>12</v>
      </c>
      <c r="O85" s="1234">
        <v>13</v>
      </c>
      <c r="P85" s="1213">
        <v>14</v>
      </c>
      <c r="Q85" s="1213">
        <v>15</v>
      </c>
      <c r="R85" s="1235">
        <v>16</v>
      </c>
      <c r="S85" s="1235">
        <v>17</v>
      </c>
      <c r="T85" s="1234">
        <v>18</v>
      </c>
      <c r="U85" s="1234">
        <v>19</v>
      </c>
      <c r="V85" s="1213">
        <v>20</v>
      </c>
      <c r="W85" s="1213">
        <v>21</v>
      </c>
      <c r="X85" s="1213">
        <v>22</v>
      </c>
      <c r="Y85" s="1235">
        <v>23</v>
      </c>
      <c r="Z85" s="1235">
        <v>24</v>
      </c>
      <c r="AA85" s="1234">
        <v>25</v>
      </c>
      <c r="AB85" s="1234">
        <v>26</v>
      </c>
      <c r="AC85" s="1234">
        <v>27</v>
      </c>
      <c r="AD85" s="1213">
        <v>28</v>
      </c>
      <c r="AE85" s="1213">
        <v>29</v>
      </c>
      <c r="AF85" s="1235">
        <v>30</v>
      </c>
      <c r="AG85" s="1234"/>
      <c r="AH85" s="498" t="s">
        <v>481</v>
      </c>
      <c r="AI85" s="499" t="s">
        <v>482</v>
      </c>
    </row>
    <row r="86" spans="1:35" ht="21.95" customHeight="1">
      <c r="A86" s="579">
        <v>1</v>
      </c>
      <c r="B86" s="153" t="s">
        <v>508</v>
      </c>
      <c r="C86" s="557" t="s">
        <v>488</v>
      </c>
      <c r="D86" s="1344"/>
      <c r="E86" s="557"/>
      <c r="F86" s="1439" t="s">
        <v>506</v>
      </c>
      <c r="G86" s="1439" t="s">
        <v>785</v>
      </c>
      <c r="H86" s="557" t="s">
        <v>506</v>
      </c>
      <c r="I86" s="557" t="s">
        <v>506</v>
      </c>
      <c r="J86" s="557" t="s">
        <v>506</v>
      </c>
      <c r="K86" s="557"/>
      <c r="L86" s="557"/>
      <c r="M86" s="557" t="s">
        <v>485</v>
      </c>
      <c r="N86" s="557" t="s">
        <v>485</v>
      </c>
      <c r="O86" s="557" t="s">
        <v>485</v>
      </c>
      <c r="P86" s="557" t="s">
        <v>484</v>
      </c>
      <c r="Q86" s="557" t="s">
        <v>484</v>
      </c>
      <c r="R86" s="557"/>
      <c r="S86" s="557"/>
      <c r="T86" s="557" t="s">
        <v>488</v>
      </c>
      <c r="U86" s="557" t="s">
        <v>488</v>
      </c>
      <c r="V86" s="557" t="s">
        <v>488</v>
      </c>
      <c r="W86" s="557" t="s">
        <v>488</v>
      </c>
      <c r="X86" s="557" t="s">
        <v>488</v>
      </c>
      <c r="Y86" s="557"/>
      <c r="Z86" s="557"/>
      <c r="AA86" s="557" t="s">
        <v>506</v>
      </c>
      <c r="AB86" s="557" t="s">
        <v>506</v>
      </c>
      <c r="AC86" s="557" t="s">
        <v>506</v>
      </c>
      <c r="AD86" s="557" t="s">
        <v>484</v>
      </c>
      <c r="AE86" s="557" t="s">
        <v>506</v>
      </c>
      <c r="AF86" s="557"/>
      <c r="AG86" s="557"/>
      <c r="AH86" s="504" t="s">
        <v>28</v>
      </c>
      <c r="AI86" s="505" t="s">
        <v>28</v>
      </c>
    </row>
    <row r="87" spans="1:35" ht="21.95" customHeight="1">
      <c r="A87" s="579">
        <v>2</v>
      </c>
      <c r="B87" s="1603" t="s">
        <v>507</v>
      </c>
      <c r="C87" s="1208" t="s">
        <v>506</v>
      </c>
      <c r="D87" s="1458"/>
      <c r="E87" s="1563"/>
      <c r="F87" s="1551" t="s">
        <v>485</v>
      </c>
      <c r="G87" s="1551" t="s">
        <v>485</v>
      </c>
      <c r="H87" s="557" t="s">
        <v>485</v>
      </c>
      <c r="I87" s="557" t="s">
        <v>484</v>
      </c>
      <c r="J87" s="557" t="s">
        <v>484</v>
      </c>
      <c r="K87" s="557"/>
      <c r="L87" s="557"/>
      <c r="M87" s="557" t="s">
        <v>488</v>
      </c>
      <c r="N87" s="557" t="s">
        <v>488</v>
      </c>
      <c r="O87" s="557" t="s">
        <v>488</v>
      </c>
      <c r="P87" s="557" t="s">
        <v>488</v>
      </c>
      <c r="Q87" s="557" t="s">
        <v>488</v>
      </c>
      <c r="R87" s="557"/>
      <c r="S87" s="557"/>
      <c r="T87" s="557" t="s">
        <v>506</v>
      </c>
      <c r="U87" s="557" t="s">
        <v>506</v>
      </c>
      <c r="V87" s="557" t="s">
        <v>506</v>
      </c>
      <c r="W87" s="557" t="s">
        <v>506</v>
      </c>
      <c r="X87" s="557" t="s">
        <v>506</v>
      </c>
      <c r="Y87" s="557"/>
      <c r="Z87" s="557"/>
      <c r="AA87" s="557" t="s">
        <v>485</v>
      </c>
      <c r="AB87" s="1439" t="s">
        <v>485</v>
      </c>
      <c r="AC87" s="1439" t="s">
        <v>485</v>
      </c>
      <c r="AD87" s="1208" t="s">
        <v>484</v>
      </c>
      <c r="AE87" s="1208" t="s">
        <v>484</v>
      </c>
      <c r="AF87" s="557"/>
      <c r="AG87" s="557"/>
      <c r="AH87" s="504" t="s">
        <v>28</v>
      </c>
      <c r="AI87" s="505" t="s">
        <v>28</v>
      </c>
    </row>
    <row r="88" spans="1:35" ht="21.95" customHeight="1">
      <c r="A88" s="1602">
        <v>3</v>
      </c>
      <c r="B88" s="1510" t="s">
        <v>505</v>
      </c>
      <c r="C88" s="1567" t="s">
        <v>484</v>
      </c>
      <c r="D88" s="1461"/>
      <c r="E88" s="1567"/>
      <c r="F88" s="557" t="s">
        <v>506</v>
      </c>
      <c r="G88" s="557" t="s">
        <v>506</v>
      </c>
      <c r="H88" s="557" t="s">
        <v>548</v>
      </c>
      <c r="I88" s="557" t="s">
        <v>548</v>
      </c>
      <c r="J88" s="557" t="s">
        <v>548</v>
      </c>
      <c r="K88" s="557"/>
      <c r="L88" s="557"/>
      <c r="M88" s="557" t="s">
        <v>506</v>
      </c>
      <c r="N88" s="557" t="s">
        <v>506</v>
      </c>
      <c r="O88" s="557" t="s">
        <v>506</v>
      </c>
      <c r="P88" s="557" t="s">
        <v>506</v>
      </c>
      <c r="Q88" s="557" t="s">
        <v>506</v>
      </c>
      <c r="R88" s="557"/>
      <c r="S88" s="557"/>
      <c r="T88" s="557" t="s">
        <v>485</v>
      </c>
      <c r="U88" s="557" t="s">
        <v>485</v>
      </c>
      <c r="V88" s="557" t="s">
        <v>485</v>
      </c>
      <c r="W88" s="557" t="s">
        <v>484</v>
      </c>
      <c r="X88" s="557" t="s">
        <v>484</v>
      </c>
      <c r="Y88" s="557"/>
      <c r="Z88" s="557"/>
      <c r="AA88" s="557" t="s">
        <v>484</v>
      </c>
      <c r="AB88" s="557" t="s">
        <v>488</v>
      </c>
      <c r="AC88" s="557" t="s">
        <v>488</v>
      </c>
      <c r="AD88" s="1439" t="s">
        <v>488</v>
      </c>
      <c r="AE88" s="1392" t="s">
        <v>777</v>
      </c>
      <c r="AF88" s="557"/>
      <c r="AG88" s="557"/>
      <c r="AH88" s="504" t="s">
        <v>28</v>
      </c>
      <c r="AI88" s="505" t="s">
        <v>28</v>
      </c>
    </row>
    <row r="89" spans="1:35" ht="21.95" customHeight="1">
      <c r="A89" s="580"/>
      <c r="B89" s="587"/>
      <c r="C89" s="587"/>
      <c r="D89" s="587"/>
      <c r="E89" s="587"/>
      <c r="F89" s="587"/>
      <c r="G89" s="587"/>
      <c r="H89" s="587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H89" s="560"/>
      <c r="AI89" s="560"/>
    </row>
    <row r="90" spans="1:35" ht="21.95" customHeight="1">
      <c r="A90" s="580"/>
      <c r="B90" s="587"/>
      <c r="C90" s="559"/>
      <c r="D90" s="559"/>
      <c r="E90" s="559"/>
      <c r="F90" s="559"/>
      <c r="G90" s="559"/>
      <c r="H90" s="559"/>
      <c r="I90" s="559"/>
      <c r="J90" s="559"/>
      <c r="K90" s="559"/>
      <c r="L90" s="559"/>
      <c r="M90" s="559"/>
      <c r="N90" s="559"/>
      <c r="O90" s="559"/>
      <c r="P90" s="559"/>
      <c r="Q90" s="559"/>
      <c r="R90" s="559"/>
      <c r="S90" s="559"/>
      <c r="T90" s="559"/>
      <c r="U90" s="559"/>
      <c r="V90" s="559"/>
      <c r="W90" s="559"/>
      <c r="X90" s="559"/>
      <c r="Y90" s="559"/>
      <c r="Z90" s="559"/>
      <c r="AA90" s="559"/>
      <c r="AB90" s="559"/>
      <c r="AC90" s="559"/>
      <c r="AD90" s="559"/>
      <c r="AE90" s="559"/>
      <c r="AF90" s="559"/>
      <c r="AG90" s="559"/>
      <c r="AH90" s="560"/>
      <c r="AI90" s="560"/>
    </row>
    <row r="91" spans="1:35" ht="21.95" customHeight="1" thickBot="1">
      <c r="A91" s="1" t="s">
        <v>686</v>
      </c>
      <c r="D91" s="361"/>
      <c r="E91" s="361"/>
      <c r="F91" s="361"/>
      <c r="G91" s="549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687</v>
      </c>
      <c r="C92" s="7"/>
      <c r="D92" s="525" t="s">
        <v>2</v>
      </c>
      <c r="E92" s="51"/>
      <c r="F92" s="551"/>
      <c r="G92" s="7"/>
      <c r="H92" s="525" t="s">
        <v>3</v>
      </c>
      <c r="I92" s="51"/>
      <c r="J92" s="551"/>
      <c r="K92" s="7"/>
      <c r="L92" s="525" t="s">
        <v>4</v>
      </c>
      <c r="M92" s="51"/>
      <c r="N92" s="551"/>
      <c r="O92" s="7"/>
      <c r="P92" s="525" t="s">
        <v>5</v>
      </c>
      <c r="Q92" s="51"/>
      <c r="R92" s="551"/>
      <c r="S92" s="7"/>
      <c r="T92" s="525" t="s">
        <v>6</v>
      </c>
      <c r="U92" s="51"/>
      <c r="V92" s="551"/>
      <c r="W92" s="7"/>
      <c r="X92" s="525" t="s">
        <v>7</v>
      </c>
      <c r="Y92" s="51"/>
      <c r="Z92" s="551"/>
      <c r="AA92" s="7"/>
      <c r="AB92" s="525" t="s">
        <v>8</v>
      </c>
      <c r="AC92" s="51"/>
      <c r="AD92" s="51"/>
      <c r="AE92" s="425" t="s">
        <v>10</v>
      </c>
      <c r="AF92" s="51"/>
      <c r="AG92" s="51"/>
      <c r="AH92" s="51"/>
      <c r="AI92" s="526"/>
    </row>
    <row r="93" spans="1:35" ht="21.95" customHeight="1">
      <c r="A93" s="1"/>
      <c r="B93" s="129" t="s">
        <v>164</v>
      </c>
      <c r="C93" s="121" t="s">
        <v>162</v>
      </c>
      <c r="D93" s="157"/>
      <c r="E93" s="157"/>
      <c r="F93" s="568"/>
      <c r="G93" s="121" t="s">
        <v>688</v>
      </c>
      <c r="H93" s="157"/>
      <c r="I93" s="157"/>
      <c r="J93" s="568"/>
      <c r="K93" s="121" t="s">
        <v>688</v>
      </c>
      <c r="L93" s="157"/>
      <c r="M93" s="157"/>
      <c r="N93" s="568"/>
      <c r="O93" s="121" t="s">
        <v>688</v>
      </c>
      <c r="P93" s="157"/>
      <c r="Q93" s="157"/>
      <c r="R93" s="568"/>
      <c r="S93" s="121" t="s">
        <v>688</v>
      </c>
      <c r="T93" s="157"/>
      <c r="U93" s="157"/>
      <c r="V93" s="568"/>
      <c r="W93" s="1243" t="s">
        <v>689</v>
      </c>
      <c r="X93" s="581"/>
      <c r="Y93" s="581"/>
      <c r="Z93" s="582"/>
      <c r="AA93" s="567"/>
      <c r="AB93" s="157"/>
      <c r="AC93" s="157"/>
      <c r="AD93" s="569"/>
      <c r="AE93" s="128">
        <v>37</v>
      </c>
      <c r="AF93" s="157"/>
      <c r="AG93" s="157" t="s">
        <v>28</v>
      </c>
      <c r="AH93" s="569"/>
      <c r="AI93" s="490"/>
    </row>
    <row r="94" spans="1:35" ht="21.95" customHeight="1">
      <c r="A94" s="1"/>
      <c r="B94" s="129" t="s">
        <v>167</v>
      </c>
      <c r="C94" s="121" t="s">
        <v>688</v>
      </c>
      <c r="D94" s="157"/>
      <c r="E94" s="157"/>
      <c r="F94" s="568"/>
      <c r="G94" s="121" t="s">
        <v>688</v>
      </c>
      <c r="H94" s="157"/>
      <c r="I94" s="157"/>
      <c r="J94" s="568"/>
      <c r="K94" s="121" t="s">
        <v>688</v>
      </c>
      <c r="L94" s="157"/>
      <c r="M94" s="157"/>
      <c r="N94" s="568"/>
      <c r="O94" s="121" t="s">
        <v>688</v>
      </c>
      <c r="P94" s="157"/>
      <c r="Q94" s="157"/>
      <c r="R94" s="568"/>
      <c r="S94" s="121" t="s">
        <v>162</v>
      </c>
      <c r="T94" s="157"/>
      <c r="U94" s="157"/>
      <c r="V94" s="568"/>
      <c r="W94" s="121"/>
      <c r="X94" s="157"/>
      <c r="Y94" s="157"/>
      <c r="Z94" s="568"/>
      <c r="AA94" s="157"/>
      <c r="AB94" s="157"/>
      <c r="AC94" s="157"/>
      <c r="AD94" s="569"/>
      <c r="AE94" s="128">
        <v>32</v>
      </c>
      <c r="AF94" s="157"/>
      <c r="AG94" s="157"/>
      <c r="AH94" s="569"/>
      <c r="AI94" s="490"/>
    </row>
    <row r="95" spans="1:35" ht="21.95" customHeight="1">
      <c r="A95" s="1"/>
      <c r="B95" s="129" t="s">
        <v>170</v>
      </c>
      <c r="C95" s="121" t="s">
        <v>690</v>
      </c>
      <c r="D95" s="157"/>
      <c r="E95" s="157"/>
      <c r="F95" s="568"/>
      <c r="G95" s="121" t="s">
        <v>690</v>
      </c>
      <c r="H95" s="157"/>
      <c r="I95" s="157"/>
      <c r="J95" s="568"/>
      <c r="K95" s="121" t="s">
        <v>690</v>
      </c>
      <c r="L95" s="157"/>
      <c r="M95" s="157"/>
      <c r="N95" s="568"/>
      <c r="O95" s="121" t="s">
        <v>690</v>
      </c>
      <c r="P95" s="157"/>
      <c r="Q95" s="157"/>
      <c r="R95" s="568"/>
      <c r="S95" s="121" t="s">
        <v>690</v>
      </c>
      <c r="T95" s="157"/>
      <c r="U95" s="157"/>
      <c r="V95" s="568"/>
      <c r="W95" s="588" t="s">
        <v>689</v>
      </c>
      <c r="X95" s="135"/>
      <c r="Y95" s="135"/>
      <c r="Z95" s="584"/>
      <c r="AA95" s="583"/>
      <c r="AB95" s="135"/>
      <c r="AC95" s="135"/>
      <c r="AD95" s="585"/>
      <c r="AE95" s="128">
        <v>40</v>
      </c>
      <c r="AF95" s="157"/>
      <c r="AG95" s="157"/>
      <c r="AH95" s="569"/>
      <c r="AI95" s="490"/>
    </row>
    <row r="96" spans="1:35" ht="21.95" customHeight="1" thickBot="1">
      <c r="A96" s="1"/>
      <c r="B96" s="16" t="s">
        <v>173</v>
      </c>
      <c r="C96" s="57" t="s">
        <v>688</v>
      </c>
      <c r="D96" s="53"/>
      <c r="E96" s="53"/>
      <c r="F96" s="575"/>
      <c r="G96" s="57" t="s">
        <v>688</v>
      </c>
      <c r="H96" s="53"/>
      <c r="I96" s="53"/>
      <c r="J96" s="575"/>
      <c r="K96" s="57" t="s">
        <v>688</v>
      </c>
      <c r="L96" s="53"/>
      <c r="M96" s="53"/>
      <c r="N96" s="575"/>
      <c r="O96" s="57" t="s">
        <v>688</v>
      </c>
      <c r="P96" s="53"/>
      <c r="Q96" s="53"/>
      <c r="R96" s="575"/>
      <c r="S96" s="57" t="s">
        <v>691</v>
      </c>
      <c r="T96" s="53"/>
      <c r="U96" s="53"/>
      <c r="V96" s="577"/>
      <c r="W96" s="57"/>
      <c r="X96" s="577"/>
      <c r="Y96" s="53"/>
      <c r="Z96" s="575"/>
      <c r="AA96" s="57"/>
      <c r="AB96" s="577"/>
      <c r="AC96" s="53"/>
      <c r="AD96" s="575"/>
      <c r="AE96" s="586">
        <v>39</v>
      </c>
      <c r="AF96" s="53"/>
      <c r="AG96" s="53"/>
      <c r="AH96" s="577"/>
      <c r="AI96" s="539"/>
    </row>
    <row r="97" spans="1:35" ht="21.95" customHeight="1" thickBot="1">
      <c r="A97" s="578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>
      <c r="A98" s="556"/>
      <c r="B98" s="297" t="s">
        <v>480</v>
      </c>
      <c r="C98" s="1234">
        <v>1</v>
      </c>
      <c r="D98" s="1235">
        <v>2</v>
      </c>
      <c r="E98" s="1235">
        <v>3</v>
      </c>
      <c r="F98" s="1234">
        <v>4</v>
      </c>
      <c r="G98" s="1234">
        <v>5</v>
      </c>
      <c r="H98" s="1234">
        <v>6</v>
      </c>
      <c r="I98" s="1213">
        <v>7</v>
      </c>
      <c r="J98" s="1213">
        <v>8</v>
      </c>
      <c r="K98" s="1235">
        <v>9</v>
      </c>
      <c r="L98" s="1235">
        <v>10</v>
      </c>
      <c r="M98" s="1234">
        <v>11</v>
      </c>
      <c r="N98" s="1234">
        <v>12</v>
      </c>
      <c r="O98" s="1234">
        <v>13</v>
      </c>
      <c r="P98" s="1213">
        <v>14</v>
      </c>
      <c r="Q98" s="1213">
        <v>15</v>
      </c>
      <c r="R98" s="1235">
        <v>16</v>
      </c>
      <c r="S98" s="1235">
        <v>17</v>
      </c>
      <c r="T98" s="1234">
        <v>18</v>
      </c>
      <c r="U98" s="1234">
        <v>19</v>
      </c>
      <c r="V98" s="1213">
        <v>20</v>
      </c>
      <c r="W98" s="1213">
        <v>21</v>
      </c>
      <c r="X98" s="1213">
        <v>22</v>
      </c>
      <c r="Y98" s="1235">
        <v>23</v>
      </c>
      <c r="Z98" s="1235">
        <v>24</v>
      </c>
      <c r="AA98" s="1234">
        <v>25</v>
      </c>
      <c r="AB98" s="1234">
        <v>26</v>
      </c>
      <c r="AC98" s="1234">
        <v>27</v>
      </c>
      <c r="AD98" s="1213">
        <v>28</v>
      </c>
      <c r="AE98" s="1213">
        <v>29</v>
      </c>
      <c r="AF98" s="1235">
        <v>30</v>
      </c>
      <c r="AG98" s="1234"/>
      <c r="AH98" s="498" t="s">
        <v>481</v>
      </c>
      <c r="AI98" s="499" t="s">
        <v>482</v>
      </c>
    </row>
    <row r="99" spans="1:35" ht="21.95" customHeight="1">
      <c r="A99" s="579">
        <v>1</v>
      </c>
      <c r="B99" s="545" t="s">
        <v>692</v>
      </c>
      <c r="C99" s="1354" t="s">
        <v>694</v>
      </c>
      <c r="D99" s="1335">
        <v>1</v>
      </c>
      <c r="E99" s="1215"/>
      <c r="F99" s="1500">
        <v>2</v>
      </c>
      <c r="G99" s="1511">
        <v>2</v>
      </c>
      <c r="H99" s="1208">
        <v>2</v>
      </c>
      <c r="I99" s="1215">
        <v>2</v>
      </c>
      <c r="J99" s="1215" t="s">
        <v>487</v>
      </c>
      <c r="K99" s="1215"/>
      <c r="L99" s="1215"/>
      <c r="M99" s="1215">
        <v>3</v>
      </c>
      <c r="N99" s="1215">
        <v>3</v>
      </c>
      <c r="O99" s="1208">
        <v>3</v>
      </c>
      <c r="P99" s="1215">
        <v>3</v>
      </c>
      <c r="Q99" s="1215">
        <v>3</v>
      </c>
      <c r="R99" s="1215">
        <v>3</v>
      </c>
      <c r="S99" s="1215"/>
      <c r="T99" s="1354" t="s">
        <v>694</v>
      </c>
      <c r="U99" s="1215">
        <v>4</v>
      </c>
      <c r="V99" s="1208">
        <v>4</v>
      </c>
      <c r="W99" s="1215">
        <v>4</v>
      </c>
      <c r="X99" s="1346">
        <v>4</v>
      </c>
      <c r="Y99" s="1215"/>
      <c r="Z99" s="1215"/>
      <c r="AA99" s="1344" t="s">
        <v>487</v>
      </c>
      <c r="AB99" s="1215">
        <v>1</v>
      </c>
      <c r="AC99" s="1215">
        <v>1</v>
      </c>
      <c r="AD99" s="1215">
        <v>1</v>
      </c>
      <c r="AE99" s="1354" t="s">
        <v>694</v>
      </c>
      <c r="AF99" s="1215">
        <v>1</v>
      </c>
      <c r="AG99" s="1215"/>
      <c r="AH99" s="504">
        <v>185</v>
      </c>
      <c r="AI99" s="505">
        <v>37</v>
      </c>
    </row>
    <row r="100" spans="1:35" ht="21.95" customHeight="1">
      <c r="A100" s="579">
        <v>2</v>
      </c>
      <c r="B100" s="545"/>
      <c r="C100" s="1215" t="s">
        <v>487</v>
      </c>
      <c r="D100" s="1215"/>
      <c r="E100" s="1215"/>
      <c r="F100" s="1215">
        <v>3</v>
      </c>
      <c r="G100" s="1215">
        <v>3</v>
      </c>
      <c r="H100" s="1208">
        <v>3</v>
      </c>
      <c r="I100" s="1215">
        <v>3</v>
      </c>
      <c r="J100" s="1215">
        <v>3</v>
      </c>
      <c r="K100" s="1215">
        <v>3</v>
      </c>
      <c r="L100" s="1215"/>
      <c r="M100" s="1215">
        <v>4</v>
      </c>
      <c r="N100" s="1208">
        <v>4</v>
      </c>
      <c r="O100" s="1208">
        <v>4</v>
      </c>
      <c r="P100" s="1215">
        <v>4</v>
      </c>
      <c r="Q100" s="1215">
        <v>4</v>
      </c>
      <c r="R100" s="1215"/>
      <c r="S100" s="1215"/>
      <c r="T100" s="1215" t="s">
        <v>487</v>
      </c>
      <c r="U100" s="1215">
        <v>1</v>
      </c>
      <c r="V100" s="1208">
        <v>1</v>
      </c>
      <c r="W100" s="1215">
        <v>1</v>
      </c>
      <c r="X100" s="1215">
        <v>1</v>
      </c>
      <c r="Y100" s="1215">
        <v>1</v>
      </c>
      <c r="Z100" s="1215"/>
      <c r="AA100" s="1215">
        <v>2</v>
      </c>
      <c r="AB100" s="1208">
        <v>2</v>
      </c>
      <c r="AC100" s="1208">
        <v>2</v>
      </c>
      <c r="AD100" s="1215">
        <v>2</v>
      </c>
      <c r="AE100" s="1215" t="s">
        <v>487</v>
      </c>
      <c r="AF100" s="1215"/>
      <c r="AG100" s="1215"/>
      <c r="AH100" s="504">
        <v>185</v>
      </c>
      <c r="AI100" s="505">
        <v>37</v>
      </c>
    </row>
    <row r="101" spans="1:35" ht="21.95" customHeight="1">
      <c r="A101" s="579">
        <v>3</v>
      </c>
      <c r="B101" s="545"/>
      <c r="C101" s="1215">
        <v>3</v>
      </c>
      <c r="D101" s="1215">
        <v>3</v>
      </c>
      <c r="E101" s="1215"/>
      <c r="F101" s="1215">
        <v>4</v>
      </c>
      <c r="G101" s="1215">
        <v>4</v>
      </c>
      <c r="H101" s="1208">
        <v>4</v>
      </c>
      <c r="I101" s="1215">
        <v>4</v>
      </c>
      <c r="J101" s="1215">
        <v>4</v>
      </c>
      <c r="K101" s="1215"/>
      <c r="L101" s="1215"/>
      <c r="M101" s="1215" t="s">
        <v>487</v>
      </c>
      <c r="N101" s="1208">
        <v>1</v>
      </c>
      <c r="O101" s="1208">
        <v>1</v>
      </c>
      <c r="P101" s="1215">
        <v>1</v>
      </c>
      <c r="Q101" s="1215">
        <v>1</v>
      </c>
      <c r="R101" s="1215">
        <v>1</v>
      </c>
      <c r="S101" s="1215"/>
      <c r="T101" s="1215">
        <v>2</v>
      </c>
      <c r="U101" s="1215">
        <v>2</v>
      </c>
      <c r="V101" s="1208">
        <v>2</v>
      </c>
      <c r="W101" s="1215">
        <v>2</v>
      </c>
      <c r="X101" s="1215" t="s">
        <v>487</v>
      </c>
      <c r="Y101" s="1215"/>
      <c r="Z101" s="1215"/>
      <c r="AA101" s="1215">
        <v>3</v>
      </c>
      <c r="AB101" s="1208">
        <v>3</v>
      </c>
      <c r="AC101" s="1208">
        <v>3</v>
      </c>
      <c r="AD101" s="1215">
        <v>3</v>
      </c>
      <c r="AE101" s="1215">
        <v>3</v>
      </c>
      <c r="AF101" s="1215">
        <v>3</v>
      </c>
      <c r="AG101" s="1215"/>
      <c r="AH101" s="504">
        <v>185</v>
      </c>
      <c r="AI101" s="505">
        <v>37</v>
      </c>
    </row>
    <row r="102" spans="1:35" ht="21.95" customHeight="1">
      <c r="A102" s="579">
        <v>4</v>
      </c>
      <c r="B102" s="545" t="s">
        <v>412</v>
      </c>
      <c r="C102" s="1365">
        <v>4</v>
      </c>
      <c r="D102" s="1208"/>
      <c r="E102" s="1208"/>
      <c r="F102" s="1208" t="s">
        <v>487</v>
      </c>
      <c r="G102" s="1208">
        <v>1</v>
      </c>
      <c r="H102" s="1208">
        <v>1</v>
      </c>
      <c r="I102" s="1215">
        <v>1</v>
      </c>
      <c r="J102" s="1215">
        <v>1</v>
      </c>
      <c r="K102" s="1215">
        <v>1</v>
      </c>
      <c r="L102" s="1215"/>
      <c r="M102" s="1215">
        <v>2</v>
      </c>
      <c r="N102" s="1215">
        <v>2</v>
      </c>
      <c r="O102" s="1208">
        <v>2</v>
      </c>
      <c r="P102" s="1215">
        <v>2</v>
      </c>
      <c r="Q102" s="1215" t="s">
        <v>487</v>
      </c>
      <c r="R102" s="1215"/>
      <c r="S102" s="1215"/>
      <c r="T102" s="1392">
        <v>3</v>
      </c>
      <c r="U102" s="1439">
        <v>3</v>
      </c>
      <c r="V102" s="1439">
        <v>3</v>
      </c>
      <c r="W102" s="1392" t="s">
        <v>777</v>
      </c>
      <c r="X102" s="1215">
        <v>3</v>
      </c>
      <c r="Y102" s="1215">
        <v>3</v>
      </c>
      <c r="Z102" s="1215"/>
      <c r="AA102" s="1215">
        <v>4</v>
      </c>
      <c r="AB102" s="1215">
        <v>4</v>
      </c>
      <c r="AC102" s="1208">
        <v>4</v>
      </c>
      <c r="AD102" s="1208">
        <v>4</v>
      </c>
      <c r="AE102" s="1208">
        <v>4</v>
      </c>
      <c r="AF102" s="1208"/>
      <c r="AG102" s="1208"/>
      <c r="AH102" s="504">
        <v>185</v>
      </c>
      <c r="AI102" s="505">
        <v>37</v>
      </c>
    </row>
    <row r="103" spans="1:35" ht="21.95" customHeight="1">
      <c r="A103" s="580"/>
      <c r="B103" s="587"/>
      <c r="C103" s="559"/>
      <c r="D103" s="541"/>
      <c r="E103" s="541"/>
      <c r="F103" s="541"/>
      <c r="G103" s="541"/>
      <c r="H103" s="541"/>
      <c r="I103" s="559"/>
      <c r="J103" s="559"/>
      <c r="K103" s="541"/>
      <c r="L103" s="541"/>
      <c r="M103" s="541"/>
      <c r="N103" s="541"/>
      <c r="O103" s="541"/>
      <c r="P103" s="541"/>
      <c r="Q103" s="559"/>
      <c r="R103" s="541"/>
      <c r="S103" s="1315"/>
      <c r="T103" s="1315"/>
      <c r="U103" s="1315"/>
      <c r="V103" s="1315"/>
      <c r="W103" s="559"/>
      <c r="X103" s="559"/>
      <c r="Y103" s="541"/>
      <c r="Z103" s="541"/>
      <c r="AA103" s="541"/>
      <c r="AB103" s="541"/>
      <c r="AC103" s="541"/>
      <c r="AD103" s="541"/>
      <c r="AE103" s="559"/>
      <c r="AF103" s="541"/>
      <c r="AG103" s="541"/>
      <c r="AH103" s="560"/>
      <c r="AI103" s="560"/>
    </row>
    <row r="104" spans="1:35" ht="21.95" customHeight="1" thickBot="1">
      <c r="A104" s="1303" t="s">
        <v>695</v>
      </c>
      <c r="B104" s="541"/>
      <c r="C104" s="559"/>
      <c r="D104" s="541"/>
      <c r="E104" s="541"/>
      <c r="F104" s="541"/>
      <c r="G104" s="541"/>
      <c r="H104" s="541"/>
      <c r="I104" s="559"/>
      <c r="J104" s="559"/>
      <c r="K104" s="541"/>
      <c r="L104" s="541"/>
      <c r="M104" s="541"/>
      <c r="N104" s="541"/>
      <c r="O104" s="541"/>
      <c r="P104" s="541"/>
      <c r="Q104" s="559"/>
      <c r="R104" s="541"/>
      <c r="S104" s="541"/>
      <c r="T104" s="541"/>
      <c r="U104" s="541"/>
      <c r="V104" s="541"/>
      <c r="W104" s="559"/>
      <c r="X104" s="559"/>
      <c r="Y104" s="541"/>
      <c r="Z104" s="541"/>
      <c r="AA104" s="541"/>
      <c r="AB104" s="541"/>
      <c r="AC104" s="541"/>
      <c r="AD104" s="541"/>
      <c r="AE104" s="559"/>
      <c r="AF104" s="541"/>
      <c r="AG104" s="541"/>
      <c r="AH104" s="560"/>
      <c r="AI104" s="560"/>
    </row>
    <row r="105" spans="1:35" ht="21.95" customHeight="1">
      <c r="A105" s="580"/>
      <c r="B105" s="1304" t="s">
        <v>696</v>
      </c>
      <c r="C105" s="1312"/>
      <c r="D105" s="1305" t="s">
        <v>2</v>
      </c>
      <c r="E105" s="1306"/>
      <c r="F105" s="1307"/>
      <c r="G105" s="1308"/>
      <c r="H105" s="1305" t="s">
        <v>3</v>
      </c>
      <c r="I105" s="1306"/>
      <c r="J105" s="1307"/>
      <c r="K105" s="1308"/>
      <c r="L105" s="1305" t="s">
        <v>4</v>
      </c>
      <c r="M105" s="1306"/>
      <c r="N105" s="1307"/>
      <c r="O105" s="1308"/>
      <c r="P105" s="1305" t="s">
        <v>5</v>
      </c>
      <c r="Q105" s="1306"/>
      <c r="R105" s="1307"/>
      <c r="S105" s="1308"/>
      <c r="T105" s="1305" t="s">
        <v>6</v>
      </c>
      <c r="U105" s="1306"/>
      <c r="V105" s="1307"/>
      <c r="W105" s="1308"/>
      <c r="X105" s="1305" t="s">
        <v>7</v>
      </c>
      <c r="Y105" s="1306"/>
      <c r="Z105" s="1307"/>
      <c r="AA105" s="1308"/>
      <c r="AB105" s="1305" t="s">
        <v>8</v>
      </c>
      <c r="AC105" s="1306"/>
      <c r="AD105" s="1306"/>
      <c r="AE105" s="1309" t="s">
        <v>10</v>
      </c>
      <c r="AF105" s="1306"/>
      <c r="AG105" s="1306"/>
      <c r="AH105" s="1306"/>
      <c r="AI105" s="1310"/>
    </row>
    <row r="106" spans="1:35" ht="21.95" customHeight="1">
      <c r="A106" s="580"/>
      <c r="B106" s="1332" t="s">
        <v>697</v>
      </c>
      <c r="C106" s="1313" t="s">
        <v>698</v>
      </c>
      <c r="D106" s="1331" t="s">
        <v>699</v>
      </c>
      <c r="E106" s="1314"/>
      <c r="F106" s="1311"/>
      <c r="G106" s="1313"/>
      <c r="H106" s="1331" t="s">
        <v>699</v>
      </c>
      <c r="I106" s="1314"/>
      <c r="J106" s="1311"/>
      <c r="K106" s="1313"/>
      <c r="L106" s="1331" t="s">
        <v>699</v>
      </c>
      <c r="M106" s="1314"/>
      <c r="N106" s="1311"/>
      <c r="O106" s="1313"/>
      <c r="P106" s="1331" t="s">
        <v>700</v>
      </c>
      <c r="Q106" s="1314"/>
      <c r="R106" s="1311"/>
      <c r="S106" s="1313"/>
      <c r="T106" s="1331" t="s">
        <v>701</v>
      </c>
      <c r="U106" s="1314"/>
      <c r="V106" s="1311"/>
      <c r="W106" s="1313"/>
      <c r="X106" s="1314"/>
      <c r="Y106" s="1314"/>
      <c r="Z106" s="1311"/>
      <c r="AA106" s="1313"/>
      <c r="AB106" s="1314"/>
      <c r="AC106" s="1314"/>
      <c r="AD106" s="1314"/>
      <c r="AE106" s="1313"/>
      <c r="AF106" s="1314"/>
      <c r="AG106" s="1314"/>
      <c r="AH106" s="1316"/>
      <c r="AI106" s="1317"/>
    </row>
    <row r="107" spans="1:35" ht="21.95" customHeight="1">
      <c r="A107" s="580"/>
      <c r="B107" s="1333" t="s">
        <v>702</v>
      </c>
      <c r="C107" s="1313" t="s">
        <v>683</v>
      </c>
      <c r="D107" s="1331" t="s">
        <v>699</v>
      </c>
      <c r="E107" s="1314"/>
      <c r="F107" s="1311"/>
      <c r="G107" s="1313"/>
      <c r="H107" s="1331" t="s">
        <v>699</v>
      </c>
      <c r="I107" s="1314"/>
      <c r="J107" s="1311"/>
      <c r="K107" s="1313"/>
      <c r="L107" s="1331" t="s">
        <v>699</v>
      </c>
      <c r="M107" s="1314"/>
      <c r="N107" s="1311"/>
      <c r="O107" s="1313"/>
      <c r="P107" s="1331" t="s">
        <v>700</v>
      </c>
      <c r="Q107" s="1314"/>
      <c r="R107" s="1311"/>
      <c r="S107" s="1313"/>
      <c r="T107" s="1331" t="s">
        <v>701</v>
      </c>
      <c r="U107" s="1314"/>
      <c r="V107" s="1311"/>
      <c r="W107" s="1313"/>
      <c r="X107" s="1314"/>
      <c r="Y107" s="1314"/>
      <c r="Z107" s="1311"/>
      <c r="AA107" s="1313"/>
      <c r="AB107" s="1314"/>
      <c r="AC107" s="1314"/>
      <c r="AD107" s="1314"/>
      <c r="AE107" s="1313"/>
      <c r="AF107" s="1314"/>
      <c r="AG107" s="1314"/>
      <c r="AH107" s="1316"/>
      <c r="AI107" s="1317"/>
    </row>
    <row r="108" spans="1:35" ht="21.95" customHeight="1">
      <c r="A108" s="580"/>
      <c r="B108" s="1333" t="s">
        <v>703</v>
      </c>
      <c r="C108" s="1313" t="s">
        <v>547</v>
      </c>
      <c r="D108" s="1331" t="s">
        <v>699</v>
      </c>
      <c r="E108" s="1314"/>
      <c r="F108" s="1311"/>
      <c r="G108" s="1313"/>
      <c r="H108" s="1331" t="s">
        <v>699</v>
      </c>
      <c r="I108" s="1314"/>
      <c r="J108" s="1311"/>
      <c r="K108" s="1313"/>
      <c r="L108" s="1331" t="s">
        <v>699</v>
      </c>
      <c r="M108" s="1314"/>
      <c r="N108" s="1311"/>
      <c r="O108" s="1313"/>
      <c r="P108" s="1331" t="s">
        <v>700</v>
      </c>
      <c r="Q108" s="1314"/>
      <c r="R108" s="1311"/>
      <c r="S108" s="1313"/>
      <c r="T108" s="1331" t="s">
        <v>701</v>
      </c>
      <c r="U108" s="1314"/>
      <c r="V108" s="1311"/>
      <c r="W108" s="1313"/>
      <c r="X108" s="1314"/>
      <c r="Y108" s="1314"/>
      <c r="Z108" s="1311"/>
      <c r="AA108" s="1313"/>
      <c r="AB108" s="1314"/>
      <c r="AC108" s="1314"/>
      <c r="AD108" s="1314"/>
      <c r="AE108" s="1313"/>
      <c r="AF108" s="1314"/>
      <c r="AG108" s="1314"/>
      <c r="AH108" s="1316"/>
      <c r="AI108" s="1317"/>
    </row>
    <row r="109" spans="1:35" ht="21.95" customHeight="1">
      <c r="A109" s="580"/>
      <c r="B109" s="1333" t="s">
        <v>704</v>
      </c>
      <c r="C109" s="1313" t="s">
        <v>685</v>
      </c>
      <c r="D109" s="1331" t="s">
        <v>699</v>
      </c>
      <c r="E109" s="1314"/>
      <c r="F109" s="1311"/>
      <c r="G109" s="1313"/>
      <c r="H109" s="1331" t="s">
        <v>699</v>
      </c>
      <c r="I109" s="1314"/>
      <c r="J109" s="1311"/>
      <c r="K109" s="1313"/>
      <c r="L109" s="1331" t="s">
        <v>699</v>
      </c>
      <c r="M109" s="1314"/>
      <c r="N109" s="1311"/>
      <c r="O109" s="1313"/>
      <c r="P109" s="1331" t="s">
        <v>700</v>
      </c>
      <c r="Q109" s="1314"/>
      <c r="R109" s="1311"/>
      <c r="S109" s="1313"/>
      <c r="T109" s="1331" t="s">
        <v>701</v>
      </c>
      <c r="U109" s="1314"/>
      <c r="V109" s="1311"/>
      <c r="W109" s="1313"/>
      <c r="X109" s="1314"/>
      <c r="Y109" s="1314"/>
      <c r="Z109" s="1311"/>
      <c r="AA109" s="1313"/>
      <c r="AB109" s="1314"/>
      <c r="AC109" s="1314"/>
      <c r="AD109" s="1314"/>
      <c r="AE109" s="1313"/>
      <c r="AF109" s="1314"/>
      <c r="AG109" s="1314"/>
      <c r="AH109" s="1316"/>
      <c r="AI109" s="1317"/>
    </row>
    <row r="110" spans="1:35" ht="21.95" customHeight="1">
      <c r="A110" s="580"/>
      <c r="B110" s="1333" t="s">
        <v>705</v>
      </c>
      <c r="C110" s="1313" t="s">
        <v>684</v>
      </c>
      <c r="D110" s="1331" t="s">
        <v>699</v>
      </c>
      <c r="E110" s="1314"/>
      <c r="F110" s="1311"/>
      <c r="G110" s="1313"/>
      <c r="H110" s="1331" t="s">
        <v>699</v>
      </c>
      <c r="I110" s="1314"/>
      <c r="J110" s="1311"/>
      <c r="K110" s="1313"/>
      <c r="L110" s="1331" t="s">
        <v>699</v>
      </c>
      <c r="M110" s="1314"/>
      <c r="N110" s="1311"/>
      <c r="O110" s="1313"/>
      <c r="P110" s="1331" t="s">
        <v>700</v>
      </c>
      <c r="Q110" s="1314"/>
      <c r="R110" s="1311"/>
      <c r="S110" s="1313"/>
      <c r="T110" s="1331" t="s">
        <v>701</v>
      </c>
      <c r="U110" s="1314"/>
      <c r="V110" s="1311"/>
      <c r="W110" s="1313"/>
      <c r="X110" s="1314"/>
      <c r="Y110" s="1314"/>
      <c r="Z110" s="1311"/>
      <c r="AA110" s="1313"/>
      <c r="AB110" s="1314"/>
      <c r="AC110" s="1314"/>
      <c r="AD110" s="1314"/>
      <c r="AE110" s="1313"/>
      <c r="AF110" s="1314"/>
      <c r="AG110" s="1314"/>
      <c r="AH110" s="1316"/>
      <c r="AI110" s="1317"/>
    </row>
    <row r="111" spans="1:35" ht="21.95" customHeight="1">
      <c r="A111" s="580"/>
      <c r="B111" s="1333" t="s">
        <v>706</v>
      </c>
      <c r="C111" s="1313" t="s">
        <v>539</v>
      </c>
      <c r="D111" s="1331" t="s">
        <v>699</v>
      </c>
      <c r="E111" s="1314"/>
      <c r="F111" s="1311"/>
      <c r="G111" s="1313"/>
      <c r="H111" s="1331" t="s">
        <v>699</v>
      </c>
      <c r="I111" s="1314"/>
      <c r="J111" s="1311"/>
      <c r="K111" s="1313"/>
      <c r="L111" s="1331" t="s">
        <v>699</v>
      </c>
      <c r="M111" s="1314"/>
      <c r="N111" s="1311"/>
      <c r="O111" s="1313"/>
      <c r="P111" s="1331" t="s">
        <v>700</v>
      </c>
      <c r="Q111" s="1314"/>
      <c r="R111" s="1311"/>
      <c r="S111" s="1313"/>
      <c r="T111" s="1331" t="s">
        <v>701</v>
      </c>
      <c r="U111" s="1314"/>
      <c r="V111" s="1311"/>
      <c r="W111" s="1313"/>
      <c r="X111" s="1314"/>
      <c r="Y111" s="1314"/>
      <c r="Z111" s="1311"/>
      <c r="AA111" s="1313"/>
      <c r="AB111" s="1314"/>
      <c r="AC111" s="1314"/>
      <c r="AD111" s="1314"/>
      <c r="AE111" s="1313"/>
      <c r="AF111" s="1314"/>
      <c r="AG111" s="1314"/>
      <c r="AH111" s="1316"/>
      <c r="AI111" s="1317"/>
    </row>
    <row r="112" spans="1:35" ht="21.95" customHeight="1">
      <c r="A112" s="580"/>
      <c r="B112" s="1333" t="s">
        <v>707</v>
      </c>
      <c r="C112" s="1313" t="s">
        <v>540</v>
      </c>
      <c r="D112" s="1331" t="s">
        <v>699</v>
      </c>
      <c r="E112" s="1314"/>
      <c r="F112" s="1311"/>
      <c r="G112" s="1313"/>
      <c r="H112" s="1331" t="s">
        <v>699</v>
      </c>
      <c r="I112" s="1314"/>
      <c r="J112" s="1311"/>
      <c r="K112" s="1313"/>
      <c r="L112" s="1331" t="s">
        <v>699</v>
      </c>
      <c r="M112" s="1314"/>
      <c r="N112" s="1311"/>
      <c r="O112" s="1313"/>
      <c r="P112" s="1331" t="s">
        <v>700</v>
      </c>
      <c r="Q112" s="1314"/>
      <c r="R112" s="1311"/>
      <c r="S112" s="1313"/>
      <c r="T112" s="1331" t="s">
        <v>701</v>
      </c>
      <c r="U112" s="1314"/>
      <c r="V112" s="1311"/>
      <c r="W112" s="1313"/>
      <c r="X112" s="1314"/>
      <c r="Y112" s="1314"/>
      <c r="Z112" s="1311"/>
      <c r="AA112" s="1313"/>
      <c r="AB112" s="1314"/>
      <c r="AC112" s="1314"/>
      <c r="AD112" s="1314"/>
      <c r="AE112" s="1313"/>
      <c r="AF112" s="1314"/>
      <c r="AG112" s="1314"/>
      <c r="AH112" s="1316"/>
      <c r="AI112" s="1317"/>
    </row>
    <row r="113" spans="1:35" ht="21.95" customHeight="1">
      <c r="A113" s="580"/>
      <c r="B113" s="1333" t="s">
        <v>707</v>
      </c>
      <c r="C113" s="1313" t="s">
        <v>708</v>
      </c>
      <c r="D113" s="1331" t="s">
        <v>699</v>
      </c>
      <c r="E113" s="1314"/>
      <c r="F113" s="1311"/>
      <c r="G113" s="1313"/>
      <c r="H113" s="1331" t="s">
        <v>699</v>
      </c>
      <c r="I113" s="1314"/>
      <c r="J113" s="1311"/>
      <c r="K113" s="1313"/>
      <c r="L113" s="1331" t="s">
        <v>699</v>
      </c>
      <c r="M113" s="1314"/>
      <c r="N113" s="1311"/>
      <c r="O113" s="1313"/>
      <c r="P113" s="1331" t="s">
        <v>700</v>
      </c>
      <c r="Q113" s="1314"/>
      <c r="R113" s="1311"/>
      <c r="S113" s="1313"/>
      <c r="T113" s="1331" t="s">
        <v>701</v>
      </c>
      <c r="U113" s="1314"/>
      <c r="V113" s="1311"/>
      <c r="W113" s="1313"/>
      <c r="X113" s="1314"/>
      <c r="Y113" s="1314"/>
      <c r="Z113" s="1311"/>
      <c r="AA113" s="1313"/>
      <c r="AB113" s="1314"/>
      <c r="AC113" s="1314"/>
      <c r="AD113" s="1314"/>
      <c r="AE113" s="1313"/>
      <c r="AF113" s="1314"/>
      <c r="AG113" s="1314"/>
      <c r="AH113" s="1316"/>
      <c r="AI113" s="1317"/>
    </row>
    <row r="114" spans="1:35" ht="21.95" customHeight="1">
      <c r="A114" s="580"/>
      <c r="B114" s="1333" t="s">
        <v>709</v>
      </c>
      <c r="C114" s="1313" t="s">
        <v>538</v>
      </c>
      <c r="D114" s="1331" t="s">
        <v>699</v>
      </c>
      <c r="E114" s="1314"/>
      <c r="F114" s="1311"/>
      <c r="G114" s="1313"/>
      <c r="H114" s="1331" t="s">
        <v>699</v>
      </c>
      <c r="I114" s="1314"/>
      <c r="J114" s="1311"/>
      <c r="K114" s="1313"/>
      <c r="L114" s="1331" t="s">
        <v>699</v>
      </c>
      <c r="M114" s="1314"/>
      <c r="N114" s="1311"/>
      <c r="O114" s="1313"/>
      <c r="P114" s="1331" t="s">
        <v>700</v>
      </c>
      <c r="Q114" s="1314"/>
      <c r="R114" s="1311"/>
      <c r="S114" s="1313"/>
      <c r="T114" s="1331" t="s">
        <v>701</v>
      </c>
      <c r="U114" s="1314"/>
      <c r="V114" s="1311"/>
      <c r="W114" s="1313"/>
      <c r="X114" s="1314"/>
      <c r="Y114" s="1314"/>
      <c r="Z114" s="1311"/>
      <c r="AA114" s="1313"/>
      <c r="AB114" s="1314"/>
      <c r="AC114" s="1314"/>
      <c r="AD114" s="1314"/>
      <c r="AE114" s="1313"/>
      <c r="AF114" s="1314"/>
      <c r="AG114" s="1314"/>
      <c r="AH114" s="1316"/>
      <c r="AI114" s="1317"/>
    </row>
    <row r="115" spans="1:35" ht="21.95" customHeight="1">
      <c r="A115" s="580"/>
      <c r="B115" s="1333" t="s">
        <v>710</v>
      </c>
      <c r="C115" s="1313" t="s">
        <v>711</v>
      </c>
      <c r="D115" s="1331" t="s">
        <v>699</v>
      </c>
      <c r="E115" s="1314"/>
      <c r="F115" s="1311"/>
      <c r="G115" s="1313"/>
      <c r="H115" s="1331" t="s">
        <v>699</v>
      </c>
      <c r="I115" s="1314"/>
      <c r="J115" s="1311"/>
      <c r="K115" s="1313"/>
      <c r="L115" s="1331" t="s">
        <v>699</v>
      </c>
      <c r="M115" s="1314"/>
      <c r="N115" s="1311"/>
      <c r="O115" s="1313"/>
      <c r="P115" s="1331" t="s">
        <v>700</v>
      </c>
      <c r="Q115" s="1314"/>
      <c r="R115" s="1311"/>
      <c r="S115" s="1313"/>
      <c r="T115" s="1331" t="s">
        <v>701</v>
      </c>
      <c r="U115" s="1314"/>
      <c r="V115" s="1311"/>
      <c r="W115" s="1313"/>
      <c r="X115" s="1314"/>
      <c r="Y115" s="1314"/>
      <c r="Z115" s="1311"/>
      <c r="AA115" s="1313"/>
      <c r="AB115" s="1314"/>
      <c r="AC115" s="1314"/>
      <c r="AD115" s="1314"/>
      <c r="AE115" s="1313"/>
      <c r="AF115" s="1314"/>
      <c r="AG115" s="1314"/>
      <c r="AH115" s="1316"/>
      <c r="AI115" s="1317"/>
    </row>
    <row r="116" spans="1:35" ht="21.95" customHeight="1">
      <c r="A116" s="580"/>
      <c r="B116" s="1333" t="s">
        <v>712</v>
      </c>
      <c r="C116" s="1313" t="s">
        <v>544</v>
      </c>
      <c r="D116" s="1331" t="s">
        <v>699</v>
      </c>
      <c r="E116" s="1314"/>
      <c r="F116" s="1311"/>
      <c r="G116" s="1313"/>
      <c r="H116" s="1331" t="s">
        <v>699</v>
      </c>
      <c r="I116" s="1314"/>
      <c r="J116" s="1311"/>
      <c r="K116" s="1313"/>
      <c r="L116" s="1331" t="s">
        <v>699</v>
      </c>
      <c r="M116" s="1314"/>
      <c r="N116" s="1311"/>
      <c r="O116" s="1313"/>
      <c r="P116" s="1331" t="s">
        <v>700</v>
      </c>
      <c r="Q116" s="1314"/>
      <c r="R116" s="1311"/>
      <c r="S116" s="1313"/>
      <c r="T116" s="1331" t="s">
        <v>701</v>
      </c>
      <c r="U116" s="1314"/>
      <c r="V116" s="1311"/>
      <c r="W116" s="1313"/>
      <c r="X116" s="1314"/>
      <c r="Y116" s="1314"/>
      <c r="Z116" s="1311"/>
      <c r="AA116" s="1313"/>
      <c r="AB116" s="1314"/>
      <c r="AC116" s="1314"/>
      <c r="AD116" s="1314"/>
      <c r="AE116" s="1313"/>
      <c r="AF116" s="1314"/>
      <c r="AG116" s="1314"/>
      <c r="AH116" s="1316"/>
      <c r="AI116" s="1317"/>
    </row>
    <row r="117" spans="1:35" ht="21.95" customHeight="1" thickBot="1">
      <c r="A117" s="580"/>
      <c r="B117" s="587"/>
      <c r="C117" s="559"/>
      <c r="D117" s="541"/>
      <c r="E117" s="541"/>
      <c r="F117" s="541"/>
      <c r="G117" s="541"/>
      <c r="H117" s="541"/>
      <c r="I117" s="559"/>
      <c r="J117" s="559"/>
      <c r="K117" s="541"/>
      <c r="L117" s="541"/>
      <c r="M117" s="541"/>
      <c r="N117" s="541"/>
      <c r="O117" s="541"/>
      <c r="P117" s="541"/>
      <c r="Q117" s="559"/>
      <c r="R117" s="541"/>
      <c r="S117" s="541"/>
      <c r="T117" s="541"/>
      <c r="U117" s="541"/>
      <c r="V117" s="541"/>
      <c r="W117" s="559"/>
      <c r="X117" s="559"/>
      <c r="Y117" s="541"/>
      <c r="Z117" s="541"/>
      <c r="AA117" s="541"/>
      <c r="AB117" s="541"/>
      <c r="AC117" s="541"/>
      <c r="AD117" s="541"/>
      <c r="AE117" s="559"/>
      <c r="AF117" s="541"/>
      <c r="AG117" s="541"/>
      <c r="AH117" s="560"/>
      <c r="AI117" s="560"/>
    </row>
    <row r="118" spans="1:35" ht="21.95" customHeight="1">
      <c r="A118" s="1232"/>
      <c r="B118" s="1298" t="s">
        <v>480</v>
      </c>
      <c r="C118" s="1234">
        <v>1</v>
      </c>
      <c r="D118" s="1235">
        <v>2</v>
      </c>
      <c r="E118" s="1235">
        <v>3</v>
      </c>
      <c r="F118" s="1234">
        <v>4</v>
      </c>
      <c r="G118" s="1234">
        <v>5</v>
      </c>
      <c r="H118" s="1234">
        <v>6</v>
      </c>
      <c r="I118" s="1213">
        <v>7</v>
      </c>
      <c r="J118" s="1213">
        <v>8</v>
      </c>
      <c r="K118" s="1235">
        <v>9</v>
      </c>
      <c r="L118" s="1235">
        <v>10</v>
      </c>
      <c r="M118" s="1234">
        <v>11</v>
      </c>
      <c r="N118" s="1234">
        <v>12</v>
      </c>
      <c r="O118" s="1234">
        <v>13</v>
      </c>
      <c r="P118" s="1213">
        <v>14</v>
      </c>
      <c r="Q118" s="1213">
        <v>15</v>
      </c>
      <c r="R118" s="1235">
        <v>16</v>
      </c>
      <c r="S118" s="1235">
        <v>17</v>
      </c>
      <c r="T118" s="1234">
        <v>18</v>
      </c>
      <c r="U118" s="1234">
        <v>19</v>
      </c>
      <c r="V118" s="1213">
        <v>20</v>
      </c>
      <c r="W118" s="1213">
        <v>21</v>
      </c>
      <c r="X118" s="1213">
        <v>22</v>
      </c>
      <c r="Y118" s="1235">
        <v>23</v>
      </c>
      <c r="Z118" s="1235">
        <v>24</v>
      </c>
      <c r="AA118" s="1234">
        <v>25</v>
      </c>
      <c r="AB118" s="1234">
        <v>26</v>
      </c>
      <c r="AC118" s="1234">
        <v>27</v>
      </c>
      <c r="AD118" s="1213">
        <v>28</v>
      </c>
      <c r="AE118" s="1213">
        <v>29</v>
      </c>
      <c r="AF118" s="1235">
        <v>30</v>
      </c>
      <c r="AG118" s="1234"/>
      <c r="AH118" s="1301" t="s">
        <v>481</v>
      </c>
      <c r="AI118" s="1302" t="s">
        <v>482</v>
      </c>
    </row>
    <row r="119" spans="1:35" ht="21.95" customHeight="1">
      <c r="A119" s="580"/>
      <c r="B119" s="1299" t="s">
        <v>713</v>
      </c>
      <c r="C119" s="1313" t="s">
        <v>698</v>
      </c>
      <c r="D119" s="1313"/>
      <c r="E119" s="1313"/>
      <c r="F119" s="1313" t="s">
        <v>698</v>
      </c>
      <c r="G119" s="1313" t="s">
        <v>698</v>
      </c>
      <c r="H119" s="1313" t="s">
        <v>698</v>
      </c>
      <c r="I119" s="1313" t="s">
        <v>698</v>
      </c>
      <c r="J119" s="1313" t="s">
        <v>698</v>
      </c>
      <c r="K119" s="1313"/>
      <c r="L119" s="1313"/>
      <c r="M119" s="1313" t="s">
        <v>698</v>
      </c>
      <c r="N119" s="1313" t="s">
        <v>698</v>
      </c>
      <c r="O119" s="1313" t="s">
        <v>698</v>
      </c>
      <c r="P119" s="1313" t="s">
        <v>698</v>
      </c>
      <c r="Q119" s="1313" t="s">
        <v>698</v>
      </c>
      <c r="R119" s="1313"/>
      <c r="S119" s="1313"/>
      <c r="T119" s="1313" t="s">
        <v>698</v>
      </c>
      <c r="U119" s="1313" t="s">
        <v>698</v>
      </c>
      <c r="V119" s="1313" t="s">
        <v>698</v>
      </c>
      <c r="W119" s="1313" t="s">
        <v>698</v>
      </c>
      <c r="X119" s="1313" t="s">
        <v>698</v>
      </c>
      <c r="Y119" s="1313"/>
      <c r="Z119" s="1313"/>
      <c r="AA119" s="1313" t="s">
        <v>698</v>
      </c>
      <c r="AB119" s="1313" t="s">
        <v>698</v>
      </c>
      <c r="AC119" s="1313" t="s">
        <v>698</v>
      </c>
      <c r="AD119" s="1313" t="s">
        <v>698</v>
      </c>
      <c r="AE119" s="1313" t="s">
        <v>698</v>
      </c>
      <c r="AF119" s="1313"/>
      <c r="AG119" s="1313"/>
      <c r="AH119" s="504">
        <v>185</v>
      </c>
      <c r="AI119" s="505">
        <v>37</v>
      </c>
    </row>
    <row r="120" spans="1:35" ht="21.95" customHeight="1">
      <c r="A120" s="580"/>
      <c r="B120" s="1299" t="s">
        <v>714</v>
      </c>
      <c r="C120" s="1313" t="s">
        <v>698</v>
      </c>
      <c r="D120" s="1313"/>
      <c r="E120" s="1313"/>
      <c r="F120" s="1313" t="s">
        <v>698</v>
      </c>
      <c r="G120" s="1313" t="s">
        <v>698</v>
      </c>
      <c r="H120" s="1313" t="s">
        <v>698</v>
      </c>
      <c r="I120" s="1313" t="s">
        <v>698</v>
      </c>
      <c r="J120" s="1313" t="s">
        <v>698</v>
      </c>
      <c r="K120" s="1313"/>
      <c r="L120" s="1313"/>
      <c r="M120" s="1313" t="s">
        <v>698</v>
      </c>
      <c r="N120" s="1313" t="s">
        <v>698</v>
      </c>
      <c r="O120" s="1313" t="s">
        <v>698</v>
      </c>
      <c r="P120" s="1313" t="s">
        <v>698</v>
      </c>
      <c r="Q120" s="1313" t="s">
        <v>698</v>
      </c>
      <c r="R120" s="1313"/>
      <c r="S120" s="1313"/>
      <c r="T120" s="1215" t="s">
        <v>698</v>
      </c>
      <c r="U120" s="1215" t="s">
        <v>698</v>
      </c>
      <c r="V120" s="1313" t="s">
        <v>698</v>
      </c>
      <c r="W120" s="1313" t="s">
        <v>698</v>
      </c>
      <c r="X120" s="1313" t="s">
        <v>698</v>
      </c>
      <c r="Y120" s="1313"/>
      <c r="Z120" s="1313"/>
      <c r="AA120" s="1313" t="s">
        <v>698</v>
      </c>
      <c r="AB120" s="1313" t="s">
        <v>698</v>
      </c>
      <c r="AC120" s="1313" t="s">
        <v>698</v>
      </c>
      <c r="AD120" s="1363" t="s">
        <v>698</v>
      </c>
      <c r="AE120" s="1354" t="s">
        <v>694</v>
      </c>
      <c r="AF120" s="1313"/>
      <c r="AG120" s="1313"/>
      <c r="AH120" s="504">
        <v>185</v>
      </c>
      <c r="AI120" s="505">
        <v>37</v>
      </c>
    </row>
    <row r="121" spans="1:35" ht="21.95" customHeight="1">
      <c r="A121" s="580"/>
      <c r="B121" s="1299" t="s">
        <v>715</v>
      </c>
      <c r="C121" s="1313" t="s">
        <v>683</v>
      </c>
      <c r="D121" s="1313"/>
      <c r="E121" s="1313"/>
      <c r="F121" s="1379" t="s">
        <v>683</v>
      </c>
      <c r="G121" s="1379" t="s">
        <v>683</v>
      </c>
      <c r="H121" s="1379" t="s">
        <v>683</v>
      </c>
      <c r="I121" s="1379" t="s">
        <v>683</v>
      </c>
      <c r="J121" s="1379" t="s">
        <v>683</v>
      </c>
      <c r="K121" s="1379"/>
      <c r="L121" s="1379"/>
      <c r="M121" s="1379" t="s">
        <v>683</v>
      </c>
      <c r="N121" s="1379" t="s">
        <v>683</v>
      </c>
      <c r="O121" s="1446" t="s">
        <v>683</v>
      </c>
      <c r="P121" s="1446" t="s">
        <v>683</v>
      </c>
      <c r="Q121" s="1446" t="s">
        <v>761</v>
      </c>
      <c r="R121" s="1313"/>
      <c r="S121" s="1313"/>
      <c r="T121" s="1383" t="s">
        <v>683</v>
      </c>
      <c r="U121" s="1313" t="s">
        <v>683</v>
      </c>
      <c r="V121" s="1383" t="s">
        <v>683</v>
      </c>
      <c r="W121" s="1313" t="s">
        <v>683</v>
      </c>
      <c r="X121" s="1313" t="s">
        <v>683</v>
      </c>
      <c r="Y121" s="1313"/>
      <c r="Z121" s="1313"/>
      <c r="AA121" s="1446" t="s">
        <v>683</v>
      </c>
      <c r="AB121" s="1446" t="s">
        <v>683</v>
      </c>
      <c r="AC121" s="1446" t="s">
        <v>683</v>
      </c>
      <c r="AD121" s="1446" t="s">
        <v>683</v>
      </c>
      <c r="AE121" s="1446" t="s">
        <v>683</v>
      </c>
      <c r="AF121" s="1313"/>
      <c r="AG121" s="1313"/>
      <c r="AH121" s="504">
        <v>185</v>
      </c>
      <c r="AI121" s="505">
        <v>37</v>
      </c>
    </row>
    <row r="122" spans="1:35" ht="21.95" customHeight="1">
      <c r="A122" s="580"/>
      <c r="B122" s="1299" t="s">
        <v>730</v>
      </c>
      <c r="C122" s="1313" t="s">
        <v>547</v>
      </c>
      <c r="D122" s="1313"/>
      <c r="E122" s="1313"/>
      <c r="F122" s="1313" t="s">
        <v>547</v>
      </c>
      <c r="G122" s="1313" t="s">
        <v>547</v>
      </c>
      <c r="H122" s="1313" t="s">
        <v>547</v>
      </c>
      <c r="I122" s="1313" t="s">
        <v>547</v>
      </c>
      <c r="J122" s="1313" t="s">
        <v>547</v>
      </c>
      <c r="K122" s="1313"/>
      <c r="L122" s="1313"/>
      <c r="M122" s="1379" t="s">
        <v>547</v>
      </c>
      <c r="N122" s="1379" t="s">
        <v>547</v>
      </c>
      <c r="O122" s="1379" t="s">
        <v>547</v>
      </c>
      <c r="P122" s="1379" t="s">
        <v>547</v>
      </c>
      <c r="Q122" s="1379" t="s">
        <v>547</v>
      </c>
      <c r="R122" s="1379"/>
      <c r="S122" s="1379"/>
      <c r="T122" s="1313" t="s">
        <v>547</v>
      </c>
      <c r="U122" s="1313" t="s">
        <v>547</v>
      </c>
      <c r="V122" s="1313" t="s">
        <v>547</v>
      </c>
      <c r="W122" s="1313" t="s">
        <v>547</v>
      </c>
      <c r="X122" s="1313" t="s">
        <v>547</v>
      </c>
      <c r="Y122" s="1313"/>
      <c r="Z122" s="1313"/>
      <c r="AA122" s="1313" t="s">
        <v>547</v>
      </c>
      <c r="AB122" s="1313" t="s">
        <v>547</v>
      </c>
      <c r="AC122" s="1313" t="s">
        <v>547</v>
      </c>
      <c r="AD122" s="1313" t="s">
        <v>547</v>
      </c>
      <c r="AE122" s="1313" t="s">
        <v>547</v>
      </c>
      <c r="AF122" s="1313"/>
      <c r="AG122" s="1313"/>
      <c r="AH122" s="504">
        <v>185</v>
      </c>
      <c r="AI122" s="505">
        <v>37</v>
      </c>
    </row>
    <row r="123" spans="1:35" ht="21.95" customHeight="1">
      <c r="A123" s="580"/>
      <c r="B123" s="1300" t="s">
        <v>717</v>
      </c>
      <c r="C123" s="1313" t="s">
        <v>685</v>
      </c>
      <c r="D123" s="1313"/>
      <c r="E123" s="1313"/>
      <c r="F123" s="1313" t="s">
        <v>685</v>
      </c>
      <c r="G123" s="1313" t="s">
        <v>685</v>
      </c>
      <c r="H123" s="1313" t="s">
        <v>685</v>
      </c>
      <c r="I123" s="1313" t="s">
        <v>685</v>
      </c>
      <c r="J123" s="1313" t="s">
        <v>685</v>
      </c>
      <c r="K123" s="1313"/>
      <c r="L123" s="1313"/>
      <c r="M123" s="1313" t="s">
        <v>685</v>
      </c>
      <c r="N123" s="1313" t="s">
        <v>685</v>
      </c>
      <c r="O123" s="1313" t="s">
        <v>685</v>
      </c>
      <c r="P123" s="1313" t="s">
        <v>685</v>
      </c>
      <c r="Q123" s="1313" t="s">
        <v>685</v>
      </c>
      <c r="R123" s="1313"/>
      <c r="S123" s="1313"/>
      <c r="T123" s="1313" t="s">
        <v>685</v>
      </c>
      <c r="U123" s="1446" t="s">
        <v>685</v>
      </c>
      <c r="V123" s="1446" t="s">
        <v>685</v>
      </c>
      <c r="W123" s="1446" t="s">
        <v>685</v>
      </c>
      <c r="X123" s="1446" t="s">
        <v>685</v>
      </c>
      <c r="Y123" s="1446"/>
      <c r="Z123" s="1446"/>
      <c r="AA123" s="1446" t="s">
        <v>685</v>
      </c>
      <c r="AB123" s="1446" t="s">
        <v>685</v>
      </c>
      <c r="AC123" s="1446" t="s">
        <v>685</v>
      </c>
      <c r="AD123" s="1446" t="s">
        <v>685</v>
      </c>
      <c r="AE123" s="1446" t="s">
        <v>685</v>
      </c>
      <c r="AF123" s="1313"/>
      <c r="AG123" s="1313"/>
      <c r="AH123" s="504">
        <v>185</v>
      </c>
      <c r="AI123" s="505">
        <v>37</v>
      </c>
    </row>
    <row r="124" spans="1:35" ht="21.95" customHeight="1">
      <c r="A124" s="580"/>
      <c r="B124" s="1299" t="s">
        <v>718</v>
      </c>
      <c r="C124" s="1446" t="s">
        <v>684</v>
      </c>
      <c r="D124" s="1446"/>
      <c r="E124" s="1446"/>
      <c r="F124" s="1446" t="s">
        <v>684</v>
      </c>
      <c r="G124" s="1446" t="s">
        <v>684</v>
      </c>
      <c r="H124" s="1446" t="s">
        <v>684</v>
      </c>
      <c r="I124" s="1446" t="s">
        <v>684</v>
      </c>
      <c r="J124" s="1446" t="s">
        <v>684</v>
      </c>
      <c r="K124" s="1446"/>
      <c r="L124" s="1446"/>
      <c r="M124" s="1446" t="s">
        <v>684</v>
      </c>
      <c r="N124" s="1446" t="s">
        <v>684</v>
      </c>
      <c r="O124" s="1446" t="s">
        <v>684</v>
      </c>
      <c r="P124" s="1446" t="s">
        <v>684</v>
      </c>
      <c r="Q124" s="1446" t="s">
        <v>684</v>
      </c>
      <c r="R124" s="1446"/>
      <c r="S124" s="1446"/>
      <c r="T124" s="1446" t="s">
        <v>684</v>
      </c>
      <c r="U124" s="1446" t="s">
        <v>684</v>
      </c>
      <c r="V124" s="1446" t="s">
        <v>684</v>
      </c>
      <c r="W124" s="1446" t="s">
        <v>684</v>
      </c>
      <c r="X124" s="1446" t="s">
        <v>684</v>
      </c>
      <c r="Y124" s="1446"/>
      <c r="Z124" s="1446"/>
      <c r="AA124" s="1446" t="s">
        <v>684</v>
      </c>
      <c r="AB124" s="1446" t="s">
        <v>684</v>
      </c>
      <c r="AC124" s="1446" t="s">
        <v>684</v>
      </c>
      <c r="AD124" s="1446" t="s">
        <v>684</v>
      </c>
      <c r="AE124" s="1446" t="s">
        <v>684</v>
      </c>
      <c r="AF124" s="1446"/>
      <c r="AG124" s="1446"/>
      <c r="AH124" s="504">
        <v>185</v>
      </c>
      <c r="AI124" s="505">
        <v>37</v>
      </c>
    </row>
    <row r="125" spans="1:35" ht="21.95" customHeight="1">
      <c r="A125" s="580"/>
      <c r="B125" s="1300" t="s">
        <v>719</v>
      </c>
      <c r="C125" s="1313" t="s">
        <v>539</v>
      </c>
      <c r="D125" s="1313"/>
      <c r="E125" s="1313"/>
      <c r="F125" s="1313" t="s">
        <v>539</v>
      </c>
      <c r="G125" s="1313" t="s">
        <v>539</v>
      </c>
      <c r="H125" s="1313" t="s">
        <v>539</v>
      </c>
      <c r="I125" s="1313" t="s">
        <v>539</v>
      </c>
      <c r="J125" s="1313" t="s">
        <v>539</v>
      </c>
      <c r="K125" s="1313"/>
      <c r="L125" s="1313"/>
      <c r="M125" s="1313" t="s">
        <v>539</v>
      </c>
      <c r="N125" s="1313" t="s">
        <v>539</v>
      </c>
      <c r="O125" s="1313" t="s">
        <v>539</v>
      </c>
      <c r="P125" s="1313" t="s">
        <v>539</v>
      </c>
      <c r="Q125" s="1313" t="s">
        <v>539</v>
      </c>
      <c r="R125" s="1313"/>
      <c r="S125" s="1313"/>
      <c r="T125" s="1313" t="s">
        <v>539</v>
      </c>
      <c r="U125" s="1313" t="s">
        <v>539</v>
      </c>
      <c r="V125" s="1313" t="s">
        <v>539</v>
      </c>
      <c r="W125" s="1313" t="s">
        <v>539</v>
      </c>
      <c r="X125" s="1313" t="s">
        <v>539</v>
      </c>
      <c r="Y125" s="1313"/>
      <c r="Z125" s="1313"/>
      <c r="AA125" s="1313" t="s">
        <v>539</v>
      </c>
      <c r="AB125" s="1313" t="s">
        <v>539</v>
      </c>
      <c r="AC125" s="1313" t="s">
        <v>539</v>
      </c>
      <c r="AD125" s="1313" t="s">
        <v>539</v>
      </c>
      <c r="AE125" s="1313" t="s">
        <v>539</v>
      </c>
      <c r="AF125" s="1313"/>
      <c r="AG125" s="1313"/>
      <c r="AH125" s="504">
        <v>185</v>
      </c>
      <c r="AI125" s="505">
        <v>37</v>
      </c>
    </row>
    <row r="126" spans="1:35" ht="21.95" customHeight="1">
      <c r="A126" s="580"/>
      <c r="B126" s="1299" t="s">
        <v>720</v>
      </c>
      <c r="C126" s="1313" t="s">
        <v>540</v>
      </c>
      <c r="D126" s="1313"/>
      <c r="E126" s="1313"/>
      <c r="F126" s="1313" t="s">
        <v>540</v>
      </c>
      <c r="G126" s="1313" t="s">
        <v>540</v>
      </c>
      <c r="H126" s="1313" t="s">
        <v>540</v>
      </c>
      <c r="I126" s="1313" t="s">
        <v>540</v>
      </c>
      <c r="J126" s="1313" t="s">
        <v>540</v>
      </c>
      <c r="K126" s="1313"/>
      <c r="L126" s="1313"/>
      <c r="M126" s="1313" t="s">
        <v>540</v>
      </c>
      <c r="N126" s="1313" t="s">
        <v>540</v>
      </c>
      <c r="O126" s="1313" t="s">
        <v>540</v>
      </c>
      <c r="P126" s="1313" t="s">
        <v>540</v>
      </c>
      <c r="Q126" s="1313" t="s">
        <v>540</v>
      </c>
      <c r="R126" s="1313"/>
      <c r="S126" s="1313"/>
      <c r="T126" s="1313" t="s">
        <v>540</v>
      </c>
      <c r="U126" s="1313" t="s">
        <v>540</v>
      </c>
      <c r="V126" s="1313" t="s">
        <v>540</v>
      </c>
      <c r="W126" s="1313" t="s">
        <v>540</v>
      </c>
      <c r="X126" s="1313" t="s">
        <v>540</v>
      </c>
      <c r="Y126" s="1313"/>
      <c r="Z126" s="1313"/>
      <c r="AA126" s="1313" t="s">
        <v>540</v>
      </c>
      <c r="AB126" s="1313" t="s">
        <v>540</v>
      </c>
      <c r="AC126" s="1313" t="s">
        <v>540</v>
      </c>
      <c r="AD126" s="1313" t="s">
        <v>540</v>
      </c>
      <c r="AE126" s="1313" t="s">
        <v>540</v>
      </c>
      <c r="AF126" s="1313"/>
      <c r="AG126" s="1313"/>
      <c r="AH126" s="504">
        <v>185</v>
      </c>
      <c r="AI126" s="505">
        <v>37</v>
      </c>
    </row>
    <row r="127" spans="1:35" ht="21.95" customHeight="1">
      <c r="A127" s="580"/>
      <c r="B127" s="1299" t="s">
        <v>572</v>
      </c>
      <c r="C127" s="1313" t="s">
        <v>708</v>
      </c>
      <c r="D127" s="1313"/>
      <c r="E127" s="1313"/>
      <c r="F127" s="1313" t="s">
        <v>708</v>
      </c>
      <c r="G127" s="1313" t="s">
        <v>708</v>
      </c>
      <c r="H127" s="1313" t="s">
        <v>708</v>
      </c>
      <c r="I127" s="1313" t="s">
        <v>708</v>
      </c>
      <c r="J127" s="1313" t="s">
        <v>708</v>
      </c>
      <c r="K127" s="1313"/>
      <c r="L127" s="1313"/>
      <c r="M127" s="1313" t="s">
        <v>708</v>
      </c>
      <c r="N127" s="1313" t="s">
        <v>708</v>
      </c>
      <c r="O127" s="1313" t="s">
        <v>708</v>
      </c>
      <c r="P127" s="1313" t="s">
        <v>708</v>
      </c>
      <c r="Q127" s="1313" t="s">
        <v>708</v>
      </c>
      <c r="R127" s="1313"/>
      <c r="S127" s="1313"/>
      <c r="T127" s="1313" t="s">
        <v>708</v>
      </c>
      <c r="U127" s="1313" t="s">
        <v>708</v>
      </c>
      <c r="V127" s="1313" t="s">
        <v>708</v>
      </c>
      <c r="W127" s="1313" t="s">
        <v>708</v>
      </c>
      <c r="X127" s="1313" t="s">
        <v>708</v>
      </c>
      <c r="Y127" s="1313"/>
      <c r="Z127" s="1313"/>
      <c r="AA127" s="1313" t="s">
        <v>708</v>
      </c>
      <c r="AB127" s="1313" t="s">
        <v>708</v>
      </c>
      <c r="AC127" s="1313" t="s">
        <v>708</v>
      </c>
      <c r="AD127" s="1313" t="s">
        <v>708</v>
      </c>
      <c r="AE127" s="1313" t="s">
        <v>708</v>
      </c>
      <c r="AF127" s="1313"/>
      <c r="AG127" s="1313"/>
      <c r="AH127" s="504">
        <v>185</v>
      </c>
      <c r="AI127" s="505">
        <v>37</v>
      </c>
    </row>
    <row r="128" spans="1:35" ht="21.95" customHeight="1">
      <c r="A128" s="580"/>
      <c r="B128" s="1299" t="s">
        <v>722</v>
      </c>
      <c r="C128" s="1379" t="s">
        <v>538</v>
      </c>
      <c r="D128" s="1379"/>
      <c r="E128" s="1379"/>
      <c r="F128" s="1313" t="s">
        <v>538</v>
      </c>
      <c r="G128" s="1313" t="s">
        <v>538</v>
      </c>
      <c r="H128" s="1313" t="s">
        <v>538</v>
      </c>
      <c r="I128" s="1313" t="s">
        <v>538</v>
      </c>
      <c r="J128" s="1313" t="s">
        <v>538</v>
      </c>
      <c r="K128" s="1313"/>
      <c r="L128" s="1313"/>
      <c r="M128" s="1313" t="s">
        <v>538</v>
      </c>
      <c r="N128" s="1313" t="s">
        <v>538</v>
      </c>
      <c r="O128" s="1313" t="s">
        <v>538</v>
      </c>
      <c r="P128" s="1313" t="s">
        <v>538</v>
      </c>
      <c r="Q128" s="1313" t="s">
        <v>538</v>
      </c>
      <c r="R128" s="1313"/>
      <c r="S128" s="1313"/>
      <c r="T128" s="1378" t="s">
        <v>538</v>
      </c>
      <c r="U128" s="1313" t="s">
        <v>538</v>
      </c>
      <c r="V128" s="1313" t="s">
        <v>538</v>
      </c>
      <c r="W128" s="1313" t="s">
        <v>538</v>
      </c>
      <c r="X128" s="1313" t="s">
        <v>538</v>
      </c>
      <c r="Y128" s="1313"/>
      <c r="Z128" s="1313"/>
      <c r="AA128" s="1313" t="s">
        <v>538</v>
      </c>
      <c r="AB128" s="1313" t="s">
        <v>538</v>
      </c>
      <c r="AC128" s="1313" t="s">
        <v>538</v>
      </c>
      <c r="AD128" s="1313" t="s">
        <v>538</v>
      </c>
      <c r="AE128" s="1313" t="s">
        <v>538</v>
      </c>
      <c r="AF128" s="1313"/>
      <c r="AG128" s="1313"/>
      <c r="AH128" s="504">
        <v>185</v>
      </c>
      <c r="AI128" s="505">
        <v>37</v>
      </c>
    </row>
    <row r="129" spans="1:35" ht="21.95" customHeight="1">
      <c r="A129" s="580"/>
      <c r="B129" s="1299" t="s">
        <v>723</v>
      </c>
      <c r="C129" s="1313" t="s">
        <v>711</v>
      </c>
      <c r="D129" s="1313"/>
      <c r="E129" s="1313"/>
      <c r="F129" s="1313" t="s">
        <v>711</v>
      </c>
      <c r="G129" s="1313" t="s">
        <v>711</v>
      </c>
      <c r="H129" s="1313" t="s">
        <v>711</v>
      </c>
      <c r="I129" s="1313" t="s">
        <v>711</v>
      </c>
      <c r="J129" s="1313" t="s">
        <v>711</v>
      </c>
      <c r="K129" s="1313"/>
      <c r="L129" s="1313"/>
      <c r="M129" s="1313" t="s">
        <v>711</v>
      </c>
      <c r="N129" s="1313" t="s">
        <v>711</v>
      </c>
      <c r="O129" s="1313" t="s">
        <v>711</v>
      </c>
      <c r="P129" s="1313" t="s">
        <v>711</v>
      </c>
      <c r="Q129" s="1313" t="s">
        <v>711</v>
      </c>
      <c r="R129" s="1313"/>
      <c r="S129" s="1313"/>
      <c r="T129" s="1313" t="s">
        <v>711</v>
      </c>
      <c r="U129" s="1313" t="s">
        <v>711</v>
      </c>
      <c r="V129" s="1313" t="s">
        <v>711</v>
      </c>
      <c r="W129" s="1313" t="s">
        <v>711</v>
      </c>
      <c r="X129" s="1313" t="s">
        <v>711</v>
      </c>
      <c r="Y129" s="1313"/>
      <c r="Z129" s="1313"/>
      <c r="AA129" s="1313" t="s">
        <v>711</v>
      </c>
      <c r="AB129" s="1313" t="s">
        <v>711</v>
      </c>
      <c r="AC129" s="1620" t="s">
        <v>711</v>
      </c>
      <c r="AD129" s="1313" t="s">
        <v>711</v>
      </c>
      <c r="AE129" s="1313" t="s">
        <v>711</v>
      </c>
      <c r="AF129" s="1313"/>
      <c r="AG129" s="1313"/>
      <c r="AH129" s="504">
        <v>185</v>
      </c>
      <c r="AI129" s="505">
        <v>37</v>
      </c>
    </row>
    <row r="130" spans="1:35" ht="21.95" customHeight="1">
      <c r="A130" s="580"/>
      <c r="B130" s="1299" t="s">
        <v>724</v>
      </c>
      <c r="C130" s="1313" t="s">
        <v>544</v>
      </c>
      <c r="D130" s="1313"/>
      <c r="E130" s="1313"/>
      <c r="F130" s="1313" t="s">
        <v>544</v>
      </c>
      <c r="G130" s="1313" t="s">
        <v>544</v>
      </c>
      <c r="H130" s="1313" t="s">
        <v>544</v>
      </c>
      <c r="I130" s="1313" t="s">
        <v>544</v>
      </c>
      <c r="J130" s="1313" t="s">
        <v>544</v>
      </c>
      <c r="K130" s="1313"/>
      <c r="L130" s="1313"/>
      <c r="M130" s="1313" t="s">
        <v>544</v>
      </c>
      <c r="N130" s="1313" t="s">
        <v>544</v>
      </c>
      <c r="O130" s="1313" t="s">
        <v>544</v>
      </c>
      <c r="P130" s="1313" t="s">
        <v>544</v>
      </c>
      <c r="Q130" s="1313" t="s">
        <v>544</v>
      </c>
      <c r="R130" s="1313"/>
      <c r="S130" s="1313"/>
      <c r="T130" s="1313" t="s">
        <v>544</v>
      </c>
      <c r="U130" s="1313" t="s">
        <v>544</v>
      </c>
      <c r="V130" s="1313" t="s">
        <v>544</v>
      </c>
      <c r="W130" s="1313" t="s">
        <v>544</v>
      </c>
      <c r="X130" s="1313" t="s">
        <v>544</v>
      </c>
      <c r="Y130" s="1313"/>
      <c r="Z130" s="1313"/>
      <c r="AA130" s="1313" t="s">
        <v>544</v>
      </c>
      <c r="AB130" s="1313" t="s">
        <v>544</v>
      </c>
      <c r="AC130" s="1313" t="s">
        <v>544</v>
      </c>
      <c r="AD130" s="1313" t="s">
        <v>544</v>
      </c>
      <c r="AE130" s="1313" t="s">
        <v>544</v>
      </c>
      <c r="AF130" s="1313"/>
      <c r="AG130" s="1313"/>
      <c r="AH130" s="504">
        <v>185</v>
      </c>
      <c r="AI130" s="505">
        <v>37</v>
      </c>
    </row>
    <row r="131" spans="1:35" ht="21.95" customHeight="1">
      <c r="A131" s="580"/>
      <c r="B131" s="1502"/>
      <c r="C131" s="559"/>
      <c r="D131" s="559"/>
      <c r="E131" s="559"/>
      <c r="F131" s="559"/>
      <c r="G131" s="559"/>
      <c r="H131" s="559"/>
      <c r="I131" s="559"/>
      <c r="J131" s="559"/>
      <c r="K131" s="559"/>
      <c r="L131" s="559"/>
      <c r="M131" s="559"/>
      <c r="N131" s="559"/>
      <c r="O131" s="559"/>
      <c r="P131" s="559"/>
      <c r="Q131" s="559"/>
      <c r="R131" s="559"/>
      <c r="S131" s="559"/>
      <c r="T131" s="559"/>
      <c r="U131" s="559"/>
      <c r="V131" s="559"/>
      <c r="W131" s="559"/>
      <c r="X131" s="559"/>
      <c r="Y131" s="559"/>
      <c r="Z131" s="559"/>
      <c r="AA131" s="559"/>
      <c r="AB131" s="559"/>
      <c r="AC131" s="559"/>
      <c r="AD131" s="559"/>
      <c r="AE131" s="559"/>
      <c r="AF131" s="559"/>
      <c r="AG131" s="559"/>
      <c r="AH131" s="560"/>
      <c r="AI131" s="560"/>
    </row>
    <row r="132" spans="1:35" ht="21.95" customHeight="1" thickBot="1">
      <c r="A132" s="1303" t="s">
        <v>744</v>
      </c>
      <c r="B132" s="541" t="s">
        <v>763</v>
      </c>
      <c r="C132" s="559"/>
      <c r="D132" s="541"/>
      <c r="E132" s="541"/>
      <c r="F132" s="541"/>
      <c r="G132" s="541"/>
      <c r="H132" s="541"/>
      <c r="I132" s="559"/>
      <c r="J132" s="559"/>
      <c r="K132" s="541"/>
      <c r="L132" s="541"/>
      <c r="M132" s="541"/>
      <c r="N132" s="541"/>
      <c r="O132" s="541"/>
      <c r="P132" s="541"/>
      <c r="Q132" s="559"/>
      <c r="R132" s="541"/>
      <c r="S132" s="541"/>
      <c r="T132" s="541"/>
      <c r="U132" s="541"/>
      <c r="V132" s="541"/>
      <c r="W132" s="559"/>
      <c r="X132" s="559"/>
      <c r="Y132" s="541"/>
      <c r="Z132" s="541"/>
      <c r="AA132" s="541"/>
      <c r="AB132" s="541"/>
      <c r="AC132" s="541"/>
      <c r="AD132" s="541"/>
      <c r="AE132" s="559"/>
      <c r="AF132" s="541"/>
      <c r="AG132" s="541"/>
      <c r="AH132" s="560"/>
      <c r="AI132" s="560"/>
    </row>
    <row r="133" spans="1:35" ht="21.95" customHeight="1">
      <c r="A133" s="580"/>
      <c r="B133" s="1304" t="s">
        <v>696</v>
      </c>
      <c r="C133" s="1312"/>
      <c r="D133" s="1305" t="s">
        <v>2</v>
      </c>
      <c r="E133" s="1306"/>
      <c r="F133" s="1307"/>
      <c r="G133" s="1308"/>
      <c r="H133" s="1305" t="s">
        <v>3</v>
      </c>
      <c r="I133" s="1306"/>
      <c r="J133" s="1307"/>
      <c r="K133" s="1308"/>
      <c r="L133" s="1305" t="s">
        <v>4</v>
      </c>
      <c r="M133" s="1306"/>
      <c r="N133" s="1307"/>
      <c r="O133" s="1308"/>
      <c r="P133" s="1305" t="s">
        <v>5</v>
      </c>
      <c r="Q133" s="1306"/>
      <c r="R133" s="1307"/>
      <c r="S133" s="1308"/>
      <c r="T133" s="1305" t="s">
        <v>6</v>
      </c>
      <c r="U133" s="1306"/>
      <c r="V133" s="1307"/>
      <c r="W133" s="1308"/>
      <c r="X133" s="1305" t="s">
        <v>7</v>
      </c>
      <c r="Y133" s="1306"/>
      <c r="Z133" s="1307"/>
      <c r="AA133" s="1308"/>
      <c r="AB133" s="1305" t="s">
        <v>8</v>
      </c>
      <c r="AC133" s="1306"/>
      <c r="AD133" s="1306"/>
      <c r="AE133" s="1309" t="s">
        <v>10</v>
      </c>
      <c r="AF133" s="1306"/>
      <c r="AG133" s="1306"/>
      <c r="AH133" s="1306"/>
      <c r="AI133" s="1310"/>
    </row>
    <row r="134" spans="1:35" ht="21.95" customHeight="1">
      <c r="A134" s="580"/>
      <c r="B134" s="1332"/>
      <c r="C134" s="1313"/>
      <c r="D134" s="1331"/>
      <c r="E134" s="1314"/>
      <c r="F134" s="1311"/>
      <c r="G134" s="1313"/>
      <c r="H134" s="1331"/>
      <c r="I134" s="1314"/>
      <c r="J134" s="1311"/>
      <c r="K134" s="1313"/>
      <c r="L134" s="1331"/>
      <c r="M134" s="1314"/>
      <c r="N134" s="1311"/>
      <c r="O134" s="1313"/>
      <c r="P134" s="1331"/>
      <c r="Q134" s="1314"/>
      <c r="R134" s="1311"/>
      <c r="S134" s="1313"/>
      <c r="T134" s="1331"/>
      <c r="U134" s="1314"/>
      <c r="V134" s="1311"/>
      <c r="W134" s="1313"/>
      <c r="X134" s="1314"/>
      <c r="Y134" s="1314"/>
      <c r="Z134" s="1311"/>
      <c r="AA134" s="1313"/>
      <c r="AB134" s="1314"/>
      <c r="AC134" s="1314"/>
      <c r="AD134" s="1314"/>
      <c r="AE134" s="1313"/>
      <c r="AF134" s="1314"/>
      <c r="AG134" s="1314"/>
      <c r="AH134" s="1316"/>
      <c r="AI134" s="1317"/>
    </row>
    <row r="135" spans="1:35" ht="21.95" customHeight="1">
      <c r="A135" s="580"/>
      <c r="B135" s="1333"/>
      <c r="C135" s="1313"/>
      <c r="D135" s="1331"/>
      <c r="E135" s="1314"/>
      <c r="F135" s="1311"/>
      <c r="G135" s="1313"/>
      <c r="H135" s="1331"/>
      <c r="I135" s="1314"/>
      <c r="J135" s="1311"/>
      <c r="K135" s="1313"/>
      <c r="L135" s="1331"/>
      <c r="M135" s="1314"/>
      <c r="N135" s="1311"/>
      <c r="O135" s="1313"/>
      <c r="P135" s="1331"/>
      <c r="Q135" s="1314"/>
      <c r="R135" s="1311"/>
      <c r="S135" s="1313"/>
      <c r="T135" s="1331"/>
      <c r="U135" s="1314"/>
      <c r="V135" s="1311"/>
      <c r="W135" s="1313"/>
      <c r="X135" s="1314"/>
      <c r="Y135" s="1314"/>
      <c r="Z135" s="1311"/>
      <c r="AA135" s="1313"/>
      <c r="AB135" s="1314"/>
      <c r="AC135" s="1314"/>
      <c r="AD135" s="1314"/>
      <c r="AE135" s="1313"/>
      <c r="AF135" s="1314"/>
      <c r="AG135" s="1314"/>
      <c r="AH135" s="1316"/>
      <c r="AI135" s="1317"/>
    </row>
    <row r="136" spans="1:35" ht="21.95" customHeight="1">
      <c r="A136" s="580"/>
      <c r="B136" s="1333"/>
      <c r="C136" s="1313"/>
      <c r="D136" s="1331"/>
      <c r="E136" s="1314"/>
      <c r="F136" s="1311"/>
      <c r="G136" s="1313"/>
      <c r="H136" s="1331"/>
      <c r="I136" s="1314"/>
      <c r="J136" s="1311"/>
      <c r="K136" s="1313"/>
      <c r="L136" s="1331"/>
      <c r="M136" s="1314"/>
      <c r="N136" s="1311"/>
      <c r="O136" s="1313"/>
      <c r="P136" s="1331"/>
      <c r="Q136" s="1314"/>
      <c r="R136" s="1311"/>
      <c r="S136" s="1313"/>
      <c r="T136" s="1331"/>
      <c r="U136" s="1314"/>
      <c r="V136" s="1311"/>
      <c r="W136" s="1313"/>
      <c r="X136" s="1314"/>
      <c r="Y136" s="1314"/>
      <c r="Z136" s="1311"/>
      <c r="AA136" s="1313"/>
      <c r="AB136" s="1314"/>
      <c r="AC136" s="1314"/>
      <c r="AD136" s="1314"/>
      <c r="AE136" s="1313"/>
      <c r="AF136" s="1314"/>
      <c r="AG136" s="1314"/>
      <c r="AH136" s="1316"/>
      <c r="AI136" s="1317"/>
    </row>
    <row r="137" spans="1:35" ht="21.95" customHeight="1" thickBot="1">
      <c r="A137" s="580"/>
      <c r="B137" s="1502"/>
      <c r="C137" s="559"/>
      <c r="D137" s="559"/>
      <c r="E137" s="559"/>
      <c r="F137" s="559"/>
      <c r="G137" s="559"/>
      <c r="H137" s="559"/>
      <c r="I137" s="559"/>
      <c r="J137" s="559"/>
      <c r="K137" s="559"/>
      <c r="L137" s="559"/>
      <c r="M137" s="559"/>
      <c r="N137" s="559"/>
      <c r="O137" s="559"/>
      <c r="P137" s="559"/>
      <c r="Q137" s="559"/>
      <c r="R137" s="559"/>
      <c r="S137" s="559"/>
      <c r="T137" s="559"/>
      <c r="U137" s="559"/>
      <c r="V137" s="559"/>
      <c r="W137" s="559"/>
      <c r="X137" s="559"/>
      <c r="Y137" s="559"/>
      <c r="Z137" s="559"/>
      <c r="AA137" s="559"/>
      <c r="AB137" s="559"/>
      <c r="AC137" s="559"/>
      <c r="AD137" s="559"/>
      <c r="AE137" s="559"/>
      <c r="AF137" s="559"/>
      <c r="AG137" s="559"/>
      <c r="AH137" s="560"/>
      <c r="AI137" s="560"/>
    </row>
    <row r="138" spans="1:35" ht="21.95" customHeight="1">
      <c r="A138" s="1232"/>
      <c r="B138" s="1298" t="s">
        <v>480</v>
      </c>
      <c r="C138" s="1234">
        <v>1</v>
      </c>
      <c r="D138" s="1235">
        <v>2</v>
      </c>
      <c r="E138" s="1235">
        <v>3</v>
      </c>
      <c r="F138" s="1234">
        <v>4</v>
      </c>
      <c r="G138" s="1234">
        <v>5</v>
      </c>
      <c r="H138" s="1234">
        <v>6</v>
      </c>
      <c r="I138" s="1213">
        <v>7</v>
      </c>
      <c r="J138" s="1213">
        <v>8</v>
      </c>
      <c r="K138" s="1235">
        <v>9</v>
      </c>
      <c r="L138" s="1235">
        <v>10</v>
      </c>
      <c r="M138" s="1234">
        <v>11</v>
      </c>
      <c r="N138" s="1234">
        <v>12</v>
      </c>
      <c r="O138" s="1234">
        <v>13</v>
      </c>
      <c r="P138" s="1213">
        <v>14</v>
      </c>
      <c r="Q138" s="1213">
        <v>15</v>
      </c>
      <c r="R138" s="1235">
        <v>16</v>
      </c>
      <c r="S138" s="1235">
        <v>17</v>
      </c>
      <c r="T138" s="1234">
        <v>18</v>
      </c>
      <c r="U138" s="1234">
        <v>19</v>
      </c>
      <c r="V138" s="1213">
        <v>20</v>
      </c>
      <c r="W138" s="1213">
        <v>21</v>
      </c>
      <c r="X138" s="1213">
        <v>22</v>
      </c>
      <c r="Y138" s="1235">
        <v>23</v>
      </c>
      <c r="Z138" s="1235">
        <v>24</v>
      </c>
      <c r="AA138" s="1234">
        <v>25</v>
      </c>
      <c r="AB138" s="1234">
        <v>26</v>
      </c>
      <c r="AC138" s="1234">
        <v>27</v>
      </c>
      <c r="AD138" s="1213">
        <v>28</v>
      </c>
      <c r="AE138" s="1213">
        <v>29</v>
      </c>
      <c r="AF138" s="1235">
        <v>30</v>
      </c>
      <c r="AG138" s="1234"/>
      <c r="AH138" s="1301" t="s">
        <v>481</v>
      </c>
      <c r="AI138" s="1302" t="s">
        <v>482</v>
      </c>
    </row>
    <row r="139" spans="1:35" ht="21.95" customHeight="1">
      <c r="A139" s="580"/>
      <c r="B139" s="1300" t="s">
        <v>746</v>
      </c>
      <c r="C139" s="1215" t="s">
        <v>535</v>
      </c>
      <c r="D139" s="1215"/>
      <c r="E139" s="1215"/>
      <c r="F139" s="1500" t="s">
        <v>535</v>
      </c>
      <c r="G139" s="1500" t="s">
        <v>535</v>
      </c>
      <c r="H139" s="1215" t="s">
        <v>535</v>
      </c>
      <c r="I139" s="1215" t="s">
        <v>535</v>
      </c>
      <c r="J139" s="1215" t="s">
        <v>535</v>
      </c>
      <c r="K139" s="1215"/>
      <c r="L139" s="1215"/>
      <c r="M139" s="1215" t="s">
        <v>535</v>
      </c>
      <c r="N139" s="1215" t="s">
        <v>535</v>
      </c>
      <c r="O139" s="1215" t="s">
        <v>535</v>
      </c>
      <c r="P139" s="1215" t="s">
        <v>535</v>
      </c>
      <c r="Q139" s="1215" t="s">
        <v>535</v>
      </c>
      <c r="R139" s="1215"/>
      <c r="S139" s="1215"/>
      <c r="T139" s="1215" t="s">
        <v>535</v>
      </c>
      <c r="U139" s="1215" t="s">
        <v>535</v>
      </c>
      <c r="V139" s="1215" t="s">
        <v>535</v>
      </c>
      <c r="W139" s="1215" t="s">
        <v>535</v>
      </c>
      <c r="X139" s="1215" t="s">
        <v>535</v>
      </c>
      <c r="Y139" s="1215"/>
      <c r="Z139" s="1215"/>
      <c r="AA139" s="1344" t="s">
        <v>535</v>
      </c>
      <c r="AB139" s="1215" t="s">
        <v>535</v>
      </c>
      <c r="AC139" s="1215" t="s">
        <v>535</v>
      </c>
      <c r="AD139" s="1215" t="s">
        <v>535</v>
      </c>
      <c r="AE139" s="1215" t="s">
        <v>535</v>
      </c>
      <c r="AF139" s="1215"/>
      <c r="AG139" s="1313"/>
      <c r="AH139" s="504">
        <v>185</v>
      </c>
      <c r="AI139" s="505">
        <v>37</v>
      </c>
    </row>
    <row r="140" spans="1:35" ht="21.95" customHeight="1">
      <c r="A140" s="580"/>
      <c r="B140" s="1300" t="s">
        <v>764</v>
      </c>
      <c r="C140" s="1215" t="s">
        <v>535</v>
      </c>
      <c r="D140" s="1215"/>
      <c r="E140" s="1215"/>
      <c r="F140" s="1215" t="s">
        <v>535</v>
      </c>
      <c r="G140" s="1215" t="s">
        <v>535</v>
      </c>
      <c r="H140" s="1215" t="s">
        <v>535</v>
      </c>
      <c r="I140" s="1215" t="s">
        <v>535</v>
      </c>
      <c r="J140" s="1215" t="s">
        <v>535</v>
      </c>
      <c r="K140" s="1215"/>
      <c r="L140" s="1215"/>
      <c r="M140" s="1215" t="s">
        <v>535</v>
      </c>
      <c r="N140" s="1215" t="s">
        <v>535</v>
      </c>
      <c r="O140" s="1215" t="s">
        <v>535</v>
      </c>
      <c r="P140" s="1215" t="s">
        <v>535</v>
      </c>
      <c r="Q140" s="1215" t="s">
        <v>535</v>
      </c>
      <c r="R140" s="1215"/>
      <c r="S140" s="1215"/>
      <c r="T140" s="1215" t="s">
        <v>535</v>
      </c>
      <c r="U140" s="1215" t="s">
        <v>535</v>
      </c>
      <c r="V140" s="1215" t="s">
        <v>535</v>
      </c>
      <c r="W140" s="1215" t="s">
        <v>535</v>
      </c>
      <c r="X140" s="1215" t="s">
        <v>535</v>
      </c>
      <c r="Y140" s="1215"/>
      <c r="Z140" s="1215"/>
      <c r="AA140" s="1215" t="s">
        <v>535</v>
      </c>
      <c r="AB140" s="1215" t="s">
        <v>535</v>
      </c>
      <c r="AC140" s="1215" t="s">
        <v>535</v>
      </c>
      <c r="AD140" s="1215" t="s">
        <v>535</v>
      </c>
      <c r="AE140" s="1215" t="s">
        <v>535</v>
      </c>
      <c r="AF140" s="1215"/>
      <c r="AG140" s="1313"/>
      <c r="AH140" s="504">
        <v>185</v>
      </c>
      <c r="AI140" s="505">
        <v>37</v>
      </c>
    </row>
    <row r="141" spans="1:35" ht="21.95" customHeight="1">
      <c r="A141" s="580"/>
      <c r="B141" s="1300" t="s">
        <v>748</v>
      </c>
      <c r="C141" s="1215" t="s">
        <v>535</v>
      </c>
      <c r="D141" s="1215"/>
      <c r="E141" s="1215"/>
      <c r="F141" s="1215" t="s">
        <v>535</v>
      </c>
      <c r="G141" s="1215" t="s">
        <v>535</v>
      </c>
      <c r="H141" s="1215" t="s">
        <v>535</v>
      </c>
      <c r="I141" s="1215" t="s">
        <v>535</v>
      </c>
      <c r="J141" s="1215" t="s">
        <v>535</v>
      </c>
      <c r="K141" s="1215"/>
      <c r="L141" s="1215"/>
      <c r="M141" s="1215" t="s">
        <v>535</v>
      </c>
      <c r="N141" s="1215" t="s">
        <v>535</v>
      </c>
      <c r="O141" s="1215" t="s">
        <v>535</v>
      </c>
      <c r="P141" s="1215" t="s">
        <v>535</v>
      </c>
      <c r="Q141" s="1215" t="s">
        <v>535</v>
      </c>
      <c r="R141" s="1215"/>
      <c r="S141" s="1215"/>
      <c r="T141" s="1215" t="s">
        <v>535</v>
      </c>
      <c r="U141" s="1215" t="s">
        <v>535</v>
      </c>
      <c r="V141" s="1215" t="s">
        <v>535</v>
      </c>
      <c r="W141" s="1215" t="s">
        <v>535</v>
      </c>
      <c r="X141" s="1215" t="s">
        <v>535</v>
      </c>
      <c r="Y141" s="1215"/>
      <c r="Z141" s="1215"/>
      <c r="AA141" s="1215" t="s">
        <v>535</v>
      </c>
      <c r="AB141" s="1215" t="s">
        <v>535</v>
      </c>
      <c r="AC141" s="1215" t="s">
        <v>535</v>
      </c>
      <c r="AD141" s="1215" t="s">
        <v>535</v>
      </c>
      <c r="AE141" s="1215" t="s">
        <v>535</v>
      </c>
      <c r="AF141" s="1215"/>
      <c r="AG141" s="1313"/>
      <c r="AH141" s="504">
        <v>185</v>
      </c>
      <c r="AI141" s="505">
        <v>37</v>
      </c>
    </row>
    <row r="142" spans="1:35" ht="21.95" customHeight="1">
      <c r="A142" s="580"/>
      <c r="B142" s="1509" t="s">
        <v>750</v>
      </c>
      <c r="C142" s="1215" t="s">
        <v>535</v>
      </c>
      <c r="D142" s="1215"/>
      <c r="E142" s="1215"/>
      <c r="F142" s="1215" t="s">
        <v>535</v>
      </c>
      <c r="G142" s="1215" t="s">
        <v>535</v>
      </c>
      <c r="H142" s="1215" t="s">
        <v>535</v>
      </c>
      <c r="I142" s="1215" t="s">
        <v>535</v>
      </c>
      <c r="J142" s="1215" t="s">
        <v>535</v>
      </c>
      <c r="K142" s="1215"/>
      <c r="L142" s="1215"/>
      <c r="M142" s="1215" t="s">
        <v>535</v>
      </c>
      <c r="N142" s="1215" t="s">
        <v>535</v>
      </c>
      <c r="O142" s="1215" t="s">
        <v>535</v>
      </c>
      <c r="P142" s="1215" t="s">
        <v>535</v>
      </c>
      <c r="Q142" s="1215" t="s">
        <v>535</v>
      </c>
      <c r="R142" s="1215"/>
      <c r="S142" s="1215"/>
      <c r="T142" s="1215" t="s">
        <v>535</v>
      </c>
      <c r="U142" s="1215" t="s">
        <v>535</v>
      </c>
      <c r="V142" s="1215" t="s">
        <v>535</v>
      </c>
      <c r="W142" s="1215" t="s">
        <v>535</v>
      </c>
      <c r="X142" s="1215" t="s">
        <v>535</v>
      </c>
      <c r="Y142" s="1215"/>
      <c r="Z142" s="1215"/>
      <c r="AA142" s="1215" t="s">
        <v>535</v>
      </c>
      <c r="AB142" s="1215" t="s">
        <v>535</v>
      </c>
      <c r="AC142" s="1215" t="s">
        <v>535</v>
      </c>
      <c r="AD142" s="1215" t="s">
        <v>535</v>
      </c>
      <c r="AE142" s="1215" t="s">
        <v>535</v>
      </c>
      <c r="AF142" s="1215"/>
      <c r="AG142" s="1313"/>
      <c r="AH142" s="504">
        <v>185</v>
      </c>
      <c r="AI142" s="505">
        <v>37</v>
      </c>
    </row>
    <row r="143" spans="1:35" ht="21.95" customHeight="1">
      <c r="A143" s="580"/>
      <c r="B143" s="1300" t="s">
        <v>786</v>
      </c>
      <c r="C143" s="1215" t="s">
        <v>535</v>
      </c>
      <c r="D143" s="1215"/>
      <c r="E143" s="1215"/>
      <c r="F143" s="1215" t="s">
        <v>535</v>
      </c>
      <c r="G143" s="1215" t="s">
        <v>535</v>
      </c>
      <c r="H143" s="1215" t="s">
        <v>535</v>
      </c>
      <c r="I143" s="1215" t="s">
        <v>535</v>
      </c>
      <c r="J143" s="1215" t="s">
        <v>535</v>
      </c>
      <c r="K143" s="1215"/>
      <c r="L143" s="1215"/>
      <c r="M143" s="1215" t="s">
        <v>535</v>
      </c>
      <c r="N143" s="1215" t="s">
        <v>535</v>
      </c>
      <c r="O143" s="1215" t="s">
        <v>535</v>
      </c>
      <c r="P143" s="1215" t="s">
        <v>535</v>
      </c>
      <c r="Q143" s="1215" t="s">
        <v>535</v>
      </c>
      <c r="R143" s="1215"/>
      <c r="S143" s="1215"/>
      <c r="T143" s="1215" t="s">
        <v>535</v>
      </c>
      <c r="U143" s="1215" t="s">
        <v>535</v>
      </c>
      <c r="V143" s="1215" t="s">
        <v>535</v>
      </c>
      <c r="W143" s="1215" t="s">
        <v>535</v>
      </c>
      <c r="X143" s="1215" t="s">
        <v>535</v>
      </c>
      <c r="Y143" s="1215"/>
      <c r="Z143" s="1215"/>
      <c r="AA143" s="1215" t="s">
        <v>535</v>
      </c>
      <c r="AB143" s="1215" t="s">
        <v>535</v>
      </c>
      <c r="AC143" s="1215" t="s">
        <v>535</v>
      </c>
      <c r="AD143" s="1215" t="s">
        <v>535</v>
      </c>
      <c r="AE143" s="1215" t="s">
        <v>535</v>
      </c>
      <c r="AF143" s="1215"/>
      <c r="AG143" s="1313"/>
      <c r="AH143" s="504">
        <v>185</v>
      </c>
      <c r="AI143" s="505">
        <v>37</v>
      </c>
    </row>
    <row r="144" spans="1:35" ht="21.95" customHeight="1">
      <c r="A144" s="580"/>
      <c r="B144" s="1299"/>
      <c r="C144" s="1215" t="s">
        <v>535</v>
      </c>
      <c r="D144" s="1215"/>
      <c r="E144" s="1215"/>
      <c r="F144" s="1215" t="s">
        <v>535</v>
      </c>
      <c r="G144" s="1215" t="s">
        <v>535</v>
      </c>
      <c r="H144" s="1215" t="s">
        <v>535</v>
      </c>
      <c r="I144" s="1215" t="s">
        <v>535</v>
      </c>
      <c r="J144" s="1215" t="s">
        <v>535</v>
      </c>
      <c r="K144" s="1215"/>
      <c r="L144" s="1215"/>
      <c r="M144" s="1215" t="s">
        <v>535</v>
      </c>
      <c r="N144" s="1215" t="s">
        <v>535</v>
      </c>
      <c r="O144" s="1215" t="s">
        <v>535</v>
      </c>
      <c r="P144" s="1215" t="s">
        <v>535</v>
      </c>
      <c r="Q144" s="1215" t="s">
        <v>535</v>
      </c>
      <c r="R144" s="1215"/>
      <c r="S144" s="1215"/>
      <c r="T144" s="1215" t="s">
        <v>535</v>
      </c>
      <c r="U144" s="1215" t="s">
        <v>535</v>
      </c>
      <c r="V144" s="1215" t="s">
        <v>535</v>
      </c>
      <c r="W144" s="1215" t="s">
        <v>535</v>
      </c>
      <c r="X144" s="1215" t="s">
        <v>535</v>
      </c>
      <c r="Y144" s="1215"/>
      <c r="Z144" s="1215"/>
      <c r="AA144" s="1215" t="s">
        <v>535</v>
      </c>
      <c r="AB144" s="1215" t="s">
        <v>535</v>
      </c>
      <c r="AC144" s="1215" t="s">
        <v>535</v>
      </c>
      <c r="AD144" s="1215" t="s">
        <v>535</v>
      </c>
      <c r="AE144" s="1215" t="s">
        <v>535</v>
      </c>
      <c r="AF144" s="1215"/>
      <c r="AG144" s="1313"/>
      <c r="AH144" s="504">
        <v>185</v>
      </c>
      <c r="AI144" s="505">
        <v>37</v>
      </c>
    </row>
    <row r="145" spans="1:36" ht="21.95" customHeight="1">
      <c r="A145" s="580"/>
      <c r="B145" s="1502"/>
      <c r="C145" s="559"/>
      <c r="D145" s="559"/>
      <c r="E145" s="559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59"/>
      <c r="AE145" s="559"/>
      <c r="AF145" s="559"/>
      <c r="AG145" s="559"/>
      <c r="AH145" s="560"/>
      <c r="AI145" s="560"/>
    </row>
    <row r="146" spans="1:36" ht="21.95" customHeight="1" thickBot="1">
      <c r="A146" s="1303" t="s">
        <v>751</v>
      </c>
      <c r="B146" s="541"/>
      <c r="C146" s="559"/>
      <c r="D146" s="541"/>
      <c r="E146" s="541"/>
      <c r="F146" s="541"/>
      <c r="G146" s="541"/>
      <c r="H146" s="541"/>
      <c r="I146" s="559"/>
      <c r="J146" s="559"/>
      <c r="K146" s="541"/>
      <c r="L146" s="541"/>
      <c r="M146" s="541"/>
      <c r="N146" s="541"/>
      <c r="O146" s="541"/>
      <c r="P146" s="541"/>
      <c r="Q146" s="559"/>
      <c r="R146" s="541"/>
      <c r="S146" s="541"/>
      <c r="T146" s="541"/>
      <c r="U146" s="541"/>
      <c r="V146" s="541"/>
      <c r="W146" s="559"/>
      <c r="X146" s="559"/>
      <c r="Y146" s="541"/>
      <c r="Z146" s="541"/>
      <c r="AA146" s="541"/>
      <c r="AB146" s="541"/>
      <c r="AC146" s="541"/>
      <c r="AD146" s="541"/>
      <c r="AE146" s="559"/>
      <c r="AF146" s="541"/>
      <c r="AG146" s="541"/>
      <c r="AH146" s="560"/>
      <c r="AI146" s="560"/>
    </row>
    <row r="147" spans="1:36" ht="21.95" customHeight="1">
      <c r="A147" s="580"/>
      <c r="B147" s="1304" t="s">
        <v>696</v>
      </c>
      <c r="C147" s="1312"/>
      <c r="D147" s="1305" t="s">
        <v>2</v>
      </c>
      <c r="E147" s="1306"/>
      <c r="F147" s="1307"/>
      <c r="G147" s="1308"/>
      <c r="H147" s="1305" t="s">
        <v>3</v>
      </c>
      <c r="I147" s="1306"/>
      <c r="J147" s="1307"/>
      <c r="K147" s="1308"/>
      <c r="L147" s="1305" t="s">
        <v>4</v>
      </c>
      <c r="M147" s="1306"/>
      <c r="N147" s="1307"/>
      <c r="O147" s="1308"/>
      <c r="P147" s="1305" t="s">
        <v>5</v>
      </c>
      <c r="Q147" s="1306"/>
      <c r="R147" s="1307"/>
      <c r="S147" s="1308"/>
      <c r="T147" s="1305" t="s">
        <v>6</v>
      </c>
      <c r="U147" s="1306"/>
      <c r="V147" s="1307"/>
      <c r="W147" s="1308"/>
      <c r="X147" s="1305" t="s">
        <v>7</v>
      </c>
      <c r="Y147" s="1306"/>
      <c r="Z147" s="1307"/>
      <c r="AA147" s="1308"/>
      <c r="AB147" s="1305" t="s">
        <v>8</v>
      </c>
      <c r="AC147" s="1306"/>
      <c r="AD147" s="1306"/>
      <c r="AE147" s="1309" t="s">
        <v>10</v>
      </c>
      <c r="AF147" s="1306"/>
      <c r="AG147" s="1306"/>
      <c r="AH147" s="1306"/>
      <c r="AI147" s="1310"/>
    </row>
    <row r="148" spans="1:36" ht="21.95" customHeight="1">
      <c r="A148" s="580"/>
      <c r="B148" s="1332"/>
      <c r="C148" s="1313"/>
      <c r="D148" s="1331"/>
      <c r="E148" s="1314"/>
      <c r="F148" s="1311"/>
      <c r="G148" s="1313"/>
      <c r="H148" s="1331"/>
      <c r="I148" s="1314"/>
      <c r="J148" s="1311"/>
      <c r="K148" s="1313"/>
      <c r="L148" s="1331"/>
      <c r="M148" s="1314"/>
      <c r="N148" s="1311"/>
      <c r="O148" s="1313"/>
      <c r="P148" s="1331"/>
      <c r="Q148" s="1314"/>
      <c r="R148" s="1311"/>
      <c r="S148" s="1313"/>
      <c r="T148" s="1331"/>
      <c r="U148" s="1314"/>
      <c r="V148" s="1311"/>
      <c r="W148" s="1313"/>
      <c r="X148" s="1314"/>
      <c r="Y148" s="1314"/>
      <c r="Z148" s="1311"/>
      <c r="AA148" s="1313"/>
      <c r="AB148" s="1314"/>
      <c r="AC148" s="1314"/>
      <c r="AD148" s="1314"/>
      <c r="AE148" s="1313"/>
      <c r="AF148" s="1314"/>
      <c r="AG148" s="1314"/>
      <c r="AH148" s="1316"/>
      <c r="AI148" s="1317"/>
    </row>
    <row r="149" spans="1:36" ht="21.95" customHeight="1">
      <c r="A149" s="580"/>
      <c r="B149" s="1333"/>
      <c r="C149" s="1313"/>
      <c r="D149" s="1331"/>
      <c r="E149" s="1314"/>
      <c r="F149" s="1311"/>
      <c r="G149" s="1313"/>
      <c r="H149" s="1331"/>
      <c r="I149" s="1314"/>
      <c r="J149" s="1311"/>
      <c r="K149" s="1313"/>
      <c r="L149" s="1331"/>
      <c r="M149" s="1314"/>
      <c r="N149" s="1311"/>
      <c r="O149" s="1313"/>
      <c r="P149" s="1331"/>
      <c r="Q149" s="1314"/>
      <c r="R149" s="1311"/>
      <c r="S149" s="1313"/>
      <c r="T149" s="1331"/>
      <c r="U149" s="1314"/>
      <c r="V149" s="1311"/>
      <c r="W149" s="1313"/>
      <c r="X149" s="1314"/>
      <c r="Y149" s="1314"/>
      <c r="Z149" s="1311"/>
      <c r="AA149" s="1313"/>
      <c r="AB149" s="1314"/>
      <c r="AC149" s="1314"/>
      <c r="AD149" s="1314"/>
      <c r="AE149" s="1313"/>
      <c r="AF149" s="1314"/>
      <c r="AG149" s="1314"/>
      <c r="AH149" s="1316"/>
      <c r="AI149" s="1317"/>
    </row>
    <row r="150" spans="1:36" ht="21.95" customHeight="1">
      <c r="A150" s="580"/>
      <c r="B150" s="1333"/>
      <c r="C150" s="1313"/>
      <c r="D150" s="1331"/>
      <c r="E150" s="1314"/>
      <c r="F150" s="1311"/>
      <c r="G150" s="1313"/>
      <c r="H150" s="1331"/>
      <c r="I150" s="1314"/>
      <c r="J150" s="1311"/>
      <c r="K150" s="1313"/>
      <c r="L150" s="1331"/>
      <c r="M150" s="1314"/>
      <c r="N150" s="1311"/>
      <c r="O150" s="1313"/>
      <c r="P150" s="1331"/>
      <c r="Q150" s="1314"/>
      <c r="R150" s="1311"/>
      <c r="S150" s="1313"/>
      <c r="T150" s="1331"/>
      <c r="U150" s="1314"/>
      <c r="V150" s="1311"/>
      <c r="W150" s="1313"/>
      <c r="X150" s="1314"/>
      <c r="Y150" s="1314"/>
      <c r="Z150" s="1311"/>
      <c r="AA150" s="1313"/>
      <c r="AB150" s="1314"/>
      <c r="AC150" s="1314"/>
      <c r="AD150" s="1314"/>
      <c r="AE150" s="1313"/>
      <c r="AF150" s="1314"/>
      <c r="AG150" s="1314"/>
      <c r="AH150" s="1316"/>
      <c r="AI150" s="1317"/>
    </row>
    <row r="151" spans="1:36" ht="21.95" customHeight="1" thickBot="1">
      <c r="A151" s="580"/>
      <c r="B151" s="1502"/>
      <c r="C151" s="559"/>
      <c r="D151" s="559"/>
      <c r="E151" s="559"/>
      <c r="F151" s="559"/>
      <c r="G151" s="559"/>
      <c r="H151" s="559"/>
      <c r="I151" s="559"/>
      <c r="J151" s="559"/>
      <c r="K151" s="559"/>
      <c r="L151" s="559"/>
      <c r="M151" s="559"/>
      <c r="N151" s="559"/>
      <c r="O151" s="559"/>
      <c r="P151" s="559"/>
      <c r="Q151" s="559"/>
      <c r="R151" s="559"/>
      <c r="S151" s="559"/>
      <c r="T151" s="559"/>
      <c r="U151" s="559"/>
      <c r="V151" s="559"/>
      <c r="W151" s="559"/>
      <c r="X151" s="559"/>
      <c r="Y151" s="559"/>
      <c r="Z151" s="559"/>
      <c r="AA151" s="559"/>
      <c r="AB151" s="559"/>
      <c r="AC151" s="559"/>
      <c r="AD151" s="559"/>
      <c r="AE151" s="559"/>
      <c r="AF151" s="559"/>
      <c r="AG151" s="559"/>
      <c r="AH151" s="560"/>
      <c r="AI151" s="560"/>
    </row>
    <row r="152" spans="1:36" ht="21.95" customHeight="1">
      <c r="A152" s="1232"/>
      <c r="B152" s="1298" t="s">
        <v>480</v>
      </c>
      <c r="C152" s="1234">
        <v>1</v>
      </c>
      <c r="D152" s="1235">
        <v>2</v>
      </c>
      <c r="E152" s="1235">
        <v>3</v>
      </c>
      <c r="F152" s="1234">
        <v>4</v>
      </c>
      <c r="G152" s="1234">
        <v>5</v>
      </c>
      <c r="H152" s="1234">
        <v>6</v>
      </c>
      <c r="I152" s="1213">
        <v>7</v>
      </c>
      <c r="J152" s="1213">
        <v>8</v>
      </c>
      <c r="K152" s="1235">
        <v>9</v>
      </c>
      <c r="L152" s="1235">
        <v>10</v>
      </c>
      <c r="M152" s="1234">
        <v>11</v>
      </c>
      <c r="N152" s="1234">
        <v>12</v>
      </c>
      <c r="O152" s="1234">
        <v>13</v>
      </c>
      <c r="P152" s="1213">
        <v>14</v>
      </c>
      <c r="Q152" s="1213">
        <v>15</v>
      </c>
      <c r="R152" s="1235">
        <v>16</v>
      </c>
      <c r="S152" s="1235">
        <v>17</v>
      </c>
      <c r="T152" s="1234">
        <v>18</v>
      </c>
      <c r="U152" s="1234">
        <v>19</v>
      </c>
      <c r="V152" s="1213">
        <v>20</v>
      </c>
      <c r="W152" s="1213">
        <v>21</v>
      </c>
      <c r="X152" s="1213">
        <v>22</v>
      </c>
      <c r="Y152" s="1235">
        <v>23</v>
      </c>
      <c r="Z152" s="1235">
        <v>24</v>
      </c>
      <c r="AA152" s="1234">
        <v>25</v>
      </c>
      <c r="AB152" s="1234">
        <v>26</v>
      </c>
      <c r="AC152" s="1234">
        <v>27</v>
      </c>
      <c r="AD152" s="1213">
        <v>28</v>
      </c>
      <c r="AE152" s="1213">
        <v>29</v>
      </c>
      <c r="AF152" s="1235">
        <v>30</v>
      </c>
      <c r="AG152" s="1234"/>
      <c r="AH152" s="1301" t="s">
        <v>481</v>
      </c>
      <c r="AI152" s="1302" t="s">
        <v>482</v>
      </c>
    </row>
    <row r="153" spans="1:36" ht="21.95" customHeight="1">
      <c r="A153" s="580"/>
      <c r="B153" s="1319" t="s">
        <v>752</v>
      </c>
      <c r="C153" s="1215" t="s">
        <v>535</v>
      </c>
      <c r="D153" s="1215"/>
      <c r="E153" s="1215"/>
      <c r="F153" s="1500" t="s">
        <v>535</v>
      </c>
      <c r="G153" s="1500" t="s">
        <v>535</v>
      </c>
      <c r="H153" s="1215" t="s">
        <v>535</v>
      </c>
      <c r="I153" s="1215" t="s">
        <v>535</v>
      </c>
      <c r="J153" s="1215" t="s">
        <v>535</v>
      </c>
      <c r="K153" s="1215"/>
      <c r="L153" s="1215"/>
      <c r="M153" s="1215" t="s">
        <v>535</v>
      </c>
      <c r="N153" s="1215" t="s">
        <v>535</v>
      </c>
      <c r="O153" s="1215" t="s">
        <v>535</v>
      </c>
      <c r="P153" s="1215" t="s">
        <v>535</v>
      </c>
      <c r="Q153" s="1215" t="s">
        <v>535</v>
      </c>
      <c r="R153" s="1215"/>
      <c r="S153" s="1215"/>
      <c r="T153" s="1215" t="s">
        <v>535</v>
      </c>
      <c r="U153" s="1215" t="s">
        <v>535</v>
      </c>
      <c r="V153" s="1215" t="s">
        <v>535</v>
      </c>
      <c r="W153" s="1215" t="s">
        <v>535</v>
      </c>
      <c r="X153" s="1215" t="s">
        <v>535</v>
      </c>
      <c r="Y153" s="1215"/>
      <c r="Z153" s="1215"/>
      <c r="AA153" s="1344" t="s">
        <v>535</v>
      </c>
      <c r="AB153" s="1215" t="s">
        <v>535</v>
      </c>
      <c r="AC153" s="1215" t="s">
        <v>535</v>
      </c>
      <c r="AD153" s="1215" t="s">
        <v>535</v>
      </c>
      <c r="AE153" s="1215" t="s">
        <v>535</v>
      </c>
      <c r="AF153" s="1215"/>
      <c r="AG153" s="1313"/>
      <c r="AH153" s="504">
        <v>185</v>
      </c>
      <c r="AI153" s="505">
        <v>37</v>
      </c>
    </row>
    <row r="154" spans="1:36" ht="21.95" customHeight="1">
      <c r="A154" s="580"/>
      <c r="B154" s="1319"/>
      <c r="C154" s="1215" t="s">
        <v>535</v>
      </c>
      <c r="D154" s="1215"/>
      <c r="E154" s="1215"/>
      <c r="F154" s="1215" t="s">
        <v>535</v>
      </c>
      <c r="G154" s="1215" t="s">
        <v>535</v>
      </c>
      <c r="H154" s="1215" t="s">
        <v>535</v>
      </c>
      <c r="I154" s="1215" t="s">
        <v>535</v>
      </c>
      <c r="J154" s="1215" t="s">
        <v>535</v>
      </c>
      <c r="K154" s="1215"/>
      <c r="L154" s="1215"/>
      <c r="M154" s="1215" t="s">
        <v>535</v>
      </c>
      <c r="N154" s="1215" t="s">
        <v>535</v>
      </c>
      <c r="O154" s="1215" t="s">
        <v>535</v>
      </c>
      <c r="P154" s="1215" t="s">
        <v>535</v>
      </c>
      <c r="Q154" s="1215" t="s">
        <v>535</v>
      </c>
      <c r="R154" s="1215"/>
      <c r="S154" s="1215"/>
      <c r="T154" s="1215" t="s">
        <v>535</v>
      </c>
      <c r="U154" s="1215" t="s">
        <v>535</v>
      </c>
      <c r="V154" s="1215" t="s">
        <v>535</v>
      </c>
      <c r="W154" s="1215" t="s">
        <v>535</v>
      </c>
      <c r="X154" s="1215" t="s">
        <v>535</v>
      </c>
      <c r="Y154" s="1215"/>
      <c r="Z154" s="1215"/>
      <c r="AA154" s="1215" t="s">
        <v>535</v>
      </c>
      <c r="AB154" s="1215" t="s">
        <v>535</v>
      </c>
      <c r="AC154" s="1215" t="s">
        <v>535</v>
      </c>
      <c r="AD154" s="1215" t="s">
        <v>535</v>
      </c>
      <c r="AE154" s="1215" t="s">
        <v>535</v>
      </c>
      <c r="AF154" s="1215"/>
      <c r="AG154" s="1313"/>
      <c r="AH154" s="504">
        <v>185</v>
      </c>
      <c r="AI154" s="505">
        <v>37</v>
      </c>
    </row>
    <row r="155" spans="1:36" ht="21.95" customHeight="1">
      <c r="A155" s="580"/>
      <c r="B155" s="1510" t="s">
        <v>754</v>
      </c>
      <c r="C155" s="1215" t="s">
        <v>535</v>
      </c>
      <c r="D155" s="1215"/>
      <c r="E155" s="1215"/>
      <c r="F155" s="1215" t="s">
        <v>535</v>
      </c>
      <c r="G155" s="1215" t="s">
        <v>535</v>
      </c>
      <c r="H155" s="1215" t="s">
        <v>535</v>
      </c>
      <c r="I155" s="1338" t="s">
        <v>535</v>
      </c>
      <c r="J155" s="1338" t="s">
        <v>535</v>
      </c>
      <c r="K155" s="1215"/>
      <c r="L155" s="1215"/>
      <c r="M155" s="1215" t="s">
        <v>535</v>
      </c>
      <c r="N155" s="1215" t="s">
        <v>535</v>
      </c>
      <c r="O155" s="1215" t="s">
        <v>535</v>
      </c>
      <c r="P155" s="1215" t="s">
        <v>535</v>
      </c>
      <c r="Q155" s="1215" t="s">
        <v>535</v>
      </c>
      <c r="R155" s="1215"/>
      <c r="S155" s="1215"/>
      <c r="T155" s="1215" t="s">
        <v>535</v>
      </c>
      <c r="U155" s="1215" t="s">
        <v>535</v>
      </c>
      <c r="V155" s="1215" t="s">
        <v>535</v>
      </c>
      <c r="W155" s="1338" t="s">
        <v>535</v>
      </c>
      <c r="X155" s="1215" t="s">
        <v>535</v>
      </c>
      <c r="Y155" s="1215"/>
      <c r="Z155" s="1215"/>
      <c r="AA155" s="1215" t="s">
        <v>535</v>
      </c>
      <c r="AB155" s="1215" t="s">
        <v>535</v>
      </c>
      <c r="AC155" s="1215" t="s">
        <v>535</v>
      </c>
      <c r="AD155" s="1215" t="s">
        <v>535</v>
      </c>
      <c r="AE155" s="1215" t="s">
        <v>535</v>
      </c>
      <c r="AF155" s="1215"/>
      <c r="AG155" s="1313"/>
      <c r="AH155" s="504">
        <v>185</v>
      </c>
      <c r="AI155" s="505">
        <v>37</v>
      </c>
    </row>
    <row r="156" spans="1:36" ht="21.95" customHeight="1">
      <c r="A156" s="580"/>
      <c r="B156" s="1299" t="s">
        <v>755</v>
      </c>
      <c r="C156" s="1215" t="s">
        <v>535</v>
      </c>
      <c r="D156" s="1215"/>
      <c r="E156" s="1215"/>
      <c r="F156" s="1215" t="s">
        <v>535</v>
      </c>
      <c r="G156" s="1215" t="s">
        <v>535</v>
      </c>
      <c r="H156" s="1215" t="s">
        <v>535</v>
      </c>
      <c r="I156" s="1215" t="s">
        <v>535</v>
      </c>
      <c r="J156" s="1215" t="s">
        <v>535</v>
      </c>
      <c r="K156" s="1215"/>
      <c r="L156" s="1215"/>
      <c r="M156" s="1215" t="s">
        <v>535</v>
      </c>
      <c r="N156" s="1215" t="s">
        <v>535</v>
      </c>
      <c r="O156" s="1215" t="s">
        <v>535</v>
      </c>
      <c r="P156" s="1215" t="s">
        <v>535</v>
      </c>
      <c r="Q156" s="1215" t="s">
        <v>535</v>
      </c>
      <c r="R156" s="1215"/>
      <c r="S156" s="1215"/>
      <c r="T156" s="1215" t="s">
        <v>535</v>
      </c>
      <c r="U156" s="1215" t="s">
        <v>535</v>
      </c>
      <c r="V156" s="1215" t="s">
        <v>535</v>
      </c>
      <c r="W156" s="1215" t="s">
        <v>535</v>
      </c>
      <c r="X156" s="1215" t="s">
        <v>535</v>
      </c>
      <c r="Y156" s="1215"/>
      <c r="Z156" s="1215"/>
      <c r="AA156" s="1215" t="s">
        <v>535</v>
      </c>
      <c r="AB156" s="1215" t="s">
        <v>535</v>
      </c>
      <c r="AC156" s="1215" t="s">
        <v>535</v>
      </c>
      <c r="AD156" s="1215" t="s">
        <v>535</v>
      </c>
      <c r="AE156" s="1345" t="s">
        <v>535</v>
      </c>
      <c r="AF156" s="1215"/>
      <c r="AG156" s="1313"/>
      <c r="AH156" s="504">
        <v>185</v>
      </c>
      <c r="AI156" s="505">
        <v>37</v>
      </c>
    </row>
    <row r="157" spans="1:36" ht="21.95" customHeight="1">
      <c r="A157" s="580"/>
      <c r="B157" s="1300" t="s">
        <v>756</v>
      </c>
      <c r="C157" s="1215" t="s">
        <v>535</v>
      </c>
      <c r="D157" s="1215"/>
      <c r="E157" s="1215"/>
      <c r="F157" s="1215" t="s">
        <v>535</v>
      </c>
      <c r="G157" s="1215" t="s">
        <v>535</v>
      </c>
      <c r="H157" s="1215" t="s">
        <v>535</v>
      </c>
      <c r="I157" s="1215" t="s">
        <v>535</v>
      </c>
      <c r="J157" s="1215" t="s">
        <v>535</v>
      </c>
      <c r="K157" s="1215"/>
      <c r="L157" s="1215"/>
      <c r="M157" s="1215" t="s">
        <v>535</v>
      </c>
      <c r="N157" s="1215" t="s">
        <v>535</v>
      </c>
      <c r="O157" s="1215" t="s">
        <v>535</v>
      </c>
      <c r="P157" s="1215" t="s">
        <v>535</v>
      </c>
      <c r="Q157" s="1215" t="s">
        <v>535</v>
      </c>
      <c r="R157" s="1215"/>
      <c r="S157" s="1215"/>
      <c r="T157" s="1215" t="s">
        <v>535</v>
      </c>
      <c r="U157" s="1215" t="s">
        <v>535</v>
      </c>
      <c r="V157" s="1215" t="s">
        <v>535</v>
      </c>
      <c r="W157" s="1215" t="s">
        <v>535</v>
      </c>
      <c r="X157" s="1215" t="s">
        <v>535</v>
      </c>
      <c r="Y157" s="1215"/>
      <c r="Z157" s="1215"/>
      <c r="AA157" s="1215" t="s">
        <v>535</v>
      </c>
      <c r="AB157" s="1215" t="s">
        <v>535</v>
      </c>
      <c r="AC157" s="1215" t="s">
        <v>535</v>
      </c>
      <c r="AD157" s="1215" t="s">
        <v>535</v>
      </c>
      <c r="AE157" s="1215" t="s">
        <v>535</v>
      </c>
      <c r="AF157" s="1215"/>
      <c r="AG157" s="1313"/>
      <c r="AH157" s="504">
        <v>185</v>
      </c>
      <c r="AI157" s="505">
        <v>37</v>
      </c>
    </row>
    <row r="158" spans="1:36" ht="21.95" customHeight="1">
      <c r="A158" s="580"/>
      <c r="B158" s="1299"/>
      <c r="C158" s="1215" t="s">
        <v>535</v>
      </c>
      <c r="D158" s="1215"/>
      <c r="E158" s="1215"/>
      <c r="F158" s="1215" t="s">
        <v>535</v>
      </c>
      <c r="G158" s="1215" t="s">
        <v>535</v>
      </c>
      <c r="H158" s="1215" t="s">
        <v>535</v>
      </c>
      <c r="I158" s="1215" t="s">
        <v>535</v>
      </c>
      <c r="J158" s="1215" t="s">
        <v>535</v>
      </c>
      <c r="K158" s="1215"/>
      <c r="L158" s="1215"/>
      <c r="M158" s="1215" t="s">
        <v>535</v>
      </c>
      <c r="N158" s="1215" t="s">
        <v>535</v>
      </c>
      <c r="O158" s="1215" t="s">
        <v>535</v>
      </c>
      <c r="P158" s="1215" t="s">
        <v>535</v>
      </c>
      <c r="Q158" s="1215" t="s">
        <v>535</v>
      </c>
      <c r="R158" s="1215"/>
      <c r="S158" s="1215"/>
      <c r="T158" s="1215" t="s">
        <v>535</v>
      </c>
      <c r="U158" s="1215" t="s">
        <v>535</v>
      </c>
      <c r="V158" s="1215" t="s">
        <v>535</v>
      </c>
      <c r="W158" s="1215" t="s">
        <v>535</v>
      </c>
      <c r="X158" s="1215" t="s">
        <v>535</v>
      </c>
      <c r="Y158" s="1215"/>
      <c r="Z158" s="1215"/>
      <c r="AA158" s="1215" t="s">
        <v>535</v>
      </c>
      <c r="AB158" s="1215" t="s">
        <v>535</v>
      </c>
      <c r="AC158" s="1215" t="s">
        <v>535</v>
      </c>
      <c r="AD158" s="1215" t="s">
        <v>535</v>
      </c>
      <c r="AE158" s="1215" t="s">
        <v>535</v>
      </c>
      <c r="AF158" s="1215"/>
      <c r="AG158" s="1313"/>
      <c r="AH158" s="504">
        <v>185</v>
      </c>
      <c r="AI158" s="505">
        <v>37</v>
      </c>
    </row>
    <row r="159" spans="1:36" ht="21.95" customHeight="1">
      <c r="A159" s="580"/>
      <c r="B159" s="1502"/>
      <c r="C159" s="559"/>
      <c r="D159" s="559"/>
      <c r="E159" s="559"/>
      <c r="F159" s="559"/>
      <c r="G159" s="559"/>
      <c r="H159" s="559"/>
      <c r="I159" s="559"/>
      <c r="J159" s="559"/>
      <c r="K159" s="559"/>
      <c r="L159" s="559"/>
      <c r="M159" s="559"/>
      <c r="N159" s="559"/>
      <c r="O159" s="559"/>
      <c r="P159" s="559"/>
      <c r="Q159" s="559"/>
      <c r="R159" s="559"/>
      <c r="S159" s="559"/>
      <c r="T159" s="559"/>
      <c r="U159" s="559"/>
      <c r="V159" s="559"/>
      <c r="W159" s="559"/>
      <c r="X159" s="559"/>
      <c r="Y159" s="559"/>
      <c r="Z159" s="559"/>
      <c r="AA159" s="559"/>
      <c r="AB159" s="559"/>
      <c r="AC159" s="559"/>
      <c r="AD159" s="559"/>
      <c r="AE159" s="559"/>
      <c r="AF159" s="559"/>
      <c r="AG159" s="559"/>
      <c r="AH159" s="560"/>
      <c r="AI159" s="560"/>
    </row>
    <row r="160" spans="1:36" ht="21.95" customHeight="1">
      <c r="A160" s="312" t="s">
        <v>527</v>
      </c>
      <c r="C160" s="559"/>
      <c r="D160" s="559"/>
      <c r="E160" s="559"/>
      <c r="F160" s="559"/>
      <c r="G160" s="559"/>
      <c r="H160" s="559"/>
      <c r="I160" s="559"/>
      <c r="J160" s="559"/>
      <c r="K160" s="559"/>
      <c r="L160" s="559"/>
      <c r="M160" s="559"/>
      <c r="N160" s="559"/>
      <c r="O160" s="559"/>
      <c r="P160" s="559"/>
      <c r="Q160" s="559"/>
      <c r="R160" s="559"/>
      <c r="S160" s="559"/>
      <c r="T160" s="559"/>
      <c r="U160" s="559"/>
      <c r="V160" s="559"/>
      <c r="W160" s="559"/>
      <c r="X160" s="559"/>
      <c r="Y160" s="559"/>
      <c r="Z160" s="559"/>
      <c r="AA160" s="559"/>
      <c r="AB160" s="559"/>
      <c r="AC160" s="559"/>
      <c r="AD160" s="559"/>
      <c r="AE160" s="559"/>
      <c r="AF160" s="559"/>
      <c r="AG160" s="559"/>
      <c r="AH160" s="560"/>
      <c r="AI160" s="560"/>
      <c r="AJ160" s="361"/>
    </row>
    <row r="161" spans="1:36" ht="21.95" customHeight="1">
      <c r="A161" s="299" t="s">
        <v>528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9" t="s">
        <v>10</v>
      </c>
      <c r="Y161" s="186"/>
      <c r="Z161" s="186"/>
      <c r="AA161" s="565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529</v>
      </c>
      <c r="C162" s="588" t="s">
        <v>124</v>
      </c>
      <c r="D162" s="585"/>
      <c r="E162" s="590"/>
      <c r="F162" s="588" t="s">
        <v>124</v>
      </c>
      <c r="G162" s="591"/>
      <c r="H162" s="590"/>
      <c r="I162" s="121" t="s">
        <v>124</v>
      </c>
      <c r="J162" s="569"/>
      <c r="K162" s="592"/>
      <c r="L162" s="121" t="s">
        <v>124</v>
      </c>
      <c r="M162" s="569"/>
      <c r="N162" s="592"/>
      <c r="O162" s="121" t="s">
        <v>125</v>
      </c>
      <c r="P162" s="569"/>
      <c r="Q162" s="477"/>
      <c r="R162" s="593" t="s">
        <v>28</v>
      </c>
      <c r="S162" s="569"/>
      <c r="T162" s="592"/>
      <c r="U162" s="569" t="s">
        <v>28</v>
      </c>
      <c r="V162" s="569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4"/>
      <c r="AH162" s="361"/>
      <c r="AI162" s="361"/>
      <c r="AJ162" s="361"/>
    </row>
    <row r="163" spans="1:36" ht="21.95" customHeight="1">
      <c r="A163" s="595">
        <v>8502</v>
      </c>
      <c r="B163" s="596" t="s">
        <v>530</v>
      </c>
      <c r="C163" s="121" t="s">
        <v>11</v>
      </c>
      <c r="D163" s="569"/>
      <c r="E163" s="477"/>
      <c r="F163" s="121" t="s">
        <v>11</v>
      </c>
      <c r="G163" s="569"/>
      <c r="H163" s="592"/>
      <c r="I163" s="121" t="s">
        <v>11</v>
      </c>
      <c r="J163" s="569"/>
      <c r="K163" s="592"/>
      <c r="L163" s="121" t="s">
        <v>11</v>
      </c>
      <c r="M163" s="569"/>
      <c r="N163" s="592"/>
      <c r="O163" s="121" t="s">
        <v>12</v>
      </c>
      <c r="P163" s="569"/>
      <c r="Q163" s="477"/>
      <c r="R163" s="597"/>
      <c r="S163" s="598"/>
      <c r="T163" s="592"/>
      <c r="U163" s="569"/>
      <c r="V163" s="569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9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9"/>
      <c r="B165" s="182" t="s">
        <v>480</v>
      </c>
      <c r="C165" s="1234">
        <v>1</v>
      </c>
      <c r="D165" s="1235">
        <v>2</v>
      </c>
      <c r="E165" s="1235">
        <v>3</v>
      </c>
      <c r="F165" s="1234">
        <v>4</v>
      </c>
      <c r="G165" s="1234">
        <v>5</v>
      </c>
      <c r="H165" s="1234">
        <v>6</v>
      </c>
      <c r="I165" s="1213">
        <v>7</v>
      </c>
      <c r="J165" s="1213">
        <v>8</v>
      </c>
      <c r="K165" s="1235">
        <v>9</v>
      </c>
      <c r="L165" s="1235">
        <v>10</v>
      </c>
      <c r="M165" s="1234">
        <v>11</v>
      </c>
      <c r="N165" s="1234">
        <v>12</v>
      </c>
      <c r="O165" s="1234">
        <v>13</v>
      </c>
      <c r="P165" s="1213">
        <v>14</v>
      </c>
      <c r="Q165" s="1213">
        <v>15</v>
      </c>
      <c r="R165" s="1235">
        <v>16</v>
      </c>
      <c r="S165" s="1235">
        <v>17</v>
      </c>
      <c r="T165" s="1234">
        <v>18</v>
      </c>
      <c r="U165" s="1234">
        <v>19</v>
      </c>
      <c r="V165" s="1213">
        <v>20</v>
      </c>
      <c r="W165" s="1213">
        <v>21</v>
      </c>
      <c r="X165" s="1213">
        <v>22</v>
      </c>
      <c r="Y165" s="1235">
        <v>23</v>
      </c>
      <c r="Z165" s="1235">
        <v>24</v>
      </c>
      <c r="AA165" s="1234">
        <v>25</v>
      </c>
      <c r="AB165" s="1234">
        <v>26</v>
      </c>
      <c r="AC165" s="1234">
        <v>27</v>
      </c>
      <c r="AD165" s="1213">
        <v>28</v>
      </c>
      <c r="AE165" s="1213">
        <v>29</v>
      </c>
      <c r="AF165" s="1235">
        <v>30</v>
      </c>
      <c r="AG165" s="1234"/>
      <c r="AH165" s="600" t="s">
        <v>481</v>
      </c>
      <c r="AI165" s="601" t="s">
        <v>482</v>
      </c>
    </row>
    <row r="166" spans="1:36" ht="21.95" customHeight="1">
      <c r="A166" s="602">
        <v>1</v>
      </c>
      <c r="B166" s="153" t="s">
        <v>531</v>
      </c>
      <c r="C166" s="1346" t="s">
        <v>535</v>
      </c>
      <c r="D166" s="1215"/>
      <c r="E166" s="1215"/>
      <c r="F166" s="1346" t="s">
        <v>535</v>
      </c>
      <c r="G166" s="1346" t="s">
        <v>535</v>
      </c>
      <c r="H166" s="1346" t="s">
        <v>535</v>
      </c>
      <c r="I166" s="1346" t="s">
        <v>535</v>
      </c>
      <c r="J166" s="1346" t="s">
        <v>535</v>
      </c>
      <c r="K166" s="1215"/>
      <c r="L166" s="1215"/>
      <c r="M166" s="1346" t="s">
        <v>535</v>
      </c>
      <c r="N166" s="1346" t="s">
        <v>535</v>
      </c>
      <c r="O166" s="1346" t="s">
        <v>535</v>
      </c>
      <c r="P166" s="1346" t="s">
        <v>535</v>
      </c>
      <c r="Q166" s="1346" t="s">
        <v>535</v>
      </c>
      <c r="R166" s="1215"/>
      <c r="S166" s="1215"/>
      <c r="T166" s="1346" t="s">
        <v>535</v>
      </c>
      <c r="U166" s="1346" t="s">
        <v>535</v>
      </c>
      <c r="V166" s="1346" t="s">
        <v>535</v>
      </c>
      <c r="W166" s="1346" t="s">
        <v>535</v>
      </c>
      <c r="X166" s="1346" t="s">
        <v>535</v>
      </c>
      <c r="Y166" s="1215"/>
      <c r="Z166" s="1215"/>
      <c r="AA166" s="1346" t="s">
        <v>535</v>
      </c>
      <c r="AB166" s="1392" t="s">
        <v>535</v>
      </c>
      <c r="AC166" s="1392" t="s">
        <v>535</v>
      </c>
      <c r="AD166" s="1392" t="s">
        <v>535</v>
      </c>
      <c r="AE166" s="1392" t="s">
        <v>535</v>
      </c>
      <c r="AF166" s="1215"/>
      <c r="AG166" s="1215"/>
      <c r="AH166" s="1320">
        <v>185</v>
      </c>
      <c r="AI166" s="1321">
        <v>37</v>
      </c>
    </row>
    <row r="167" spans="1:36" ht="21.95" customHeight="1">
      <c r="A167" s="602">
        <v>2</v>
      </c>
      <c r="B167" s="153" t="s">
        <v>534</v>
      </c>
      <c r="C167" s="1215">
        <v>4</v>
      </c>
      <c r="D167" s="1215">
        <v>1</v>
      </c>
      <c r="E167" s="1215"/>
      <c r="F167" s="1215" t="s">
        <v>485</v>
      </c>
      <c r="G167" s="1215" t="s">
        <v>485</v>
      </c>
      <c r="H167" s="1215">
        <v>6</v>
      </c>
      <c r="I167" s="1215">
        <v>6</v>
      </c>
      <c r="J167" s="1215">
        <v>6</v>
      </c>
      <c r="K167" s="1215"/>
      <c r="L167" s="1215"/>
      <c r="M167" s="1215">
        <v>3</v>
      </c>
      <c r="N167" s="1215">
        <v>3</v>
      </c>
      <c r="O167" s="1215">
        <v>3</v>
      </c>
      <c r="P167" s="1215" t="s">
        <v>485</v>
      </c>
      <c r="Q167" s="1215">
        <v>3</v>
      </c>
      <c r="R167" s="1215"/>
      <c r="S167" s="1215"/>
      <c r="T167" s="1215">
        <v>10</v>
      </c>
      <c r="U167" s="1215">
        <v>10</v>
      </c>
      <c r="V167" s="1215">
        <v>10</v>
      </c>
      <c r="W167" s="1215" t="s">
        <v>487</v>
      </c>
      <c r="X167" s="1215" t="s">
        <v>487</v>
      </c>
      <c r="Y167" s="1215"/>
      <c r="Z167" s="1215"/>
      <c r="AA167" s="1215">
        <v>1</v>
      </c>
      <c r="AB167" s="1500" t="s">
        <v>514</v>
      </c>
      <c r="AC167" s="1500" t="s">
        <v>514</v>
      </c>
      <c r="AD167" s="1500" t="s">
        <v>514</v>
      </c>
      <c r="AE167" s="1215">
        <v>1</v>
      </c>
      <c r="AF167" s="1215"/>
      <c r="AG167" s="1215"/>
      <c r="AH167" s="1322">
        <v>185</v>
      </c>
      <c r="AI167" s="1323">
        <v>37</v>
      </c>
    </row>
    <row r="168" spans="1:36" ht="21.95" customHeight="1">
      <c r="A168" s="602">
        <v>3</v>
      </c>
      <c r="B168" s="153" t="s">
        <v>536</v>
      </c>
      <c r="C168" s="1215" t="s">
        <v>487</v>
      </c>
      <c r="D168" s="1215"/>
      <c r="E168" s="1215"/>
      <c r="F168" s="1215">
        <v>8</v>
      </c>
      <c r="G168" s="1215">
        <v>8</v>
      </c>
      <c r="H168" s="1215">
        <v>8</v>
      </c>
      <c r="I168" s="1215">
        <v>8</v>
      </c>
      <c r="J168" s="1215">
        <v>8</v>
      </c>
      <c r="K168" s="1215" t="s">
        <v>533</v>
      </c>
      <c r="L168" s="1215" t="s">
        <v>533</v>
      </c>
      <c r="M168" s="1215" t="s">
        <v>487</v>
      </c>
      <c r="N168" s="1215" t="s">
        <v>487</v>
      </c>
      <c r="O168" s="1215" t="s">
        <v>487</v>
      </c>
      <c r="P168" s="1215" t="s">
        <v>487</v>
      </c>
      <c r="Q168" s="1215" t="s">
        <v>487</v>
      </c>
      <c r="R168" s="1215"/>
      <c r="S168" s="1215"/>
      <c r="T168" s="1215">
        <v>1</v>
      </c>
      <c r="U168" s="1215">
        <v>1</v>
      </c>
      <c r="V168" s="1215">
        <v>1</v>
      </c>
      <c r="W168" s="1215">
        <v>1</v>
      </c>
      <c r="X168" s="1215">
        <v>1</v>
      </c>
      <c r="Y168" s="1215"/>
      <c r="Z168" s="1215"/>
      <c r="AA168" s="1344">
        <v>3</v>
      </c>
      <c r="AB168" s="1500">
        <v>9</v>
      </c>
      <c r="AC168" s="1500">
        <v>9</v>
      </c>
      <c r="AD168" s="1500">
        <v>9</v>
      </c>
      <c r="AE168" s="1215">
        <v>9</v>
      </c>
      <c r="AF168" s="1344" t="s">
        <v>543</v>
      </c>
      <c r="AG168" s="1215"/>
      <c r="AH168" s="1322">
        <v>117</v>
      </c>
      <c r="AI168" s="1323">
        <v>37</v>
      </c>
    </row>
    <row r="169" spans="1:36" ht="21.95" customHeight="1">
      <c r="A169" s="602">
        <v>4</v>
      </c>
      <c r="B169" s="1241" t="s">
        <v>542</v>
      </c>
      <c r="C169" s="1215" t="s">
        <v>487</v>
      </c>
      <c r="D169" s="1215" t="s">
        <v>533</v>
      </c>
      <c r="E169" s="1215"/>
      <c r="F169" s="1215">
        <v>9</v>
      </c>
      <c r="G169" s="1215">
        <v>9</v>
      </c>
      <c r="H169" s="1215" t="s">
        <v>487</v>
      </c>
      <c r="I169" s="1215" t="s">
        <v>487</v>
      </c>
      <c r="J169" s="1215" t="s">
        <v>487</v>
      </c>
      <c r="K169" s="1215"/>
      <c r="L169" s="1215"/>
      <c r="M169" s="1215" t="s">
        <v>537</v>
      </c>
      <c r="N169" s="1215" t="s">
        <v>537</v>
      </c>
      <c r="O169" s="1215" t="s">
        <v>537</v>
      </c>
      <c r="P169" s="1215" t="s">
        <v>537</v>
      </c>
      <c r="Q169" s="1215" t="s">
        <v>537</v>
      </c>
      <c r="R169" s="1215"/>
      <c r="S169" s="1215"/>
      <c r="T169" s="1215" t="s">
        <v>484</v>
      </c>
      <c r="U169" s="1215" t="s">
        <v>484</v>
      </c>
      <c r="V169" s="1215" t="s">
        <v>484</v>
      </c>
      <c r="W169" s="1215" t="s">
        <v>550</v>
      </c>
      <c r="X169" s="1215" t="s">
        <v>550</v>
      </c>
      <c r="Y169" s="1215"/>
      <c r="Z169" s="1215"/>
      <c r="AA169" s="1215" t="s">
        <v>548</v>
      </c>
      <c r="AB169" s="1215">
        <v>4</v>
      </c>
      <c r="AC169" s="1215" t="s">
        <v>537</v>
      </c>
      <c r="AD169" s="1215">
        <v>4</v>
      </c>
      <c r="AE169" s="1215" t="s">
        <v>537</v>
      </c>
      <c r="AF169" s="1215"/>
      <c r="AG169" s="1215"/>
      <c r="AH169" s="1322">
        <v>185</v>
      </c>
      <c r="AI169" s="1323">
        <v>37</v>
      </c>
    </row>
    <row r="170" spans="1:36" ht="21.95" customHeight="1">
      <c r="A170" s="602">
        <v>5</v>
      </c>
      <c r="B170" s="319" t="s">
        <v>771</v>
      </c>
      <c r="C170" s="1215">
        <v>8</v>
      </c>
      <c r="D170" s="1215" t="s">
        <v>533</v>
      </c>
      <c r="E170" s="1215" t="s">
        <v>533</v>
      </c>
      <c r="F170" s="1215" t="s">
        <v>487</v>
      </c>
      <c r="G170" s="1215" t="s">
        <v>487</v>
      </c>
      <c r="H170" s="1215" t="s">
        <v>487</v>
      </c>
      <c r="I170" s="1215" t="s">
        <v>487</v>
      </c>
      <c r="J170" s="1215" t="s">
        <v>487</v>
      </c>
      <c r="K170" s="1215"/>
      <c r="L170" s="1215"/>
      <c r="M170" s="1215">
        <v>1</v>
      </c>
      <c r="N170" s="1215">
        <v>1</v>
      </c>
      <c r="O170" s="1215">
        <v>1</v>
      </c>
      <c r="P170" s="1215">
        <v>1</v>
      </c>
      <c r="Q170" s="1215">
        <v>1</v>
      </c>
      <c r="R170" s="1215"/>
      <c r="S170" s="1215"/>
      <c r="T170" s="1215" t="s">
        <v>537</v>
      </c>
      <c r="U170" s="1215" t="s">
        <v>537</v>
      </c>
      <c r="V170" s="1215" t="s">
        <v>514</v>
      </c>
      <c r="W170" s="1215" t="s">
        <v>514</v>
      </c>
      <c r="X170" s="1215" t="s">
        <v>487</v>
      </c>
      <c r="Y170" s="1215"/>
      <c r="Z170" s="1215"/>
      <c r="AA170" s="557" t="s">
        <v>485</v>
      </c>
      <c r="AB170" s="557" t="s">
        <v>485</v>
      </c>
      <c r="AC170" s="557" t="s">
        <v>485</v>
      </c>
      <c r="AD170" s="1344">
        <v>1</v>
      </c>
      <c r="AE170" s="557" t="s">
        <v>484</v>
      </c>
      <c r="AF170" s="1215" t="s">
        <v>660</v>
      </c>
      <c r="AG170" s="1215"/>
      <c r="AH170" s="1324">
        <v>185</v>
      </c>
      <c r="AI170" s="1325">
        <v>37</v>
      </c>
    </row>
    <row r="171" spans="1:36" ht="21.95" customHeight="1">
      <c r="A171" s="602">
        <v>6</v>
      </c>
      <c r="B171" s="153" t="s">
        <v>773</v>
      </c>
      <c r="C171" s="1215" t="s">
        <v>535</v>
      </c>
      <c r="D171" s="1215" t="s">
        <v>637</v>
      </c>
      <c r="E171" s="1215" t="s">
        <v>637</v>
      </c>
      <c r="F171" s="1335" t="s">
        <v>514</v>
      </c>
      <c r="G171" s="1335" t="s">
        <v>514</v>
      </c>
      <c r="H171" s="1344" t="s">
        <v>485</v>
      </c>
      <c r="I171" s="1344" t="s">
        <v>484</v>
      </c>
      <c r="J171" s="1344" t="s">
        <v>484</v>
      </c>
      <c r="K171" s="1215" t="s">
        <v>486</v>
      </c>
      <c r="L171" s="1215" t="s">
        <v>486</v>
      </c>
      <c r="M171" s="1215" t="s">
        <v>487</v>
      </c>
      <c r="N171" s="1215" t="s">
        <v>487</v>
      </c>
      <c r="O171" s="1215" t="s">
        <v>487</v>
      </c>
      <c r="P171" s="1215">
        <v>3</v>
      </c>
      <c r="Q171" s="1215" t="s">
        <v>535</v>
      </c>
      <c r="R171" s="1215"/>
      <c r="S171" s="1215"/>
      <c r="T171" s="1215">
        <v>8</v>
      </c>
      <c r="U171" s="1215">
        <v>3</v>
      </c>
      <c r="V171" s="1215" t="s">
        <v>514</v>
      </c>
      <c r="W171" s="1215" t="s">
        <v>485</v>
      </c>
      <c r="X171" s="1215" t="s">
        <v>485</v>
      </c>
      <c r="Y171" s="1215" t="s">
        <v>486</v>
      </c>
      <c r="Z171" s="1215" t="s">
        <v>486</v>
      </c>
      <c r="AA171" s="1215" t="s">
        <v>487</v>
      </c>
      <c r="AB171" s="1500" t="s">
        <v>535</v>
      </c>
      <c r="AC171" s="1500" t="s">
        <v>535</v>
      </c>
      <c r="AD171" s="1500" t="s">
        <v>535</v>
      </c>
      <c r="AE171" s="1215" t="s">
        <v>487</v>
      </c>
      <c r="AF171" s="1215"/>
      <c r="AG171" s="1215"/>
      <c r="AH171" s="1326">
        <v>185</v>
      </c>
      <c r="AI171" s="1327">
        <v>37</v>
      </c>
    </row>
    <row r="172" spans="1:36" ht="21.95" customHeight="1">
      <c r="A172" s="602">
        <v>7</v>
      </c>
      <c r="B172" s="902" t="s">
        <v>778</v>
      </c>
      <c r="C172" s="1344" t="s">
        <v>514</v>
      </c>
      <c r="D172" s="1344"/>
      <c r="E172" s="1344"/>
      <c r="F172" s="1344" t="s">
        <v>514</v>
      </c>
      <c r="G172" s="1392" t="s">
        <v>570</v>
      </c>
      <c r="H172" s="1215" t="s">
        <v>514</v>
      </c>
      <c r="I172" s="1215" t="s">
        <v>514</v>
      </c>
      <c r="J172" s="1215" t="s">
        <v>514</v>
      </c>
      <c r="K172" s="1215"/>
      <c r="L172" s="1215"/>
      <c r="M172" s="1215" t="s">
        <v>514</v>
      </c>
      <c r="N172" s="1215" t="s">
        <v>514</v>
      </c>
      <c r="O172" s="1215" t="s">
        <v>514</v>
      </c>
      <c r="P172" s="1215" t="s">
        <v>514</v>
      </c>
      <c r="Q172" s="1215" t="s">
        <v>514</v>
      </c>
      <c r="R172" s="1215"/>
      <c r="S172" s="1215"/>
      <c r="T172" s="1215" t="s">
        <v>514</v>
      </c>
      <c r="U172" s="1392" t="s">
        <v>514</v>
      </c>
      <c r="V172" s="1392" t="s">
        <v>570</v>
      </c>
      <c r="W172" s="1215" t="s">
        <v>514</v>
      </c>
      <c r="X172" s="1344" t="s">
        <v>514</v>
      </c>
      <c r="Y172" s="1215"/>
      <c r="Z172" s="1215"/>
      <c r="AA172" s="1215" t="s">
        <v>514</v>
      </c>
      <c r="AB172" s="1500" t="s">
        <v>514</v>
      </c>
      <c r="AC172" s="1500" t="s">
        <v>514</v>
      </c>
      <c r="AD172" s="1500" t="s">
        <v>514</v>
      </c>
      <c r="AE172" s="1215" t="s">
        <v>514</v>
      </c>
      <c r="AF172" s="1215"/>
      <c r="AG172" s="1215"/>
      <c r="AH172" s="1326">
        <v>148</v>
      </c>
      <c r="AI172" s="1327">
        <v>37</v>
      </c>
    </row>
    <row r="173" spans="1:36" ht="21.95" customHeight="1">
      <c r="A173" s="602">
        <v>8</v>
      </c>
      <c r="B173" s="902"/>
      <c r="C173" s="1215"/>
      <c r="D173" s="1215"/>
      <c r="E173" s="1215"/>
      <c r="F173" s="1215"/>
      <c r="G173" s="1215"/>
      <c r="H173" s="1215"/>
      <c r="I173" s="1215"/>
      <c r="J173" s="1215"/>
      <c r="K173" s="1215"/>
      <c r="L173" s="1215"/>
      <c r="M173" s="1215"/>
      <c r="N173" s="1215"/>
      <c r="O173" s="1215"/>
      <c r="P173" s="1215"/>
      <c r="Q173" s="1215"/>
      <c r="R173" s="1215"/>
      <c r="S173" s="1215"/>
      <c r="T173" s="1215"/>
      <c r="U173" s="1215"/>
      <c r="V173" s="1215"/>
      <c r="W173" s="1215"/>
      <c r="X173" s="1215"/>
      <c r="Y173" s="1215"/>
      <c r="Z173" s="1215"/>
      <c r="AA173" s="1215"/>
      <c r="AB173" s="1215"/>
      <c r="AC173" s="1215"/>
      <c r="AD173" s="1215"/>
      <c r="AE173" s="1215"/>
      <c r="AF173" s="1215"/>
      <c r="AG173" s="1215"/>
      <c r="AH173" s="1326">
        <v>185</v>
      </c>
      <c r="AI173" s="1327">
        <v>37</v>
      </c>
    </row>
    <row r="174" spans="1:36" ht="21.95" customHeight="1">
      <c r="A174" s="602">
        <v>9</v>
      </c>
      <c r="B174" s="153"/>
      <c r="C174" s="1215"/>
      <c r="D174" s="1215"/>
      <c r="E174" s="1215"/>
      <c r="F174" s="1215"/>
      <c r="G174" s="1215"/>
      <c r="H174" s="1215"/>
      <c r="I174" s="1215"/>
      <c r="J174" s="1215"/>
      <c r="K174" s="1215"/>
      <c r="L174" s="1215"/>
      <c r="M174" s="1215"/>
      <c r="N174" s="1215"/>
      <c r="O174" s="1215"/>
      <c r="P174" s="1215"/>
      <c r="Q174" s="1215"/>
      <c r="R174" s="1215"/>
      <c r="S174" s="1215"/>
      <c r="T174" s="1215"/>
      <c r="U174" s="1215"/>
      <c r="V174" s="1215"/>
      <c r="W174" s="1215"/>
      <c r="X174" s="1215"/>
      <c r="Y174" s="1215"/>
      <c r="Z174" s="1215"/>
      <c r="AA174" s="1215"/>
      <c r="AB174" s="1215"/>
      <c r="AC174" s="1215"/>
      <c r="AD174" s="1215"/>
      <c r="AE174" s="1215"/>
      <c r="AF174" s="1215"/>
      <c r="AG174" s="1215"/>
      <c r="AH174" s="1326">
        <v>185</v>
      </c>
      <c r="AI174" s="1327">
        <v>37</v>
      </c>
    </row>
    <row r="175" spans="1:36" ht="21.95" customHeight="1">
      <c r="A175" s="602">
        <v>10</v>
      </c>
      <c r="B175" s="153"/>
      <c r="C175" s="1213"/>
      <c r="D175" s="1213"/>
      <c r="E175" s="1213"/>
      <c r="F175" s="1213"/>
      <c r="G175" s="1213"/>
      <c r="H175" s="1213"/>
      <c r="I175" s="1213"/>
      <c r="J175" s="1213"/>
      <c r="K175" s="1213"/>
      <c r="L175" s="1213"/>
      <c r="M175" s="1213"/>
      <c r="N175" s="1213"/>
      <c r="O175" s="1213"/>
      <c r="P175" s="1213"/>
      <c r="Q175" s="1213"/>
      <c r="R175" s="1213"/>
      <c r="S175" s="1213"/>
      <c r="T175" s="1213"/>
      <c r="U175" s="1213"/>
      <c r="V175" s="1213"/>
      <c r="W175" s="1215"/>
      <c r="X175" s="1213"/>
      <c r="Y175" s="1213"/>
      <c r="Z175" s="1213"/>
      <c r="AA175" s="1213"/>
      <c r="AB175" s="1213"/>
      <c r="AC175" s="1213"/>
      <c r="AD175" s="1213"/>
      <c r="AE175" s="1213"/>
      <c r="AF175" s="1213"/>
      <c r="AG175" s="1230"/>
      <c r="AH175" s="1326">
        <v>185</v>
      </c>
      <c r="AI175" s="1327">
        <v>37</v>
      </c>
    </row>
    <row r="176" spans="1:36" ht="21.95" customHeight="1">
      <c r="A176" s="602">
        <v>11</v>
      </c>
      <c r="B176" s="153"/>
      <c r="C176" s="1213"/>
      <c r="D176" s="1213"/>
      <c r="E176" s="1213"/>
      <c r="F176" s="1213"/>
      <c r="G176" s="1213"/>
      <c r="H176" s="1213"/>
      <c r="I176" s="1213"/>
      <c r="J176" s="1213"/>
      <c r="K176" s="1213"/>
      <c r="L176" s="1213"/>
      <c r="M176" s="1213"/>
      <c r="N176" s="1213"/>
      <c r="O176" s="1213"/>
      <c r="P176" s="1213"/>
      <c r="Q176" s="1213"/>
      <c r="R176" s="1213"/>
      <c r="S176" s="1213"/>
      <c r="T176" s="1213"/>
      <c r="U176" s="1213"/>
      <c r="V176" s="1213"/>
      <c r="W176" s="1215"/>
      <c r="X176" s="1213"/>
      <c r="Y176" s="1213"/>
      <c r="Z176" s="1213"/>
      <c r="AA176" s="1213"/>
      <c r="AB176" s="1213"/>
      <c r="AC176" s="1213"/>
      <c r="AD176" s="1213"/>
      <c r="AE176" s="1213"/>
      <c r="AF176" s="1213"/>
      <c r="AG176" s="1230"/>
      <c r="AH176" s="1326">
        <v>185</v>
      </c>
      <c r="AI176" s="1327">
        <v>37</v>
      </c>
    </row>
    <row r="177" spans="1:35" ht="21.95" customHeight="1" thickBot="1">
      <c r="A177" s="602">
        <v>12</v>
      </c>
      <c r="B177" s="153"/>
      <c r="C177" s="1213"/>
      <c r="D177" s="1213"/>
      <c r="E177" s="1213"/>
      <c r="F177" s="1213"/>
      <c r="G177" s="1213"/>
      <c r="H177" s="1213"/>
      <c r="I177" s="1213"/>
      <c r="J177" s="1213"/>
      <c r="K177" s="1213"/>
      <c r="L177" s="1213"/>
      <c r="M177" s="1213"/>
      <c r="N177" s="1213"/>
      <c r="O177" s="1213"/>
      <c r="P177" s="1213"/>
      <c r="Q177" s="1213"/>
      <c r="R177" s="1213"/>
      <c r="S177" s="1213"/>
      <c r="T177" s="1213"/>
      <c r="U177" s="1213"/>
      <c r="V177" s="1213"/>
      <c r="W177" s="1215"/>
      <c r="X177" s="1213"/>
      <c r="Y177" s="1213"/>
      <c r="Z177" s="1213"/>
      <c r="AA177" s="1213"/>
      <c r="AB177" s="1213"/>
      <c r="AC177" s="1213"/>
      <c r="AD177" s="1213"/>
      <c r="AE177" s="1213"/>
      <c r="AF177" s="1213"/>
      <c r="AG177" s="1230"/>
      <c r="AH177" s="1328">
        <v>185</v>
      </c>
      <c r="AI177" s="1329">
        <v>37</v>
      </c>
    </row>
    <row r="178" spans="1:35" ht="21" customHeight="1">
      <c r="A178" s="312" t="s">
        <v>787</v>
      </c>
    </row>
    <row r="179" spans="1:35" ht="21" customHeight="1">
      <c r="A179" s="556"/>
      <c r="B179" s="297" t="s">
        <v>480</v>
      </c>
      <c r="C179" s="1234">
        <v>1</v>
      </c>
      <c r="D179" s="1235">
        <v>2</v>
      </c>
      <c r="E179" s="1235">
        <v>3</v>
      </c>
      <c r="F179" s="1234">
        <v>4</v>
      </c>
      <c r="G179" s="1234">
        <v>5</v>
      </c>
      <c r="H179" s="1234">
        <v>6</v>
      </c>
      <c r="I179" s="1213">
        <v>7</v>
      </c>
      <c r="J179" s="1213">
        <v>8</v>
      </c>
      <c r="K179" s="1235">
        <v>9</v>
      </c>
      <c r="L179" s="1235">
        <v>10</v>
      </c>
      <c r="M179" s="1234">
        <v>11</v>
      </c>
      <c r="N179" s="1234">
        <v>12</v>
      </c>
      <c r="O179" s="1234">
        <v>13</v>
      </c>
      <c r="P179" s="1213">
        <v>14</v>
      </c>
      <c r="Q179" s="1213">
        <v>15</v>
      </c>
      <c r="R179" s="1235">
        <v>16</v>
      </c>
      <c r="S179" s="1235">
        <v>17</v>
      </c>
      <c r="T179" s="1234">
        <v>18</v>
      </c>
      <c r="U179" s="1234">
        <v>19</v>
      </c>
      <c r="V179" s="1213">
        <v>20</v>
      </c>
      <c r="W179" s="1213">
        <v>21</v>
      </c>
      <c r="X179" s="1213">
        <v>22</v>
      </c>
      <c r="Y179" s="1235">
        <v>23</v>
      </c>
      <c r="Z179" s="1235">
        <v>24</v>
      </c>
      <c r="AA179" s="1234">
        <v>25</v>
      </c>
      <c r="AB179" s="1234">
        <v>26</v>
      </c>
      <c r="AC179" s="1234">
        <v>27</v>
      </c>
      <c r="AD179" s="1213">
        <v>28</v>
      </c>
      <c r="AE179" s="1213">
        <v>29</v>
      </c>
      <c r="AF179" s="1235">
        <v>30</v>
      </c>
      <c r="AG179" s="1234"/>
      <c r="AH179" s="606"/>
    </row>
    <row r="180" spans="1:35" ht="21" customHeight="1">
      <c r="A180" s="556">
        <v>1</v>
      </c>
      <c r="B180" s="319" t="s">
        <v>552</v>
      </c>
      <c r="C180" s="1215" t="s">
        <v>514</v>
      </c>
      <c r="D180" s="1215"/>
      <c r="E180" s="1215"/>
      <c r="F180" s="1215" t="s">
        <v>514</v>
      </c>
      <c r="G180" s="1215" t="s">
        <v>514</v>
      </c>
      <c r="H180" s="1215" t="s">
        <v>514</v>
      </c>
      <c r="I180" s="1215" t="s">
        <v>514</v>
      </c>
      <c r="J180" s="1215" t="s">
        <v>514</v>
      </c>
      <c r="K180" s="1215"/>
      <c r="L180" s="1215"/>
      <c r="M180" s="1215" t="s">
        <v>514</v>
      </c>
      <c r="N180" s="1346" t="s">
        <v>514</v>
      </c>
      <c r="O180" s="1346" t="s">
        <v>514</v>
      </c>
      <c r="P180" s="1346" t="s">
        <v>514</v>
      </c>
      <c r="Q180" s="1346" t="s">
        <v>514</v>
      </c>
      <c r="R180" s="1215"/>
      <c r="S180" s="1215"/>
      <c r="T180" s="1215" t="s">
        <v>514</v>
      </c>
      <c r="U180" s="1215" t="s">
        <v>514</v>
      </c>
      <c r="V180" s="1215" t="s">
        <v>514</v>
      </c>
      <c r="W180" s="1215" t="s">
        <v>514</v>
      </c>
      <c r="X180" s="1215" t="s">
        <v>570</v>
      </c>
      <c r="Y180" s="1213"/>
      <c r="Z180" s="1213"/>
      <c r="AA180" s="1213"/>
      <c r="AB180" s="1213">
        <v>1</v>
      </c>
      <c r="AC180" s="1213">
        <v>1</v>
      </c>
      <c r="AD180" s="1215" t="s">
        <v>535</v>
      </c>
      <c r="AE180" s="1213">
        <v>1</v>
      </c>
      <c r="AF180" s="1213"/>
      <c r="AG180" s="1213"/>
      <c r="AH180" s="606"/>
    </row>
    <row r="181" spans="1:35" ht="21" customHeight="1">
      <c r="A181" s="556">
        <v>2</v>
      </c>
      <c r="B181" s="545" t="s">
        <v>553</v>
      </c>
      <c r="C181" s="172">
        <v>1</v>
      </c>
      <c r="D181" s="172"/>
      <c r="E181" s="172"/>
      <c r="F181" s="1600" t="s">
        <v>484</v>
      </c>
      <c r="G181" s="172" t="s">
        <v>484</v>
      </c>
      <c r="H181" s="172" t="s">
        <v>484</v>
      </c>
      <c r="I181" s="1500" t="s">
        <v>487</v>
      </c>
      <c r="J181" s="1215" t="s">
        <v>487</v>
      </c>
      <c r="K181" s="1215" t="s">
        <v>637</v>
      </c>
      <c r="L181" s="1215" t="s">
        <v>637</v>
      </c>
      <c r="M181" s="172" t="s">
        <v>484</v>
      </c>
      <c r="N181" s="172" t="s">
        <v>484</v>
      </c>
      <c r="O181" s="172" t="s">
        <v>484</v>
      </c>
      <c r="P181" s="1600" t="s">
        <v>514</v>
      </c>
      <c r="Q181" s="172" t="s">
        <v>485</v>
      </c>
      <c r="R181" s="172"/>
      <c r="S181" s="172"/>
      <c r="T181" s="172" t="s">
        <v>487</v>
      </c>
      <c r="U181" s="1215" t="s">
        <v>535</v>
      </c>
      <c r="V181" s="1215" t="s">
        <v>514</v>
      </c>
      <c r="W181" s="1600" t="s">
        <v>514</v>
      </c>
      <c r="X181" s="172" t="s">
        <v>514</v>
      </c>
      <c r="Y181" s="172"/>
      <c r="Z181" s="172" t="s">
        <v>660</v>
      </c>
      <c r="AA181" s="1215" t="s">
        <v>484</v>
      </c>
      <c r="AB181" s="1560" t="s">
        <v>514</v>
      </c>
      <c r="AC181" s="172">
        <v>4</v>
      </c>
      <c r="AD181" s="1600"/>
      <c r="AE181" s="172" t="s">
        <v>485</v>
      </c>
      <c r="AF181" s="172" t="s">
        <v>486</v>
      </c>
      <c r="AG181" s="172"/>
      <c r="AH181" s="606"/>
    </row>
    <row r="182" spans="1:35" ht="21" customHeight="1">
      <c r="A182" s="556">
        <v>3</v>
      </c>
      <c r="B182" s="545" t="s">
        <v>554</v>
      </c>
      <c r="C182" s="172" t="s">
        <v>514</v>
      </c>
      <c r="D182" s="172"/>
      <c r="E182" s="172"/>
      <c r="F182" s="1215">
        <v>11</v>
      </c>
      <c r="G182" s="1215">
        <v>11</v>
      </c>
      <c r="H182" s="1215">
        <v>11</v>
      </c>
      <c r="I182" s="1215">
        <v>11</v>
      </c>
      <c r="J182" s="1215">
        <v>11</v>
      </c>
      <c r="K182" s="1215" t="s">
        <v>637</v>
      </c>
      <c r="L182" s="1215" t="s">
        <v>637</v>
      </c>
      <c r="M182" s="1215" t="s">
        <v>487</v>
      </c>
      <c r="N182" s="1215" t="s">
        <v>487</v>
      </c>
      <c r="O182" s="1215" t="s">
        <v>487</v>
      </c>
      <c r="P182" s="1215" t="s">
        <v>487</v>
      </c>
      <c r="Q182" s="1215" t="s">
        <v>487</v>
      </c>
      <c r="R182" s="172"/>
      <c r="S182" s="172"/>
      <c r="T182" s="1344" t="s">
        <v>487</v>
      </c>
      <c r="U182" s="1392">
        <v>8</v>
      </c>
      <c r="V182" s="1392" t="s">
        <v>570</v>
      </c>
      <c r="W182" s="1344">
        <v>9</v>
      </c>
      <c r="X182" s="1344" t="s">
        <v>487</v>
      </c>
      <c r="Y182" s="172" t="s">
        <v>660</v>
      </c>
      <c r="Z182" s="172" t="s">
        <v>543</v>
      </c>
      <c r="AA182" s="172">
        <v>9</v>
      </c>
      <c r="AB182" s="172">
        <v>9</v>
      </c>
      <c r="AC182" s="172">
        <v>9</v>
      </c>
      <c r="AD182" s="172">
        <v>9</v>
      </c>
      <c r="AE182" s="172" t="s">
        <v>487</v>
      </c>
      <c r="AF182" s="172"/>
      <c r="AG182" s="172"/>
      <c r="AH182" s="606"/>
    </row>
    <row r="183" spans="1:35" ht="21" customHeight="1">
      <c r="A183" s="556">
        <v>4</v>
      </c>
      <c r="B183" s="545" t="s">
        <v>788</v>
      </c>
      <c r="C183" s="172"/>
      <c r="D183" s="172"/>
      <c r="E183" s="172"/>
      <c r="F183" s="1455" t="s">
        <v>514</v>
      </c>
      <c r="G183" s="1455" t="s">
        <v>514</v>
      </c>
      <c r="H183" s="1455" t="s">
        <v>514</v>
      </c>
      <c r="I183" s="1455" t="s">
        <v>514</v>
      </c>
      <c r="J183" s="1455" t="s">
        <v>514</v>
      </c>
      <c r="K183" s="172"/>
      <c r="L183" s="172"/>
      <c r="M183" s="1455" t="s">
        <v>514</v>
      </c>
      <c r="N183" s="1455" t="s">
        <v>514</v>
      </c>
      <c r="O183" s="1455" t="s">
        <v>514</v>
      </c>
      <c r="P183" s="1455" t="s">
        <v>514</v>
      </c>
      <c r="Q183" s="1455" t="s">
        <v>514</v>
      </c>
      <c r="R183" s="172"/>
      <c r="S183" s="172"/>
      <c r="T183" s="1455" t="s">
        <v>514</v>
      </c>
      <c r="U183" s="1455" t="s">
        <v>514</v>
      </c>
      <c r="V183" s="1455" t="s">
        <v>514</v>
      </c>
      <c r="W183" s="1215" t="s">
        <v>514</v>
      </c>
      <c r="X183" s="1455" t="s">
        <v>514</v>
      </c>
      <c r="Y183" s="172"/>
      <c r="Z183" s="172"/>
      <c r="AA183" s="1455" t="s">
        <v>550</v>
      </c>
      <c r="AB183" s="1610" t="s">
        <v>550</v>
      </c>
      <c r="AC183" s="1455" t="s">
        <v>550</v>
      </c>
      <c r="AD183" s="1455" t="s">
        <v>550</v>
      </c>
      <c r="AE183" s="1455" t="s">
        <v>550</v>
      </c>
      <c r="AF183" s="172"/>
      <c r="AG183" s="172"/>
      <c r="AH183" s="606"/>
    </row>
    <row r="184" spans="1:35" ht="21" customHeight="1">
      <c r="A184" s="556">
        <v>5</v>
      </c>
      <c r="B184" s="1613" t="s">
        <v>789</v>
      </c>
      <c r="C184" s="172"/>
      <c r="D184" s="172"/>
      <c r="E184" s="172"/>
      <c r="F184" s="172"/>
      <c r="G184" s="172"/>
      <c r="H184" s="172"/>
      <c r="I184" s="172"/>
      <c r="J184" s="172"/>
      <c r="K184" s="172"/>
      <c r="L184" s="172"/>
      <c r="M184" s="172"/>
      <c r="N184" s="172"/>
      <c r="O184" s="172"/>
      <c r="P184" s="172"/>
      <c r="Q184" s="172"/>
      <c r="R184" s="172"/>
      <c r="S184" s="172"/>
      <c r="T184" s="1455" t="s">
        <v>514</v>
      </c>
      <c r="U184" s="1455">
        <v>8</v>
      </c>
      <c r="V184" s="1455" t="s">
        <v>484</v>
      </c>
      <c r="W184" s="1455" t="s">
        <v>556</v>
      </c>
      <c r="X184" s="1455" t="s">
        <v>537</v>
      </c>
      <c r="Y184" s="172"/>
      <c r="Z184" s="172"/>
      <c r="AA184" s="172"/>
      <c r="AB184" s="172"/>
      <c r="AC184" s="172"/>
      <c r="AD184" s="172"/>
      <c r="AE184" s="172"/>
      <c r="AF184" s="172"/>
      <c r="AG184" s="172"/>
      <c r="AH184" s="606"/>
    </row>
    <row r="185" spans="1:35" ht="21" customHeight="1">
      <c r="A185" s="1232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1233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6"/>
    </row>
    <row r="186" spans="1:35" ht="21.95" customHeight="1" thickBot="1">
      <c r="A186" s="1" t="s">
        <v>560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1290" t="s">
        <v>516</v>
      </c>
      <c r="C187" s="51" t="s">
        <v>2</v>
      </c>
      <c r="D187" s="51"/>
      <c r="E187" s="51"/>
      <c r="F187" s="51"/>
      <c r="G187" s="1292" t="s">
        <v>3</v>
      </c>
      <c r="H187" s="51"/>
      <c r="I187" s="51"/>
      <c r="J187" s="51"/>
      <c r="K187" s="1292" t="s">
        <v>4</v>
      </c>
      <c r="L187" s="51"/>
      <c r="M187" s="51"/>
      <c r="N187" s="51"/>
      <c r="O187" s="1292" t="s">
        <v>5</v>
      </c>
      <c r="P187" s="51"/>
      <c r="Q187" s="51"/>
      <c r="R187" s="51"/>
      <c r="S187" s="1292" t="s">
        <v>6</v>
      </c>
      <c r="T187" s="51"/>
      <c r="U187" s="51"/>
      <c r="V187" s="51"/>
      <c r="W187" s="51"/>
      <c r="X187" s="1296" t="s">
        <v>7</v>
      </c>
      <c r="Y187" s="51"/>
      <c r="Z187" s="551"/>
      <c r="AA187" s="7"/>
      <c r="AB187" s="525" t="s">
        <v>8</v>
      </c>
      <c r="AC187" s="51"/>
      <c r="AD187" s="51"/>
      <c r="AE187" s="425" t="s">
        <v>10</v>
      </c>
      <c r="AF187" s="51"/>
      <c r="AG187" s="51"/>
      <c r="AH187" s="51"/>
      <c r="AI187" s="526"/>
    </row>
    <row r="188" spans="1:35" ht="21.95" customHeight="1">
      <c r="A188" s="1"/>
      <c r="B188" s="1290">
        <v>3701</v>
      </c>
      <c r="C188" s="55" t="s">
        <v>561</v>
      </c>
      <c r="D188" s="55"/>
      <c r="E188" s="55"/>
      <c r="F188" s="55"/>
      <c r="G188" s="1293" t="s">
        <v>124</v>
      </c>
      <c r="H188" s="55"/>
      <c r="I188" s="55"/>
      <c r="J188" s="55"/>
      <c r="K188" s="1293" t="s">
        <v>124</v>
      </c>
      <c r="L188" s="55"/>
      <c r="M188" s="55"/>
      <c r="N188" s="55"/>
      <c r="O188" s="1293" t="s">
        <v>124</v>
      </c>
      <c r="P188" s="55"/>
      <c r="Q188" s="55"/>
      <c r="R188" s="55"/>
      <c r="S188" s="1293" t="s">
        <v>125</v>
      </c>
      <c r="T188" s="55"/>
      <c r="U188" s="55"/>
      <c r="V188" s="55"/>
      <c r="W188" s="55"/>
      <c r="X188" s="1297"/>
      <c r="Y188" s="55"/>
      <c r="Z188" s="608"/>
      <c r="AA188" s="14"/>
      <c r="AB188" s="609"/>
      <c r="AC188" s="55"/>
      <c r="AD188" s="55"/>
      <c r="AE188" s="610"/>
      <c r="AF188" s="55"/>
      <c r="AG188" s="55"/>
      <c r="AH188" s="55"/>
      <c r="AI188" s="611"/>
    </row>
    <row r="189" spans="1:35" ht="21.95" customHeight="1">
      <c r="B189" s="1290">
        <v>3700</v>
      </c>
      <c r="C189" s="157" t="s">
        <v>512</v>
      </c>
      <c r="D189" s="157"/>
      <c r="E189" s="157"/>
      <c r="F189" s="157"/>
      <c r="G189" s="897" t="s">
        <v>512</v>
      </c>
      <c r="H189" s="157"/>
      <c r="I189" s="157"/>
      <c r="J189" s="157"/>
      <c r="K189" s="897" t="s">
        <v>512</v>
      </c>
      <c r="L189" s="157"/>
      <c r="M189" s="157"/>
      <c r="N189" s="157"/>
      <c r="O189" s="897" t="s">
        <v>512</v>
      </c>
      <c r="P189" s="157"/>
      <c r="Q189" s="157"/>
      <c r="R189" s="157"/>
      <c r="S189" s="897" t="s">
        <v>116</v>
      </c>
      <c r="T189" s="157"/>
      <c r="U189" s="157"/>
      <c r="V189" s="157"/>
      <c r="W189" s="157"/>
      <c r="X189" s="897"/>
      <c r="Y189" s="157"/>
      <c r="Z189" s="568"/>
      <c r="AA189" s="567"/>
      <c r="AB189" s="157"/>
      <c r="AC189" s="157"/>
      <c r="AD189" s="569"/>
      <c r="AE189" s="613"/>
      <c r="AF189" s="157"/>
      <c r="AG189" s="157" t="s">
        <v>28</v>
      </c>
      <c r="AH189" s="569"/>
      <c r="AI189" s="490"/>
    </row>
    <row r="190" spans="1:35" ht="21.95" customHeight="1">
      <c r="A190" s="1"/>
      <c r="B190" s="1290">
        <v>8514</v>
      </c>
      <c r="C190" s="157" t="s">
        <v>124</v>
      </c>
      <c r="D190" s="157"/>
      <c r="E190" s="157"/>
      <c r="F190" s="157"/>
      <c r="G190" s="897" t="s">
        <v>124</v>
      </c>
      <c r="H190" s="157"/>
      <c r="I190" s="157"/>
      <c r="J190" s="157"/>
      <c r="K190" s="897" t="s">
        <v>124</v>
      </c>
      <c r="L190" s="157"/>
      <c r="M190" s="157"/>
      <c r="N190" s="157"/>
      <c r="O190" s="897" t="s">
        <v>124</v>
      </c>
      <c r="P190" s="157"/>
      <c r="Q190" s="157"/>
      <c r="R190" s="157"/>
      <c r="S190" s="897" t="s">
        <v>562</v>
      </c>
      <c r="T190" s="157"/>
      <c r="U190" s="157"/>
      <c r="V190" s="157"/>
      <c r="W190" s="157"/>
      <c r="X190" s="897"/>
      <c r="Y190" s="157"/>
      <c r="Z190" s="568"/>
      <c r="AA190" s="121"/>
      <c r="AB190" s="157"/>
      <c r="AC190" s="157"/>
      <c r="AD190" s="569"/>
      <c r="AE190" s="121"/>
      <c r="AF190" s="157"/>
      <c r="AG190" s="157"/>
      <c r="AH190" s="569"/>
      <c r="AI190" s="490"/>
    </row>
    <row r="191" spans="1:35" ht="21.95" customHeight="1">
      <c r="A191" s="1"/>
      <c r="B191" s="1290">
        <v>8500</v>
      </c>
      <c r="C191" s="55" t="s">
        <v>11</v>
      </c>
      <c r="D191" s="55"/>
      <c r="E191" s="55"/>
      <c r="F191" s="55"/>
      <c r="G191" s="1293" t="s">
        <v>11</v>
      </c>
      <c r="H191" s="55"/>
      <c r="I191" s="55"/>
      <c r="J191" s="55"/>
      <c r="K191" s="1293" t="s">
        <v>11</v>
      </c>
      <c r="L191" s="55"/>
      <c r="M191" s="55"/>
      <c r="N191" s="55"/>
      <c r="O191" s="1293" t="s">
        <v>11</v>
      </c>
      <c r="P191" s="55"/>
      <c r="Q191" s="55"/>
      <c r="R191" s="55"/>
      <c r="S191" s="1293" t="s">
        <v>12</v>
      </c>
      <c r="T191" s="55"/>
      <c r="U191" s="55"/>
      <c r="V191" s="55"/>
      <c r="W191" s="55"/>
      <c r="X191" s="1293"/>
      <c r="Y191" s="55"/>
      <c r="Z191" s="615"/>
      <c r="AA191" s="614"/>
      <c r="AB191" s="55"/>
      <c r="AC191" s="55"/>
      <c r="AD191" s="615"/>
      <c r="AE191" s="614"/>
      <c r="AF191" s="55"/>
      <c r="AG191" s="55"/>
      <c r="AH191" s="598"/>
      <c r="AI191" s="611"/>
    </row>
    <row r="192" spans="1:35" ht="21.95" customHeight="1">
      <c r="A192" s="1"/>
      <c r="B192" s="1290">
        <v>8514</v>
      </c>
      <c r="C192" s="616" t="s">
        <v>124</v>
      </c>
      <c r="D192" s="616"/>
      <c r="E192" s="616"/>
      <c r="F192" s="616"/>
      <c r="G192" s="1294" t="s">
        <v>124</v>
      </c>
      <c r="H192" s="616"/>
      <c r="I192" s="616"/>
      <c r="J192" s="616"/>
      <c r="K192" s="1294" t="s">
        <v>124</v>
      </c>
      <c r="L192" s="616"/>
      <c r="M192" s="616"/>
      <c r="N192" s="616"/>
      <c r="O192" s="1294" t="s">
        <v>124</v>
      </c>
      <c r="P192" s="616"/>
      <c r="Q192" s="616"/>
      <c r="R192" s="616"/>
      <c r="S192" s="1294" t="s">
        <v>562</v>
      </c>
      <c r="T192" s="616"/>
      <c r="U192" s="616"/>
      <c r="V192" s="616"/>
      <c r="W192" s="616"/>
      <c r="X192" s="1297"/>
      <c r="Y192" s="55"/>
      <c r="Z192" s="608"/>
      <c r="AA192" s="14"/>
      <c r="AB192" s="609"/>
      <c r="AC192" s="55"/>
      <c r="AD192" s="55"/>
      <c r="AE192" s="610"/>
      <c r="AF192" s="55"/>
      <c r="AG192" s="55"/>
      <c r="AH192" s="55"/>
      <c r="AI192" s="611"/>
    </row>
    <row r="193" spans="1:35" ht="21.95" customHeight="1" thickBot="1">
      <c r="A193" s="1"/>
      <c r="B193" s="1291" t="s">
        <v>563</v>
      </c>
      <c r="C193" s="53" t="s">
        <v>564</v>
      </c>
      <c r="D193" s="53"/>
      <c r="E193" s="53"/>
      <c r="F193" s="53"/>
      <c r="G193" s="1295" t="s">
        <v>564</v>
      </c>
      <c r="H193" s="53"/>
      <c r="I193" s="53"/>
      <c r="J193" s="53"/>
      <c r="K193" s="53" t="s">
        <v>564</v>
      </c>
      <c r="L193" s="53"/>
      <c r="M193" s="53"/>
      <c r="N193" s="53"/>
      <c r="O193" s="1295" t="s">
        <v>564</v>
      </c>
      <c r="P193" s="53"/>
      <c r="Q193" s="53"/>
      <c r="R193" s="53"/>
      <c r="S193" s="1295" t="s">
        <v>565</v>
      </c>
      <c r="T193" s="53"/>
      <c r="U193" s="53"/>
      <c r="V193" s="53"/>
      <c r="W193" s="53"/>
      <c r="X193" s="1295"/>
      <c r="Y193" s="53"/>
      <c r="Z193" s="575"/>
      <c r="AA193" s="574"/>
      <c r="AB193" s="53"/>
      <c r="AC193" s="53"/>
      <c r="AD193" s="577"/>
      <c r="AE193" s="618"/>
      <c r="AF193" s="53"/>
      <c r="AG193" s="53" t="s">
        <v>28</v>
      </c>
      <c r="AH193" s="577"/>
      <c r="AI193" s="539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509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>
      <c r="A196" s="556"/>
      <c r="B196" s="297" t="s">
        <v>480</v>
      </c>
      <c r="C196" s="1234">
        <v>1</v>
      </c>
      <c r="D196" s="1235">
        <v>2</v>
      </c>
      <c r="E196" s="1235">
        <v>3</v>
      </c>
      <c r="F196" s="1234">
        <v>4</v>
      </c>
      <c r="G196" s="1234">
        <v>5</v>
      </c>
      <c r="H196" s="1234">
        <v>6</v>
      </c>
      <c r="I196" s="1213">
        <v>7</v>
      </c>
      <c r="J196" s="1213">
        <v>8</v>
      </c>
      <c r="K196" s="1235">
        <v>9</v>
      </c>
      <c r="L196" s="1235">
        <v>10</v>
      </c>
      <c r="M196" s="1234">
        <v>11</v>
      </c>
      <c r="N196" s="1234">
        <v>12</v>
      </c>
      <c r="O196" s="1234">
        <v>13</v>
      </c>
      <c r="P196" s="1213">
        <v>14</v>
      </c>
      <c r="Q196" s="1213">
        <v>15</v>
      </c>
      <c r="R196" s="1235">
        <v>16</v>
      </c>
      <c r="S196" s="1235">
        <v>17</v>
      </c>
      <c r="T196" s="1234">
        <v>18</v>
      </c>
      <c r="U196" s="1234">
        <v>19</v>
      </c>
      <c r="V196" s="1213">
        <v>20</v>
      </c>
      <c r="W196" s="1213">
        <v>21</v>
      </c>
      <c r="X196" s="1213">
        <v>22</v>
      </c>
      <c r="Y196" s="1235">
        <v>23</v>
      </c>
      <c r="Z196" s="1235">
        <v>24</v>
      </c>
      <c r="AA196" s="1234">
        <v>25</v>
      </c>
      <c r="AB196" s="1234">
        <v>26</v>
      </c>
      <c r="AC196" s="1234">
        <v>27</v>
      </c>
      <c r="AD196" s="1213">
        <v>28</v>
      </c>
      <c r="AE196" s="1213">
        <v>29</v>
      </c>
      <c r="AF196" s="1235">
        <v>30</v>
      </c>
      <c r="AG196" s="1234"/>
      <c r="AH196" s="498" t="s">
        <v>481</v>
      </c>
      <c r="AI196" s="499" t="s">
        <v>482</v>
      </c>
    </row>
    <row r="197" spans="1:35" ht="21.95" customHeight="1">
      <c r="A197" s="556"/>
      <c r="B197" s="1236" t="s">
        <v>768</v>
      </c>
      <c r="C197" s="1215" t="s">
        <v>535</v>
      </c>
      <c r="D197" s="1215"/>
      <c r="E197" s="1215"/>
      <c r="F197" s="1215" t="s">
        <v>535</v>
      </c>
      <c r="G197" s="1215" t="s">
        <v>535</v>
      </c>
      <c r="H197" s="1215" t="s">
        <v>535</v>
      </c>
      <c r="I197" s="1215" t="s">
        <v>535</v>
      </c>
      <c r="J197" s="1344" t="s">
        <v>535</v>
      </c>
      <c r="K197" s="1344"/>
      <c r="L197" s="1344"/>
      <c r="M197" s="1344" t="s">
        <v>535</v>
      </c>
      <c r="N197" s="1344" t="s">
        <v>535</v>
      </c>
      <c r="O197" s="1344" t="s">
        <v>535</v>
      </c>
      <c r="P197" s="1500" t="s">
        <v>535</v>
      </c>
      <c r="Q197" s="1500" t="s">
        <v>535</v>
      </c>
      <c r="R197" s="1344"/>
      <c r="S197" s="1344"/>
      <c r="T197" s="1344" t="s">
        <v>535</v>
      </c>
      <c r="U197" s="1344" t="s">
        <v>535</v>
      </c>
      <c r="V197" s="1215" t="s">
        <v>535</v>
      </c>
      <c r="W197" s="1215" t="s">
        <v>535</v>
      </c>
      <c r="X197" s="1215" t="s">
        <v>535</v>
      </c>
      <c r="Y197" s="1215"/>
      <c r="Z197" s="1215"/>
      <c r="AA197" s="1215" t="s">
        <v>535</v>
      </c>
      <c r="AB197" s="1215" t="s">
        <v>535</v>
      </c>
      <c r="AC197" s="1215" t="s">
        <v>535</v>
      </c>
      <c r="AD197" s="1215" t="s">
        <v>535</v>
      </c>
      <c r="AE197" s="1215" t="s">
        <v>535</v>
      </c>
      <c r="AF197" s="1215"/>
      <c r="AG197" s="1215"/>
      <c r="AH197" s="603">
        <v>185</v>
      </c>
      <c r="AI197" s="604">
        <v>37</v>
      </c>
    </row>
    <row r="198" spans="1:35" ht="21.95" customHeight="1">
      <c r="A198" s="620">
        <v>8500</v>
      </c>
      <c r="B198" s="1237" t="s">
        <v>151</v>
      </c>
      <c r="C198" s="1215" t="s">
        <v>535</v>
      </c>
      <c r="D198" s="1215"/>
      <c r="E198" s="1215"/>
      <c r="F198" s="1500" t="s">
        <v>535</v>
      </c>
      <c r="G198" s="1500" t="s">
        <v>535</v>
      </c>
      <c r="H198" s="1215" t="s">
        <v>535</v>
      </c>
      <c r="I198" s="1215" t="s">
        <v>535</v>
      </c>
      <c r="J198" s="1215" t="s">
        <v>535</v>
      </c>
      <c r="K198" s="1215"/>
      <c r="L198" s="1215"/>
      <c r="M198" s="1215" t="s">
        <v>535</v>
      </c>
      <c r="N198" s="1215" t="s">
        <v>535</v>
      </c>
      <c r="O198" s="1215" t="s">
        <v>535</v>
      </c>
      <c r="P198" s="1215" t="s">
        <v>535</v>
      </c>
      <c r="Q198" s="1215" t="s">
        <v>535</v>
      </c>
      <c r="R198" s="1215"/>
      <c r="S198" s="1215"/>
      <c r="T198" s="1215" t="s">
        <v>535</v>
      </c>
      <c r="U198" s="1215" t="s">
        <v>535</v>
      </c>
      <c r="V198" s="1215" t="s">
        <v>535</v>
      </c>
      <c r="W198" s="1215" t="s">
        <v>535</v>
      </c>
      <c r="X198" s="1335" t="s">
        <v>535</v>
      </c>
      <c r="Y198" s="1215"/>
      <c r="Z198" s="1215"/>
      <c r="AA198" s="1344" t="s">
        <v>535</v>
      </c>
      <c r="AB198" s="1344" t="s">
        <v>535</v>
      </c>
      <c r="AC198" s="1215" t="s">
        <v>535</v>
      </c>
      <c r="AD198" s="1215" t="s">
        <v>535</v>
      </c>
      <c r="AE198" s="1215" t="s">
        <v>535</v>
      </c>
      <c r="AF198" s="1215"/>
      <c r="AG198" s="1215"/>
      <c r="AH198" s="603">
        <v>185</v>
      </c>
      <c r="AI198" s="604">
        <v>37</v>
      </c>
    </row>
    <row r="199" spans="1:35" ht="21" customHeight="1">
      <c r="A199" s="442"/>
      <c r="B199" s="1236" t="s">
        <v>567</v>
      </c>
      <c r="C199" s="1215" t="s">
        <v>535</v>
      </c>
      <c r="D199" s="1215"/>
      <c r="E199" s="1215"/>
      <c r="F199" s="1500" t="s">
        <v>535</v>
      </c>
      <c r="G199" s="1500" t="s">
        <v>535</v>
      </c>
      <c r="H199" s="1215" t="s">
        <v>535</v>
      </c>
      <c r="I199" s="1215" t="s">
        <v>535</v>
      </c>
      <c r="J199" s="1215" t="s">
        <v>535</v>
      </c>
      <c r="K199" s="1215"/>
      <c r="L199" s="1215"/>
      <c r="M199" s="1215" t="s">
        <v>535</v>
      </c>
      <c r="N199" s="1215" t="s">
        <v>535</v>
      </c>
      <c r="O199" s="1215" t="s">
        <v>535</v>
      </c>
      <c r="P199" s="1215" t="s">
        <v>535</v>
      </c>
      <c r="Q199" s="1215" t="s">
        <v>535</v>
      </c>
      <c r="R199" s="1215"/>
      <c r="S199" s="1215"/>
      <c r="T199" s="1215" t="s">
        <v>535</v>
      </c>
      <c r="U199" s="1215" t="s">
        <v>535</v>
      </c>
      <c r="V199" s="1215" t="s">
        <v>535</v>
      </c>
      <c r="W199" s="1215" t="s">
        <v>535</v>
      </c>
      <c r="X199" s="1215" t="s">
        <v>535</v>
      </c>
      <c r="Y199" s="1215"/>
      <c r="Z199" s="1215"/>
      <c r="AA199" s="1344" t="s">
        <v>535</v>
      </c>
      <c r="AB199" s="1344" t="s">
        <v>535</v>
      </c>
      <c r="AC199" s="1215" t="s">
        <v>535</v>
      </c>
      <c r="AD199" s="1215" t="s">
        <v>535</v>
      </c>
      <c r="AE199" s="1215" t="s">
        <v>535</v>
      </c>
      <c r="AF199" s="1215"/>
      <c r="AG199" s="1215"/>
      <c r="AH199" s="603">
        <v>185</v>
      </c>
      <c r="AI199" s="604">
        <v>37</v>
      </c>
    </row>
    <row r="200" spans="1:35" ht="21" customHeight="1">
      <c r="A200" s="442">
        <v>8521</v>
      </c>
      <c r="B200" s="1236" t="s">
        <v>568</v>
      </c>
      <c r="C200" s="1215" t="s">
        <v>535</v>
      </c>
      <c r="D200" s="1215"/>
      <c r="E200" s="1215"/>
      <c r="F200" s="1500" t="s">
        <v>535</v>
      </c>
      <c r="G200" s="1500" t="s">
        <v>535</v>
      </c>
      <c r="H200" s="1215" t="s">
        <v>535</v>
      </c>
      <c r="I200" s="1215" t="s">
        <v>535</v>
      </c>
      <c r="J200" s="1215" t="s">
        <v>535</v>
      </c>
      <c r="K200" s="1215"/>
      <c r="L200" s="1215"/>
      <c r="M200" s="1215" t="s">
        <v>535</v>
      </c>
      <c r="N200" s="1215" t="s">
        <v>535</v>
      </c>
      <c r="O200" s="1215" t="s">
        <v>535</v>
      </c>
      <c r="P200" s="1215" t="s">
        <v>535</v>
      </c>
      <c r="Q200" s="1215" t="s">
        <v>535</v>
      </c>
      <c r="R200" s="1215"/>
      <c r="S200" s="1215"/>
      <c r="T200" s="1215" t="s">
        <v>535</v>
      </c>
      <c r="U200" s="1215" t="s">
        <v>535</v>
      </c>
      <c r="V200" s="1215" t="s">
        <v>535</v>
      </c>
      <c r="W200" s="1215" t="s">
        <v>535</v>
      </c>
      <c r="X200" s="1215" t="s">
        <v>535</v>
      </c>
      <c r="Y200" s="1215"/>
      <c r="Z200" s="1215"/>
      <c r="AA200" s="1344" t="s">
        <v>535</v>
      </c>
      <c r="AB200" s="1344" t="s">
        <v>535</v>
      </c>
      <c r="AC200" s="1215" t="s">
        <v>535</v>
      </c>
      <c r="AD200" s="1500" t="s">
        <v>535</v>
      </c>
      <c r="AE200" s="1335" t="s">
        <v>535</v>
      </c>
      <c r="AF200" s="1215"/>
      <c r="AG200" s="1215"/>
      <c r="AH200" s="603">
        <v>185</v>
      </c>
      <c r="AI200" s="604">
        <v>37</v>
      </c>
    </row>
    <row r="201" spans="1:35" ht="21" customHeight="1">
      <c r="A201" s="442"/>
      <c r="B201" s="1236"/>
      <c r="C201" s="1215" t="s">
        <v>535</v>
      </c>
      <c r="D201" s="1215"/>
      <c r="E201" s="1215"/>
      <c r="F201" s="1215" t="s">
        <v>535</v>
      </c>
      <c r="G201" s="1215" t="s">
        <v>535</v>
      </c>
      <c r="H201" s="1215" t="s">
        <v>535</v>
      </c>
      <c r="I201" s="1215" t="s">
        <v>535</v>
      </c>
      <c r="J201" s="1215" t="s">
        <v>535</v>
      </c>
      <c r="K201" s="1215"/>
      <c r="L201" s="1215"/>
      <c r="M201" s="1215" t="s">
        <v>535</v>
      </c>
      <c r="N201" s="1215" t="s">
        <v>535</v>
      </c>
      <c r="O201" s="1215" t="s">
        <v>535</v>
      </c>
      <c r="P201" s="1215" t="s">
        <v>535</v>
      </c>
      <c r="Q201" s="1215" t="s">
        <v>535</v>
      </c>
      <c r="R201" s="1215"/>
      <c r="S201" s="1215"/>
      <c r="T201" s="1215" t="s">
        <v>535</v>
      </c>
      <c r="U201" s="1215" t="s">
        <v>535</v>
      </c>
      <c r="V201" s="1215" t="s">
        <v>535</v>
      </c>
      <c r="W201" s="1215" t="s">
        <v>535</v>
      </c>
      <c r="X201" s="1215" t="s">
        <v>535</v>
      </c>
      <c r="Y201" s="1215"/>
      <c r="Z201" s="1215"/>
      <c r="AA201" s="1344" t="s">
        <v>535</v>
      </c>
      <c r="AB201" s="1344" t="s">
        <v>535</v>
      </c>
      <c r="AC201" s="1215" t="s">
        <v>535</v>
      </c>
      <c r="AD201" s="1215" t="s">
        <v>535</v>
      </c>
      <c r="AE201" s="1215" t="s">
        <v>535</v>
      </c>
      <c r="AF201" s="1215"/>
      <c r="AG201" s="1215"/>
      <c r="AH201" s="603">
        <v>185</v>
      </c>
      <c r="AI201" s="604">
        <v>37</v>
      </c>
    </row>
    <row r="202" spans="1:35" ht="21" customHeight="1">
      <c r="A202" s="442">
        <v>8514</v>
      </c>
      <c r="B202" s="1238" t="s">
        <v>569</v>
      </c>
      <c r="C202" s="1215" t="s">
        <v>790</v>
      </c>
      <c r="D202" s="1215"/>
      <c r="E202" s="1215"/>
      <c r="F202" s="1500" t="s">
        <v>535</v>
      </c>
      <c r="G202" s="1500" t="s">
        <v>535</v>
      </c>
      <c r="H202" s="1215" t="s">
        <v>535</v>
      </c>
      <c r="I202" s="1215" t="s">
        <v>535</v>
      </c>
      <c r="J202" s="1335" t="s">
        <v>535</v>
      </c>
      <c r="K202" s="1215"/>
      <c r="L202" s="1215"/>
      <c r="M202" s="1215" t="s">
        <v>535</v>
      </c>
      <c r="N202" s="1215" t="s">
        <v>535</v>
      </c>
      <c r="O202" s="1215" t="s">
        <v>535</v>
      </c>
      <c r="P202" s="1215" t="s">
        <v>535</v>
      </c>
      <c r="Q202" s="1215" t="s">
        <v>535</v>
      </c>
      <c r="R202" s="1215"/>
      <c r="S202" s="1215"/>
      <c r="T202" s="1215" t="s">
        <v>535</v>
      </c>
      <c r="U202" s="1215" t="s">
        <v>514</v>
      </c>
      <c r="V202" s="1215" t="s">
        <v>514</v>
      </c>
      <c r="W202" s="1215" t="s">
        <v>514</v>
      </c>
      <c r="X202" s="1215" t="s">
        <v>535</v>
      </c>
      <c r="Y202" s="1215"/>
      <c r="Z202" s="1215"/>
      <c r="AA202" s="1344" t="s">
        <v>535</v>
      </c>
      <c r="AB202" s="1344" t="s">
        <v>535</v>
      </c>
      <c r="AC202" s="1215" t="s">
        <v>535</v>
      </c>
      <c r="AD202" s="1215" t="s">
        <v>535</v>
      </c>
      <c r="AE202" s="1215" t="s">
        <v>535</v>
      </c>
      <c r="AF202" s="1215"/>
      <c r="AG202" s="1215"/>
      <c r="AH202" s="603">
        <v>185</v>
      </c>
      <c r="AI202" s="604">
        <v>37</v>
      </c>
    </row>
    <row r="203" spans="1:35" ht="21.95" customHeight="1">
      <c r="A203" s="442">
        <v>3701</v>
      </c>
      <c r="B203" s="545" t="s">
        <v>513</v>
      </c>
      <c r="C203" s="1345" t="s">
        <v>535</v>
      </c>
      <c r="D203" s="1215"/>
      <c r="E203" s="1215"/>
      <c r="F203" s="1500" t="s">
        <v>535</v>
      </c>
      <c r="G203" s="1500" t="s">
        <v>535</v>
      </c>
      <c r="H203" s="1215" t="s">
        <v>535</v>
      </c>
      <c r="I203" s="1215" t="s">
        <v>535</v>
      </c>
      <c r="J203" s="1215" t="s">
        <v>535</v>
      </c>
      <c r="K203" s="1215"/>
      <c r="L203" s="1215"/>
      <c r="M203" s="1215" t="s">
        <v>535</v>
      </c>
      <c r="N203" s="1215" t="s">
        <v>535</v>
      </c>
      <c r="O203" s="1215" t="s">
        <v>535</v>
      </c>
      <c r="P203" s="1215" t="s">
        <v>535</v>
      </c>
      <c r="Q203" s="1215" t="s">
        <v>535</v>
      </c>
      <c r="R203" s="1215"/>
      <c r="S203" s="1215"/>
      <c r="T203" s="1215" t="s">
        <v>535</v>
      </c>
      <c r="U203" s="1215" t="s">
        <v>535</v>
      </c>
      <c r="V203" s="1215" t="s">
        <v>535</v>
      </c>
      <c r="W203" s="1215" t="s">
        <v>535</v>
      </c>
      <c r="X203" s="1215" t="s">
        <v>535</v>
      </c>
      <c r="Y203" s="1215"/>
      <c r="Z203" s="1215"/>
      <c r="AA203" s="1344" t="s">
        <v>535</v>
      </c>
      <c r="AB203" s="1500" t="s">
        <v>514</v>
      </c>
      <c r="AC203" s="1500" t="s">
        <v>514</v>
      </c>
      <c r="AD203" s="1500" t="s">
        <v>514</v>
      </c>
      <c r="AE203" s="1215" t="s">
        <v>535</v>
      </c>
      <c r="AF203" s="1215"/>
      <c r="AG203" s="1215"/>
      <c r="AH203" s="603">
        <v>185</v>
      </c>
      <c r="AI203" s="604">
        <v>37</v>
      </c>
    </row>
    <row r="204" spans="1:35" ht="21.95" customHeight="1">
      <c r="A204" s="442">
        <v>3701</v>
      </c>
      <c r="B204" s="1236" t="s">
        <v>345</v>
      </c>
      <c r="C204" s="1215" t="s">
        <v>535</v>
      </c>
      <c r="D204" s="1215"/>
      <c r="E204" s="1215"/>
      <c r="F204" s="1500" t="s">
        <v>535</v>
      </c>
      <c r="G204" s="1500" t="s">
        <v>535</v>
      </c>
      <c r="H204" s="1215" t="s">
        <v>535</v>
      </c>
      <c r="I204" s="1215" t="s">
        <v>535</v>
      </c>
      <c r="J204" s="1215" t="s">
        <v>535</v>
      </c>
      <c r="K204" s="1215"/>
      <c r="L204" s="1215"/>
      <c r="M204" s="1215" t="s">
        <v>535</v>
      </c>
      <c r="N204" s="1215" t="s">
        <v>535</v>
      </c>
      <c r="O204" s="1215" t="s">
        <v>535</v>
      </c>
      <c r="P204" s="1344" t="s">
        <v>535</v>
      </c>
      <c r="Q204" s="1344" t="s">
        <v>535</v>
      </c>
      <c r="R204" s="1215"/>
      <c r="S204" s="1215"/>
      <c r="T204" s="1215" t="s">
        <v>535</v>
      </c>
      <c r="U204" s="1215" t="s">
        <v>535</v>
      </c>
      <c r="V204" s="1215" t="s">
        <v>535</v>
      </c>
      <c r="W204" s="1215" t="s">
        <v>535</v>
      </c>
      <c r="X204" s="1215" t="s">
        <v>535</v>
      </c>
      <c r="Y204" s="1215"/>
      <c r="Z204" s="1215"/>
      <c r="AA204" s="1344" t="s">
        <v>535</v>
      </c>
      <c r="AB204" s="1344" t="s">
        <v>535</v>
      </c>
      <c r="AC204" s="1215" t="s">
        <v>535</v>
      </c>
      <c r="AD204" s="1215" t="s">
        <v>535</v>
      </c>
      <c r="AE204" s="1215" t="s">
        <v>535</v>
      </c>
      <c r="AF204" s="1215"/>
      <c r="AG204" s="1215"/>
      <c r="AH204" s="603">
        <v>185</v>
      </c>
      <c r="AI204" s="604">
        <v>37</v>
      </c>
    </row>
    <row r="205" spans="1:35" ht="21.95" customHeight="1">
      <c r="A205" s="442">
        <v>3701</v>
      </c>
      <c r="B205" s="1236" t="s">
        <v>348</v>
      </c>
      <c r="C205" s="1215">
        <v>19</v>
      </c>
      <c r="D205" s="1215"/>
      <c r="E205" s="1215"/>
      <c r="F205" s="1215" t="s">
        <v>535</v>
      </c>
      <c r="G205" s="1215" t="s">
        <v>535</v>
      </c>
      <c r="H205" s="1215" t="s">
        <v>535</v>
      </c>
      <c r="I205" s="1215" t="s">
        <v>535</v>
      </c>
      <c r="J205" s="1215" t="s">
        <v>535</v>
      </c>
      <c r="K205" s="1215"/>
      <c r="L205" s="1215"/>
      <c r="M205" s="1215" t="s">
        <v>535</v>
      </c>
      <c r="N205" s="1215" t="s">
        <v>535</v>
      </c>
      <c r="O205" s="1215" t="s">
        <v>535</v>
      </c>
      <c r="P205" s="1392" t="s">
        <v>535</v>
      </c>
      <c r="Q205" s="1392" t="s">
        <v>570</v>
      </c>
      <c r="R205" s="1215"/>
      <c r="S205" s="1215"/>
      <c r="T205" s="1215" t="s">
        <v>535</v>
      </c>
      <c r="U205" s="1215" t="s">
        <v>535</v>
      </c>
      <c r="V205" s="1215" t="s">
        <v>535</v>
      </c>
      <c r="W205" s="1215" t="s">
        <v>514</v>
      </c>
      <c r="X205" s="1215" t="s">
        <v>535</v>
      </c>
      <c r="Y205" s="1215"/>
      <c r="Z205" s="1215"/>
      <c r="AA205" s="1215" t="s">
        <v>535</v>
      </c>
      <c r="AB205" s="1215" t="s">
        <v>535</v>
      </c>
      <c r="AC205" s="1215" t="s">
        <v>535</v>
      </c>
      <c r="AD205" s="1215" t="s">
        <v>535</v>
      </c>
      <c r="AE205" s="1215" t="s">
        <v>535</v>
      </c>
      <c r="AF205" s="1215"/>
      <c r="AG205" s="1215"/>
      <c r="AH205" s="603">
        <v>185</v>
      </c>
      <c r="AI205" s="604">
        <v>37</v>
      </c>
    </row>
    <row r="206" spans="1:35" ht="21.95" customHeight="1">
      <c r="A206" s="442">
        <v>3701</v>
      </c>
      <c r="B206" s="1236" t="s">
        <v>350</v>
      </c>
      <c r="C206" s="1215" t="s">
        <v>535</v>
      </c>
      <c r="D206" s="1215"/>
      <c r="E206" s="1215"/>
      <c r="F206" s="1215" t="s">
        <v>535</v>
      </c>
      <c r="G206" s="1215" t="s">
        <v>535</v>
      </c>
      <c r="H206" s="1215" t="s">
        <v>535</v>
      </c>
      <c r="I206" s="1215" t="s">
        <v>535</v>
      </c>
      <c r="J206" s="1215" t="s">
        <v>535</v>
      </c>
      <c r="K206" s="1215"/>
      <c r="L206" s="1215"/>
      <c r="M206" s="1215" t="s">
        <v>535</v>
      </c>
      <c r="N206" s="1215" t="s">
        <v>535</v>
      </c>
      <c r="O206" s="1215" t="s">
        <v>535</v>
      </c>
      <c r="P206" s="1215" t="s">
        <v>535</v>
      </c>
      <c r="Q206" s="1215" t="s">
        <v>535</v>
      </c>
      <c r="R206" s="1215"/>
      <c r="S206" s="1215"/>
      <c r="T206" s="1215">
        <v>19</v>
      </c>
      <c r="U206" s="1215">
        <v>19</v>
      </c>
      <c r="V206" s="1215">
        <v>19</v>
      </c>
      <c r="W206" s="1215">
        <v>19</v>
      </c>
      <c r="X206" s="1215">
        <v>19</v>
      </c>
      <c r="Y206" s="1215"/>
      <c r="Z206" s="1215"/>
      <c r="AA206" s="1215" t="s">
        <v>535</v>
      </c>
      <c r="AB206" s="1215" t="s">
        <v>535</v>
      </c>
      <c r="AC206" s="1215" t="s">
        <v>535</v>
      </c>
      <c r="AD206" s="1215" t="s">
        <v>535</v>
      </c>
      <c r="AE206" s="1215" t="s">
        <v>535</v>
      </c>
      <c r="AF206" s="1215"/>
      <c r="AG206" s="1215"/>
      <c r="AH206" s="603">
        <v>185</v>
      </c>
      <c r="AI206" s="604">
        <v>37</v>
      </c>
    </row>
    <row r="207" spans="1:35" ht="21.95" customHeight="1">
      <c r="A207" s="442">
        <v>3701</v>
      </c>
      <c r="B207" s="1236" t="s">
        <v>351</v>
      </c>
      <c r="C207" s="1215" t="s">
        <v>535</v>
      </c>
      <c r="D207" s="1215"/>
      <c r="E207" s="1215"/>
      <c r="F207" s="1215" t="s">
        <v>535</v>
      </c>
      <c r="G207" s="1215" t="s">
        <v>535</v>
      </c>
      <c r="H207" s="1338" t="s">
        <v>535</v>
      </c>
      <c r="I207" s="1338" t="s">
        <v>535</v>
      </c>
      <c r="J207" s="1338" t="s">
        <v>535</v>
      </c>
      <c r="K207" s="1338"/>
      <c r="L207" s="1338"/>
      <c r="M207" s="1338" t="s">
        <v>535</v>
      </c>
      <c r="N207" s="1338" t="s">
        <v>535</v>
      </c>
      <c r="O207" s="1215" t="s">
        <v>535</v>
      </c>
      <c r="P207" s="1215" t="s">
        <v>535</v>
      </c>
      <c r="Q207" s="1215" t="s">
        <v>535</v>
      </c>
      <c r="R207" s="1215"/>
      <c r="S207" s="1215"/>
      <c r="T207" s="1215" t="s">
        <v>535</v>
      </c>
      <c r="U207" s="1215" t="s">
        <v>535</v>
      </c>
      <c r="V207" s="1215" t="s">
        <v>535</v>
      </c>
      <c r="W207" s="1215" t="s">
        <v>535</v>
      </c>
      <c r="X207" s="1215" t="s">
        <v>535</v>
      </c>
      <c r="Y207" s="1215"/>
      <c r="Z207" s="1215"/>
      <c r="AA207" s="1215" t="s">
        <v>535</v>
      </c>
      <c r="AB207" s="1215" t="s">
        <v>535</v>
      </c>
      <c r="AC207" s="1215" t="s">
        <v>535</v>
      </c>
      <c r="AD207" s="1215" t="s">
        <v>535</v>
      </c>
      <c r="AE207" s="1215" t="s">
        <v>535</v>
      </c>
      <c r="AF207" s="1215"/>
      <c r="AG207" s="1215"/>
      <c r="AH207" s="603">
        <v>185</v>
      </c>
      <c r="AI207" s="604">
        <v>37</v>
      </c>
    </row>
    <row r="208" spans="1:35" ht="21.95" customHeight="1">
      <c r="A208" s="442">
        <v>3701</v>
      </c>
      <c r="B208" s="1236" t="s">
        <v>571</v>
      </c>
      <c r="C208" s="1392" t="s">
        <v>570</v>
      </c>
      <c r="D208" s="1215"/>
      <c r="E208" s="1215"/>
      <c r="F208" s="1215">
        <v>19</v>
      </c>
      <c r="G208" s="1215">
        <v>19</v>
      </c>
      <c r="H208" s="1215">
        <v>19</v>
      </c>
      <c r="I208" s="1215">
        <v>19</v>
      </c>
      <c r="J208" s="1215">
        <v>19</v>
      </c>
      <c r="K208" s="1215"/>
      <c r="L208" s="1215"/>
      <c r="M208" s="1215" t="s">
        <v>535</v>
      </c>
      <c r="N208" s="1215" t="s">
        <v>535</v>
      </c>
      <c r="O208" s="1215" t="s">
        <v>535</v>
      </c>
      <c r="P208" s="1346" t="s">
        <v>535</v>
      </c>
      <c r="Q208" s="1215" t="s">
        <v>535</v>
      </c>
      <c r="R208" s="1215"/>
      <c r="S208" s="1215"/>
      <c r="T208" s="1215" t="s">
        <v>535</v>
      </c>
      <c r="U208" s="1215" t="s">
        <v>535</v>
      </c>
      <c r="V208" s="1215" t="s">
        <v>535</v>
      </c>
      <c r="W208" s="1215" t="s">
        <v>535</v>
      </c>
      <c r="X208" s="1215" t="s">
        <v>535</v>
      </c>
      <c r="Y208" s="1215"/>
      <c r="Z208" s="1215"/>
      <c r="AA208" s="1215" t="s">
        <v>535</v>
      </c>
      <c r="AB208" s="1392" t="s">
        <v>514</v>
      </c>
      <c r="AC208" s="1392" t="s">
        <v>514</v>
      </c>
      <c r="AD208" s="1392" t="s">
        <v>514</v>
      </c>
      <c r="AE208" s="1392" t="s">
        <v>749</v>
      </c>
      <c r="AF208" s="1215"/>
      <c r="AG208" s="1215"/>
      <c r="AH208" s="603">
        <v>185</v>
      </c>
      <c r="AI208" s="604">
        <v>37</v>
      </c>
    </row>
    <row r="209" spans="1:35" ht="21.95" customHeight="1">
      <c r="A209" s="442">
        <v>3701</v>
      </c>
      <c r="B209" s="545" t="s">
        <v>490</v>
      </c>
      <c r="C209" s="1215" t="s">
        <v>535</v>
      </c>
      <c r="D209" s="1215"/>
      <c r="E209" s="1215"/>
      <c r="F209" s="1215" t="s">
        <v>535</v>
      </c>
      <c r="G209" s="1215" t="s">
        <v>535</v>
      </c>
      <c r="H209" s="1215" t="s">
        <v>535</v>
      </c>
      <c r="I209" s="1215" t="s">
        <v>535</v>
      </c>
      <c r="J209" s="1215" t="s">
        <v>535</v>
      </c>
      <c r="K209" s="1215"/>
      <c r="L209" s="1215"/>
      <c r="M209" s="1215" t="s">
        <v>535</v>
      </c>
      <c r="N209" s="1215" t="s">
        <v>535</v>
      </c>
      <c r="O209" s="1215" t="s">
        <v>535</v>
      </c>
      <c r="P209" s="1215" t="s">
        <v>535</v>
      </c>
      <c r="Q209" s="1215" t="s">
        <v>535</v>
      </c>
      <c r="R209" s="1215"/>
      <c r="S209" s="1215"/>
      <c r="T209" s="1215" t="s">
        <v>535</v>
      </c>
      <c r="U209" s="1215" t="s">
        <v>535</v>
      </c>
      <c r="V209" s="1215" t="s">
        <v>514</v>
      </c>
      <c r="W209" s="1215" t="s">
        <v>535</v>
      </c>
      <c r="X209" s="1215" t="s">
        <v>535</v>
      </c>
      <c r="Y209" s="1215"/>
      <c r="Z209" s="1215"/>
      <c r="AA209" s="1215">
        <v>19</v>
      </c>
      <c r="AB209" s="1500" t="s">
        <v>514</v>
      </c>
      <c r="AC209" s="1500" t="s">
        <v>514</v>
      </c>
      <c r="AD209" s="1500" t="s">
        <v>514</v>
      </c>
      <c r="AE209" s="1215">
        <v>19</v>
      </c>
      <c r="AF209" s="1215"/>
      <c r="AG209" s="1215"/>
      <c r="AH209" s="603">
        <v>185</v>
      </c>
      <c r="AI209" s="604">
        <v>37</v>
      </c>
    </row>
    <row r="210" spans="1:35" ht="21.95" customHeight="1">
      <c r="A210" s="1318">
        <v>3701</v>
      </c>
      <c r="B210" s="1319" t="s">
        <v>573</v>
      </c>
      <c r="C210" s="1215" t="s">
        <v>535</v>
      </c>
      <c r="D210" s="1215"/>
      <c r="E210" s="1215"/>
      <c r="F210" s="1215" t="s">
        <v>535</v>
      </c>
      <c r="G210" s="1215" t="s">
        <v>535</v>
      </c>
      <c r="H210" s="1215" t="s">
        <v>535</v>
      </c>
      <c r="I210" s="1215" t="s">
        <v>535</v>
      </c>
      <c r="J210" s="1215" t="s">
        <v>535</v>
      </c>
      <c r="K210" s="1215"/>
      <c r="L210" s="1215"/>
      <c r="M210" s="1215">
        <v>19</v>
      </c>
      <c r="N210" s="1215">
        <v>19</v>
      </c>
      <c r="O210" s="1215">
        <v>19</v>
      </c>
      <c r="P210" s="1215">
        <v>19</v>
      </c>
      <c r="Q210" s="1215">
        <v>19</v>
      </c>
      <c r="R210" s="1215"/>
      <c r="S210" s="1215"/>
      <c r="T210" s="1215" t="s">
        <v>535</v>
      </c>
      <c r="U210" s="1215" t="s">
        <v>535</v>
      </c>
      <c r="V210" s="1215" t="s">
        <v>535</v>
      </c>
      <c r="W210" s="1215" t="s">
        <v>535</v>
      </c>
      <c r="X210" s="1215" t="s">
        <v>535</v>
      </c>
      <c r="Y210" s="1215"/>
      <c r="Z210" s="1215"/>
      <c r="AA210" s="1215" t="s">
        <v>535</v>
      </c>
      <c r="AB210" s="1215" t="s">
        <v>535</v>
      </c>
      <c r="AC210" s="1215" t="s">
        <v>535</v>
      </c>
      <c r="AD210" s="1215" t="s">
        <v>535</v>
      </c>
      <c r="AE210" s="1215" t="s">
        <v>535</v>
      </c>
      <c r="AF210" s="1215"/>
      <c r="AG210" s="1215"/>
      <c r="AH210" s="603">
        <v>185</v>
      </c>
      <c r="AI210" s="604">
        <v>37</v>
      </c>
    </row>
    <row r="211" spans="1:35" ht="21.95" customHeight="1">
      <c r="A211" s="442">
        <v>3701</v>
      </c>
      <c r="B211" s="1236" t="s">
        <v>574</v>
      </c>
      <c r="C211" s="1215" t="s">
        <v>535</v>
      </c>
      <c r="D211" s="1215"/>
      <c r="E211" s="1215"/>
      <c r="F211" s="1215" t="s">
        <v>535</v>
      </c>
      <c r="G211" s="1215" t="s">
        <v>535</v>
      </c>
      <c r="H211" s="1215" t="s">
        <v>535</v>
      </c>
      <c r="I211" s="1215" t="s">
        <v>535</v>
      </c>
      <c r="J211" s="1215" t="s">
        <v>535</v>
      </c>
      <c r="K211" s="1215"/>
      <c r="L211" s="1215"/>
      <c r="M211" s="1215" t="s">
        <v>535</v>
      </c>
      <c r="N211" s="1215" t="s">
        <v>535</v>
      </c>
      <c r="O211" s="1215" t="s">
        <v>535</v>
      </c>
      <c r="P211" s="1215" t="s">
        <v>535</v>
      </c>
      <c r="Q211" s="1215" t="s">
        <v>535</v>
      </c>
      <c r="R211" s="1215"/>
      <c r="S211" s="1215"/>
      <c r="T211" s="1215" t="s">
        <v>535</v>
      </c>
      <c r="U211" s="1215" t="s">
        <v>535</v>
      </c>
      <c r="V211" s="1215" t="s">
        <v>535</v>
      </c>
      <c r="W211" s="1215" t="s">
        <v>535</v>
      </c>
      <c r="X211" s="1215" t="s">
        <v>535</v>
      </c>
      <c r="Y211" s="1215"/>
      <c r="Z211" s="1215"/>
      <c r="AA211" s="1215" t="s">
        <v>535</v>
      </c>
      <c r="AB211" s="1215" t="s">
        <v>535</v>
      </c>
      <c r="AC211" s="1215" t="s">
        <v>535</v>
      </c>
      <c r="AD211" s="1215" t="s">
        <v>535</v>
      </c>
      <c r="AE211" s="1215" t="s">
        <v>535</v>
      </c>
      <c r="AF211" s="1215"/>
      <c r="AG211" s="1215"/>
      <c r="AH211" s="603">
        <v>185</v>
      </c>
      <c r="AI211" s="604">
        <v>37</v>
      </c>
    </row>
    <row r="212" spans="1:35" ht="21.95" customHeight="1">
      <c r="A212" s="442">
        <v>3701</v>
      </c>
      <c r="B212" s="1239" t="s">
        <v>575</v>
      </c>
      <c r="C212" s="1215" t="s">
        <v>535</v>
      </c>
      <c r="D212" s="1215"/>
      <c r="E212" s="1215"/>
      <c r="F212" s="1338" t="s">
        <v>535</v>
      </c>
      <c r="G212" s="1338" t="s">
        <v>535</v>
      </c>
      <c r="H212" s="1338" t="s">
        <v>535</v>
      </c>
      <c r="I212" s="1338" t="s">
        <v>535</v>
      </c>
      <c r="J212" s="1338" t="s">
        <v>535</v>
      </c>
      <c r="K212" s="1338"/>
      <c r="L212" s="1338"/>
      <c r="M212" s="1215" t="s">
        <v>535</v>
      </c>
      <c r="N212" s="1215" t="s">
        <v>535</v>
      </c>
      <c r="O212" s="1215" t="s">
        <v>535</v>
      </c>
      <c r="P212" s="1215" t="s">
        <v>535</v>
      </c>
      <c r="Q212" s="1215" t="s">
        <v>535</v>
      </c>
      <c r="R212" s="1215"/>
      <c r="S212" s="1215"/>
      <c r="T212" s="1215" t="s">
        <v>535</v>
      </c>
      <c r="U212" s="1215" t="s">
        <v>535</v>
      </c>
      <c r="V212" s="1215" t="s">
        <v>535</v>
      </c>
      <c r="W212" s="1215" t="s">
        <v>535</v>
      </c>
      <c r="X212" s="1215" t="s">
        <v>535</v>
      </c>
      <c r="Y212" s="1215"/>
      <c r="Z212" s="1215"/>
      <c r="AA212" s="1215" t="s">
        <v>535</v>
      </c>
      <c r="AB212" s="1215" t="s">
        <v>535</v>
      </c>
      <c r="AC212" s="1215" t="s">
        <v>535</v>
      </c>
      <c r="AD212" s="1215" t="s">
        <v>535</v>
      </c>
      <c r="AE212" s="1215" t="s">
        <v>535</v>
      </c>
      <c r="AF212" s="1215"/>
      <c r="AG212" s="1215"/>
      <c r="AH212" s="603">
        <v>185</v>
      </c>
      <c r="AI212" s="604">
        <v>37</v>
      </c>
    </row>
    <row r="213" spans="1:35" ht="21.95" customHeight="1">
      <c r="A213" s="442">
        <v>3701</v>
      </c>
      <c r="B213" s="1240" t="s">
        <v>576</v>
      </c>
      <c r="C213" s="1215" t="s">
        <v>535</v>
      </c>
      <c r="D213" s="1215"/>
      <c r="E213" s="1215"/>
      <c r="F213" s="1215" t="s">
        <v>535</v>
      </c>
      <c r="G213" s="1215" t="s">
        <v>535</v>
      </c>
      <c r="H213" s="1215" t="s">
        <v>535</v>
      </c>
      <c r="I213" s="1215" t="s">
        <v>535</v>
      </c>
      <c r="J213" s="1215" t="s">
        <v>535</v>
      </c>
      <c r="K213" s="1215"/>
      <c r="L213" s="1215"/>
      <c r="M213" s="1215" t="s">
        <v>535</v>
      </c>
      <c r="N213" s="1215" t="s">
        <v>535</v>
      </c>
      <c r="O213" s="1392" t="s">
        <v>535</v>
      </c>
      <c r="P213" s="1392" t="s">
        <v>749</v>
      </c>
      <c r="Q213" s="1215" t="s">
        <v>535</v>
      </c>
      <c r="R213" s="1215"/>
      <c r="S213" s="1215"/>
      <c r="T213" s="1215" t="s">
        <v>535</v>
      </c>
      <c r="U213" s="1215" t="s">
        <v>535</v>
      </c>
      <c r="V213" s="1215" t="s">
        <v>535</v>
      </c>
      <c r="W213" s="1215" t="s">
        <v>535</v>
      </c>
      <c r="X213" s="1215" t="s">
        <v>535</v>
      </c>
      <c r="Y213" s="1215"/>
      <c r="Z213" s="1215"/>
      <c r="AA213" s="1215" t="s">
        <v>535</v>
      </c>
      <c r="AB213" s="1215" t="s">
        <v>535</v>
      </c>
      <c r="AC213" s="1215" t="s">
        <v>535</v>
      </c>
      <c r="AD213" s="1215" t="s">
        <v>535</v>
      </c>
      <c r="AE213" s="1215" t="s">
        <v>535</v>
      </c>
      <c r="AF213" s="1229"/>
      <c r="AG213" s="1229"/>
      <c r="AH213" s="603">
        <v>185</v>
      </c>
      <c r="AI213" s="604">
        <v>37</v>
      </c>
    </row>
    <row r="214" spans="1:35" ht="21.95" customHeight="1">
      <c r="A214" s="903">
        <v>3701</v>
      </c>
      <c r="B214" s="1240"/>
      <c r="C214" s="1229"/>
      <c r="D214" s="1229"/>
      <c r="E214" s="1229"/>
      <c r="F214" s="1229"/>
      <c r="G214" s="1229"/>
      <c r="H214" s="1229"/>
      <c r="I214" s="1229"/>
      <c r="J214" s="1229"/>
      <c r="K214" s="1229"/>
      <c r="L214" s="1229"/>
      <c r="M214" s="1229"/>
      <c r="N214" s="1229"/>
      <c r="O214" s="1229"/>
      <c r="P214" s="1229"/>
      <c r="Q214" s="1229"/>
      <c r="R214" s="1229"/>
      <c r="S214" s="1229"/>
      <c r="T214" s="1229"/>
      <c r="U214" s="1229"/>
      <c r="V214" s="1229"/>
      <c r="W214" s="1229"/>
      <c r="X214" s="1229"/>
      <c r="Y214" s="1229"/>
      <c r="Z214" s="1229"/>
      <c r="AA214" s="1229"/>
      <c r="AB214" s="1229"/>
      <c r="AC214" s="1229"/>
      <c r="AD214" s="1229"/>
      <c r="AE214" s="1229"/>
      <c r="AF214" s="1229"/>
      <c r="AG214" s="1229"/>
      <c r="AH214" s="904"/>
      <c r="AI214" s="904"/>
    </row>
    <row r="215" spans="1:35" ht="21.95" customHeight="1">
      <c r="A215" s="578"/>
      <c r="B215" s="621"/>
      <c r="C215" s="559"/>
      <c r="D215" s="559"/>
      <c r="E215" s="559"/>
      <c r="F215" s="559"/>
      <c r="G215" s="559"/>
      <c r="H215" s="559"/>
      <c r="I215" s="559"/>
      <c r="J215" s="559"/>
      <c r="K215" s="520"/>
      <c r="L215" s="559"/>
      <c r="M215" s="559"/>
      <c r="N215" s="559"/>
      <c r="O215" s="559"/>
      <c r="P215" s="541"/>
      <c r="Q215" s="541"/>
      <c r="R215" s="541"/>
      <c r="S215" s="559"/>
      <c r="T215" s="559"/>
      <c r="U215" s="559"/>
      <c r="V215" s="559"/>
      <c r="W215" s="559"/>
      <c r="X215" s="559"/>
      <c r="Y215" s="559"/>
      <c r="Z215" s="559"/>
      <c r="AA215" s="559"/>
      <c r="AB215" s="559"/>
      <c r="AC215" s="559"/>
      <c r="AD215" s="559"/>
      <c r="AE215" s="559"/>
      <c r="AF215" s="559"/>
      <c r="AG215" s="559"/>
      <c r="AH215" s="560"/>
      <c r="AI215" s="560"/>
    </row>
    <row r="216" spans="1:35" ht="21" customHeight="1" thickBot="1">
      <c r="A216" s="1" t="s">
        <v>577</v>
      </c>
    </row>
    <row r="217" spans="1:35" ht="21" customHeight="1">
      <c r="B217" s="201" t="s">
        <v>516</v>
      </c>
      <c r="C217" s="7"/>
      <c r="D217" s="525" t="s">
        <v>2</v>
      </c>
      <c r="E217" s="51"/>
      <c r="F217" s="551"/>
      <c r="G217" s="7"/>
      <c r="H217" s="525" t="s">
        <v>3</v>
      </c>
      <c r="I217" s="51"/>
      <c r="J217" s="551"/>
      <c r="K217" s="7"/>
      <c r="L217" s="525" t="s">
        <v>4</v>
      </c>
      <c r="M217" s="51"/>
      <c r="N217" s="551"/>
      <c r="O217" s="7"/>
      <c r="P217" s="525" t="s">
        <v>5</v>
      </c>
      <c r="Q217" s="51"/>
      <c r="R217" s="551"/>
      <c r="S217" s="7"/>
      <c r="T217" s="525" t="s">
        <v>6</v>
      </c>
      <c r="U217" s="51"/>
      <c r="V217" s="551"/>
      <c r="W217" s="7"/>
      <c r="X217" s="525" t="s">
        <v>7</v>
      </c>
      <c r="Y217" s="51"/>
      <c r="Z217" s="551"/>
      <c r="AA217" s="7"/>
      <c r="AB217" s="525" t="s">
        <v>8</v>
      </c>
      <c r="AC217" s="51"/>
      <c r="AD217" s="51"/>
      <c r="AE217" s="425" t="s">
        <v>10</v>
      </c>
      <c r="AF217" s="51"/>
      <c r="AG217" s="51"/>
      <c r="AH217" s="51"/>
      <c r="AI217" s="526"/>
    </row>
    <row r="218" spans="1:35" ht="21" customHeight="1">
      <c r="B218" s="9">
        <v>8502</v>
      </c>
      <c r="C218" s="14" t="s">
        <v>11</v>
      </c>
      <c r="D218" s="609"/>
      <c r="E218" s="55"/>
      <c r="F218" s="608"/>
      <c r="G218" s="14" t="s">
        <v>11</v>
      </c>
      <c r="H218" s="609"/>
      <c r="I218" s="55"/>
      <c r="J218" s="608"/>
      <c r="K218" s="14" t="s">
        <v>11</v>
      </c>
      <c r="L218" s="609"/>
      <c r="M218" s="55"/>
      <c r="N218" s="608"/>
      <c r="O218" s="14" t="s">
        <v>11</v>
      </c>
      <c r="P218" s="609"/>
      <c r="Q218" s="55"/>
      <c r="R218" s="608"/>
      <c r="S218" s="14" t="s">
        <v>12</v>
      </c>
      <c r="T218" s="609"/>
      <c r="U218" s="55"/>
      <c r="V218" s="608"/>
      <c r="W218" s="14"/>
      <c r="X218" s="609"/>
      <c r="Y218" s="55"/>
      <c r="Z218" s="608"/>
      <c r="AA218" s="14"/>
      <c r="AB218" s="609"/>
      <c r="AC218" s="55"/>
      <c r="AD218" s="55"/>
      <c r="AE218" s="610"/>
      <c r="AF218" s="55"/>
      <c r="AG218" s="55"/>
      <c r="AH218" s="55"/>
      <c r="AI218" s="611"/>
    </row>
    <row r="219" spans="1:35" ht="21" customHeight="1">
      <c r="B219" s="612">
        <v>3701</v>
      </c>
      <c r="C219" s="121" t="s">
        <v>11</v>
      </c>
      <c r="D219" s="131"/>
      <c r="E219" s="55"/>
      <c r="F219" s="608"/>
      <c r="G219" s="121" t="s">
        <v>11</v>
      </c>
      <c r="H219" s="609"/>
      <c r="I219" s="55"/>
      <c r="J219" s="608"/>
      <c r="K219" s="121" t="s">
        <v>11</v>
      </c>
      <c r="L219" s="609"/>
      <c r="M219" s="55"/>
      <c r="N219" s="608"/>
      <c r="O219" s="121" t="s">
        <v>11</v>
      </c>
      <c r="P219" s="609"/>
      <c r="Q219" s="55"/>
      <c r="R219" s="608"/>
      <c r="S219" s="14" t="s">
        <v>12</v>
      </c>
      <c r="T219" s="609"/>
      <c r="U219" s="55"/>
      <c r="V219" s="608"/>
      <c r="W219" s="14"/>
      <c r="X219" s="609"/>
      <c r="Y219" s="55"/>
      <c r="Z219" s="608"/>
      <c r="AA219" s="14"/>
      <c r="AB219" s="609"/>
      <c r="AC219" s="55"/>
      <c r="AD219" s="55"/>
      <c r="AE219" s="610"/>
      <c r="AF219" s="55"/>
      <c r="AG219" s="55"/>
      <c r="AH219" s="55"/>
      <c r="AI219" s="611"/>
    </row>
    <row r="220" spans="1:35" ht="21" customHeight="1">
      <c r="B220" s="612">
        <v>3705</v>
      </c>
      <c r="C220" s="121" t="s">
        <v>147</v>
      </c>
      <c r="D220" s="131"/>
      <c r="E220" s="55"/>
      <c r="F220" s="608"/>
      <c r="G220" s="121" t="s">
        <v>147</v>
      </c>
      <c r="H220" s="609"/>
      <c r="I220" s="55"/>
      <c r="J220" s="608"/>
      <c r="K220" s="121" t="s">
        <v>147</v>
      </c>
      <c r="L220" s="609"/>
      <c r="M220" s="55"/>
      <c r="N220" s="608"/>
      <c r="O220" s="121" t="s">
        <v>147</v>
      </c>
      <c r="P220" s="609"/>
      <c r="Q220" s="55"/>
      <c r="R220" s="608"/>
      <c r="S220" s="121" t="s">
        <v>578</v>
      </c>
      <c r="T220" s="609"/>
      <c r="U220" s="55"/>
      <c r="V220" s="608"/>
      <c r="W220" s="14"/>
      <c r="X220" s="609"/>
      <c r="Y220" s="55"/>
      <c r="Z220" s="608"/>
      <c r="AA220" s="14"/>
      <c r="AB220" s="609"/>
      <c r="AC220" s="55"/>
      <c r="AD220" s="55"/>
      <c r="AE220" s="610"/>
      <c r="AF220" s="55"/>
      <c r="AG220" s="55"/>
      <c r="AH220" s="55"/>
      <c r="AI220" s="611"/>
    </row>
    <row r="221" spans="1:35" ht="21" customHeight="1">
      <c r="B221" s="612" t="s">
        <v>579</v>
      </c>
      <c r="C221" s="567" t="s">
        <v>580</v>
      </c>
      <c r="D221" s="131"/>
      <c r="E221" s="55"/>
      <c r="F221" s="608"/>
      <c r="G221" s="567" t="s">
        <v>580</v>
      </c>
      <c r="H221" s="609"/>
      <c r="I221" s="55"/>
      <c r="J221" s="608"/>
      <c r="K221" s="567" t="s">
        <v>580</v>
      </c>
      <c r="L221" s="609"/>
      <c r="M221" s="55"/>
      <c r="N221" s="608"/>
      <c r="O221" s="567" t="s">
        <v>580</v>
      </c>
      <c r="P221" s="609"/>
      <c r="Q221" s="55"/>
      <c r="R221" s="608"/>
      <c r="S221" s="567" t="s">
        <v>580</v>
      </c>
      <c r="T221" s="609"/>
      <c r="U221" s="55"/>
      <c r="V221" s="608"/>
      <c r="W221" s="14"/>
      <c r="X221" s="609"/>
      <c r="Y221" s="55"/>
      <c r="Z221" s="608"/>
      <c r="AA221" s="14"/>
      <c r="AB221" s="609"/>
      <c r="AC221" s="55"/>
      <c r="AD221" s="55"/>
      <c r="AE221" s="610"/>
      <c r="AF221" s="55"/>
      <c r="AG221" s="55"/>
      <c r="AH221" s="55"/>
      <c r="AI221" s="611"/>
    </row>
    <row r="222" spans="1:35" ht="21" customHeight="1">
      <c r="B222" s="612" t="s">
        <v>581</v>
      </c>
      <c r="C222" s="567" t="s">
        <v>582</v>
      </c>
      <c r="D222" s="131"/>
      <c r="E222" s="55"/>
      <c r="F222" s="608"/>
      <c r="G222" s="609" t="s">
        <v>583</v>
      </c>
      <c r="H222" s="609"/>
      <c r="I222" s="55"/>
      <c r="J222" s="608"/>
      <c r="K222" s="609" t="s">
        <v>584</v>
      </c>
      <c r="L222" s="609"/>
      <c r="M222" s="55"/>
      <c r="N222" s="608"/>
      <c r="O222" s="609" t="s">
        <v>584</v>
      </c>
      <c r="P222" s="609"/>
      <c r="Q222" s="55"/>
      <c r="R222" s="608"/>
      <c r="S222" s="609" t="s">
        <v>585</v>
      </c>
      <c r="T222" s="609"/>
      <c r="U222" s="55"/>
      <c r="V222" s="608"/>
      <c r="W222" s="14"/>
      <c r="X222" s="609"/>
      <c r="Y222" s="55"/>
      <c r="Z222" s="608"/>
      <c r="AA222" s="14"/>
      <c r="AB222" s="609"/>
      <c r="AC222" s="55"/>
      <c r="AD222" s="55"/>
      <c r="AE222" s="610"/>
      <c r="AF222" s="55"/>
      <c r="AG222" s="55"/>
      <c r="AH222" s="55"/>
      <c r="AI222" s="611"/>
    </row>
    <row r="223" spans="1:35" ht="21" customHeight="1">
      <c r="B223" s="612" t="s">
        <v>164</v>
      </c>
      <c r="C223" s="567" t="s">
        <v>518</v>
      </c>
      <c r="D223" s="131"/>
      <c r="E223" s="55"/>
      <c r="F223" s="608"/>
      <c r="G223" s="567" t="s">
        <v>518</v>
      </c>
      <c r="H223" s="131"/>
      <c r="I223" s="55"/>
      <c r="J223" s="608"/>
      <c r="K223" s="567" t="s">
        <v>518</v>
      </c>
      <c r="L223" s="131"/>
      <c r="M223" s="55"/>
      <c r="N223" s="608"/>
      <c r="O223" s="567" t="s">
        <v>518</v>
      </c>
      <c r="P223" s="131"/>
      <c r="Q223" s="55"/>
      <c r="R223" s="608"/>
      <c r="S223" s="609" t="s">
        <v>519</v>
      </c>
      <c r="T223" s="609"/>
      <c r="U223" s="55"/>
      <c r="V223" s="608"/>
      <c r="W223" s="14"/>
      <c r="X223" s="609"/>
      <c r="Y223" s="55"/>
      <c r="Z223" s="608"/>
      <c r="AA223" s="14"/>
      <c r="AB223" s="609"/>
      <c r="AC223" s="55"/>
      <c r="AD223" s="55"/>
      <c r="AE223" s="610"/>
      <c r="AF223" s="55"/>
      <c r="AG223" s="55"/>
      <c r="AH223" s="55"/>
      <c r="AI223" s="611"/>
    </row>
    <row r="224" spans="1:35" ht="21" customHeight="1">
      <c r="B224" s="612" t="s">
        <v>167</v>
      </c>
      <c r="C224" s="567" t="s">
        <v>521</v>
      </c>
      <c r="D224" s="131"/>
      <c r="E224" s="55"/>
      <c r="F224" s="608"/>
      <c r="G224" s="567" t="s">
        <v>521</v>
      </c>
      <c r="H224" s="131"/>
      <c r="I224" s="55"/>
      <c r="J224" s="608"/>
      <c r="K224" s="567" t="s">
        <v>521</v>
      </c>
      <c r="L224" s="131"/>
      <c r="M224" s="55"/>
      <c r="N224" s="608"/>
      <c r="O224" s="567" t="s">
        <v>521</v>
      </c>
      <c r="P224" s="131"/>
      <c r="Q224" s="55"/>
      <c r="R224" s="608"/>
      <c r="S224" s="609" t="s">
        <v>522</v>
      </c>
      <c r="T224" s="609"/>
      <c r="U224" s="55"/>
      <c r="V224" s="608"/>
      <c r="W224" s="14"/>
      <c r="X224" s="609"/>
      <c r="Y224" s="55"/>
      <c r="Z224" s="608"/>
      <c r="AA224" s="14"/>
      <c r="AB224" s="609"/>
      <c r="AC224" s="55"/>
      <c r="AD224" s="55"/>
      <c r="AE224" s="610"/>
      <c r="AF224" s="55"/>
      <c r="AG224" s="55"/>
      <c r="AH224" s="55"/>
      <c r="AI224" s="611"/>
    </row>
    <row r="225" spans="1:35" ht="21" customHeight="1" thickBot="1">
      <c r="B225" s="617" t="s">
        <v>170</v>
      </c>
      <c r="C225" s="574" t="s">
        <v>524</v>
      </c>
      <c r="D225" s="48"/>
      <c r="E225" s="622"/>
      <c r="F225" s="240"/>
      <c r="G225" s="574" t="s">
        <v>524</v>
      </c>
      <c r="H225" s="48"/>
      <c r="I225" s="622"/>
      <c r="J225" s="240"/>
      <c r="K225" s="574" t="s">
        <v>524</v>
      </c>
      <c r="L225" s="48"/>
      <c r="M225" s="622"/>
      <c r="N225" s="240"/>
      <c r="O225" s="574" t="s">
        <v>524</v>
      </c>
      <c r="P225" s="48"/>
      <c r="Q225" s="622"/>
      <c r="R225" s="240"/>
      <c r="S225" s="149" t="s">
        <v>525</v>
      </c>
      <c r="T225" s="149"/>
      <c r="U225" s="622"/>
      <c r="V225" s="240"/>
      <c r="W225" s="623"/>
      <c r="X225" s="149"/>
      <c r="Y225" s="622"/>
      <c r="Z225" s="240"/>
      <c r="AA225" s="623"/>
      <c r="AB225" s="149"/>
      <c r="AC225" s="622"/>
      <c r="AD225" s="622"/>
      <c r="AE225" s="624"/>
      <c r="AF225" s="622"/>
      <c r="AG225" s="622"/>
      <c r="AH225" s="622"/>
      <c r="AI225" s="625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6" t="s">
        <v>586</v>
      </c>
    </row>
    <row r="228" spans="1:35" ht="21" customHeight="1">
      <c r="A228" s="556"/>
      <c r="B228" s="297" t="s">
        <v>480</v>
      </c>
      <c r="C228" s="1234">
        <v>1</v>
      </c>
      <c r="D228" s="1235">
        <v>2</v>
      </c>
      <c r="E228" s="1235">
        <v>3</v>
      </c>
      <c r="F228" s="1234">
        <v>4</v>
      </c>
      <c r="G228" s="1234">
        <v>5</v>
      </c>
      <c r="H228" s="1234">
        <v>6</v>
      </c>
      <c r="I228" s="1213">
        <v>7</v>
      </c>
      <c r="J228" s="1213">
        <v>8</v>
      </c>
      <c r="K228" s="1235">
        <v>9</v>
      </c>
      <c r="L228" s="1235">
        <v>10</v>
      </c>
      <c r="M228" s="1234">
        <v>11</v>
      </c>
      <c r="N228" s="1234">
        <v>12</v>
      </c>
      <c r="O228" s="1234">
        <v>13</v>
      </c>
      <c r="P228" s="1213">
        <v>14</v>
      </c>
      <c r="Q228" s="1213">
        <v>15</v>
      </c>
      <c r="R228" s="1235">
        <v>16</v>
      </c>
      <c r="S228" s="1235">
        <v>17</v>
      </c>
      <c r="T228" s="1234">
        <v>18</v>
      </c>
      <c r="U228" s="1234">
        <v>19</v>
      </c>
      <c r="V228" s="1213">
        <v>20</v>
      </c>
      <c r="W228" s="1213">
        <v>21</v>
      </c>
      <c r="X228" s="1213">
        <v>22</v>
      </c>
      <c r="Y228" s="1235">
        <v>23</v>
      </c>
      <c r="Z228" s="1235">
        <v>24</v>
      </c>
      <c r="AA228" s="1234">
        <v>25</v>
      </c>
      <c r="AB228" s="1234">
        <v>26</v>
      </c>
      <c r="AC228" s="1234">
        <v>27</v>
      </c>
      <c r="AD228" s="1213">
        <v>28</v>
      </c>
      <c r="AE228" s="1213">
        <v>29</v>
      </c>
      <c r="AF228" s="1235">
        <v>30</v>
      </c>
      <c r="AG228" s="1234"/>
      <c r="AH228" s="498" t="s">
        <v>481</v>
      </c>
      <c r="AI228" s="499" t="s">
        <v>482</v>
      </c>
    </row>
    <row r="229" spans="1:35" ht="21" customHeight="1">
      <c r="A229" s="442">
        <v>3702</v>
      </c>
      <c r="B229" s="153" t="s">
        <v>587</v>
      </c>
      <c r="C229" s="557">
        <v>1</v>
      </c>
      <c r="D229" s="1215"/>
      <c r="E229" s="557"/>
      <c r="F229" s="1511">
        <v>2</v>
      </c>
      <c r="G229" s="1511">
        <v>2</v>
      </c>
      <c r="H229" s="557">
        <v>2</v>
      </c>
      <c r="I229" s="557">
        <v>2</v>
      </c>
      <c r="J229" s="1368">
        <v>2</v>
      </c>
      <c r="K229" s="1215"/>
      <c r="L229" s="1215"/>
      <c r="M229" s="557">
        <v>1</v>
      </c>
      <c r="N229" s="557">
        <v>1</v>
      </c>
      <c r="O229" s="557">
        <v>1</v>
      </c>
      <c r="P229" s="557">
        <v>1</v>
      </c>
      <c r="Q229" s="557">
        <v>1</v>
      </c>
      <c r="R229" s="1208"/>
      <c r="S229" s="1208"/>
      <c r="T229" s="1208">
        <v>2</v>
      </c>
      <c r="U229" s="1208">
        <v>2</v>
      </c>
      <c r="V229" s="1208">
        <v>2</v>
      </c>
      <c r="W229" s="557">
        <v>2</v>
      </c>
      <c r="X229" s="557">
        <v>2</v>
      </c>
      <c r="Y229" s="1215"/>
      <c r="Z229" s="1215"/>
      <c r="AA229" s="557">
        <v>1</v>
      </c>
      <c r="AB229" s="557">
        <v>1</v>
      </c>
      <c r="AC229" s="557">
        <v>1</v>
      </c>
      <c r="AD229" s="557">
        <v>1</v>
      </c>
      <c r="AE229" s="557">
        <v>1</v>
      </c>
      <c r="AF229" s="1215"/>
      <c r="AG229" s="557"/>
      <c r="AH229" s="504">
        <v>185</v>
      </c>
      <c r="AI229" s="505">
        <v>37</v>
      </c>
    </row>
    <row r="230" spans="1:35" ht="21" customHeight="1">
      <c r="A230" s="442">
        <v>3701</v>
      </c>
      <c r="B230" s="153" t="s">
        <v>588</v>
      </c>
      <c r="C230" s="557" t="s">
        <v>535</v>
      </c>
      <c r="D230" s="1215"/>
      <c r="E230" s="557"/>
      <c r="F230" s="557" t="s">
        <v>535</v>
      </c>
      <c r="G230" s="557" t="s">
        <v>535</v>
      </c>
      <c r="H230" s="557" t="s">
        <v>535</v>
      </c>
      <c r="I230" s="557" t="s">
        <v>535</v>
      </c>
      <c r="J230" s="557" t="s">
        <v>535</v>
      </c>
      <c r="K230" s="1215"/>
      <c r="L230" s="1215"/>
      <c r="M230" s="557" t="s">
        <v>535</v>
      </c>
      <c r="N230" s="557" t="s">
        <v>535</v>
      </c>
      <c r="O230" s="557" t="s">
        <v>535</v>
      </c>
      <c r="P230" s="557" t="s">
        <v>535</v>
      </c>
      <c r="Q230" s="557" t="s">
        <v>535</v>
      </c>
      <c r="R230" s="1208"/>
      <c r="S230" s="1208"/>
      <c r="T230" s="1208" t="s">
        <v>535</v>
      </c>
      <c r="U230" s="1208" t="s">
        <v>535</v>
      </c>
      <c r="V230" s="1208" t="s">
        <v>535</v>
      </c>
      <c r="W230" s="557" t="s">
        <v>535</v>
      </c>
      <c r="X230" s="557" t="s">
        <v>535</v>
      </c>
      <c r="Y230" s="1215"/>
      <c r="Z230" s="1215"/>
      <c r="AA230" s="557" t="s">
        <v>535</v>
      </c>
      <c r="AB230" s="557" t="s">
        <v>535</v>
      </c>
      <c r="AC230" s="557" t="s">
        <v>535</v>
      </c>
      <c r="AD230" s="557" t="s">
        <v>535</v>
      </c>
      <c r="AE230" s="557" t="s">
        <v>535</v>
      </c>
      <c r="AF230" s="1215"/>
      <c r="AG230" s="557"/>
      <c r="AH230" s="504">
        <v>185</v>
      </c>
      <c r="AI230" s="505">
        <v>37</v>
      </c>
    </row>
    <row r="231" spans="1:35" ht="21" customHeight="1">
      <c r="A231" s="442">
        <v>3702</v>
      </c>
      <c r="B231" s="153" t="s">
        <v>589</v>
      </c>
      <c r="C231" s="557">
        <v>2</v>
      </c>
      <c r="D231" s="1215"/>
      <c r="E231" s="557"/>
      <c r="F231" s="557">
        <v>1</v>
      </c>
      <c r="G231" s="557">
        <v>1</v>
      </c>
      <c r="H231" s="557">
        <v>1</v>
      </c>
      <c r="I231" s="557">
        <v>1</v>
      </c>
      <c r="J231" s="557">
        <v>1</v>
      </c>
      <c r="K231" s="1215"/>
      <c r="L231" s="1215"/>
      <c r="M231" s="1439">
        <v>2</v>
      </c>
      <c r="N231" s="1439">
        <v>2</v>
      </c>
      <c r="O231" s="1439">
        <v>2</v>
      </c>
      <c r="P231" s="1439">
        <v>2</v>
      </c>
      <c r="Q231" s="1439" t="s">
        <v>759</v>
      </c>
      <c r="R231" s="1208"/>
      <c r="S231" s="1208"/>
      <c r="T231" s="1208">
        <v>1</v>
      </c>
      <c r="U231" s="1208">
        <v>1</v>
      </c>
      <c r="V231" s="1208">
        <v>1</v>
      </c>
      <c r="W231" s="557">
        <v>1</v>
      </c>
      <c r="X231" s="557">
        <v>1</v>
      </c>
      <c r="Y231" s="1215"/>
      <c r="Z231" s="1215"/>
      <c r="AA231" s="557">
        <v>2</v>
      </c>
      <c r="AB231" s="557">
        <v>2</v>
      </c>
      <c r="AC231" s="557">
        <v>2</v>
      </c>
      <c r="AD231" s="557">
        <v>2</v>
      </c>
      <c r="AE231" s="557">
        <v>2</v>
      </c>
      <c r="AF231" s="1215"/>
      <c r="AG231" s="557"/>
      <c r="AH231" s="504">
        <v>185</v>
      </c>
      <c r="AI231" s="505">
        <v>37</v>
      </c>
    </row>
    <row r="232" spans="1:35" ht="21" customHeight="1">
      <c r="A232" s="627">
        <v>3706</v>
      </c>
      <c r="B232" s="1607" t="s">
        <v>791</v>
      </c>
      <c r="C232" s="1215"/>
      <c r="D232" s="1215"/>
      <c r="E232" s="1215"/>
      <c r="F232" s="1215"/>
      <c r="G232" s="1215"/>
      <c r="H232" s="1215"/>
      <c r="I232" s="1215"/>
      <c r="J232" s="1215"/>
      <c r="K232" s="1215"/>
      <c r="L232" s="1215"/>
      <c r="M232" s="1215"/>
      <c r="N232" s="1215"/>
      <c r="O232" s="1215"/>
      <c r="P232" s="1215"/>
      <c r="Q232" s="1215"/>
      <c r="R232" s="1215"/>
      <c r="S232" s="1215"/>
      <c r="T232" s="1215"/>
      <c r="U232" s="1215"/>
      <c r="V232" s="1215"/>
      <c r="W232" s="1215"/>
      <c r="X232" s="1215"/>
      <c r="Y232" s="1215"/>
      <c r="Z232" s="1215"/>
      <c r="AA232" s="1215"/>
      <c r="AB232" s="1215"/>
      <c r="AC232" s="1215"/>
      <c r="AD232" s="1215"/>
      <c r="AE232" s="1215"/>
      <c r="AF232" s="1215"/>
      <c r="AG232" s="1215"/>
      <c r="AH232" s="504">
        <v>185</v>
      </c>
      <c r="AI232" s="505">
        <v>37</v>
      </c>
    </row>
    <row r="233" spans="1:35" ht="21" customHeight="1">
      <c r="A233" s="628"/>
      <c r="B233" s="629" t="s">
        <v>590</v>
      </c>
      <c r="C233" s="630"/>
      <c r="D233" s="630"/>
      <c r="E233" s="630"/>
      <c r="F233" s="630"/>
      <c r="G233" s="630"/>
      <c r="H233" s="630"/>
      <c r="I233" s="630"/>
      <c r="J233" s="630"/>
      <c r="K233" s="630"/>
      <c r="L233" s="630"/>
      <c r="M233" s="630"/>
      <c r="N233" s="630"/>
      <c r="O233" s="630"/>
      <c r="P233" s="630"/>
      <c r="Q233" s="630"/>
      <c r="R233" s="630"/>
      <c r="S233" s="630"/>
      <c r="T233" s="630"/>
      <c r="U233" s="630"/>
      <c r="V233" s="630"/>
      <c r="W233" s="630"/>
      <c r="X233" s="630"/>
      <c r="Y233" s="630"/>
      <c r="Z233" s="630"/>
      <c r="AA233" s="630"/>
      <c r="AB233" s="630"/>
      <c r="AC233" s="630"/>
      <c r="AD233" s="630"/>
      <c r="AE233" s="630"/>
      <c r="AF233" s="630"/>
      <c r="AG233" s="631"/>
      <c r="AH233" s="632"/>
      <c r="AI233" s="633"/>
    </row>
    <row r="234" spans="1:35" ht="21" customHeight="1">
      <c r="A234" s="442">
        <v>3702</v>
      </c>
      <c r="B234" s="902" t="s">
        <v>520</v>
      </c>
      <c r="C234" s="557" t="s">
        <v>591</v>
      </c>
      <c r="D234" s="1215"/>
      <c r="E234" s="1215"/>
      <c r="F234" s="557" t="s">
        <v>591</v>
      </c>
      <c r="G234" s="557" t="s">
        <v>591</v>
      </c>
      <c r="H234" s="557" t="s">
        <v>591</v>
      </c>
      <c r="I234" s="557" t="s">
        <v>591</v>
      </c>
      <c r="J234" s="557" t="s">
        <v>591</v>
      </c>
      <c r="K234" s="502"/>
      <c r="L234" s="502"/>
      <c r="M234" s="557" t="s">
        <v>591</v>
      </c>
      <c r="N234" s="557" t="s">
        <v>591</v>
      </c>
      <c r="O234" s="557" t="s">
        <v>591</v>
      </c>
      <c r="P234" s="557" t="s">
        <v>591</v>
      </c>
      <c r="Q234" s="557" t="s">
        <v>591</v>
      </c>
      <c r="R234" s="1231"/>
      <c r="S234" s="1215"/>
      <c r="T234" s="557" t="s">
        <v>591</v>
      </c>
      <c r="U234" s="557" t="s">
        <v>591</v>
      </c>
      <c r="V234" s="1215" t="s">
        <v>514</v>
      </c>
      <c r="W234" s="557" t="s">
        <v>591</v>
      </c>
      <c r="X234" s="557" t="s">
        <v>591</v>
      </c>
      <c r="Y234" s="1215"/>
      <c r="Z234" s="1215"/>
      <c r="AA234" s="557" t="s">
        <v>591</v>
      </c>
      <c r="AB234" s="557" t="s">
        <v>591</v>
      </c>
      <c r="AC234" s="557" t="s">
        <v>591</v>
      </c>
      <c r="AD234" s="557" t="s">
        <v>591</v>
      </c>
      <c r="AE234" s="557" t="s">
        <v>591</v>
      </c>
      <c r="AF234" s="502"/>
      <c r="AG234" s="502"/>
      <c r="AH234" s="504">
        <v>185</v>
      </c>
      <c r="AI234" s="505">
        <v>37</v>
      </c>
    </row>
    <row r="235" spans="1:35" ht="21" customHeight="1">
      <c r="A235" s="442"/>
      <c r="B235" s="153" t="s">
        <v>517</v>
      </c>
      <c r="C235" s="557" t="s">
        <v>592</v>
      </c>
      <c r="D235" s="1215"/>
      <c r="E235" s="1215"/>
      <c r="F235" s="1591" t="s">
        <v>592</v>
      </c>
      <c r="G235" s="557" t="s">
        <v>592</v>
      </c>
      <c r="H235" s="557" t="s">
        <v>592</v>
      </c>
      <c r="I235" s="557" t="s">
        <v>592</v>
      </c>
      <c r="J235" s="557" t="s">
        <v>592</v>
      </c>
      <c r="K235" s="502"/>
      <c r="L235" s="502"/>
      <c r="M235" s="557" t="s">
        <v>592</v>
      </c>
      <c r="N235" s="557" t="s">
        <v>592</v>
      </c>
      <c r="O235" s="557" t="s">
        <v>592</v>
      </c>
      <c r="P235" s="557" t="s">
        <v>592</v>
      </c>
      <c r="Q235" s="557" t="s">
        <v>592</v>
      </c>
      <c r="R235" s="1231"/>
      <c r="S235" s="1215"/>
      <c r="T235" s="557" t="s">
        <v>592</v>
      </c>
      <c r="U235" s="557" t="s">
        <v>592</v>
      </c>
      <c r="V235" s="557" t="s">
        <v>592</v>
      </c>
      <c r="W235" s="557" t="s">
        <v>592</v>
      </c>
      <c r="X235" s="1365" t="s">
        <v>592</v>
      </c>
      <c r="Y235" s="1215"/>
      <c r="Z235" s="1215"/>
      <c r="AA235" s="1365" t="s">
        <v>592</v>
      </c>
      <c r="AB235" s="1365" t="s">
        <v>592</v>
      </c>
      <c r="AC235" s="1365" t="s">
        <v>592</v>
      </c>
      <c r="AD235" s="1365" t="s">
        <v>592</v>
      </c>
      <c r="AE235" s="1365" t="s">
        <v>592</v>
      </c>
      <c r="AF235" s="502"/>
      <c r="AG235" s="502"/>
      <c r="AH235" s="504">
        <v>185</v>
      </c>
      <c r="AI235" s="505">
        <v>37</v>
      </c>
    </row>
    <row r="236" spans="1:35" ht="21" customHeight="1">
      <c r="A236" s="442"/>
      <c r="B236" s="153" t="s">
        <v>523</v>
      </c>
      <c r="C236" s="1368" t="s">
        <v>556</v>
      </c>
      <c r="D236" s="1215"/>
      <c r="E236" s="1215"/>
      <c r="F236" s="557" t="s">
        <v>556</v>
      </c>
      <c r="G236" s="557" t="s">
        <v>556</v>
      </c>
      <c r="H236" s="557" t="s">
        <v>556</v>
      </c>
      <c r="I236" s="1439" t="s">
        <v>556</v>
      </c>
      <c r="J236" s="1439" t="s">
        <v>792</v>
      </c>
      <c r="K236" s="502"/>
      <c r="L236" s="502"/>
      <c r="M236" s="557" t="s">
        <v>556</v>
      </c>
      <c r="N236" s="1608" t="s">
        <v>556</v>
      </c>
      <c r="O236" s="557" t="s">
        <v>556</v>
      </c>
      <c r="P236" s="557" t="s">
        <v>556</v>
      </c>
      <c r="Q236" s="557" t="s">
        <v>556</v>
      </c>
      <c r="R236" s="1231"/>
      <c r="S236" s="1215"/>
      <c r="T236" s="557" t="s">
        <v>556</v>
      </c>
      <c r="U236" s="557" t="s">
        <v>556</v>
      </c>
      <c r="V236" s="1215" t="s">
        <v>514</v>
      </c>
      <c r="W236" s="557" t="s">
        <v>556</v>
      </c>
      <c r="X236" s="557" t="s">
        <v>556</v>
      </c>
      <c r="Y236" s="1215"/>
      <c r="Z236" s="1215"/>
      <c r="AA236" s="557" t="s">
        <v>556</v>
      </c>
      <c r="AB236" s="557" t="s">
        <v>556</v>
      </c>
      <c r="AC236" s="557" t="s">
        <v>556</v>
      </c>
      <c r="AD236" s="1387" t="s">
        <v>556</v>
      </c>
      <c r="AE236" s="1387" t="s">
        <v>556</v>
      </c>
      <c r="AF236" s="502"/>
      <c r="AG236" s="502"/>
      <c r="AH236" s="504">
        <v>185</v>
      </c>
      <c r="AI236" s="505">
        <v>37</v>
      </c>
    </row>
    <row r="237" spans="1:35" ht="21" customHeight="1"/>
    <row r="238" spans="1:35" ht="21" customHeight="1"/>
    <row r="239" spans="1:35" ht="21" customHeight="1" thickBot="1">
      <c r="A239" s="1" t="s">
        <v>593</v>
      </c>
    </row>
    <row r="240" spans="1:35" ht="21" customHeight="1">
      <c r="B240" s="201" t="s">
        <v>516</v>
      </c>
      <c r="C240" s="7"/>
      <c r="D240" s="525" t="s">
        <v>2</v>
      </c>
      <c r="E240" s="51"/>
      <c r="F240" s="551"/>
      <c r="G240" s="7"/>
      <c r="H240" s="525" t="s">
        <v>3</v>
      </c>
      <c r="I240" s="51"/>
      <c r="J240" s="551"/>
      <c r="K240" s="7"/>
      <c r="L240" s="525" t="s">
        <v>4</v>
      </c>
      <c r="M240" s="51"/>
      <c r="N240" s="551"/>
      <c r="O240" s="7"/>
      <c r="P240" s="525" t="s">
        <v>5</v>
      </c>
      <c r="Q240" s="51"/>
      <c r="R240" s="551"/>
      <c r="S240" s="7"/>
      <c r="T240" s="525" t="s">
        <v>6</v>
      </c>
      <c r="U240" s="51"/>
      <c r="V240" s="551"/>
      <c r="W240" s="7"/>
      <c r="X240" s="525" t="s">
        <v>7</v>
      </c>
      <c r="Y240" s="51"/>
      <c r="Z240" s="551"/>
      <c r="AA240" s="7"/>
      <c r="AB240" s="525" t="s">
        <v>8</v>
      </c>
      <c r="AC240" s="51"/>
      <c r="AD240" s="51"/>
      <c r="AE240" s="425" t="s">
        <v>10</v>
      </c>
      <c r="AF240" s="51"/>
      <c r="AG240" s="51"/>
      <c r="AH240" s="51"/>
      <c r="AI240" s="526"/>
    </row>
    <row r="241" spans="1:35" ht="21" customHeight="1">
      <c r="B241" s="9">
        <v>8500</v>
      </c>
      <c r="C241" s="121" t="s">
        <v>33</v>
      </c>
      <c r="D241" s="609"/>
      <c r="E241" s="55"/>
      <c r="F241" s="608"/>
      <c r="G241" s="121" t="s">
        <v>33</v>
      </c>
      <c r="H241" s="609"/>
      <c r="I241" s="55"/>
      <c r="J241" s="608"/>
      <c r="K241" s="121" t="s">
        <v>33</v>
      </c>
      <c r="L241" s="609"/>
      <c r="M241" s="55"/>
      <c r="N241" s="608"/>
      <c r="O241" s="121" t="s">
        <v>33</v>
      </c>
      <c r="P241" s="609"/>
      <c r="Q241" s="55"/>
      <c r="R241" s="608"/>
      <c r="S241" s="121" t="s">
        <v>34</v>
      </c>
      <c r="T241" s="609"/>
      <c r="U241" s="55"/>
      <c r="V241" s="608"/>
      <c r="W241" s="14"/>
      <c r="X241" s="609"/>
      <c r="Y241" s="55"/>
      <c r="Z241" s="608"/>
      <c r="AA241" s="14"/>
      <c r="AB241" s="609"/>
      <c r="AC241" s="55"/>
      <c r="AD241" s="55"/>
      <c r="AE241" s="610"/>
      <c r="AF241" s="55"/>
      <c r="AG241" s="55"/>
      <c r="AH241" s="55"/>
      <c r="AI241" s="611"/>
    </row>
    <row r="242" spans="1:35" ht="21" customHeight="1" thickBot="1">
      <c r="B242" s="163" t="s">
        <v>594</v>
      </c>
      <c r="C242" s="634" t="s">
        <v>595</v>
      </c>
      <c r="D242" s="635"/>
      <c r="E242" s="622"/>
      <c r="F242" s="240"/>
      <c r="G242" s="634" t="s">
        <v>595</v>
      </c>
      <c r="H242" s="149"/>
      <c r="I242" s="622"/>
      <c r="J242" s="240"/>
      <c r="K242" s="634" t="s">
        <v>595</v>
      </c>
      <c r="L242" s="149"/>
      <c r="M242" s="622"/>
      <c r="N242" s="240"/>
      <c r="O242" s="634" t="s">
        <v>596</v>
      </c>
      <c r="P242" s="149"/>
      <c r="Q242" s="622"/>
      <c r="R242" s="240"/>
      <c r="S242" s="634" t="s">
        <v>16</v>
      </c>
      <c r="T242" s="149"/>
      <c r="U242" s="622"/>
      <c r="V242" s="240"/>
      <c r="W242" s="623"/>
      <c r="X242" s="149"/>
      <c r="Y242" s="622"/>
      <c r="Z242" s="240"/>
      <c r="AA242" s="623"/>
      <c r="AB242" s="149"/>
      <c r="AC242" s="622"/>
      <c r="AD242" s="622"/>
      <c r="AE242" s="624"/>
      <c r="AF242" s="622"/>
      <c r="AG242" s="622"/>
      <c r="AH242" s="622"/>
      <c r="AI242" s="625"/>
    </row>
    <row r="243" spans="1:35" ht="21" customHeight="1" thickBot="1">
      <c r="A243" s="60" t="s">
        <v>597</v>
      </c>
    </row>
    <row r="244" spans="1:35" ht="21" customHeight="1">
      <c r="A244" s="636"/>
      <c r="B244" s="297" t="s">
        <v>480</v>
      </c>
      <c r="C244" s="1234">
        <v>1</v>
      </c>
      <c r="D244" s="1235">
        <v>2</v>
      </c>
      <c r="E244" s="1235">
        <v>3</v>
      </c>
      <c r="F244" s="1234">
        <v>4</v>
      </c>
      <c r="G244" s="1234">
        <v>5</v>
      </c>
      <c r="H244" s="1234">
        <v>6</v>
      </c>
      <c r="I244" s="1213">
        <v>7</v>
      </c>
      <c r="J244" s="1213">
        <v>8</v>
      </c>
      <c r="K244" s="1235">
        <v>9</v>
      </c>
      <c r="L244" s="1235">
        <v>10</v>
      </c>
      <c r="M244" s="1234">
        <v>11</v>
      </c>
      <c r="N244" s="1234">
        <v>12</v>
      </c>
      <c r="O244" s="1234">
        <v>13</v>
      </c>
      <c r="P244" s="1213">
        <v>14</v>
      </c>
      <c r="Q244" s="1213">
        <v>15</v>
      </c>
      <c r="R244" s="1235">
        <v>16</v>
      </c>
      <c r="S244" s="1235">
        <v>17</v>
      </c>
      <c r="T244" s="1234">
        <v>18</v>
      </c>
      <c r="U244" s="1234">
        <v>19</v>
      </c>
      <c r="V244" s="1213">
        <v>20</v>
      </c>
      <c r="W244" s="1213">
        <v>21</v>
      </c>
      <c r="X244" s="1213">
        <v>22</v>
      </c>
      <c r="Y244" s="1235">
        <v>23</v>
      </c>
      <c r="Z244" s="1235">
        <v>24</v>
      </c>
      <c r="AA244" s="1234">
        <v>25</v>
      </c>
      <c r="AB244" s="1234">
        <v>26</v>
      </c>
      <c r="AC244" s="1234">
        <v>27</v>
      </c>
      <c r="AD244" s="1213">
        <v>28</v>
      </c>
      <c r="AE244" s="1213">
        <v>29</v>
      </c>
      <c r="AF244" s="1235">
        <v>30</v>
      </c>
      <c r="AG244" s="1234"/>
      <c r="AH244" s="498" t="s">
        <v>481</v>
      </c>
      <c r="AI244" s="499" t="s">
        <v>482</v>
      </c>
    </row>
    <row r="245" spans="1:35" ht="21" customHeight="1">
      <c r="A245" s="155">
        <v>8500</v>
      </c>
      <c r="B245" s="637" t="s">
        <v>598</v>
      </c>
      <c r="C245" s="557" t="s">
        <v>535</v>
      </c>
      <c r="D245" s="1215"/>
      <c r="E245" s="557"/>
      <c r="F245" s="1511" t="s">
        <v>535</v>
      </c>
      <c r="G245" s="1511" t="s">
        <v>535</v>
      </c>
      <c r="H245" s="557" t="s">
        <v>535</v>
      </c>
      <c r="I245" s="557" t="s">
        <v>535</v>
      </c>
      <c r="J245" s="557" t="s">
        <v>535</v>
      </c>
      <c r="K245" s="1215"/>
      <c r="L245" s="1215"/>
      <c r="M245" s="1439" t="s">
        <v>570</v>
      </c>
      <c r="N245" s="557" t="s">
        <v>535</v>
      </c>
      <c r="O245" s="1365" t="s">
        <v>535</v>
      </c>
      <c r="P245" s="1511" t="s">
        <v>535</v>
      </c>
      <c r="Q245" s="1365" t="s">
        <v>535</v>
      </c>
      <c r="R245" s="1208"/>
      <c r="S245" s="1208"/>
      <c r="T245" s="1208" t="s">
        <v>535</v>
      </c>
      <c r="U245" s="1208" t="s">
        <v>535</v>
      </c>
      <c r="V245" s="1208" t="s">
        <v>535</v>
      </c>
      <c r="W245" s="1511" t="s">
        <v>535</v>
      </c>
      <c r="X245" s="557" t="s">
        <v>535</v>
      </c>
      <c r="Y245" s="1215"/>
      <c r="Z245" s="1215"/>
      <c r="AA245" s="557" t="s">
        <v>535</v>
      </c>
      <c r="AB245" s="557" t="s">
        <v>535</v>
      </c>
      <c r="AC245" s="557" t="s">
        <v>535</v>
      </c>
      <c r="AD245" s="1511" t="s">
        <v>535</v>
      </c>
      <c r="AE245" s="557" t="s">
        <v>535</v>
      </c>
      <c r="AF245" s="1215"/>
      <c r="AG245" s="557"/>
      <c r="AH245" s="638">
        <v>185</v>
      </c>
      <c r="AI245" s="639">
        <v>37</v>
      </c>
    </row>
    <row r="246" spans="1:35" ht="21" customHeight="1">
      <c r="A246" s="500" t="s">
        <v>599</v>
      </c>
      <c r="B246" s="153" t="s">
        <v>600</v>
      </c>
      <c r="C246" s="557" t="s">
        <v>535</v>
      </c>
      <c r="D246" s="1215"/>
      <c r="E246" s="557"/>
      <c r="F246" s="557" t="s">
        <v>535</v>
      </c>
      <c r="G246" s="557" t="s">
        <v>535</v>
      </c>
      <c r="H246" s="557" t="s">
        <v>535</v>
      </c>
      <c r="I246" s="557" t="s">
        <v>535</v>
      </c>
      <c r="J246" s="557" t="s">
        <v>535</v>
      </c>
      <c r="K246" s="1215"/>
      <c r="L246" s="1215"/>
      <c r="M246" s="557" t="s">
        <v>535</v>
      </c>
      <c r="N246" s="557" t="s">
        <v>535</v>
      </c>
      <c r="O246" s="557" t="s">
        <v>535</v>
      </c>
      <c r="P246" s="557" t="s">
        <v>535</v>
      </c>
      <c r="Q246" s="557" t="s">
        <v>535</v>
      </c>
      <c r="R246" s="1208"/>
      <c r="S246" s="1208"/>
      <c r="T246" s="1208" t="s">
        <v>535</v>
      </c>
      <c r="U246" s="1208" t="s">
        <v>535</v>
      </c>
      <c r="V246" s="1208" t="s">
        <v>535</v>
      </c>
      <c r="W246" s="557" t="s">
        <v>535</v>
      </c>
      <c r="X246" s="557" t="s">
        <v>535</v>
      </c>
      <c r="Y246" s="1215"/>
      <c r="Z246" s="1215"/>
      <c r="AA246" s="557" t="s">
        <v>535</v>
      </c>
      <c r="AB246" s="557" t="s">
        <v>535</v>
      </c>
      <c r="AC246" s="557" t="s">
        <v>535</v>
      </c>
      <c r="AD246" s="557" t="s">
        <v>535</v>
      </c>
      <c r="AE246" s="557" t="s">
        <v>535</v>
      </c>
      <c r="AF246" s="1215"/>
      <c r="AG246" s="557"/>
      <c r="AH246" s="638">
        <v>185</v>
      </c>
      <c r="AI246" s="639">
        <v>37</v>
      </c>
    </row>
    <row r="247" spans="1:35" ht="21.95" customHeight="1">
      <c r="A247" s="442"/>
      <c r="B247" s="153" t="s">
        <v>601</v>
      </c>
      <c r="C247" s="557" t="s">
        <v>535</v>
      </c>
      <c r="D247" s="1215"/>
      <c r="E247" s="557"/>
      <c r="F247" s="557" t="s">
        <v>535</v>
      </c>
      <c r="G247" s="557" t="s">
        <v>535</v>
      </c>
      <c r="H247" s="557" t="s">
        <v>535</v>
      </c>
      <c r="I247" s="557" t="s">
        <v>535</v>
      </c>
      <c r="J247" s="557" t="s">
        <v>535</v>
      </c>
      <c r="K247" s="1215"/>
      <c r="L247" s="1215"/>
      <c r="M247" s="557" t="s">
        <v>535</v>
      </c>
      <c r="N247" s="557" t="s">
        <v>535</v>
      </c>
      <c r="O247" s="557" t="s">
        <v>535</v>
      </c>
      <c r="P247" s="557" t="s">
        <v>535</v>
      </c>
      <c r="Q247" s="557" t="s">
        <v>535</v>
      </c>
      <c r="R247" s="1208"/>
      <c r="S247" s="1208"/>
      <c r="T247" s="1208" t="s">
        <v>535</v>
      </c>
      <c r="U247" s="1208" t="s">
        <v>535</v>
      </c>
      <c r="V247" s="1208" t="s">
        <v>535</v>
      </c>
      <c r="W247" s="557" t="s">
        <v>535</v>
      </c>
      <c r="X247" s="557" t="s">
        <v>535</v>
      </c>
      <c r="Y247" s="1215"/>
      <c r="Z247" s="1215"/>
      <c r="AA247" s="557" t="s">
        <v>535</v>
      </c>
      <c r="AB247" s="557" t="s">
        <v>535</v>
      </c>
      <c r="AC247" s="557" t="s">
        <v>535</v>
      </c>
      <c r="AD247" s="557" t="s">
        <v>535</v>
      </c>
      <c r="AE247" s="557" t="s">
        <v>535</v>
      </c>
      <c r="AF247" s="1215"/>
      <c r="AG247" s="557"/>
      <c r="AH247" s="638">
        <v>185</v>
      </c>
      <c r="AI247" s="639">
        <v>37</v>
      </c>
    </row>
    <row r="248" spans="1:35" ht="21.95" customHeight="1">
      <c r="A248" s="519">
        <v>3701</v>
      </c>
      <c r="B248" s="134" t="s">
        <v>603</v>
      </c>
      <c r="C248" s="1589" t="s">
        <v>535</v>
      </c>
      <c r="D248" s="1219"/>
      <c r="E248" s="1563"/>
      <c r="F248" s="1589" t="s">
        <v>535</v>
      </c>
      <c r="G248" s="1589" t="s">
        <v>535</v>
      </c>
      <c r="H248" s="1589" t="s">
        <v>535</v>
      </c>
      <c r="I248" s="1589" t="s">
        <v>535</v>
      </c>
      <c r="J248" s="1589" t="s">
        <v>535</v>
      </c>
      <c r="K248" s="1219"/>
      <c r="L248" s="1219"/>
      <c r="M248" s="1563" t="s">
        <v>535</v>
      </c>
      <c r="N248" s="1563" t="s">
        <v>535</v>
      </c>
      <c r="O248" s="1563" t="s">
        <v>535</v>
      </c>
      <c r="P248" s="1563" t="s">
        <v>535</v>
      </c>
      <c r="Q248" s="1563" t="s">
        <v>535</v>
      </c>
      <c r="R248" s="1564"/>
      <c r="S248" s="1564"/>
      <c r="T248" s="1564" t="s">
        <v>535</v>
      </c>
      <c r="U248" s="1564" t="s">
        <v>535</v>
      </c>
      <c r="V248" s="1564" t="s">
        <v>535</v>
      </c>
      <c r="W248" s="1572" t="s">
        <v>535</v>
      </c>
      <c r="X248" s="1572" t="s">
        <v>535</v>
      </c>
      <c r="Y248" s="1219"/>
      <c r="Z248" s="1219"/>
      <c r="AA248" s="1580" t="s">
        <v>535</v>
      </c>
      <c r="AB248" s="1580" t="s">
        <v>535</v>
      </c>
      <c r="AC248" s="1580" t="s">
        <v>535</v>
      </c>
      <c r="AD248" s="1580" t="s">
        <v>535</v>
      </c>
      <c r="AE248" s="1580" t="s">
        <v>535</v>
      </c>
      <c r="AF248" s="1219"/>
      <c r="AG248" s="1563"/>
      <c r="AH248" s="1565">
        <v>185</v>
      </c>
      <c r="AI248" s="1566">
        <v>37</v>
      </c>
    </row>
    <row r="249" spans="1:35" ht="21" customHeight="1">
      <c r="A249" s="902">
        <v>8500</v>
      </c>
      <c r="B249" s="1615" t="s">
        <v>793</v>
      </c>
      <c r="C249" s="1567" t="s">
        <v>535</v>
      </c>
      <c r="D249" s="1229"/>
      <c r="E249" s="1567"/>
      <c r="F249" s="1567" t="s">
        <v>535</v>
      </c>
      <c r="G249" s="1567" t="s">
        <v>535</v>
      </c>
      <c r="H249" s="1567" t="s">
        <v>535</v>
      </c>
      <c r="I249" s="1567" t="s">
        <v>535</v>
      </c>
      <c r="J249" s="1567" t="s">
        <v>535</v>
      </c>
      <c r="K249" s="1229"/>
      <c r="L249" s="1229"/>
      <c r="M249" s="1567" t="s">
        <v>535</v>
      </c>
      <c r="N249" s="1567" t="s">
        <v>535</v>
      </c>
      <c r="O249" s="1567" t="s">
        <v>535</v>
      </c>
      <c r="P249" s="1567" t="s">
        <v>535</v>
      </c>
      <c r="Q249" s="1567" t="s">
        <v>535</v>
      </c>
      <c r="R249" s="1568"/>
      <c r="S249" s="1568"/>
      <c r="T249" s="1568" t="s">
        <v>535</v>
      </c>
      <c r="U249" s="1568" t="s">
        <v>535</v>
      </c>
      <c r="V249" s="1568" t="s">
        <v>535</v>
      </c>
      <c r="W249" s="1567" t="s">
        <v>535</v>
      </c>
      <c r="X249" s="1567" t="s">
        <v>535</v>
      </c>
      <c r="Y249" s="1229"/>
      <c r="Z249" s="1229"/>
      <c r="AA249" s="1580" t="s">
        <v>535</v>
      </c>
      <c r="AB249" s="1580" t="s">
        <v>535</v>
      </c>
      <c r="AC249" s="1580" t="s">
        <v>535</v>
      </c>
      <c r="AD249" s="1580" t="s">
        <v>535</v>
      </c>
      <c r="AE249" s="1580" t="s">
        <v>535</v>
      </c>
      <c r="AF249" s="1229"/>
      <c r="AG249" s="1567"/>
      <c r="AH249" s="1565">
        <v>185</v>
      </c>
      <c r="AI249" s="1566">
        <v>37</v>
      </c>
    </row>
    <row r="250" spans="1:35" ht="21.95" customHeight="1">
      <c r="A250" s="1616">
        <v>3350</v>
      </c>
      <c r="B250" s="1615" t="s">
        <v>794</v>
      </c>
      <c r="C250" s="1567" t="s">
        <v>535</v>
      </c>
      <c r="D250" s="1229"/>
      <c r="E250" s="1567"/>
      <c r="F250" s="1567" t="s">
        <v>535</v>
      </c>
      <c r="G250" s="1567" t="s">
        <v>535</v>
      </c>
      <c r="H250" s="1567" t="s">
        <v>535</v>
      </c>
      <c r="I250" s="1567" t="s">
        <v>535</v>
      </c>
      <c r="J250" s="1567" t="s">
        <v>535</v>
      </c>
      <c r="K250" s="1229"/>
      <c r="L250" s="1229"/>
      <c r="M250" s="1567" t="s">
        <v>535</v>
      </c>
      <c r="N250" s="1567" t="s">
        <v>535</v>
      </c>
      <c r="O250" s="1567" t="s">
        <v>535</v>
      </c>
      <c r="P250" s="1567" t="s">
        <v>535</v>
      </c>
      <c r="Q250" s="1567" t="s">
        <v>535</v>
      </c>
      <c r="R250" s="1568"/>
      <c r="S250" s="1568"/>
      <c r="T250" s="1568" t="s">
        <v>535</v>
      </c>
      <c r="U250" s="1568" t="s">
        <v>535</v>
      </c>
      <c r="V250" s="1568" t="s">
        <v>535</v>
      </c>
      <c r="W250" s="1567" t="s">
        <v>535</v>
      </c>
      <c r="X250" s="1567" t="s">
        <v>535</v>
      </c>
      <c r="Y250" s="1229"/>
      <c r="Z250" s="1229"/>
      <c r="AA250" s="1567" t="s">
        <v>535</v>
      </c>
      <c r="AB250" s="1567" t="s">
        <v>535</v>
      </c>
      <c r="AC250" s="1567" t="s">
        <v>535</v>
      </c>
      <c r="AD250" s="1567" t="s">
        <v>535</v>
      </c>
      <c r="AE250" s="1567" t="s">
        <v>535</v>
      </c>
      <c r="AF250" s="1229"/>
      <c r="AG250" s="1567"/>
      <c r="AH250" s="1565">
        <v>185</v>
      </c>
      <c r="AI250" s="1566">
        <v>37</v>
      </c>
    </row>
    <row r="251" spans="1:35" ht="21.95" customHeight="1">
      <c r="A251" s="1616"/>
      <c r="B251" s="1615" t="s">
        <v>795</v>
      </c>
      <c r="C251" s="1567" t="s">
        <v>535</v>
      </c>
      <c r="D251" s="1229"/>
      <c r="E251" s="1567"/>
      <c r="F251" s="1567" t="s">
        <v>535</v>
      </c>
      <c r="G251" s="1567" t="s">
        <v>535</v>
      </c>
      <c r="H251" s="1567" t="s">
        <v>535</v>
      </c>
      <c r="I251" s="1567" t="s">
        <v>535</v>
      </c>
      <c r="J251" s="1567" t="s">
        <v>535</v>
      </c>
      <c r="K251" s="1229"/>
      <c r="L251" s="1229"/>
      <c r="M251" s="1567" t="s">
        <v>535</v>
      </c>
      <c r="N251" s="1567" t="s">
        <v>535</v>
      </c>
      <c r="O251" s="1567" t="s">
        <v>535</v>
      </c>
      <c r="P251" s="1567" t="s">
        <v>535</v>
      </c>
      <c r="Q251" s="1567" t="s">
        <v>535</v>
      </c>
      <c r="R251" s="1568"/>
      <c r="S251" s="1568"/>
      <c r="T251" s="1568" t="s">
        <v>535</v>
      </c>
      <c r="U251" s="1568" t="s">
        <v>535</v>
      </c>
      <c r="V251" s="1568" t="s">
        <v>535</v>
      </c>
      <c r="W251" s="1567" t="s">
        <v>535</v>
      </c>
      <c r="X251" s="1567" t="s">
        <v>535</v>
      </c>
      <c r="Y251" s="1229"/>
      <c r="Z251" s="1229"/>
      <c r="AA251" s="1567" t="s">
        <v>535</v>
      </c>
      <c r="AB251" s="1567" t="s">
        <v>535</v>
      </c>
      <c r="AC251" s="1567" t="s">
        <v>535</v>
      </c>
      <c r="AD251" s="1567" t="s">
        <v>535</v>
      </c>
      <c r="AE251" s="1567" t="s">
        <v>535</v>
      </c>
      <c r="AF251" s="1229"/>
      <c r="AG251" s="1567"/>
      <c r="AH251" s="1618"/>
      <c r="AI251" s="1619"/>
    </row>
    <row r="253" spans="1:35" ht="25.5" customHeight="1" thickBot="1">
      <c r="A253" s="1" t="s">
        <v>604</v>
      </c>
    </row>
    <row r="254" spans="1:35" ht="21" customHeight="1">
      <c r="A254" s="1"/>
      <c r="B254" s="201" t="s">
        <v>516</v>
      </c>
      <c r="C254" s="7"/>
      <c r="D254" s="525" t="s">
        <v>2</v>
      </c>
      <c r="E254" s="51"/>
      <c r="F254" s="551"/>
      <c r="G254" s="7"/>
      <c r="H254" s="525" t="s">
        <v>3</v>
      </c>
      <c r="I254" s="51"/>
      <c r="J254" s="551"/>
      <c r="K254" s="7"/>
      <c r="L254" s="525" t="s">
        <v>4</v>
      </c>
      <c r="M254" s="51"/>
      <c r="N254" s="551"/>
      <c r="O254" s="7"/>
      <c r="P254" s="525" t="s">
        <v>5</v>
      </c>
      <c r="Q254" s="51"/>
      <c r="R254" s="551"/>
      <c r="S254" s="7"/>
      <c r="T254" s="525" t="s">
        <v>6</v>
      </c>
      <c r="U254" s="51"/>
      <c r="V254" s="551"/>
      <c r="W254" s="7"/>
      <c r="X254" s="525" t="s">
        <v>7</v>
      </c>
      <c r="Y254" s="51"/>
      <c r="Z254" s="551"/>
      <c r="AA254" s="7"/>
      <c r="AB254" s="525" t="s">
        <v>8</v>
      </c>
      <c r="AC254" s="51"/>
      <c r="AD254" s="51"/>
      <c r="AE254" s="425" t="s">
        <v>10</v>
      </c>
      <c r="AF254" s="51"/>
      <c r="AG254" s="51"/>
      <c r="AH254" s="51"/>
      <c r="AI254" s="526"/>
    </row>
    <row r="255" spans="1:35" ht="21" customHeight="1">
      <c r="A255" s="1"/>
      <c r="B255" s="9"/>
      <c r="C255" s="14"/>
      <c r="D255" s="609"/>
      <c r="E255" s="55"/>
      <c r="F255" s="608"/>
      <c r="G255" s="14"/>
      <c r="H255" s="609"/>
      <c r="I255" s="55"/>
      <c r="J255" s="608"/>
      <c r="K255" s="14"/>
      <c r="L255" s="609"/>
      <c r="M255" s="55"/>
      <c r="N255" s="608"/>
      <c r="O255" s="14"/>
      <c r="P255" s="609"/>
      <c r="Q255" s="55"/>
      <c r="R255" s="608"/>
      <c r="S255" s="14"/>
      <c r="T255" s="609"/>
      <c r="U255" s="55"/>
      <c r="V255" s="608"/>
      <c r="W255" s="14"/>
      <c r="X255" s="609"/>
      <c r="Y255" s="55"/>
      <c r="Z255" s="608"/>
      <c r="AA255" s="14"/>
      <c r="AB255" s="609"/>
      <c r="AC255" s="55"/>
      <c r="AD255" s="55"/>
      <c r="AE255" s="610"/>
      <c r="AF255" s="55"/>
      <c r="AG255" s="55"/>
      <c r="AH255" s="55"/>
      <c r="AI255" s="611"/>
    </row>
    <row r="256" spans="1:35" ht="21" customHeight="1">
      <c r="B256" s="612"/>
      <c r="C256" s="121"/>
      <c r="D256" s="157"/>
      <c r="E256" s="157"/>
      <c r="F256" s="568"/>
      <c r="G256" s="121"/>
      <c r="H256" s="157"/>
      <c r="I256" s="157"/>
      <c r="J256" s="568"/>
      <c r="K256" s="121"/>
      <c r="L256" s="157"/>
      <c r="M256" s="157"/>
      <c r="N256" s="568"/>
      <c r="O256" s="121"/>
      <c r="P256" s="157"/>
      <c r="Q256" s="157"/>
      <c r="R256" s="568"/>
      <c r="S256" s="121"/>
      <c r="T256" s="157"/>
      <c r="U256" s="157"/>
      <c r="V256" s="568"/>
      <c r="W256" s="121"/>
      <c r="X256" s="157"/>
      <c r="Y256" s="157"/>
      <c r="Z256" s="568"/>
      <c r="AA256" s="567"/>
      <c r="AB256" s="157"/>
      <c r="AC256" s="157"/>
      <c r="AD256" s="569"/>
      <c r="AE256" s="613"/>
      <c r="AF256" s="157"/>
      <c r="AG256" s="157" t="s">
        <v>28</v>
      </c>
      <c r="AH256" s="569"/>
      <c r="AI256" s="490"/>
    </row>
    <row r="257" spans="1:35" ht="21" customHeight="1" thickBot="1">
      <c r="A257" s="1"/>
      <c r="B257" s="47"/>
      <c r="C257" s="574"/>
      <c r="D257" s="53"/>
      <c r="E257" s="53"/>
      <c r="F257" s="575"/>
      <c r="G257" s="574"/>
      <c r="H257" s="53"/>
      <c r="I257" s="53"/>
      <c r="J257" s="575"/>
      <c r="K257" s="574"/>
      <c r="L257" s="53"/>
      <c r="M257" s="53"/>
      <c r="N257" s="575"/>
      <c r="O257" s="574"/>
      <c r="P257" s="53"/>
      <c r="Q257" s="53"/>
      <c r="R257" s="575"/>
      <c r="S257" s="574"/>
      <c r="T257" s="53"/>
      <c r="U257" s="53"/>
      <c r="V257" s="575"/>
      <c r="W257" s="57"/>
      <c r="X257" s="53"/>
      <c r="Y257" s="53"/>
      <c r="Z257" s="575"/>
      <c r="AA257" s="57"/>
      <c r="AB257" s="53"/>
      <c r="AC257" s="53"/>
      <c r="AD257" s="577"/>
      <c r="AE257" s="57"/>
      <c r="AF257" s="53"/>
      <c r="AG257" s="53"/>
      <c r="AH257" s="577"/>
      <c r="AI257" s="539"/>
    </row>
    <row r="258" spans="1:35" ht="33" customHeight="1" thickBot="1">
      <c r="A258" s="1" t="s">
        <v>605</v>
      </c>
      <c r="B258" s="72"/>
      <c r="C258" s="312"/>
      <c r="F258" s="354"/>
      <c r="G258" s="312"/>
      <c r="J258" s="354"/>
      <c r="K258" s="312"/>
      <c r="N258" s="354"/>
      <c r="O258" s="312"/>
      <c r="R258" s="354"/>
      <c r="S258" s="312"/>
      <c r="V258" s="354"/>
      <c r="W258" s="354"/>
      <c r="Z258" s="354"/>
      <c r="AA258" s="354"/>
      <c r="AD258" s="354"/>
      <c r="AE258" s="354"/>
      <c r="AH258" s="354"/>
    </row>
    <row r="259" spans="1:35" ht="21" customHeight="1">
      <c r="A259" s="556" t="s">
        <v>528</v>
      </c>
      <c r="B259" s="297" t="s">
        <v>480</v>
      </c>
      <c r="C259" s="1234">
        <v>1</v>
      </c>
      <c r="D259" s="1235">
        <v>2</v>
      </c>
      <c r="E259" s="1235">
        <v>3</v>
      </c>
      <c r="F259" s="1234">
        <v>4</v>
      </c>
      <c r="G259" s="1234">
        <v>5</v>
      </c>
      <c r="H259" s="1234">
        <v>6</v>
      </c>
      <c r="I259" s="1213">
        <v>7</v>
      </c>
      <c r="J259" s="1213">
        <v>8</v>
      </c>
      <c r="K259" s="1235">
        <v>9</v>
      </c>
      <c r="L259" s="1235">
        <v>10</v>
      </c>
      <c r="M259" s="1234">
        <v>11</v>
      </c>
      <c r="N259" s="1234">
        <v>12</v>
      </c>
      <c r="O259" s="1234">
        <v>13</v>
      </c>
      <c r="P259" s="1213">
        <v>14</v>
      </c>
      <c r="Q259" s="1213">
        <v>15</v>
      </c>
      <c r="R259" s="1235">
        <v>16</v>
      </c>
      <c r="S259" s="1235">
        <v>17</v>
      </c>
      <c r="T259" s="1234">
        <v>18</v>
      </c>
      <c r="U259" s="1234">
        <v>19</v>
      </c>
      <c r="V259" s="1213">
        <v>20</v>
      </c>
      <c r="W259" s="1213">
        <v>21</v>
      </c>
      <c r="X259" s="1213">
        <v>22</v>
      </c>
      <c r="Y259" s="1235">
        <v>23</v>
      </c>
      <c r="Z259" s="1235">
        <v>24</v>
      </c>
      <c r="AA259" s="1234">
        <v>25</v>
      </c>
      <c r="AB259" s="1234">
        <v>26</v>
      </c>
      <c r="AC259" s="1234">
        <v>27</v>
      </c>
      <c r="AD259" s="1213">
        <v>28</v>
      </c>
      <c r="AE259" s="1213">
        <v>29</v>
      </c>
      <c r="AF259" s="1235">
        <v>30</v>
      </c>
      <c r="AG259" s="1234"/>
      <c r="AH259" s="498" t="s">
        <v>481</v>
      </c>
      <c r="AI259" s="499" t="s">
        <v>482</v>
      </c>
    </row>
    <row r="260" spans="1:35" ht="21" customHeight="1">
      <c r="A260" s="442"/>
      <c r="B260" s="619" t="s">
        <v>606</v>
      </c>
      <c r="C260" s="557" t="s">
        <v>535</v>
      </c>
      <c r="D260" s="1215"/>
      <c r="E260" s="557"/>
      <c r="F260" s="1511" t="s">
        <v>535</v>
      </c>
      <c r="G260" s="1511" t="s">
        <v>535</v>
      </c>
      <c r="H260" s="557" t="s">
        <v>535</v>
      </c>
      <c r="I260" s="557" t="s">
        <v>535</v>
      </c>
      <c r="J260" s="557" t="s">
        <v>535</v>
      </c>
      <c r="K260" s="1215"/>
      <c r="L260" s="1215"/>
      <c r="M260" s="557" t="s">
        <v>535</v>
      </c>
      <c r="N260" s="557" t="s">
        <v>535</v>
      </c>
      <c r="O260" s="557" t="s">
        <v>535</v>
      </c>
      <c r="P260" s="557" t="s">
        <v>535</v>
      </c>
      <c r="Q260" s="557" t="s">
        <v>535</v>
      </c>
      <c r="R260" s="1208"/>
      <c r="S260" s="1208"/>
      <c r="T260" s="1208" t="s">
        <v>535</v>
      </c>
      <c r="U260" s="1208" t="s">
        <v>535</v>
      </c>
      <c r="V260" s="1208" t="s">
        <v>535</v>
      </c>
      <c r="W260" s="557" t="s">
        <v>535</v>
      </c>
      <c r="X260" s="557" t="s">
        <v>535</v>
      </c>
      <c r="Y260" s="1215"/>
      <c r="Z260" s="1215"/>
      <c r="AA260" s="557" t="s">
        <v>535</v>
      </c>
      <c r="AB260" s="557" t="s">
        <v>535</v>
      </c>
      <c r="AC260" s="557" t="s">
        <v>535</v>
      </c>
      <c r="AD260" s="557" t="s">
        <v>535</v>
      </c>
      <c r="AE260" s="557" t="s">
        <v>535</v>
      </c>
      <c r="AF260" s="1215"/>
      <c r="AG260" s="557"/>
      <c r="AH260" s="638">
        <v>185</v>
      </c>
      <c r="AI260" s="639">
        <v>37</v>
      </c>
    </row>
    <row r="261" spans="1:35" ht="21" customHeight="1">
      <c r="A261" s="442"/>
      <c r="B261" s="619" t="s">
        <v>607</v>
      </c>
      <c r="C261" s="557" t="s">
        <v>535</v>
      </c>
      <c r="D261" s="1215"/>
      <c r="E261" s="557"/>
      <c r="F261" s="1511" t="s">
        <v>535</v>
      </c>
      <c r="G261" s="1511" t="s">
        <v>535</v>
      </c>
      <c r="H261" s="557" t="s">
        <v>535</v>
      </c>
      <c r="I261" s="557" t="s">
        <v>535</v>
      </c>
      <c r="J261" s="557" t="s">
        <v>535</v>
      </c>
      <c r="K261" s="1215"/>
      <c r="L261" s="1215"/>
      <c r="M261" s="557" t="s">
        <v>535</v>
      </c>
      <c r="N261" s="557" t="s">
        <v>535</v>
      </c>
      <c r="O261" s="557" t="s">
        <v>535</v>
      </c>
      <c r="P261" s="557" t="s">
        <v>535</v>
      </c>
      <c r="Q261" s="557" t="s">
        <v>535</v>
      </c>
      <c r="R261" s="1208"/>
      <c r="S261" s="1208"/>
      <c r="T261" s="1208" t="s">
        <v>535</v>
      </c>
      <c r="U261" s="1208" t="s">
        <v>535</v>
      </c>
      <c r="V261" s="1208" t="s">
        <v>535</v>
      </c>
      <c r="W261" s="557" t="s">
        <v>535</v>
      </c>
      <c r="X261" s="557" t="s">
        <v>535</v>
      </c>
      <c r="Y261" s="1215"/>
      <c r="Z261" s="1215"/>
      <c r="AA261" s="557" t="s">
        <v>535</v>
      </c>
      <c r="AB261" s="557" t="s">
        <v>535</v>
      </c>
      <c r="AC261" s="557" t="s">
        <v>535</v>
      </c>
      <c r="AD261" s="557" t="s">
        <v>535</v>
      </c>
      <c r="AE261" s="557" t="s">
        <v>535</v>
      </c>
      <c r="AF261" s="1215"/>
      <c r="AG261" s="557"/>
      <c r="AH261" s="638">
        <v>185</v>
      </c>
      <c r="AI261" s="639">
        <v>37</v>
      </c>
    </row>
    <row r="262" spans="1:35" ht="21" customHeight="1">
      <c r="A262" s="442"/>
      <c r="B262" s="619" t="s">
        <v>608</v>
      </c>
      <c r="C262" s="557" t="s">
        <v>535</v>
      </c>
      <c r="D262" s="1215"/>
      <c r="E262" s="557"/>
      <c r="F262" s="1511" t="s">
        <v>535</v>
      </c>
      <c r="G262" s="1511" t="s">
        <v>535</v>
      </c>
      <c r="H262" s="557" t="s">
        <v>535</v>
      </c>
      <c r="I262" s="557" t="s">
        <v>535</v>
      </c>
      <c r="J262" s="557" t="s">
        <v>535</v>
      </c>
      <c r="K262" s="1215"/>
      <c r="L262" s="1215"/>
      <c r="M262" s="557" t="s">
        <v>535</v>
      </c>
      <c r="N262" s="557" t="s">
        <v>535</v>
      </c>
      <c r="O262" s="557" t="s">
        <v>535</v>
      </c>
      <c r="P262" s="557" t="s">
        <v>535</v>
      </c>
      <c r="Q262" s="557" t="s">
        <v>535</v>
      </c>
      <c r="R262" s="1208"/>
      <c r="S262" s="1208"/>
      <c r="T262" s="1208" t="s">
        <v>535</v>
      </c>
      <c r="U262" s="1208" t="s">
        <v>535</v>
      </c>
      <c r="V262" s="1208" t="s">
        <v>535</v>
      </c>
      <c r="W262" s="557" t="s">
        <v>535</v>
      </c>
      <c r="X262" s="557" t="s">
        <v>535</v>
      </c>
      <c r="Y262" s="1215"/>
      <c r="Z262" s="1215"/>
      <c r="AA262" s="557" t="s">
        <v>535</v>
      </c>
      <c r="AB262" s="557" t="s">
        <v>535</v>
      </c>
      <c r="AC262" s="557" t="s">
        <v>535</v>
      </c>
      <c r="AD262" s="557" t="s">
        <v>535</v>
      </c>
      <c r="AE262" s="557" t="s">
        <v>535</v>
      </c>
      <c r="AF262" s="1215"/>
      <c r="AG262" s="557"/>
      <c r="AH262" s="638">
        <v>185</v>
      </c>
      <c r="AI262" s="639">
        <v>37</v>
      </c>
    </row>
    <row r="263" spans="1:35" ht="21" customHeight="1">
      <c r="A263" s="442"/>
      <c r="B263" s="619" t="s">
        <v>609</v>
      </c>
      <c r="C263" s="557" t="s">
        <v>535</v>
      </c>
      <c r="D263" s="1215"/>
      <c r="E263" s="557"/>
      <c r="F263" s="557" t="s">
        <v>535</v>
      </c>
      <c r="G263" s="557" t="s">
        <v>535</v>
      </c>
      <c r="H263" s="557" t="s">
        <v>535</v>
      </c>
      <c r="I263" s="557" t="s">
        <v>535</v>
      </c>
      <c r="J263" s="557" t="s">
        <v>535</v>
      </c>
      <c r="K263" s="1215"/>
      <c r="L263" s="1215"/>
      <c r="M263" s="557" t="s">
        <v>535</v>
      </c>
      <c r="N263" s="557" t="s">
        <v>535</v>
      </c>
      <c r="O263" s="557" t="s">
        <v>535</v>
      </c>
      <c r="P263" s="557" t="s">
        <v>535</v>
      </c>
      <c r="Q263" s="557" t="s">
        <v>535</v>
      </c>
      <c r="R263" s="1208"/>
      <c r="S263" s="1208"/>
      <c r="T263" s="1208" t="s">
        <v>535</v>
      </c>
      <c r="U263" s="1208" t="s">
        <v>535</v>
      </c>
      <c r="V263" s="1208" t="s">
        <v>535</v>
      </c>
      <c r="W263" s="557" t="s">
        <v>535</v>
      </c>
      <c r="X263" s="1365" t="s">
        <v>535</v>
      </c>
      <c r="Y263" s="1215"/>
      <c r="Z263" s="1215"/>
      <c r="AA263" s="557" t="s">
        <v>535</v>
      </c>
      <c r="AB263" s="557" t="s">
        <v>535</v>
      </c>
      <c r="AC263" s="557" t="s">
        <v>535</v>
      </c>
      <c r="AD263" s="557" t="s">
        <v>535</v>
      </c>
      <c r="AE263" s="557" t="s">
        <v>535</v>
      </c>
      <c r="AF263" s="1215"/>
      <c r="AG263" s="557"/>
      <c r="AH263" s="638">
        <v>185</v>
      </c>
      <c r="AI263" s="639">
        <v>37</v>
      </c>
    </row>
    <row r="264" spans="1:35" ht="21" customHeight="1">
      <c r="A264" s="442"/>
      <c r="B264" s="619" t="s">
        <v>610</v>
      </c>
      <c r="C264" s="557" t="s">
        <v>535</v>
      </c>
      <c r="D264" s="1215"/>
      <c r="E264" s="557"/>
      <c r="F264" s="557" t="s">
        <v>535</v>
      </c>
      <c r="G264" s="557" t="s">
        <v>535</v>
      </c>
      <c r="H264" s="1611" t="s">
        <v>535</v>
      </c>
      <c r="I264" s="1611" t="s">
        <v>535</v>
      </c>
      <c r="J264" s="557" t="s">
        <v>535</v>
      </c>
      <c r="K264" s="1215"/>
      <c r="L264" s="1215"/>
      <c r="M264" s="557" t="s">
        <v>535</v>
      </c>
      <c r="N264" s="557" t="s">
        <v>535</v>
      </c>
      <c r="O264" s="557" t="s">
        <v>535</v>
      </c>
      <c r="P264" s="557" t="s">
        <v>535</v>
      </c>
      <c r="Q264" s="557" t="s">
        <v>535</v>
      </c>
      <c r="R264" s="1208"/>
      <c r="S264" s="1208"/>
      <c r="T264" s="1208" t="s">
        <v>535</v>
      </c>
      <c r="U264" s="1208" t="s">
        <v>535</v>
      </c>
      <c r="V264" s="1208" t="s">
        <v>535</v>
      </c>
      <c r="W264" s="557" t="s">
        <v>535</v>
      </c>
      <c r="X264" s="557" t="s">
        <v>535</v>
      </c>
      <c r="Y264" s="1215"/>
      <c r="Z264" s="1215"/>
      <c r="AA264" s="557" t="s">
        <v>535</v>
      </c>
      <c r="AB264" s="557" t="s">
        <v>535</v>
      </c>
      <c r="AC264" s="557" t="s">
        <v>535</v>
      </c>
      <c r="AD264" s="557" t="s">
        <v>535</v>
      </c>
      <c r="AE264" s="557" t="s">
        <v>535</v>
      </c>
      <c r="AF264" s="1215"/>
      <c r="AG264" s="557"/>
      <c r="AH264" s="638">
        <v>185</v>
      </c>
      <c r="AI264" s="639">
        <v>37</v>
      </c>
    </row>
    <row r="265" spans="1:35" ht="21" customHeight="1">
      <c r="A265" s="442"/>
      <c r="B265" s="619" t="s">
        <v>611</v>
      </c>
      <c r="C265" s="557" t="s">
        <v>535</v>
      </c>
      <c r="D265" s="1215"/>
      <c r="E265" s="557"/>
      <c r="F265" s="557" t="s">
        <v>535</v>
      </c>
      <c r="G265" s="557" t="s">
        <v>535</v>
      </c>
      <c r="H265" s="557" t="s">
        <v>535</v>
      </c>
      <c r="I265" s="557" t="s">
        <v>535</v>
      </c>
      <c r="J265" s="557" t="s">
        <v>535</v>
      </c>
      <c r="K265" s="1215"/>
      <c r="L265" s="1215"/>
      <c r="M265" s="557" t="s">
        <v>535</v>
      </c>
      <c r="N265" s="557" t="s">
        <v>535</v>
      </c>
      <c r="O265" s="557" t="s">
        <v>535</v>
      </c>
      <c r="P265" s="557" t="s">
        <v>535</v>
      </c>
      <c r="Q265" s="557" t="s">
        <v>535</v>
      </c>
      <c r="R265" s="1208"/>
      <c r="S265" s="1208"/>
      <c r="T265" s="1208" t="s">
        <v>535</v>
      </c>
      <c r="U265" s="1208" t="s">
        <v>535</v>
      </c>
      <c r="V265" s="1208" t="s">
        <v>535</v>
      </c>
      <c r="W265" s="557" t="s">
        <v>535</v>
      </c>
      <c r="X265" s="557" t="s">
        <v>535</v>
      </c>
      <c r="Y265" s="1215"/>
      <c r="Z265" s="1215"/>
      <c r="AA265" s="557" t="s">
        <v>535</v>
      </c>
      <c r="AB265" s="557" t="s">
        <v>535</v>
      </c>
      <c r="AC265" s="557" t="s">
        <v>535</v>
      </c>
      <c r="AD265" s="557" t="s">
        <v>535</v>
      </c>
      <c r="AE265" s="557" t="s">
        <v>535</v>
      </c>
      <c r="AF265" s="1215"/>
      <c r="AG265" s="557"/>
      <c r="AH265" s="638">
        <v>185</v>
      </c>
      <c r="AI265" s="639">
        <v>37</v>
      </c>
    </row>
    <row r="266" spans="1:35" ht="21" customHeight="1">
      <c r="A266" s="442"/>
      <c r="B266" s="619" t="s">
        <v>612</v>
      </c>
      <c r="C266" s="557" t="s">
        <v>535</v>
      </c>
      <c r="D266" s="1215"/>
      <c r="E266" s="557"/>
      <c r="F266" s="557" t="s">
        <v>535</v>
      </c>
      <c r="G266" s="557" t="s">
        <v>535</v>
      </c>
      <c r="H266" s="557" t="s">
        <v>535</v>
      </c>
      <c r="I266" s="557" t="s">
        <v>535</v>
      </c>
      <c r="J266" s="557" t="s">
        <v>535</v>
      </c>
      <c r="K266" s="1215"/>
      <c r="L266" s="1215"/>
      <c r="M266" s="557" t="s">
        <v>535</v>
      </c>
      <c r="N266" s="557" t="s">
        <v>535</v>
      </c>
      <c r="O266" s="557" t="s">
        <v>535</v>
      </c>
      <c r="P266" s="557" t="s">
        <v>535</v>
      </c>
      <c r="Q266" s="557" t="s">
        <v>535</v>
      </c>
      <c r="R266" s="1208"/>
      <c r="S266" s="1208"/>
      <c r="T266" s="1208" t="s">
        <v>535</v>
      </c>
      <c r="U266" s="1208" t="s">
        <v>535</v>
      </c>
      <c r="V266" s="1208" t="s">
        <v>535</v>
      </c>
      <c r="W266" s="557" t="s">
        <v>535</v>
      </c>
      <c r="X266" s="557" t="s">
        <v>535</v>
      </c>
      <c r="Y266" s="1215"/>
      <c r="Z266" s="1215"/>
      <c r="AA266" s="557" t="s">
        <v>535</v>
      </c>
      <c r="AB266" s="557" t="s">
        <v>535</v>
      </c>
      <c r="AC266" s="557" t="s">
        <v>535</v>
      </c>
      <c r="AD266" s="557" t="s">
        <v>535</v>
      </c>
      <c r="AE266" s="557" t="s">
        <v>535</v>
      </c>
      <c r="AF266" s="1215"/>
      <c r="AG266" s="557"/>
      <c r="AH266" s="638">
        <v>185</v>
      </c>
      <c r="AI266" s="639">
        <v>37</v>
      </c>
    </row>
    <row r="267" spans="1:35" ht="21" customHeight="1">
      <c r="A267" s="442"/>
      <c r="B267" s="619" t="s">
        <v>613</v>
      </c>
      <c r="C267" s="557" t="s">
        <v>535</v>
      </c>
      <c r="D267" s="1215"/>
      <c r="E267" s="557"/>
      <c r="F267" s="1511" t="s">
        <v>535</v>
      </c>
      <c r="G267" s="1511" t="s">
        <v>535</v>
      </c>
      <c r="H267" s="557" t="s">
        <v>535</v>
      </c>
      <c r="I267" s="557" t="s">
        <v>535</v>
      </c>
      <c r="J267" s="557" t="s">
        <v>535</v>
      </c>
      <c r="K267" s="1215"/>
      <c r="L267" s="1215"/>
      <c r="M267" s="557" t="s">
        <v>535</v>
      </c>
      <c r="N267" s="557" t="s">
        <v>535</v>
      </c>
      <c r="O267" s="557" t="s">
        <v>535</v>
      </c>
      <c r="P267" s="557" t="s">
        <v>535</v>
      </c>
      <c r="Q267" s="557" t="s">
        <v>535</v>
      </c>
      <c r="R267" s="1208"/>
      <c r="S267" s="1208"/>
      <c r="T267" s="1439" t="s">
        <v>570</v>
      </c>
      <c r="U267" s="557" t="s">
        <v>535</v>
      </c>
      <c r="V267" s="557" t="s">
        <v>535</v>
      </c>
      <c r="W267" s="1439" t="s">
        <v>535</v>
      </c>
      <c r="X267" s="1439" t="s">
        <v>570</v>
      </c>
      <c r="Y267" s="1344"/>
      <c r="Z267" s="1344"/>
      <c r="AA267" s="557" t="s">
        <v>535</v>
      </c>
      <c r="AB267" s="557" t="s">
        <v>535</v>
      </c>
      <c r="AC267" s="1439" t="s">
        <v>535</v>
      </c>
      <c r="AD267" s="1439" t="s">
        <v>535</v>
      </c>
      <c r="AE267" s="1439" t="s">
        <v>570</v>
      </c>
      <c r="AF267" s="1215"/>
      <c r="AG267" s="557"/>
      <c r="AH267" s="638">
        <v>185</v>
      </c>
      <c r="AI267" s="639">
        <v>37</v>
      </c>
    </row>
    <row r="268" spans="1:35" ht="21" customHeight="1">
      <c r="A268" s="442"/>
      <c r="B268" s="619" t="s">
        <v>614</v>
      </c>
      <c r="C268" s="557" t="s">
        <v>535</v>
      </c>
      <c r="D268" s="1215"/>
      <c r="E268" s="557"/>
      <c r="F268" s="557" t="s">
        <v>535</v>
      </c>
      <c r="G268" s="557" t="s">
        <v>535</v>
      </c>
      <c r="H268" s="557" t="s">
        <v>535</v>
      </c>
      <c r="I268" s="557" t="s">
        <v>535</v>
      </c>
      <c r="J268" s="557" t="s">
        <v>535</v>
      </c>
      <c r="K268" s="1215"/>
      <c r="L268" s="1215"/>
      <c r="M268" s="557" t="s">
        <v>535</v>
      </c>
      <c r="N268" s="557" t="s">
        <v>535</v>
      </c>
      <c r="O268" s="557" t="s">
        <v>535</v>
      </c>
      <c r="P268" s="557" t="s">
        <v>535</v>
      </c>
      <c r="Q268" s="557" t="s">
        <v>535</v>
      </c>
      <c r="R268" s="1208"/>
      <c r="S268" s="1208"/>
      <c r="T268" s="1208" t="s">
        <v>535</v>
      </c>
      <c r="U268" s="1365" t="s">
        <v>535</v>
      </c>
      <c r="V268" s="1365" t="s">
        <v>535</v>
      </c>
      <c r="W268" s="557" t="s">
        <v>535</v>
      </c>
      <c r="X268" s="557" t="s">
        <v>535</v>
      </c>
      <c r="Y268" s="1215"/>
      <c r="Z268" s="1215"/>
      <c r="AA268" s="557" t="s">
        <v>535</v>
      </c>
      <c r="AB268" s="557" t="s">
        <v>535</v>
      </c>
      <c r="AC268" s="557" t="s">
        <v>535</v>
      </c>
      <c r="AD268" s="557" t="s">
        <v>535</v>
      </c>
      <c r="AE268" s="557" t="s">
        <v>535</v>
      </c>
      <c r="AF268" s="1215"/>
      <c r="AG268" s="557"/>
      <c r="AH268" s="638">
        <v>185</v>
      </c>
      <c r="AI268" s="639">
        <v>37</v>
      </c>
    </row>
    <row r="269" spans="1:35" ht="21" customHeight="1">
      <c r="A269" s="442"/>
      <c r="B269" s="619" t="s">
        <v>615</v>
      </c>
      <c r="C269" s="557" t="s">
        <v>535</v>
      </c>
      <c r="D269" s="1215"/>
      <c r="E269" s="557"/>
      <c r="F269" s="1439" t="s">
        <v>535</v>
      </c>
      <c r="G269" s="1439" t="s">
        <v>535</v>
      </c>
      <c r="H269" s="1439" t="s">
        <v>535</v>
      </c>
      <c r="I269" s="1439" t="s">
        <v>749</v>
      </c>
      <c r="J269" s="1208" t="s">
        <v>535</v>
      </c>
      <c r="K269" s="1215"/>
      <c r="L269" s="1215"/>
      <c r="M269" s="557" t="s">
        <v>535</v>
      </c>
      <c r="N269" s="557" t="s">
        <v>535</v>
      </c>
      <c r="O269" s="557" t="s">
        <v>535</v>
      </c>
      <c r="P269" s="557" t="s">
        <v>535</v>
      </c>
      <c r="Q269" s="557" t="s">
        <v>535</v>
      </c>
      <c r="R269" s="1208"/>
      <c r="S269" s="1208"/>
      <c r="T269" s="1208" t="s">
        <v>535</v>
      </c>
      <c r="U269" s="1625" t="s">
        <v>535</v>
      </c>
      <c r="V269" s="1208" t="s">
        <v>535</v>
      </c>
      <c r="W269" s="1625" t="s">
        <v>535</v>
      </c>
      <c r="X269" s="1625" t="s">
        <v>535</v>
      </c>
      <c r="Y269" s="1215"/>
      <c r="Z269" s="1215"/>
      <c r="AA269" s="557" t="s">
        <v>535</v>
      </c>
      <c r="AB269" s="1625" t="s">
        <v>535</v>
      </c>
      <c r="AC269" s="557" t="s">
        <v>535</v>
      </c>
      <c r="AD269" s="557" t="s">
        <v>535</v>
      </c>
      <c r="AE269" s="557" t="s">
        <v>535</v>
      </c>
      <c r="AF269" s="1215"/>
      <c r="AG269" s="557"/>
      <c r="AH269" s="638">
        <v>185</v>
      </c>
      <c r="AI269" s="639">
        <v>37</v>
      </c>
    </row>
    <row r="270" spans="1:35" ht="21" customHeight="1">
      <c r="A270" s="442"/>
      <c r="B270" s="153" t="s">
        <v>616</v>
      </c>
      <c r="C270" s="557" t="s">
        <v>535</v>
      </c>
      <c r="D270" s="1215"/>
      <c r="E270" s="557"/>
      <c r="F270" s="557" t="s">
        <v>535</v>
      </c>
      <c r="G270" s="557" t="s">
        <v>535</v>
      </c>
      <c r="H270" s="557" t="s">
        <v>535</v>
      </c>
      <c r="I270" s="557" t="s">
        <v>535</v>
      </c>
      <c r="J270" s="557" t="s">
        <v>535</v>
      </c>
      <c r="K270" s="1215"/>
      <c r="L270" s="1215"/>
      <c r="M270" s="557" t="s">
        <v>535</v>
      </c>
      <c r="N270" s="557" t="s">
        <v>535</v>
      </c>
      <c r="O270" s="557" t="s">
        <v>535</v>
      </c>
      <c r="P270" s="557" t="s">
        <v>535</v>
      </c>
      <c r="Q270" s="1365" t="s">
        <v>535</v>
      </c>
      <c r="R270" s="1208"/>
      <c r="S270" s="1208"/>
      <c r="T270" s="1208" t="s">
        <v>535</v>
      </c>
      <c r="U270" s="1208" t="s">
        <v>535</v>
      </c>
      <c r="V270" s="1208" t="s">
        <v>535</v>
      </c>
      <c r="W270" s="557" t="s">
        <v>535</v>
      </c>
      <c r="X270" s="1387" t="s">
        <v>535</v>
      </c>
      <c r="Y270" s="1215"/>
      <c r="Z270" s="1215"/>
      <c r="AA270" s="557" t="s">
        <v>535</v>
      </c>
      <c r="AB270" s="557" t="s">
        <v>535</v>
      </c>
      <c r="AC270" s="557" t="s">
        <v>535</v>
      </c>
      <c r="AD270" s="557" t="s">
        <v>535</v>
      </c>
      <c r="AE270" s="557" t="s">
        <v>535</v>
      </c>
      <c r="AF270" s="1215"/>
      <c r="AG270" s="557"/>
      <c r="AH270" s="638">
        <v>185</v>
      </c>
      <c r="AI270" s="639">
        <v>37</v>
      </c>
    </row>
    <row r="271" spans="1:35" ht="21" customHeight="1">
      <c r="A271" s="442"/>
      <c r="B271" s="153" t="s">
        <v>617</v>
      </c>
      <c r="C271" s="557" t="s">
        <v>535</v>
      </c>
      <c r="D271" s="1215"/>
      <c r="E271" s="557"/>
      <c r="F271" s="557" t="s">
        <v>535</v>
      </c>
      <c r="G271" s="557" t="s">
        <v>535</v>
      </c>
      <c r="H271" s="557" t="s">
        <v>535</v>
      </c>
      <c r="I271" s="557" t="s">
        <v>535</v>
      </c>
      <c r="J271" s="557" t="s">
        <v>535</v>
      </c>
      <c r="K271" s="1215"/>
      <c r="L271" s="1215"/>
      <c r="M271" s="557" t="s">
        <v>535</v>
      </c>
      <c r="N271" s="557" t="s">
        <v>535</v>
      </c>
      <c r="O271" s="557" t="s">
        <v>535</v>
      </c>
      <c r="P271" s="557" t="s">
        <v>535</v>
      </c>
      <c r="Q271" s="557" t="s">
        <v>535</v>
      </c>
      <c r="R271" s="1208"/>
      <c r="S271" s="1208"/>
      <c r="T271" s="1208" t="s">
        <v>535</v>
      </c>
      <c r="U271" s="1208" t="s">
        <v>535</v>
      </c>
      <c r="V271" s="1208" t="s">
        <v>535</v>
      </c>
      <c r="W271" s="557" t="s">
        <v>535</v>
      </c>
      <c r="X271" s="557" t="s">
        <v>535</v>
      </c>
      <c r="Y271" s="1215"/>
      <c r="Z271" s="1215"/>
      <c r="AA271" s="1439" t="s">
        <v>535</v>
      </c>
      <c r="AB271" s="1439" t="s">
        <v>535</v>
      </c>
      <c r="AC271" s="1439" t="s">
        <v>535</v>
      </c>
      <c r="AD271" s="1439" t="s">
        <v>535</v>
      </c>
      <c r="AE271" s="1439" t="s">
        <v>796</v>
      </c>
      <c r="AF271" s="1215"/>
      <c r="AG271" s="557"/>
      <c r="AH271" s="638">
        <v>185</v>
      </c>
      <c r="AI271" s="639">
        <v>37</v>
      </c>
    </row>
    <row r="272" spans="1:35" ht="21" customHeight="1">
      <c r="A272" s="134"/>
      <c r="B272" s="134" t="s">
        <v>619</v>
      </c>
      <c r="C272" s="1563" t="s">
        <v>535</v>
      </c>
      <c r="D272" s="1219"/>
      <c r="E272" s="1563"/>
      <c r="F272" s="1563" t="s">
        <v>535</v>
      </c>
      <c r="G272" s="1563" t="s">
        <v>535</v>
      </c>
      <c r="H272" s="1563" t="s">
        <v>535</v>
      </c>
      <c r="I272" s="1563" t="s">
        <v>535</v>
      </c>
      <c r="J272" s="1563" t="s">
        <v>535</v>
      </c>
      <c r="K272" s="1219"/>
      <c r="L272" s="1219"/>
      <c r="M272" s="1563" t="s">
        <v>535</v>
      </c>
      <c r="N272" s="1563" t="s">
        <v>535</v>
      </c>
      <c r="O272" s="1563" t="s">
        <v>535</v>
      </c>
      <c r="P272" s="1563" t="s">
        <v>535</v>
      </c>
      <c r="Q272" s="1563" t="s">
        <v>535</v>
      </c>
      <c r="R272" s="1564"/>
      <c r="S272" s="1564"/>
      <c r="T272" s="1564" t="s">
        <v>535</v>
      </c>
      <c r="U272" s="1564" t="s">
        <v>535</v>
      </c>
      <c r="V272" s="1564" t="s">
        <v>535</v>
      </c>
      <c r="W272" s="1563" t="s">
        <v>535</v>
      </c>
      <c r="X272" s="1563" t="s">
        <v>535</v>
      </c>
      <c r="Y272" s="1219"/>
      <c r="Z272" s="1219"/>
      <c r="AA272" s="1563" t="s">
        <v>535</v>
      </c>
      <c r="AB272" s="1563" t="s">
        <v>535</v>
      </c>
      <c r="AC272" s="1563" t="s">
        <v>535</v>
      </c>
      <c r="AD272" s="1563" t="s">
        <v>535</v>
      </c>
      <c r="AE272" s="1563" t="s">
        <v>535</v>
      </c>
      <c r="AF272" s="1219"/>
      <c r="AG272" s="1563"/>
      <c r="AH272" s="1565">
        <v>185</v>
      </c>
      <c r="AI272" s="1566">
        <v>37</v>
      </c>
    </row>
    <row r="273" spans="1:35" ht="21" customHeight="1">
      <c r="A273" s="902"/>
      <c r="B273" s="902" t="s">
        <v>618</v>
      </c>
      <c r="C273" s="1567" t="s">
        <v>535</v>
      </c>
      <c r="D273" s="1229"/>
      <c r="E273" s="1567"/>
      <c r="F273" s="1567" t="s">
        <v>535</v>
      </c>
      <c r="G273" s="1567" t="s">
        <v>535</v>
      </c>
      <c r="H273" s="1567" t="s">
        <v>535</v>
      </c>
      <c r="I273" s="1567" t="s">
        <v>535</v>
      </c>
      <c r="J273" s="1567" t="s">
        <v>535</v>
      </c>
      <c r="K273" s="1229"/>
      <c r="L273" s="1229"/>
      <c r="M273" s="1567" t="s">
        <v>535</v>
      </c>
      <c r="N273" s="1567" t="s">
        <v>535</v>
      </c>
      <c r="O273" s="1567" t="s">
        <v>535</v>
      </c>
      <c r="P273" s="1567" t="s">
        <v>535</v>
      </c>
      <c r="Q273" s="1567" t="s">
        <v>535</v>
      </c>
      <c r="R273" s="1568"/>
      <c r="S273" s="1568"/>
      <c r="T273" s="1568" t="s">
        <v>535</v>
      </c>
      <c r="U273" s="1580" t="s">
        <v>535</v>
      </c>
      <c r="V273" s="1580" t="s">
        <v>570</v>
      </c>
      <c r="W273" s="1567" t="s">
        <v>535</v>
      </c>
      <c r="X273" s="1567" t="s">
        <v>535</v>
      </c>
      <c r="Y273" s="1229"/>
      <c r="Z273" s="1229"/>
      <c r="AA273" s="1567" t="s">
        <v>535</v>
      </c>
      <c r="AB273" s="1567" t="s">
        <v>535</v>
      </c>
      <c r="AC273" s="1567" t="s">
        <v>535</v>
      </c>
      <c r="AD273" s="1567" t="s">
        <v>535</v>
      </c>
      <c r="AE273" s="1567" t="s">
        <v>535</v>
      </c>
      <c r="AF273" s="1229"/>
      <c r="AG273" s="1567"/>
      <c r="AH273" s="1569">
        <v>185</v>
      </c>
      <c r="AI273" s="1569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29"/>
  <dimension ref="A1:AL273"/>
  <sheetViews>
    <sheetView tabSelected="1" topLeftCell="B189" zoomScale="70" zoomScaleNormal="70" workbookViewId="0">
      <selection activeCell="AF202" sqref="AF202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620</v>
      </c>
      <c r="B6" s="157"/>
      <c r="C6" s="489"/>
      <c r="D6" s="488" t="s">
        <v>621</v>
      </c>
      <c r="E6" s="157"/>
      <c r="F6" s="157"/>
      <c r="G6" s="157"/>
      <c r="H6" s="490"/>
      <c r="I6" s="157"/>
      <c r="J6" s="157"/>
      <c r="K6" s="157"/>
      <c r="L6" s="488" t="s">
        <v>622</v>
      </c>
      <c r="M6" s="157"/>
      <c r="N6" s="157"/>
      <c r="O6" s="157"/>
      <c r="P6" s="157"/>
      <c r="Q6" s="157"/>
      <c r="R6" s="157"/>
      <c r="S6" s="489"/>
      <c r="T6" s="491" t="s">
        <v>623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624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625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626</v>
      </c>
      <c r="L8" s="496"/>
      <c r="AB8" s="1"/>
    </row>
    <row r="9" spans="1:35" ht="21.95" customHeight="1" thickBot="1">
      <c r="B9" s="497" t="s">
        <v>627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528</v>
      </c>
      <c r="B10" s="297" t="s">
        <v>480</v>
      </c>
      <c r="C10" s="1235">
        <v>1</v>
      </c>
      <c r="D10" s="1234">
        <v>2</v>
      </c>
      <c r="E10" s="1234">
        <v>3</v>
      </c>
      <c r="F10" s="1234">
        <v>4</v>
      </c>
      <c r="G10" s="1234">
        <v>5</v>
      </c>
      <c r="H10" s="1234">
        <v>6</v>
      </c>
      <c r="I10" s="1330">
        <v>7</v>
      </c>
      <c r="J10" s="1330">
        <v>8</v>
      </c>
      <c r="K10" s="1234">
        <v>9</v>
      </c>
      <c r="L10" s="1234">
        <v>10</v>
      </c>
      <c r="M10" s="1234">
        <v>11</v>
      </c>
      <c r="N10" s="1234">
        <v>12</v>
      </c>
      <c r="O10" s="1234">
        <v>13</v>
      </c>
      <c r="P10" s="1330">
        <v>14</v>
      </c>
      <c r="Q10" s="1330">
        <v>15</v>
      </c>
      <c r="R10" s="1234">
        <v>16</v>
      </c>
      <c r="S10" s="1234">
        <v>17</v>
      </c>
      <c r="T10" s="1234">
        <v>18</v>
      </c>
      <c r="U10" s="1234">
        <v>19</v>
      </c>
      <c r="V10" s="1213">
        <v>20</v>
      </c>
      <c r="W10" s="1330">
        <v>21</v>
      </c>
      <c r="X10" s="1330">
        <v>22</v>
      </c>
      <c r="Y10" s="1234">
        <v>23</v>
      </c>
      <c r="Z10" s="1235">
        <v>24</v>
      </c>
      <c r="AA10" s="1235">
        <v>25</v>
      </c>
      <c r="AB10" s="1235">
        <v>26</v>
      </c>
      <c r="AC10" s="1234">
        <v>27</v>
      </c>
      <c r="AD10" s="1330">
        <v>28</v>
      </c>
      <c r="AE10" s="1330">
        <v>29</v>
      </c>
      <c r="AF10" s="1234">
        <v>30</v>
      </c>
      <c r="AG10" s="1235">
        <v>31</v>
      </c>
      <c r="AH10" s="498" t="s">
        <v>481</v>
      </c>
      <c r="AI10" s="499" t="s">
        <v>482</v>
      </c>
    </row>
    <row r="11" spans="1:35" ht="21.95" customHeight="1">
      <c r="A11" s="500"/>
      <c r="B11" s="501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1215"/>
      <c r="N11" s="1215"/>
      <c r="O11" s="1215"/>
      <c r="P11" s="1215"/>
      <c r="Q11" s="1215"/>
      <c r="R11" s="1215"/>
      <c r="S11" s="1215"/>
      <c r="T11" s="1215"/>
      <c r="U11" s="1215"/>
      <c r="V11" s="1215"/>
      <c r="W11" s="1215"/>
      <c r="X11" s="1215"/>
      <c r="Y11" s="1215"/>
      <c r="Z11" s="1215"/>
      <c r="AA11" s="1215"/>
      <c r="AB11" s="1215"/>
      <c r="AC11" s="1215"/>
      <c r="AD11" s="1215"/>
      <c r="AE11" s="1215"/>
      <c r="AF11" s="1215"/>
      <c r="AG11" s="503"/>
      <c r="AH11" s="504"/>
      <c r="AI11" s="505"/>
    </row>
    <row r="12" spans="1:35" ht="21.95" customHeight="1">
      <c r="A12" s="506" t="s">
        <v>628</v>
      </c>
      <c r="B12" s="45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509"/>
      <c r="AI12" s="510"/>
    </row>
    <row r="13" spans="1:35" ht="21.95" customHeight="1">
      <c r="A13" s="511">
        <v>8546</v>
      </c>
      <c r="B13" s="512" t="s">
        <v>629</v>
      </c>
      <c r="C13" s="1211" t="s">
        <v>630</v>
      </c>
      <c r="D13" s="1211" t="s">
        <v>487</v>
      </c>
      <c r="E13" s="1211" t="s">
        <v>487</v>
      </c>
      <c r="F13" s="1211" t="s">
        <v>487</v>
      </c>
      <c r="G13" s="1211" t="s">
        <v>487</v>
      </c>
      <c r="H13" s="1215" t="s">
        <v>487</v>
      </c>
      <c r="I13" s="1211"/>
      <c r="J13" s="1211"/>
      <c r="K13" s="1442">
        <v>1</v>
      </c>
      <c r="L13" s="1442">
        <v>1</v>
      </c>
      <c r="M13" s="1442" t="s">
        <v>769</v>
      </c>
      <c r="N13" s="1211">
        <v>1</v>
      </c>
      <c r="O13" s="1211">
        <v>1</v>
      </c>
      <c r="P13" s="1211"/>
      <c r="Q13" s="1211"/>
      <c r="R13" s="1211">
        <v>2</v>
      </c>
      <c r="S13" s="1211">
        <v>2</v>
      </c>
      <c r="T13" s="1211">
        <v>2</v>
      </c>
      <c r="U13" s="1211">
        <v>2</v>
      </c>
      <c r="V13" s="1211">
        <v>2</v>
      </c>
      <c r="W13" s="1211" t="s">
        <v>631</v>
      </c>
      <c r="X13" s="1211" t="s">
        <v>631</v>
      </c>
      <c r="Y13" s="1211" t="s">
        <v>487</v>
      </c>
      <c r="Z13" s="1211" t="s">
        <v>487</v>
      </c>
      <c r="AA13" s="1211" t="s">
        <v>487</v>
      </c>
      <c r="AB13" s="1211" t="s">
        <v>487</v>
      </c>
      <c r="AC13" s="1211" t="s">
        <v>487</v>
      </c>
      <c r="AD13" s="1211"/>
      <c r="AE13" s="1211"/>
      <c r="AF13" s="1211">
        <v>3</v>
      </c>
      <c r="AG13" s="1218">
        <v>3</v>
      </c>
      <c r="AH13" s="513">
        <v>185</v>
      </c>
      <c r="AI13" s="514">
        <v>37</v>
      </c>
    </row>
    <row r="14" spans="1:35" ht="21.95" customHeight="1">
      <c r="A14" s="500">
        <v>8546</v>
      </c>
      <c r="B14" s="347" t="s">
        <v>632</v>
      </c>
      <c r="C14" s="1215"/>
      <c r="D14" s="1500" t="s">
        <v>514</v>
      </c>
      <c r="E14" s="1215">
        <v>3</v>
      </c>
      <c r="F14" s="1215">
        <v>3</v>
      </c>
      <c r="G14" s="1215">
        <v>3</v>
      </c>
      <c r="H14" s="1215">
        <v>3</v>
      </c>
      <c r="I14" s="1215"/>
      <c r="J14" s="1215"/>
      <c r="K14" s="1215">
        <v>4</v>
      </c>
      <c r="L14" s="1215">
        <v>4</v>
      </c>
      <c r="M14" s="1215">
        <v>4</v>
      </c>
      <c r="N14" s="1215">
        <v>4</v>
      </c>
      <c r="O14" s="1215">
        <v>4</v>
      </c>
      <c r="P14" s="1215" t="s">
        <v>630</v>
      </c>
      <c r="Q14" s="1215" t="s">
        <v>630</v>
      </c>
      <c r="R14" s="1215" t="s">
        <v>487</v>
      </c>
      <c r="S14" s="1215" t="s">
        <v>487</v>
      </c>
      <c r="T14" s="1215" t="s">
        <v>487</v>
      </c>
      <c r="U14" s="1215" t="s">
        <v>487</v>
      </c>
      <c r="V14" s="1215" t="s">
        <v>487</v>
      </c>
      <c r="W14" s="1215"/>
      <c r="X14" s="1215"/>
      <c r="Y14" s="1215">
        <v>1</v>
      </c>
      <c r="Z14" s="1215">
        <v>1</v>
      </c>
      <c r="AA14" s="1215">
        <v>1</v>
      </c>
      <c r="AB14" s="1215">
        <v>1</v>
      </c>
      <c r="AC14" s="1215">
        <v>1</v>
      </c>
      <c r="AD14" s="1215"/>
      <c r="AE14" s="1215"/>
      <c r="AF14" s="1215">
        <v>2</v>
      </c>
      <c r="AG14" s="1216">
        <v>2</v>
      </c>
      <c r="AH14" s="513">
        <v>185</v>
      </c>
      <c r="AI14" s="514">
        <v>37</v>
      </c>
    </row>
    <row r="15" spans="1:35" ht="21.95" customHeight="1">
      <c r="A15" s="500">
        <v>8546</v>
      </c>
      <c r="B15" s="347" t="s">
        <v>171</v>
      </c>
      <c r="C15" s="1338"/>
      <c r="D15" s="1215">
        <v>4</v>
      </c>
      <c r="E15" s="1215">
        <v>4</v>
      </c>
      <c r="F15" s="1215">
        <v>4</v>
      </c>
      <c r="G15" s="1215">
        <v>4</v>
      </c>
      <c r="H15" s="1215">
        <v>4</v>
      </c>
      <c r="I15" s="1215" t="s">
        <v>630</v>
      </c>
      <c r="J15" s="1500" t="s">
        <v>630</v>
      </c>
      <c r="K15" s="1500" t="s">
        <v>487</v>
      </c>
      <c r="L15" s="1215" t="s">
        <v>487</v>
      </c>
      <c r="M15" s="1215" t="s">
        <v>487</v>
      </c>
      <c r="N15" s="1215" t="s">
        <v>487</v>
      </c>
      <c r="O15" s="1215" t="s">
        <v>487</v>
      </c>
      <c r="P15" s="1215"/>
      <c r="Q15" s="1215"/>
      <c r="R15" s="1215">
        <v>1</v>
      </c>
      <c r="S15" s="1215">
        <v>1</v>
      </c>
      <c r="T15" s="1215">
        <v>1</v>
      </c>
      <c r="U15" s="1215">
        <v>1</v>
      </c>
      <c r="V15" s="1346">
        <v>1</v>
      </c>
      <c r="W15" s="1215"/>
      <c r="X15" s="1215"/>
      <c r="Y15" s="1215">
        <v>2</v>
      </c>
      <c r="Z15" s="1215">
        <v>2</v>
      </c>
      <c r="AA15" s="1215">
        <v>2</v>
      </c>
      <c r="AB15" s="1215">
        <v>2</v>
      </c>
      <c r="AC15" s="1215">
        <v>2</v>
      </c>
      <c r="AD15" s="1215" t="s">
        <v>631</v>
      </c>
      <c r="AE15" s="1215" t="s">
        <v>631</v>
      </c>
      <c r="AF15" s="1215" t="s">
        <v>487</v>
      </c>
      <c r="AG15" s="1216" t="s">
        <v>487</v>
      </c>
      <c r="AH15" s="513">
        <v>185</v>
      </c>
      <c r="AI15" s="514">
        <v>37</v>
      </c>
    </row>
    <row r="16" spans="1:35" ht="21.95" customHeight="1">
      <c r="A16" s="500">
        <v>8546</v>
      </c>
      <c r="B16" s="347" t="s">
        <v>633</v>
      </c>
      <c r="C16" s="1215"/>
      <c r="D16" s="1215">
        <v>2</v>
      </c>
      <c r="E16" s="1500" t="s">
        <v>514</v>
      </c>
      <c r="F16" s="1215">
        <v>2</v>
      </c>
      <c r="G16" s="1215">
        <v>2</v>
      </c>
      <c r="H16" s="1215">
        <v>2</v>
      </c>
      <c r="I16" s="1215" t="s">
        <v>631</v>
      </c>
      <c r="J16" s="1215" t="s">
        <v>631</v>
      </c>
      <c r="K16" s="1500" t="s">
        <v>487</v>
      </c>
      <c r="L16" s="1215" t="s">
        <v>487</v>
      </c>
      <c r="M16" s="1215" t="s">
        <v>487</v>
      </c>
      <c r="N16" s="1215" t="s">
        <v>487</v>
      </c>
      <c r="O16" s="1215" t="s">
        <v>487</v>
      </c>
      <c r="P16" s="1215"/>
      <c r="Q16" s="1215"/>
      <c r="R16" s="1215">
        <v>3</v>
      </c>
      <c r="S16" s="1215">
        <v>3</v>
      </c>
      <c r="T16" s="1215">
        <v>3</v>
      </c>
      <c r="U16" s="1215">
        <v>3</v>
      </c>
      <c r="V16" s="1215">
        <v>3</v>
      </c>
      <c r="W16" s="1215"/>
      <c r="X16" s="1215"/>
      <c r="Y16" s="1215">
        <v>4</v>
      </c>
      <c r="Z16" s="1215">
        <v>4</v>
      </c>
      <c r="AA16" s="1215">
        <v>4</v>
      </c>
      <c r="AB16" s="1215">
        <v>4</v>
      </c>
      <c r="AC16" s="1215">
        <v>4</v>
      </c>
      <c r="AD16" s="1215" t="s">
        <v>630</v>
      </c>
      <c r="AE16" s="1215" t="s">
        <v>630</v>
      </c>
      <c r="AF16" s="1215" t="s">
        <v>487</v>
      </c>
      <c r="AG16" s="1216" t="s">
        <v>487</v>
      </c>
      <c r="AH16" s="513">
        <v>185</v>
      </c>
      <c r="AI16" s="514">
        <v>37</v>
      </c>
    </row>
    <row r="17" spans="1:37" ht="21.95" customHeight="1">
      <c r="A17" s="500">
        <v>8546</v>
      </c>
      <c r="B17" s="347" t="s">
        <v>634</v>
      </c>
      <c r="C17" s="1215"/>
      <c r="D17" s="1215">
        <v>1</v>
      </c>
      <c r="E17" s="1215">
        <v>1</v>
      </c>
      <c r="F17" s="1215">
        <v>1</v>
      </c>
      <c r="G17" s="1215">
        <v>1</v>
      </c>
      <c r="H17" s="1215">
        <v>1</v>
      </c>
      <c r="I17" s="1215"/>
      <c r="J17" s="1215"/>
      <c r="K17" s="1500">
        <v>2</v>
      </c>
      <c r="L17" s="1215">
        <v>2</v>
      </c>
      <c r="M17" s="1215">
        <v>2</v>
      </c>
      <c r="N17" s="1215">
        <v>2</v>
      </c>
      <c r="O17" s="1215">
        <v>2</v>
      </c>
      <c r="P17" s="1215" t="s">
        <v>631</v>
      </c>
      <c r="Q17" s="1215" t="s">
        <v>631</v>
      </c>
      <c r="R17" s="1215" t="s">
        <v>487</v>
      </c>
      <c r="S17" s="1215" t="s">
        <v>487</v>
      </c>
      <c r="T17" s="1444">
        <v>10</v>
      </c>
      <c r="U17" s="1215" t="s">
        <v>487</v>
      </c>
      <c r="V17" s="1215" t="s">
        <v>487</v>
      </c>
      <c r="W17" s="1215"/>
      <c r="X17" s="1444" t="s">
        <v>555</v>
      </c>
      <c r="Y17" s="1215">
        <v>3</v>
      </c>
      <c r="Z17" s="1215">
        <v>3</v>
      </c>
      <c r="AA17" s="1215">
        <v>3</v>
      </c>
      <c r="AB17" s="1215">
        <v>3</v>
      </c>
      <c r="AC17" s="1215">
        <v>3</v>
      </c>
      <c r="AD17" s="1215"/>
      <c r="AE17" s="1215"/>
      <c r="AF17" s="1215">
        <v>4</v>
      </c>
      <c r="AG17" s="1216">
        <v>4</v>
      </c>
      <c r="AH17" s="513">
        <v>185</v>
      </c>
      <c r="AI17" s="514">
        <v>37</v>
      </c>
    </row>
    <row r="18" spans="1:37" ht="21.95" customHeight="1">
      <c r="A18" s="500">
        <v>8546</v>
      </c>
      <c r="B18" s="347" t="s">
        <v>635</v>
      </c>
      <c r="C18" s="1215" t="s">
        <v>631</v>
      </c>
      <c r="D18" s="1215" t="s">
        <v>487</v>
      </c>
      <c r="E18" s="1215" t="s">
        <v>487</v>
      </c>
      <c r="F18" s="1215" t="s">
        <v>487</v>
      </c>
      <c r="G18" s="1215" t="s">
        <v>487</v>
      </c>
      <c r="H18" s="1215" t="s">
        <v>487</v>
      </c>
      <c r="I18" s="1215"/>
      <c r="J18" s="1215"/>
      <c r="K18" s="1500">
        <v>3</v>
      </c>
      <c r="L18" s="1215">
        <v>3</v>
      </c>
      <c r="M18" s="1215">
        <v>3</v>
      </c>
      <c r="N18" s="1215">
        <v>3</v>
      </c>
      <c r="O18" s="1215">
        <v>3</v>
      </c>
      <c r="P18" s="1215"/>
      <c r="Q18" s="1215"/>
      <c r="R18" s="1215" t="s">
        <v>535</v>
      </c>
      <c r="S18" s="1215">
        <v>4</v>
      </c>
      <c r="T18" s="1215">
        <v>4</v>
      </c>
      <c r="U18" s="1215">
        <v>4</v>
      </c>
      <c r="V18" s="1215">
        <v>4</v>
      </c>
      <c r="W18" s="1215" t="s">
        <v>630</v>
      </c>
      <c r="X18" s="1215" t="s">
        <v>630</v>
      </c>
      <c r="Y18" s="1215" t="s">
        <v>487</v>
      </c>
      <c r="Z18" s="1215" t="s">
        <v>487</v>
      </c>
      <c r="AA18" s="1215" t="s">
        <v>487</v>
      </c>
      <c r="AB18" s="1215" t="s">
        <v>487</v>
      </c>
      <c r="AC18" s="1215" t="s">
        <v>487</v>
      </c>
      <c r="AD18" s="1215"/>
      <c r="AE18" s="1215"/>
      <c r="AF18" s="1215">
        <v>1</v>
      </c>
      <c r="AG18" s="1216">
        <v>1</v>
      </c>
      <c r="AH18" s="513">
        <v>185</v>
      </c>
      <c r="AI18" s="514">
        <v>37</v>
      </c>
    </row>
    <row r="19" spans="1:37" ht="21.95" customHeight="1">
      <c r="A19" s="515" t="s">
        <v>636</v>
      </c>
      <c r="B19" s="516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507"/>
      <c r="AE19" s="507"/>
      <c r="AF19" s="507"/>
      <c r="AG19" s="508"/>
      <c r="AH19" s="509"/>
      <c r="AI19" s="510"/>
    </row>
    <row r="20" spans="1:37" ht="21.95" customHeight="1">
      <c r="A20" s="500">
        <v>8500</v>
      </c>
      <c r="B20" s="186" t="s">
        <v>192</v>
      </c>
      <c r="C20" s="1215"/>
      <c r="D20" s="1215">
        <v>3</v>
      </c>
      <c r="E20" s="1215">
        <v>2</v>
      </c>
      <c r="F20" s="1346" t="s">
        <v>535</v>
      </c>
      <c r="G20" s="1215" t="s">
        <v>535</v>
      </c>
      <c r="H20" s="1335" t="s">
        <v>535</v>
      </c>
      <c r="I20" s="1215"/>
      <c r="J20" s="1215"/>
      <c r="K20" s="1500" t="s">
        <v>535</v>
      </c>
      <c r="L20" s="1500" t="s">
        <v>514</v>
      </c>
      <c r="M20" s="1215" t="s">
        <v>535</v>
      </c>
      <c r="N20" s="1335" t="s">
        <v>535</v>
      </c>
      <c r="O20" s="1215" t="s">
        <v>535</v>
      </c>
      <c r="P20" s="1215" t="s">
        <v>637</v>
      </c>
      <c r="Q20" s="1215" t="s">
        <v>637</v>
      </c>
      <c r="R20" s="1215">
        <v>4</v>
      </c>
      <c r="S20" s="1215" t="s">
        <v>487</v>
      </c>
      <c r="T20" s="1335" t="s">
        <v>514</v>
      </c>
      <c r="U20" s="1215">
        <v>3</v>
      </c>
      <c r="V20" s="1215">
        <v>4</v>
      </c>
      <c r="W20" s="1444" t="s">
        <v>555</v>
      </c>
      <c r="X20" s="1215"/>
      <c r="Y20" s="1346" t="s">
        <v>535</v>
      </c>
      <c r="Z20" s="1215"/>
      <c r="AA20" s="1215"/>
      <c r="AB20" s="1215"/>
      <c r="AC20" s="1346" t="s">
        <v>535</v>
      </c>
      <c r="AD20" s="1215"/>
      <c r="AE20" s="1215"/>
      <c r="AF20" s="1346" t="s">
        <v>535</v>
      </c>
      <c r="AG20" s="1215"/>
      <c r="AH20" s="504">
        <v>185</v>
      </c>
      <c r="AI20" s="505">
        <v>37</v>
      </c>
    </row>
    <row r="21" spans="1:37" ht="21.95" customHeight="1">
      <c r="A21" s="500">
        <v>8500</v>
      </c>
      <c r="B21" s="153" t="s">
        <v>638</v>
      </c>
      <c r="C21" s="1215" t="s">
        <v>637</v>
      </c>
      <c r="D21" s="1215" t="s">
        <v>535</v>
      </c>
      <c r="E21" s="1335" t="s">
        <v>535</v>
      </c>
      <c r="F21" s="1335" t="s">
        <v>535</v>
      </c>
      <c r="G21" s="1335" t="s">
        <v>535</v>
      </c>
      <c r="H21" s="1335" t="s">
        <v>637</v>
      </c>
      <c r="I21" s="1215" t="s">
        <v>637</v>
      </c>
      <c r="J21" s="1215" t="s">
        <v>637</v>
      </c>
      <c r="K21" s="1500" t="s">
        <v>535</v>
      </c>
      <c r="L21" s="1215">
        <v>1</v>
      </c>
      <c r="M21" s="1215">
        <v>1</v>
      </c>
      <c r="N21" s="1215">
        <v>1</v>
      </c>
      <c r="O21" s="1215">
        <v>1</v>
      </c>
      <c r="P21" s="1215"/>
      <c r="Q21" s="1215"/>
      <c r="R21" s="1215" t="s">
        <v>514</v>
      </c>
      <c r="S21" s="1215" t="s">
        <v>514</v>
      </c>
      <c r="T21" s="1215" t="s">
        <v>514</v>
      </c>
      <c r="U21" s="1215" t="s">
        <v>514</v>
      </c>
      <c r="V21" s="1215">
        <v>1</v>
      </c>
      <c r="W21" s="1215"/>
      <c r="X21" s="1215"/>
      <c r="Y21" s="1335" t="s">
        <v>535</v>
      </c>
      <c r="Z21" s="1215"/>
      <c r="AA21" s="1215"/>
      <c r="AB21" s="1215"/>
      <c r="AC21" s="1335" t="s">
        <v>535</v>
      </c>
      <c r="AD21" s="1215"/>
      <c r="AE21" s="1215"/>
      <c r="AF21" s="1335" t="s">
        <v>535</v>
      </c>
      <c r="AG21" s="1215"/>
      <c r="AH21" s="504">
        <v>185</v>
      </c>
      <c r="AI21" s="505">
        <v>37</v>
      </c>
    </row>
    <row r="22" spans="1:37" ht="21.95" customHeight="1" thickBot="1">
      <c r="A22" s="500"/>
      <c r="B22" s="153"/>
      <c r="C22" s="1215"/>
      <c r="D22" s="1215"/>
      <c r="E22" s="1215"/>
      <c r="F22" s="1215"/>
      <c r="G22" s="1215"/>
      <c r="H22" s="1215"/>
      <c r="I22" s="1215"/>
      <c r="J22" s="1215"/>
      <c r="K22" s="1215"/>
      <c r="L22" s="1215"/>
      <c r="M22" s="1215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15"/>
      <c r="AA22" s="1215"/>
      <c r="AB22" s="1215"/>
      <c r="AC22" s="1215"/>
      <c r="AD22" s="1215"/>
      <c r="AE22" s="1215"/>
      <c r="AF22" s="1215"/>
      <c r="AG22" s="1215"/>
      <c r="AH22" s="517">
        <v>185</v>
      </c>
      <c r="AI22" s="518">
        <v>37</v>
      </c>
    </row>
    <row r="23" spans="1:37" ht="21.95" customHeight="1">
      <c r="A23" s="519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</row>
    <row r="24" spans="1:37" ht="21.95" customHeight="1">
      <c r="A24" s="519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</row>
    <row r="25" spans="1:37" ht="21.95" customHeight="1">
      <c r="A25" s="519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</row>
    <row r="26" spans="1:37" ht="21.95" customHeight="1">
      <c r="A26" s="519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</row>
    <row r="27" spans="1:37" ht="21.95" customHeight="1">
      <c r="A27" s="519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</row>
    <row r="28" spans="1:37" ht="21.95" customHeight="1">
      <c r="A28" s="519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</row>
    <row r="29" spans="1:37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7" ht="21.95" customHeight="1" thickBot="1">
      <c r="A30" s="1" t="s">
        <v>639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640</v>
      </c>
      <c r="B31" s="521"/>
      <c r="C31" s="521"/>
      <c r="D31" s="425" t="s">
        <v>641</v>
      </c>
      <c r="E31" s="522"/>
      <c r="F31" s="522"/>
      <c r="G31" s="522"/>
      <c r="H31" s="522"/>
      <c r="I31" s="522"/>
      <c r="J31" s="522"/>
      <c r="K31" s="522"/>
      <c r="L31" s="522"/>
      <c r="M31" s="523" t="s">
        <v>642</v>
      </c>
      <c r="N31" s="522"/>
      <c r="O31" s="522"/>
      <c r="P31" s="522"/>
      <c r="Q31" s="522"/>
      <c r="R31" s="522"/>
      <c r="S31" s="524"/>
      <c r="T31" s="524" t="s">
        <v>643</v>
      </c>
      <c r="U31" s="522"/>
      <c r="V31" s="522"/>
      <c r="W31" s="522"/>
      <c r="X31" s="522"/>
      <c r="Y31" s="522"/>
      <c r="Z31" s="238"/>
      <c r="AA31" s="525" t="s">
        <v>644</v>
      </c>
      <c r="AB31" s="51"/>
      <c r="AC31" s="51"/>
      <c r="AD31" s="51"/>
      <c r="AE31" s="51"/>
      <c r="AF31" s="51"/>
      <c r="AG31" s="526"/>
      <c r="AK31" s="1"/>
    </row>
    <row r="32" spans="1:37" ht="21.95" customHeight="1">
      <c r="A32" s="527" t="s">
        <v>645</v>
      </c>
      <c r="B32" s="135"/>
      <c r="C32" s="135"/>
      <c r="D32" s="495" t="s">
        <v>646</v>
      </c>
      <c r="E32" s="491"/>
      <c r="F32" s="157"/>
      <c r="G32" s="157"/>
      <c r="H32" s="157"/>
      <c r="I32" s="157"/>
      <c r="J32" s="157"/>
      <c r="K32" s="157"/>
      <c r="L32" s="489"/>
      <c r="M32" s="528" t="s">
        <v>647</v>
      </c>
      <c r="N32" s="135"/>
      <c r="O32" s="529"/>
      <c r="P32" s="135"/>
      <c r="Q32" s="135"/>
      <c r="R32" s="135"/>
      <c r="S32" s="530"/>
      <c r="T32" s="495" t="s">
        <v>648</v>
      </c>
      <c r="U32" s="157"/>
      <c r="V32" s="491"/>
      <c r="W32" s="157"/>
      <c r="X32" s="157"/>
      <c r="Y32" s="157"/>
      <c r="Z32" s="489"/>
      <c r="AA32" s="1" t="s">
        <v>649</v>
      </c>
      <c r="AD32" s="496"/>
      <c r="AG32" s="531"/>
      <c r="AK32" s="1"/>
    </row>
    <row r="33" spans="1:38" ht="21.95" customHeight="1">
      <c r="A33" s="532" t="s">
        <v>650</v>
      </c>
      <c r="B33" s="157"/>
      <c r="C33" s="157"/>
      <c r="D33" s="157"/>
      <c r="E33" s="157"/>
      <c r="F33" s="157"/>
      <c r="G33" s="489"/>
      <c r="H33" s="495" t="s">
        <v>651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3" t="s">
        <v>652</v>
      </c>
      <c r="AA33" s="529"/>
      <c r="AB33" s="135"/>
      <c r="AC33" s="135"/>
      <c r="AD33" s="135"/>
      <c r="AE33" s="135"/>
      <c r="AF33" s="135"/>
      <c r="AG33" s="534"/>
      <c r="AK33" s="312"/>
    </row>
    <row r="34" spans="1:38" ht="21.95" customHeight="1" thickBot="1">
      <c r="A34" s="535" t="s">
        <v>653</v>
      </c>
      <c r="B34" s="53"/>
      <c r="C34" s="53"/>
      <c r="D34" s="53"/>
      <c r="E34" s="53"/>
      <c r="F34" s="53"/>
      <c r="G34" s="536"/>
      <c r="H34" s="537" t="s">
        <v>654</v>
      </c>
      <c r="I34" s="536"/>
      <c r="J34" s="53"/>
      <c r="K34" s="53"/>
      <c r="L34" s="53"/>
      <c r="M34" s="53"/>
      <c r="N34" s="53"/>
      <c r="O34" s="53"/>
      <c r="P34" s="53"/>
      <c r="Q34" s="538"/>
      <c r="R34" s="538"/>
      <c r="S34" s="538"/>
      <c r="T34" s="53"/>
      <c r="U34" s="537" t="s">
        <v>655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9"/>
      <c r="AK34" s="1"/>
    </row>
    <row r="35" spans="1:38" ht="21.95" customHeight="1" thickBot="1">
      <c r="B35" s="540" t="s">
        <v>627</v>
      </c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41"/>
      <c r="Y35" s="541"/>
      <c r="Z35" s="541"/>
      <c r="AA35" s="541"/>
      <c r="AB35" s="541"/>
      <c r="AC35" s="541"/>
      <c r="AD35" s="541"/>
      <c r="AE35" s="541"/>
      <c r="AF35" s="541"/>
      <c r="AG35" s="541"/>
      <c r="AH35" s="1"/>
    </row>
    <row r="36" spans="1:38" ht="21.95" customHeight="1" thickBot="1">
      <c r="A36" s="542" t="s">
        <v>528</v>
      </c>
      <c r="B36" s="182" t="s">
        <v>480</v>
      </c>
      <c r="C36" s="1235">
        <v>1</v>
      </c>
      <c r="D36" s="1234">
        <v>2</v>
      </c>
      <c r="E36" s="1234">
        <v>3</v>
      </c>
      <c r="F36" s="1234">
        <v>4</v>
      </c>
      <c r="G36" s="1234">
        <v>5</v>
      </c>
      <c r="H36" s="1234">
        <v>6</v>
      </c>
      <c r="I36" s="1330">
        <v>7</v>
      </c>
      <c r="J36" s="1330">
        <v>8</v>
      </c>
      <c r="K36" s="1234">
        <v>9</v>
      </c>
      <c r="L36" s="1234">
        <v>10</v>
      </c>
      <c r="M36" s="1234">
        <v>11</v>
      </c>
      <c r="N36" s="1234">
        <v>12</v>
      </c>
      <c r="O36" s="1234">
        <v>13</v>
      </c>
      <c r="P36" s="1330">
        <v>14</v>
      </c>
      <c r="Q36" s="1330">
        <v>15</v>
      </c>
      <c r="R36" s="1234">
        <v>16</v>
      </c>
      <c r="S36" s="1234">
        <v>17</v>
      </c>
      <c r="T36" s="1234">
        <v>18</v>
      </c>
      <c r="U36" s="1234">
        <v>19</v>
      </c>
      <c r="V36" s="1213">
        <v>20</v>
      </c>
      <c r="W36" s="1330">
        <v>21</v>
      </c>
      <c r="X36" s="1330">
        <v>22</v>
      </c>
      <c r="Y36" s="1234">
        <v>23</v>
      </c>
      <c r="Z36" s="1235">
        <v>24</v>
      </c>
      <c r="AA36" s="1235">
        <v>25</v>
      </c>
      <c r="AB36" s="1235">
        <v>26</v>
      </c>
      <c r="AC36" s="1234">
        <v>27</v>
      </c>
      <c r="AD36" s="1330">
        <v>28</v>
      </c>
      <c r="AE36" s="1330">
        <v>29</v>
      </c>
      <c r="AF36" s="1234">
        <v>30</v>
      </c>
      <c r="AG36" s="1235">
        <v>31</v>
      </c>
      <c r="AH36" s="498" t="s">
        <v>481</v>
      </c>
      <c r="AI36" s="499" t="s">
        <v>482</v>
      </c>
      <c r="AL36" t="s">
        <v>28</v>
      </c>
    </row>
    <row r="37" spans="1:38" ht="21.95" customHeight="1">
      <c r="A37" s="543">
        <v>1</v>
      </c>
      <c r="B37" s="45" t="s">
        <v>656</v>
      </c>
      <c r="C37" s="1209" t="s">
        <v>657</v>
      </c>
      <c r="D37" s="1209" t="s">
        <v>487</v>
      </c>
      <c r="E37" s="1209" t="s">
        <v>487</v>
      </c>
      <c r="F37" s="1209" t="s">
        <v>487</v>
      </c>
      <c r="G37" s="1209" t="s">
        <v>487</v>
      </c>
      <c r="H37" s="1209" t="s">
        <v>487</v>
      </c>
      <c r="I37" s="1209"/>
      <c r="J37" s="1209"/>
      <c r="K37" s="1575">
        <v>8</v>
      </c>
      <c r="L37" s="1209">
        <v>8</v>
      </c>
      <c r="M37" s="1209">
        <v>8</v>
      </c>
      <c r="N37" s="1209">
        <v>8</v>
      </c>
      <c r="O37" s="1209">
        <v>8</v>
      </c>
      <c r="P37" s="1209" t="s">
        <v>533</v>
      </c>
      <c r="Q37" s="1209" t="s">
        <v>533</v>
      </c>
      <c r="R37" s="1209" t="s">
        <v>487</v>
      </c>
      <c r="S37" s="1209" t="s">
        <v>487</v>
      </c>
      <c r="T37" s="1209" t="s">
        <v>487</v>
      </c>
      <c r="U37" s="1575" t="s">
        <v>487</v>
      </c>
      <c r="V37" s="1209" t="s">
        <v>487</v>
      </c>
      <c r="W37" s="1209"/>
      <c r="X37" s="1209"/>
      <c r="Y37" s="1209">
        <v>1</v>
      </c>
      <c r="Z37" s="1209">
        <v>1</v>
      </c>
      <c r="AA37" s="1209">
        <v>1</v>
      </c>
      <c r="AB37" s="1209">
        <v>1</v>
      </c>
      <c r="AC37" s="1209">
        <v>1</v>
      </c>
      <c r="AD37" s="1209"/>
      <c r="AE37" s="1209"/>
      <c r="AF37" s="1209">
        <v>9</v>
      </c>
      <c r="AG37" s="1220">
        <v>9</v>
      </c>
      <c r="AH37" s="504">
        <v>185</v>
      </c>
      <c r="AI37" s="505">
        <v>37</v>
      </c>
    </row>
    <row r="38" spans="1:38" ht="21.95" customHeight="1">
      <c r="A38" s="544">
        <v>6</v>
      </c>
      <c r="B38" s="545" t="s">
        <v>658</v>
      </c>
      <c r="C38" s="1376" t="s">
        <v>555</v>
      </c>
      <c r="D38" s="1376" t="s">
        <v>487</v>
      </c>
      <c r="E38" s="1376" t="s">
        <v>487</v>
      </c>
      <c r="F38" s="1376" t="s">
        <v>487</v>
      </c>
      <c r="G38" s="1376" t="s">
        <v>487</v>
      </c>
      <c r="H38" s="1376" t="s">
        <v>487</v>
      </c>
      <c r="I38" s="1376"/>
      <c r="J38" s="1376"/>
      <c r="K38" s="1376">
        <v>6</v>
      </c>
      <c r="L38" s="1376">
        <v>6</v>
      </c>
      <c r="M38" s="1376">
        <v>6</v>
      </c>
      <c r="N38" s="1376">
        <v>6</v>
      </c>
      <c r="O38" s="1376">
        <v>6</v>
      </c>
      <c r="P38" s="1376" t="s">
        <v>532</v>
      </c>
      <c r="Q38" s="1376" t="s">
        <v>533</v>
      </c>
      <c r="R38" s="1376" t="s">
        <v>487</v>
      </c>
      <c r="S38" s="1376" t="s">
        <v>487</v>
      </c>
      <c r="T38" s="1376" t="s">
        <v>487</v>
      </c>
      <c r="U38" s="1376" t="s">
        <v>487</v>
      </c>
      <c r="V38" s="1376" t="s">
        <v>487</v>
      </c>
      <c r="W38" s="1376"/>
      <c r="X38" s="1376"/>
      <c r="Y38" s="1376">
        <v>5</v>
      </c>
      <c r="Z38" s="1376">
        <v>5</v>
      </c>
      <c r="AA38" s="1376">
        <v>5</v>
      </c>
      <c r="AB38" s="1376">
        <v>5</v>
      </c>
      <c r="AC38" s="1376">
        <v>5</v>
      </c>
      <c r="AD38" s="1376"/>
      <c r="AE38" s="1376"/>
      <c r="AF38" s="1376">
        <v>10</v>
      </c>
      <c r="AG38" s="1377">
        <v>10</v>
      </c>
      <c r="AH38" s="504">
        <v>185</v>
      </c>
      <c r="AI38" s="505">
        <v>37</v>
      </c>
    </row>
    <row r="39" spans="1:38" ht="21.95" customHeight="1" thickBot="1">
      <c r="A39" s="546">
        <v>11</v>
      </c>
      <c r="B39" s="1242" t="s">
        <v>659</v>
      </c>
      <c r="C39" s="1207" t="s">
        <v>555</v>
      </c>
      <c r="D39" s="1207" t="s">
        <v>487</v>
      </c>
      <c r="E39" s="1207" t="s">
        <v>487</v>
      </c>
      <c r="F39" s="1207" t="s">
        <v>487</v>
      </c>
      <c r="G39" s="1207" t="s">
        <v>487</v>
      </c>
      <c r="H39" s="1207" t="s">
        <v>487</v>
      </c>
      <c r="I39" s="1207" t="s">
        <v>660</v>
      </c>
      <c r="J39" s="1207" t="s">
        <v>660</v>
      </c>
      <c r="K39" s="1207">
        <v>7</v>
      </c>
      <c r="L39" s="1344">
        <v>7</v>
      </c>
      <c r="M39" s="1550">
        <v>7</v>
      </c>
      <c r="N39" s="1207">
        <v>7</v>
      </c>
      <c r="O39" s="1207">
        <v>7</v>
      </c>
      <c r="P39" s="1207"/>
      <c r="Q39" s="1207"/>
      <c r="R39" s="1366">
        <v>4</v>
      </c>
      <c r="S39" s="1366">
        <v>4</v>
      </c>
      <c r="T39" s="1366">
        <v>4</v>
      </c>
      <c r="U39" s="1366">
        <v>4</v>
      </c>
      <c r="V39" s="1366">
        <v>4</v>
      </c>
      <c r="W39" s="1366"/>
      <c r="X39" s="1366"/>
      <c r="Y39" s="1207">
        <v>3</v>
      </c>
      <c r="Z39" s="1207">
        <v>3</v>
      </c>
      <c r="AA39" s="1207">
        <v>3</v>
      </c>
      <c r="AB39" s="1207">
        <v>3</v>
      </c>
      <c r="AC39" s="1207">
        <v>3</v>
      </c>
      <c r="AD39" s="1207"/>
      <c r="AE39" s="1207"/>
      <c r="AF39" s="1207">
        <v>11</v>
      </c>
      <c r="AG39" s="1222">
        <v>11</v>
      </c>
      <c r="AH39" s="504">
        <v>185</v>
      </c>
      <c r="AI39" s="505">
        <v>37</v>
      </c>
    </row>
    <row r="40" spans="1:38" ht="21.95" customHeight="1">
      <c r="A40" s="543">
        <v>2</v>
      </c>
      <c r="B40" s="45" t="s">
        <v>662</v>
      </c>
      <c r="C40" s="1209"/>
      <c r="D40" s="1209">
        <v>8</v>
      </c>
      <c r="E40" s="1209">
        <v>8</v>
      </c>
      <c r="F40" s="1344">
        <v>8</v>
      </c>
      <c r="G40" s="1223">
        <v>8</v>
      </c>
      <c r="H40" s="1209">
        <v>8</v>
      </c>
      <c r="I40" s="1209" t="s">
        <v>533</v>
      </c>
      <c r="J40" s="1209" t="s">
        <v>533</v>
      </c>
      <c r="K40" s="1209" t="s">
        <v>487</v>
      </c>
      <c r="L40" s="1209" t="s">
        <v>487</v>
      </c>
      <c r="M40" s="1209" t="s">
        <v>487</v>
      </c>
      <c r="N40" s="1209" t="s">
        <v>487</v>
      </c>
      <c r="O40" s="1209" t="s">
        <v>487</v>
      </c>
      <c r="P40" s="1209"/>
      <c r="Q40" s="1209"/>
      <c r="R40" s="1487">
        <v>1</v>
      </c>
      <c r="S40" s="1487">
        <v>1</v>
      </c>
      <c r="T40" s="1627">
        <v>1</v>
      </c>
      <c r="U40" s="1627">
        <v>1</v>
      </c>
      <c r="V40" s="1487">
        <v>1</v>
      </c>
      <c r="W40" s="1209"/>
      <c r="X40" s="1209"/>
      <c r="Y40" s="1209">
        <v>9</v>
      </c>
      <c r="Z40" s="1209">
        <v>9</v>
      </c>
      <c r="AA40" s="1209">
        <v>9</v>
      </c>
      <c r="AB40" s="1209">
        <v>9</v>
      </c>
      <c r="AC40" s="1209">
        <v>9</v>
      </c>
      <c r="AD40" s="1209" t="s">
        <v>543</v>
      </c>
      <c r="AE40" s="1209" t="s">
        <v>555</v>
      </c>
      <c r="AF40" s="1209" t="s">
        <v>487</v>
      </c>
      <c r="AG40" s="1209" t="s">
        <v>487</v>
      </c>
      <c r="AH40" s="504">
        <v>185</v>
      </c>
      <c r="AI40" s="505">
        <v>37</v>
      </c>
      <c r="AK40" s="1631"/>
    </row>
    <row r="41" spans="1:38" ht="21.95" customHeight="1">
      <c r="A41" s="544">
        <v>7</v>
      </c>
      <c r="B41" s="153" t="s">
        <v>664</v>
      </c>
      <c r="C41" s="1215"/>
      <c r="D41" s="1215">
        <v>6</v>
      </c>
      <c r="E41" s="1215">
        <v>6</v>
      </c>
      <c r="F41" s="1215">
        <v>6</v>
      </c>
      <c r="G41" s="1215">
        <v>6</v>
      </c>
      <c r="H41" s="1215">
        <v>6</v>
      </c>
      <c r="I41" s="1215" t="s">
        <v>532</v>
      </c>
      <c r="J41" s="1215" t="s">
        <v>630</v>
      </c>
      <c r="K41" s="1215" t="s">
        <v>487</v>
      </c>
      <c r="L41" s="1215" t="s">
        <v>487</v>
      </c>
      <c r="M41" s="1215" t="s">
        <v>487</v>
      </c>
      <c r="N41" s="1215" t="s">
        <v>487</v>
      </c>
      <c r="O41" s="1215" t="s">
        <v>487</v>
      </c>
      <c r="P41" s="1215"/>
      <c r="Q41" s="1215"/>
      <c r="R41" s="1215" t="s">
        <v>535</v>
      </c>
      <c r="S41" s="1215" t="s">
        <v>535</v>
      </c>
      <c r="T41" s="1215" t="s">
        <v>535</v>
      </c>
      <c r="U41" s="1346" t="s">
        <v>535</v>
      </c>
      <c r="V41" s="1444" t="s">
        <v>535</v>
      </c>
      <c r="W41" s="1215"/>
      <c r="X41" s="1215"/>
      <c r="Y41" s="1215">
        <v>10</v>
      </c>
      <c r="Z41" s="1215">
        <v>10</v>
      </c>
      <c r="AA41" s="1215">
        <v>10</v>
      </c>
      <c r="AB41" s="1215">
        <v>10</v>
      </c>
      <c r="AC41" s="1215">
        <v>10</v>
      </c>
      <c r="AD41" s="1215" t="s">
        <v>555</v>
      </c>
      <c r="AE41" s="1215" t="s">
        <v>555</v>
      </c>
      <c r="AF41" s="1215" t="s">
        <v>487</v>
      </c>
      <c r="AG41" s="1221" t="s">
        <v>487</v>
      </c>
      <c r="AH41" s="504">
        <v>185</v>
      </c>
      <c r="AI41" s="505">
        <v>37</v>
      </c>
    </row>
    <row r="42" spans="1:38" ht="21.95" customHeight="1" thickBot="1">
      <c r="A42" s="546">
        <v>12</v>
      </c>
      <c r="B42" s="547" t="s">
        <v>665</v>
      </c>
      <c r="C42" s="1371" t="s">
        <v>660</v>
      </c>
      <c r="D42" s="1207">
        <v>7</v>
      </c>
      <c r="E42" s="1207">
        <v>7</v>
      </c>
      <c r="F42" s="1207">
        <v>7</v>
      </c>
      <c r="G42" s="1207">
        <v>7</v>
      </c>
      <c r="H42" s="1207">
        <v>7</v>
      </c>
      <c r="I42" s="1207"/>
      <c r="J42" s="1207"/>
      <c r="K42" s="1207">
        <v>4</v>
      </c>
      <c r="L42" s="1207">
        <v>4</v>
      </c>
      <c r="M42" s="1207">
        <v>4</v>
      </c>
      <c r="N42" s="1207">
        <v>4</v>
      </c>
      <c r="O42" s="1207">
        <v>4</v>
      </c>
      <c r="P42" s="1207"/>
      <c r="Q42" s="1207"/>
      <c r="R42" s="1360">
        <v>3</v>
      </c>
      <c r="S42" s="1360">
        <v>3</v>
      </c>
      <c r="T42" s="1360">
        <v>3</v>
      </c>
      <c r="U42" s="1360">
        <v>3</v>
      </c>
      <c r="V42" s="1360">
        <v>3</v>
      </c>
      <c r="W42" s="1360"/>
      <c r="X42" s="1360"/>
      <c r="Y42" s="1207">
        <v>11</v>
      </c>
      <c r="Z42" s="1207">
        <v>11</v>
      </c>
      <c r="AA42" s="1207">
        <v>11</v>
      </c>
      <c r="AB42" s="1207">
        <v>11</v>
      </c>
      <c r="AC42" s="1207">
        <v>11</v>
      </c>
      <c r="AD42" s="1207" t="s">
        <v>657</v>
      </c>
      <c r="AE42" s="1207" t="s">
        <v>657</v>
      </c>
      <c r="AF42" s="1207" t="s">
        <v>487</v>
      </c>
      <c r="AG42" s="1222" t="s">
        <v>487</v>
      </c>
      <c r="AH42" s="504">
        <v>185</v>
      </c>
      <c r="AI42" s="505">
        <v>37</v>
      </c>
      <c r="AL42" s="1631"/>
    </row>
    <row r="43" spans="1:38" ht="21.95" customHeight="1">
      <c r="A43" s="548">
        <v>3</v>
      </c>
      <c r="B43" s="1373" t="s">
        <v>666</v>
      </c>
      <c r="C43" s="1211" t="s">
        <v>533</v>
      </c>
      <c r="D43" s="1211" t="s">
        <v>487</v>
      </c>
      <c r="E43" s="1211" t="s">
        <v>487</v>
      </c>
      <c r="F43" s="1211" t="s">
        <v>487</v>
      </c>
      <c r="G43" s="1211" t="s">
        <v>487</v>
      </c>
      <c r="H43" s="1211" t="s">
        <v>487</v>
      </c>
      <c r="I43" s="1211"/>
      <c r="J43" s="1211"/>
      <c r="K43" s="1211">
        <v>1</v>
      </c>
      <c r="L43" s="1344">
        <v>1</v>
      </c>
      <c r="M43" s="1211">
        <v>1</v>
      </c>
      <c r="N43" s="1211">
        <v>1</v>
      </c>
      <c r="O43" s="1211">
        <v>1</v>
      </c>
      <c r="P43" s="1211"/>
      <c r="Q43" s="1211"/>
      <c r="R43" s="1214">
        <v>9</v>
      </c>
      <c r="S43" s="1211">
        <v>9</v>
      </c>
      <c r="T43" s="1211">
        <v>9</v>
      </c>
      <c r="U43" s="1211">
        <v>9</v>
      </c>
      <c r="V43" s="1211">
        <v>9</v>
      </c>
      <c r="W43" s="1211" t="s">
        <v>543</v>
      </c>
      <c r="X43" s="1211" t="s">
        <v>555</v>
      </c>
      <c r="Y43" s="1211" t="s">
        <v>487</v>
      </c>
      <c r="Z43" s="1211" t="s">
        <v>487</v>
      </c>
      <c r="AA43" s="1211" t="s">
        <v>487</v>
      </c>
      <c r="AB43" s="1211" t="s">
        <v>487</v>
      </c>
      <c r="AC43" s="1211" t="s">
        <v>487</v>
      </c>
      <c r="AD43" s="1211"/>
      <c r="AE43" s="1211"/>
      <c r="AF43" s="1211">
        <v>6</v>
      </c>
      <c r="AG43" s="1224">
        <v>6</v>
      </c>
      <c r="AH43" s="504">
        <v>185</v>
      </c>
      <c r="AI43" s="505">
        <v>37</v>
      </c>
    </row>
    <row r="44" spans="1:38" ht="21.95" customHeight="1">
      <c r="A44" s="544">
        <v>8</v>
      </c>
      <c r="B44" s="319" t="s">
        <v>667</v>
      </c>
      <c r="C44" s="1215" t="s">
        <v>533</v>
      </c>
      <c r="D44" s="1215" t="s">
        <v>487</v>
      </c>
      <c r="E44" s="1215" t="s">
        <v>487</v>
      </c>
      <c r="F44" s="1215" t="s">
        <v>487</v>
      </c>
      <c r="G44" s="1225" t="s">
        <v>487</v>
      </c>
      <c r="H44" s="1215" t="s">
        <v>487</v>
      </c>
      <c r="I44" s="1215"/>
      <c r="J44" s="1215"/>
      <c r="K44" s="1215">
        <v>3</v>
      </c>
      <c r="L44" s="1344">
        <v>6</v>
      </c>
      <c r="M44" s="1215">
        <v>4</v>
      </c>
      <c r="N44" s="1215">
        <v>3</v>
      </c>
      <c r="O44" s="1215">
        <v>3</v>
      </c>
      <c r="P44" s="1215"/>
      <c r="Q44" s="1216"/>
      <c r="R44" s="1215">
        <v>10</v>
      </c>
      <c r="S44" s="1226">
        <v>10</v>
      </c>
      <c r="T44" s="1392">
        <v>10</v>
      </c>
      <c r="U44" s="1392">
        <v>10</v>
      </c>
      <c r="V44" s="1392">
        <v>10</v>
      </c>
      <c r="W44" s="1392" t="s">
        <v>555</v>
      </c>
      <c r="X44" s="1392" t="s">
        <v>797</v>
      </c>
      <c r="Y44" s="1215" t="s">
        <v>487</v>
      </c>
      <c r="Z44" s="1215" t="s">
        <v>487</v>
      </c>
      <c r="AA44" s="1215" t="s">
        <v>487</v>
      </c>
      <c r="AB44" s="1215" t="s">
        <v>487</v>
      </c>
      <c r="AC44" s="1215" t="s">
        <v>487</v>
      </c>
      <c r="AD44" s="1215" t="s">
        <v>660</v>
      </c>
      <c r="AE44" s="1215" t="s">
        <v>660</v>
      </c>
      <c r="AF44" s="1215">
        <v>7</v>
      </c>
      <c r="AG44" s="1215">
        <v>7</v>
      </c>
      <c r="AH44" s="504">
        <v>185</v>
      </c>
      <c r="AI44" s="505">
        <v>37</v>
      </c>
    </row>
    <row r="45" spans="1:38" ht="21.95" customHeight="1" thickBot="1">
      <c r="A45" s="546">
        <v>13</v>
      </c>
      <c r="B45" s="52" t="s">
        <v>668</v>
      </c>
      <c r="C45" s="1207"/>
      <c r="D45" s="1207">
        <v>4</v>
      </c>
      <c r="E45" s="1344">
        <v>4</v>
      </c>
      <c r="F45" s="1207">
        <v>4</v>
      </c>
      <c r="G45" s="1207">
        <v>4</v>
      </c>
      <c r="H45" s="1207">
        <v>4</v>
      </c>
      <c r="I45" s="1207"/>
      <c r="J45" s="1207"/>
      <c r="K45" s="1443">
        <v>3</v>
      </c>
      <c r="L45" s="1443">
        <v>3</v>
      </c>
      <c r="M45" s="1443">
        <v>3</v>
      </c>
      <c r="N45" s="1443">
        <v>3</v>
      </c>
      <c r="O45" s="1443" t="s">
        <v>777</v>
      </c>
      <c r="P45" s="1207"/>
      <c r="Q45" s="1207"/>
      <c r="R45" s="1217">
        <v>11</v>
      </c>
      <c r="S45" s="1207">
        <v>11</v>
      </c>
      <c r="T45" s="1207">
        <v>11</v>
      </c>
      <c r="U45" s="1207">
        <v>11</v>
      </c>
      <c r="V45" s="1207">
        <v>11</v>
      </c>
      <c r="W45" s="1207" t="s">
        <v>657</v>
      </c>
      <c r="X45" s="1207" t="s">
        <v>657</v>
      </c>
      <c r="Y45" s="1207" t="s">
        <v>487</v>
      </c>
      <c r="Z45" s="1207" t="s">
        <v>487</v>
      </c>
      <c r="AA45" s="1207" t="s">
        <v>487</v>
      </c>
      <c r="AB45" s="1207" t="s">
        <v>487</v>
      </c>
      <c r="AC45" s="1207" t="s">
        <v>487</v>
      </c>
      <c r="AD45" s="1207"/>
      <c r="AE45" s="1207"/>
      <c r="AF45" s="1207">
        <v>8</v>
      </c>
      <c r="AG45" s="1207">
        <v>8</v>
      </c>
      <c r="AH45" s="504">
        <v>185</v>
      </c>
      <c r="AI45" s="505">
        <v>37</v>
      </c>
    </row>
    <row r="46" spans="1:38" ht="21.95" customHeight="1">
      <c r="A46" s="548">
        <v>4</v>
      </c>
      <c r="B46" s="319" t="s">
        <v>669</v>
      </c>
      <c r="C46" s="1215"/>
      <c r="D46" s="1215" t="s">
        <v>514</v>
      </c>
      <c r="E46" s="1215" t="s">
        <v>514</v>
      </c>
      <c r="F46" s="1346">
        <v>1</v>
      </c>
      <c r="G46" s="1346">
        <v>1</v>
      </c>
      <c r="H46" s="1346">
        <v>1</v>
      </c>
      <c r="I46" s="1215"/>
      <c r="J46" s="1211"/>
      <c r="K46" s="1500" t="s">
        <v>514</v>
      </c>
      <c r="L46" s="1215" t="s">
        <v>514</v>
      </c>
      <c r="M46" s="1346" t="s">
        <v>514</v>
      </c>
      <c r="N46" s="1346" t="s">
        <v>514</v>
      </c>
      <c r="O46" s="1452">
        <v>9</v>
      </c>
      <c r="P46" s="1452" t="s">
        <v>543</v>
      </c>
      <c r="Q46" s="1452" t="s">
        <v>555</v>
      </c>
      <c r="R46" s="1211" t="s">
        <v>487</v>
      </c>
      <c r="S46" s="1211" t="s">
        <v>487</v>
      </c>
      <c r="T46" s="1211" t="s">
        <v>487</v>
      </c>
      <c r="U46" s="1211" t="s">
        <v>487</v>
      </c>
      <c r="V46" s="1211" t="s">
        <v>487</v>
      </c>
      <c r="W46" s="1211"/>
      <c r="X46" s="1211"/>
      <c r="Y46" s="1211">
        <v>6</v>
      </c>
      <c r="Z46" s="1211">
        <v>6</v>
      </c>
      <c r="AA46" s="1211">
        <v>6</v>
      </c>
      <c r="AB46" s="1211">
        <v>6</v>
      </c>
      <c r="AC46" s="1211">
        <v>6</v>
      </c>
      <c r="AD46" s="1211" t="s">
        <v>532</v>
      </c>
      <c r="AE46" s="1211" t="s">
        <v>533</v>
      </c>
      <c r="AF46" s="1211" t="s">
        <v>487</v>
      </c>
      <c r="AG46" s="1218" t="s">
        <v>487</v>
      </c>
      <c r="AH46" s="504">
        <v>185</v>
      </c>
      <c r="AI46" s="505">
        <v>37</v>
      </c>
    </row>
    <row r="47" spans="1:38" ht="21.95" customHeight="1">
      <c r="A47" s="544">
        <v>9</v>
      </c>
      <c r="B47" s="319" t="s">
        <v>670</v>
      </c>
      <c r="C47" s="1215"/>
      <c r="D47" s="1215">
        <v>5</v>
      </c>
      <c r="E47" s="1500" t="s">
        <v>514</v>
      </c>
      <c r="F47" s="1215">
        <v>5</v>
      </c>
      <c r="G47" s="1500">
        <v>5</v>
      </c>
      <c r="H47" s="1335">
        <v>5</v>
      </c>
      <c r="I47" s="1215"/>
      <c r="J47" s="1215"/>
      <c r="K47" s="1215">
        <v>2</v>
      </c>
      <c r="L47" s="1215">
        <v>10</v>
      </c>
      <c r="M47" s="1215">
        <v>10</v>
      </c>
      <c r="N47" s="1215">
        <v>10</v>
      </c>
      <c r="O47" s="1215">
        <v>10</v>
      </c>
      <c r="P47" s="1215" t="s">
        <v>555</v>
      </c>
      <c r="Q47" s="1215" t="s">
        <v>555</v>
      </c>
      <c r="R47" s="1215" t="s">
        <v>487</v>
      </c>
      <c r="S47" s="1215" t="s">
        <v>487</v>
      </c>
      <c r="T47" s="1215" t="s">
        <v>487</v>
      </c>
      <c r="U47" s="1215" t="s">
        <v>487</v>
      </c>
      <c r="V47" s="1215" t="s">
        <v>487</v>
      </c>
      <c r="W47" s="1215" t="s">
        <v>660</v>
      </c>
      <c r="X47" s="1215" t="s">
        <v>660</v>
      </c>
      <c r="Y47" s="1215">
        <v>7</v>
      </c>
      <c r="Z47" s="1215">
        <v>7</v>
      </c>
      <c r="AA47" s="1215">
        <v>7</v>
      </c>
      <c r="AB47" s="1215">
        <v>7</v>
      </c>
      <c r="AC47" s="1215">
        <v>7</v>
      </c>
      <c r="AD47" s="1215"/>
      <c r="AE47" s="1215"/>
      <c r="AF47" s="1215">
        <v>4</v>
      </c>
      <c r="AG47" s="1216">
        <v>4</v>
      </c>
      <c r="AH47" s="504">
        <v>185</v>
      </c>
      <c r="AI47" s="505">
        <v>37</v>
      </c>
    </row>
    <row r="48" spans="1:38" ht="21.95" customHeight="1" thickBot="1">
      <c r="A48" s="546">
        <v>14</v>
      </c>
      <c r="B48" s="547" t="s">
        <v>671</v>
      </c>
      <c r="C48" s="1207"/>
      <c r="D48" s="1207">
        <v>3</v>
      </c>
      <c r="E48" s="1211">
        <v>3</v>
      </c>
      <c r="F48" s="1211">
        <v>3</v>
      </c>
      <c r="G48" s="1211">
        <v>3</v>
      </c>
      <c r="H48" s="1211">
        <v>3</v>
      </c>
      <c r="I48" s="1211"/>
      <c r="J48" s="1211"/>
      <c r="K48" s="1211">
        <v>11</v>
      </c>
      <c r="L48" s="1207">
        <v>11</v>
      </c>
      <c r="M48" s="1207">
        <v>11</v>
      </c>
      <c r="N48" s="1207">
        <v>11</v>
      </c>
      <c r="O48" s="1207">
        <v>11</v>
      </c>
      <c r="P48" s="1207" t="s">
        <v>657</v>
      </c>
      <c r="Q48" s="1207" t="s">
        <v>657</v>
      </c>
      <c r="R48" s="1207" t="s">
        <v>487</v>
      </c>
      <c r="S48" s="1207" t="s">
        <v>487</v>
      </c>
      <c r="T48" s="1207" t="s">
        <v>487</v>
      </c>
      <c r="U48" s="1207" t="s">
        <v>487</v>
      </c>
      <c r="V48" s="1207" t="s">
        <v>487</v>
      </c>
      <c r="W48" s="1207"/>
      <c r="X48" s="1207"/>
      <c r="Y48" s="1207">
        <v>8</v>
      </c>
      <c r="Z48" s="1207">
        <v>8</v>
      </c>
      <c r="AA48" s="1207">
        <v>8</v>
      </c>
      <c r="AB48" s="1207">
        <v>8</v>
      </c>
      <c r="AC48" s="1207">
        <v>8</v>
      </c>
      <c r="AD48" s="1207" t="s">
        <v>533</v>
      </c>
      <c r="AE48" s="1207" t="s">
        <v>533</v>
      </c>
      <c r="AF48" s="1207" t="s">
        <v>487</v>
      </c>
      <c r="AG48" s="1227" t="s">
        <v>487</v>
      </c>
      <c r="AH48" s="504">
        <v>185</v>
      </c>
      <c r="AI48" s="505">
        <v>37</v>
      </c>
    </row>
    <row r="49" spans="1:35" ht="21.95" customHeight="1">
      <c r="A49" s="543">
        <v>5</v>
      </c>
      <c r="B49" s="545" t="s">
        <v>672</v>
      </c>
      <c r="C49" s="1209"/>
      <c r="D49" s="1209">
        <v>9</v>
      </c>
      <c r="E49" s="1209">
        <v>9</v>
      </c>
      <c r="F49" s="1438">
        <v>9</v>
      </c>
      <c r="G49" s="1438">
        <v>9</v>
      </c>
      <c r="H49" s="1438" t="s">
        <v>735</v>
      </c>
      <c r="I49" s="1209" t="s">
        <v>543</v>
      </c>
      <c r="J49" s="1209" t="s">
        <v>555</v>
      </c>
      <c r="K49" s="1209" t="s">
        <v>487</v>
      </c>
      <c r="L49" s="1500" t="s">
        <v>514</v>
      </c>
      <c r="M49" s="1209" t="s">
        <v>487</v>
      </c>
      <c r="N49" s="1209" t="s">
        <v>487</v>
      </c>
      <c r="O49" s="1209" t="s">
        <v>487</v>
      </c>
      <c r="P49" s="1209"/>
      <c r="Q49" s="1209"/>
      <c r="R49" s="1209">
        <v>6</v>
      </c>
      <c r="S49" s="1215">
        <v>6</v>
      </c>
      <c r="T49" s="1215">
        <v>6</v>
      </c>
      <c r="U49" s="1215">
        <v>6</v>
      </c>
      <c r="V49" s="1215">
        <v>6</v>
      </c>
      <c r="W49" s="1215" t="s">
        <v>532</v>
      </c>
      <c r="X49" s="1215" t="s">
        <v>533</v>
      </c>
      <c r="Y49" s="1215" t="s">
        <v>487</v>
      </c>
      <c r="Z49" s="1215" t="s">
        <v>487</v>
      </c>
      <c r="AA49" s="1215" t="s">
        <v>487</v>
      </c>
      <c r="AB49" s="1215" t="s">
        <v>487</v>
      </c>
      <c r="AC49" s="1215" t="s">
        <v>487</v>
      </c>
      <c r="AD49" s="1215"/>
      <c r="AE49" s="1228"/>
      <c r="AF49" s="1209">
        <v>5</v>
      </c>
      <c r="AG49" s="1228">
        <v>5</v>
      </c>
      <c r="AH49" s="504">
        <v>185</v>
      </c>
      <c r="AI49" s="505">
        <v>37</v>
      </c>
    </row>
    <row r="50" spans="1:35" ht="21.95" customHeight="1">
      <c r="A50" s="544">
        <v>10</v>
      </c>
      <c r="B50" s="319" t="s">
        <v>673</v>
      </c>
      <c r="C50" s="1215"/>
      <c r="D50" s="1215">
        <v>10</v>
      </c>
      <c r="E50" s="1215">
        <v>10</v>
      </c>
      <c r="F50" s="1215">
        <v>10</v>
      </c>
      <c r="G50" s="1215">
        <v>10</v>
      </c>
      <c r="H50" s="1215">
        <v>10</v>
      </c>
      <c r="I50" s="1215" t="s">
        <v>555</v>
      </c>
      <c r="J50" s="1500" t="s">
        <v>555</v>
      </c>
      <c r="K50" s="1500" t="s">
        <v>487</v>
      </c>
      <c r="L50" s="1215" t="s">
        <v>487</v>
      </c>
      <c r="M50" s="1215" t="s">
        <v>487</v>
      </c>
      <c r="N50" s="1215" t="s">
        <v>487</v>
      </c>
      <c r="O50" s="1215" t="s">
        <v>487</v>
      </c>
      <c r="P50" s="1215" t="s">
        <v>660</v>
      </c>
      <c r="Q50" s="1215" t="s">
        <v>660</v>
      </c>
      <c r="R50" s="1215">
        <v>7</v>
      </c>
      <c r="S50" s="1215">
        <v>7</v>
      </c>
      <c r="T50" s="1215">
        <v>7</v>
      </c>
      <c r="U50" s="1215">
        <v>7</v>
      </c>
      <c r="V50" s="1215">
        <v>7</v>
      </c>
      <c r="W50" s="1215"/>
      <c r="X50" s="1215"/>
      <c r="Y50" s="1215">
        <v>4</v>
      </c>
      <c r="Z50" s="1215">
        <v>4</v>
      </c>
      <c r="AA50" s="1215">
        <v>4</v>
      </c>
      <c r="AB50" s="1215">
        <v>4</v>
      </c>
      <c r="AC50" s="1215">
        <v>4</v>
      </c>
      <c r="AD50" s="1215"/>
      <c r="AE50" s="1216"/>
      <c r="AF50" s="1215">
        <v>3</v>
      </c>
      <c r="AG50" s="1216">
        <v>3</v>
      </c>
      <c r="AH50" s="504">
        <v>185</v>
      </c>
      <c r="AI50" s="505">
        <v>37</v>
      </c>
    </row>
    <row r="51" spans="1:35" ht="21.95" customHeight="1" thickBot="1">
      <c r="A51" s="546">
        <v>15</v>
      </c>
      <c r="B51" s="52" t="s">
        <v>674</v>
      </c>
      <c r="C51" s="1366"/>
      <c r="D51" s="1207">
        <v>11</v>
      </c>
      <c r="E51" s="1207">
        <v>11</v>
      </c>
      <c r="F51" s="1207">
        <v>11</v>
      </c>
      <c r="G51" s="1207">
        <v>11</v>
      </c>
      <c r="H51" s="1207">
        <v>11</v>
      </c>
      <c r="I51" s="1207" t="s">
        <v>657</v>
      </c>
      <c r="J51" s="1207" t="s">
        <v>657</v>
      </c>
      <c r="K51" s="1207" t="s">
        <v>487</v>
      </c>
      <c r="L51" s="1500" t="s">
        <v>514</v>
      </c>
      <c r="M51" s="1207" t="s">
        <v>487</v>
      </c>
      <c r="N51" s="1207" t="s">
        <v>487</v>
      </c>
      <c r="O51" s="1207" t="s">
        <v>487</v>
      </c>
      <c r="P51" s="1207"/>
      <c r="Q51" s="1207"/>
      <c r="R51" s="1207">
        <v>8</v>
      </c>
      <c r="S51" s="1207">
        <v>8</v>
      </c>
      <c r="T51" s="1207">
        <v>8</v>
      </c>
      <c r="U51" s="1207">
        <v>8</v>
      </c>
      <c r="V51" s="1207">
        <v>8</v>
      </c>
      <c r="W51" s="1207" t="s">
        <v>533</v>
      </c>
      <c r="X51" s="1207" t="s">
        <v>533</v>
      </c>
      <c r="Y51" s="1207" t="s">
        <v>487</v>
      </c>
      <c r="Z51" s="1207" t="s">
        <v>487</v>
      </c>
      <c r="AA51" s="1207" t="s">
        <v>487</v>
      </c>
      <c r="AB51" s="1207" t="s">
        <v>487</v>
      </c>
      <c r="AC51" s="1207" t="s">
        <v>487</v>
      </c>
      <c r="AD51" s="1207"/>
      <c r="AE51" s="1227"/>
      <c r="AF51" s="1207">
        <v>1</v>
      </c>
      <c r="AG51" s="1227">
        <v>1</v>
      </c>
      <c r="AH51" s="504">
        <v>185</v>
      </c>
      <c r="AI51" s="505">
        <v>37</v>
      </c>
    </row>
    <row r="52" spans="1:35" ht="21.95" customHeight="1">
      <c r="A52" s="519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  <c r="T52" s="541"/>
      <c r="U52" s="541"/>
      <c r="V52" s="541"/>
      <c r="W52" s="541"/>
      <c r="X52" s="541"/>
      <c r="Y52" s="541"/>
      <c r="Z52" s="541"/>
      <c r="AA52" s="541"/>
      <c r="AB52" s="541"/>
      <c r="AC52" s="541"/>
      <c r="AD52" s="541"/>
      <c r="AE52" s="541"/>
      <c r="AF52" s="541"/>
      <c r="AG52" s="541"/>
      <c r="AH52" s="1"/>
    </row>
    <row r="53" spans="1:35" ht="21.95" customHeight="1">
      <c r="A53" s="519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1"/>
      <c r="W53" s="541"/>
      <c r="X53" s="541"/>
      <c r="Y53" s="541"/>
      <c r="Z53" s="541"/>
      <c r="AA53" s="541"/>
      <c r="AB53" s="541"/>
      <c r="AC53" s="541"/>
      <c r="AD53" s="541"/>
      <c r="AE53" s="541"/>
      <c r="AF53" s="541"/>
      <c r="AG53" s="541"/>
      <c r="AH53" s="1"/>
    </row>
    <row r="54" spans="1:35" ht="21.95" customHeight="1">
      <c r="A54" s="519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1"/>
      <c r="AA54" s="541"/>
      <c r="AB54" s="541"/>
      <c r="AC54" s="541"/>
      <c r="AD54" s="541"/>
      <c r="AE54" s="541"/>
      <c r="AF54" s="541"/>
      <c r="AG54" s="541"/>
      <c r="AH54" s="1"/>
    </row>
    <row r="55" spans="1:35" ht="21.95" customHeight="1" thickBot="1">
      <c r="A55" s="558"/>
      <c r="C55" s="559"/>
      <c r="D55" s="559"/>
      <c r="E55" s="559"/>
      <c r="F55" s="559"/>
      <c r="G55" s="559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59"/>
      <c r="AA55" s="559"/>
      <c r="AB55" s="559"/>
      <c r="AC55" s="559"/>
      <c r="AD55" s="559"/>
      <c r="AE55" s="559"/>
      <c r="AF55" s="559"/>
      <c r="AG55" s="559"/>
      <c r="AH55" s="560"/>
      <c r="AI55" s="560"/>
    </row>
    <row r="56" spans="1:35" ht="21.95" customHeight="1">
      <c r="A56" s="361"/>
      <c r="B56" s="23" t="s">
        <v>675</v>
      </c>
      <c r="C56" s="7"/>
      <c r="D56" s="414" t="s">
        <v>2</v>
      </c>
      <c r="E56" s="550"/>
      <c r="F56" s="7"/>
      <c r="G56" s="6" t="s">
        <v>3</v>
      </c>
      <c r="H56" s="551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52"/>
      <c r="R56" s="118"/>
      <c r="S56" s="6" t="s">
        <v>7</v>
      </c>
      <c r="T56" s="553"/>
      <c r="U56" s="118"/>
      <c r="V56" s="6" t="s">
        <v>8</v>
      </c>
      <c r="W56" s="552"/>
      <c r="X56" s="349" t="s">
        <v>9</v>
      </c>
      <c r="Y56" s="561"/>
      <c r="Z56" s="561"/>
      <c r="AA56" s="562"/>
      <c r="AB56" s="27" t="s">
        <v>10</v>
      </c>
      <c r="AC56" s="554"/>
      <c r="AD56" s="554"/>
      <c r="AE56" s="563"/>
      <c r="AF56" s="563"/>
      <c r="AG56" s="564"/>
    </row>
    <row r="57" spans="1:35" ht="21.95" customHeight="1">
      <c r="A57" s="361"/>
      <c r="B57" s="306" t="s">
        <v>676</v>
      </c>
      <c r="C57" s="565" t="s">
        <v>512</v>
      </c>
      <c r="D57" s="483"/>
      <c r="E57" s="484"/>
      <c r="F57" s="565" t="s">
        <v>512</v>
      </c>
      <c r="G57" s="483"/>
      <c r="H57" s="484"/>
      <c r="I57" s="565" t="s">
        <v>512</v>
      </c>
      <c r="J57" s="483"/>
      <c r="K57" s="484"/>
      <c r="L57" s="565" t="s">
        <v>512</v>
      </c>
      <c r="M57" s="483"/>
      <c r="N57" s="484"/>
      <c r="O57" s="565" t="s">
        <v>116</v>
      </c>
      <c r="P57" s="483"/>
      <c r="Q57" s="484"/>
      <c r="R57" s="565"/>
      <c r="S57" s="483"/>
      <c r="T57" s="484"/>
      <c r="U57" s="565"/>
      <c r="V57" s="483"/>
      <c r="W57" s="484"/>
      <c r="X57" s="565"/>
      <c r="Y57" s="483"/>
      <c r="Z57" s="483"/>
      <c r="AA57" s="483"/>
      <c r="AB57" s="476"/>
      <c r="AC57" s="483"/>
      <c r="AD57" s="483"/>
      <c r="AE57" s="483"/>
      <c r="AF57" s="483"/>
      <c r="AG57" s="566"/>
    </row>
    <row r="58" spans="1:35" ht="21.95" customHeight="1">
      <c r="A58" s="361"/>
      <c r="B58" s="306" t="s">
        <v>677</v>
      </c>
      <c r="C58" s="565" t="s">
        <v>147</v>
      </c>
      <c r="D58" s="483"/>
      <c r="E58" s="484"/>
      <c r="F58" s="565" t="s">
        <v>147</v>
      </c>
      <c r="G58" s="483"/>
      <c r="H58" s="484"/>
      <c r="I58" s="565" t="s">
        <v>147</v>
      </c>
      <c r="J58" s="483"/>
      <c r="K58" s="484"/>
      <c r="L58" s="565" t="s">
        <v>147</v>
      </c>
      <c r="M58" s="483"/>
      <c r="N58" s="484"/>
      <c r="O58" s="565" t="s">
        <v>578</v>
      </c>
      <c r="P58" s="483"/>
      <c r="Q58" s="484"/>
      <c r="R58" s="565"/>
      <c r="S58" s="483"/>
      <c r="T58" s="484"/>
      <c r="U58" s="565"/>
      <c r="V58" s="483"/>
      <c r="W58" s="484"/>
      <c r="X58" s="565"/>
      <c r="Y58" s="483"/>
      <c r="Z58" s="483"/>
      <c r="AA58" s="483"/>
      <c r="AB58" s="476"/>
      <c r="AC58" s="483"/>
      <c r="AD58" s="483"/>
      <c r="AE58" s="483"/>
      <c r="AF58" s="483"/>
      <c r="AG58" s="566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>
      <c r="A60" s="556" t="s">
        <v>528</v>
      </c>
      <c r="B60" s="297" t="s">
        <v>480</v>
      </c>
      <c r="C60" s="1235">
        <v>1</v>
      </c>
      <c r="D60" s="1234">
        <v>2</v>
      </c>
      <c r="E60" s="1234">
        <v>3</v>
      </c>
      <c r="F60" s="1234">
        <v>4</v>
      </c>
      <c r="G60" s="1234">
        <v>5</v>
      </c>
      <c r="H60" s="1234">
        <v>6</v>
      </c>
      <c r="I60" s="1330">
        <v>7</v>
      </c>
      <c r="J60" s="1330">
        <v>8</v>
      </c>
      <c r="K60" s="1234">
        <v>9</v>
      </c>
      <c r="L60" s="1234">
        <v>10</v>
      </c>
      <c r="M60" s="1234">
        <v>11</v>
      </c>
      <c r="N60" s="1234">
        <v>12</v>
      </c>
      <c r="O60" s="1234">
        <v>13</v>
      </c>
      <c r="P60" s="1330">
        <v>14</v>
      </c>
      <c r="Q60" s="1330">
        <v>15</v>
      </c>
      <c r="R60" s="1234">
        <v>16</v>
      </c>
      <c r="S60" s="1234">
        <v>17</v>
      </c>
      <c r="T60" s="1234">
        <v>18</v>
      </c>
      <c r="U60" s="1234">
        <v>19</v>
      </c>
      <c r="V60" s="1213">
        <v>20</v>
      </c>
      <c r="W60" s="1330">
        <v>21</v>
      </c>
      <c r="X60" s="1330">
        <v>22</v>
      </c>
      <c r="Y60" s="1234">
        <v>23</v>
      </c>
      <c r="Z60" s="1235">
        <v>24</v>
      </c>
      <c r="AA60" s="1235">
        <v>25</v>
      </c>
      <c r="AB60" s="1235">
        <v>26</v>
      </c>
      <c r="AC60" s="1234">
        <v>27</v>
      </c>
      <c r="AD60" s="1330">
        <v>28</v>
      </c>
      <c r="AE60" s="1330">
        <v>29</v>
      </c>
      <c r="AF60" s="1234">
        <v>30</v>
      </c>
      <c r="AG60" s="1235">
        <v>31</v>
      </c>
      <c r="AH60" s="498" t="s">
        <v>481</v>
      </c>
      <c r="AI60" s="499" t="s">
        <v>482</v>
      </c>
    </row>
    <row r="61" spans="1:35" ht="21.95" customHeight="1">
      <c r="A61" s="186">
        <v>8520</v>
      </c>
      <c r="B61" s="186" t="s">
        <v>678</v>
      </c>
      <c r="C61" s="1219"/>
      <c r="D61" s="1215" t="s">
        <v>679</v>
      </c>
      <c r="E61" s="1215" t="s">
        <v>679</v>
      </c>
      <c r="F61" s="1215" t="s">
        <v>679</v>
      </c>
      <c r="G61" s="1215" t="s">
        <v>679</v>
      </c>
      <c r="H61" s="1215" t="s">
        <v>679</v>
      </c>
      <c r="I61" s="1215"/>
      <c r="J61" s="1215"/>
      <c r="K61" s="1500" t="s">
        <v>679</v>
      </c>
      <c r="L61" s="1215" t="s">
        <v>679</v>
      </c>
      <c r="M61" s="1215" t="s">
        <v>679</v>
      </c>
      <c r="N61" s="1215" t="s">
        <v>679</v>
      </c>
      <c r="O61" s="1215" t="s">
        <v>679</v>
      </c>
      <c r="P61" s="1215"/>
      <c r="Q61" s="1215"/>
      <c r="R61" s="1215" t="s">
        <v>679</v>
      </c>
      <c r="S61" s="1215" t="s">
        <v>679</v>
      </c>
      <c r="T61" s="1215" t="s">
        <v>679</v>
      </c>
      <c r="U61" s="1215" t="s">
        <v>679</v>
      </c>
      <c r="V61" s="1215" t="s">
        <v>679</v>
      </c>
      <c r="W61" s="1215"/>
      <c r="X61" s="1215"/>
      <c r="Y61" s="1345" t="s">
        <v>679</v>
      </c>
      <c r="Z61" s="1215"/>
      <c r="AA61" s="1215"/>
      <c r="AB61" s="1215"/>
      <c r="AC61" s="1345" t="s">
        <v>679</v>
      </c>
      <c r="AD61" s="1215"/>
      <c r="AE61" s="1215"/>
      <c r="AF61" s="1345" t="s">
        <v>679</v>
      </c>
      <c r="AG61" s="1215"/>
      <c r="AH61" s="504">
        <v>185</v>
      </c>
      <c r="AI61" s="505">
        <v>37</v>
      </c>
    </row>
    <row r="62" spans="1:35" ht="21.95" customHeight="1">
      <c r="A62" s="186">
        <v>8521</v>
      </c>
      <c r="B62" s="186" t="s">
        <v>681</v>
      </c>
      <c r="C62" s="1215"/>
      <c r="D62" s="1215" t="s">
        <v>550</v>
      </c>
      <c r="E62" s="1344" t="s">
        <v>514</v>
      </c>
      <c r="F62" s="1344" t="s">
        <v>514</v>
      </c>
      <c r="G62" s="1215" t="s">
        <v>550</v>
      </c>
      <c r="H62" s="1215" t="s">
        <v>550</v>
      </c>
      <c r="I62" s="1215"/>
      <c r="J62" s="1215"/>
      <c r="K62" s="1392" t="s">
        <v>550</v>
      </c>
      <c r="L62" s="1392" t="s">
        <v>550</v>
      </c>
      <c r="M62" s="1392" t="s">
        <v>739</v>
      </c>
      <c r="N62" s="1215" t="s">
        <v>550</v>
      </c>
      <c r="O62" s="1215" t="s">
        <v>550</v>
      </c>
      <c r="P62" s="1215"/>
      <c r="Q62" s="1215"/>
      <c r="R62" s="1500" t="s">
        <v>550</v>
      </c>
      <c r="S62" s="1500" t="s">
        <v>550</v>
      </c>
      <c r="T62" s="1215" t="s">
        <v>550</v>
      </c>
      <c r="U62" s="1215" t="s">
        <v>550</v>
      </c>
      <c r="V62" s="1215" t="s">
        <v>550</v>
      </c>
      <c r="W62" s="1215"/>
      <c r="X62" s="1215"/>
      <c r="Y62" s="1215" t="s">
        <v>550</v>
      </c>
      <c r="Z62" s="1215"/>
      <c r="AA62" s="1215"/>
      <c r="AB62" s="1215"/>
      <c r="AC62" s="1215" t="s">
        <v>550</v>
      </c>
      <c r="AD62" s="1215"/>
      <c r="AE62" s="1215"/>
      <c r="AF62" s="1215" t="s">
        <v>550</v>
      </c>
      <c r="AG62" s="1215"/>
      <c r="AH62" s="504">
        <v>185</v>
      </c>
      <c r="AI62" s="505">
        <v>37</v>
      </c>
    </row>
    <row r="63" spans="1:35" ht="21.95" customHeight="1">
      <c r="A63" s="361"/>
      <c r="B63" s="361"/>
      <c r="C63" s="541"/>
      <c r="D63" s="520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520"/>
      <c r="AE63" s="520"/>
      <c r="AF63" s="520"/>
      <c r="AG63" s="520"/>
      <c r="AH63" s="560"/>
      <c r="AI63" s="560"/>
    </row>
    <row r="64" spans="1:35" ht="21.95" customHeight="1">
      <c r="A64" s="361"/>
      <c r="B64" s="361"/>
      <c r="C64" s="541"/>
      <c r="D64" s="520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520"/>
      <c r="AE64" s="520"/>
      <c r="AF64" s="520"/>
      <c r="AG64" s="520"/>
      <c r="AH64" s="560"/>
      <c r="AI64" s="560"/>
    </row>
    <row r="65" spans="1:35" ht="21.95" customHeight="1">
      <c r="A65" s="361"/>
      <c r="B65" s="361"/>
      <c r="C65" s="541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60"/>
      <c r="AI65" s="560"/>
    </row>
    <row r="66" spans="1:35" ht="21.95" customHeight="1" thickBot="1">
      <c r="A66" s="1" t="s">
        <v>468</v>
      </c>
      <c r="D66" s="361"/>
      <c r="E66" s="361"/>
      <c r="F66" s="361"/>
      <c r="G66" s="549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726</v>
      </c>
      <c r="C67" s="7"/>
      <c r="D67" s="525" t="s">
        <v>2</v>
      </c>
      <c r="E67" s="51"/>
      <c r="F67" s="551"/>
      <c r="G67" s="7"/>
      <c r="H67" s="525" t="s">
        <v>3</v>
      </c>
      <c r="I67" s="51"/>
      <c r="J67" s="551"/>
      <c r="K67" s="7"/>
      <c r="L67" s="525" t="s">
        <v>4</v>
      </c>
      <c r="M67" s="51"/>
      <c r="N67" s="551"/>
      <c r="O67" s="7"/>
      <c r="P67" s="525" t="s">
        <v>5</v>
      </c>
      <c r="Q67" s="51"/>
      <c r="R67" s="551"/>
      <c r="S67" s="7"/>
      <c r="T67" s="525" t="s">
        <v>6</v>
      </c>
      <c r="U67" s="51"/>
      <c r="V67" s="551"/>
      <c r="W67" s="27"/>
      <c r="X67" s="898" t="s">
        <v>7</v>
      </c>
      <c r="Y67" s="522"/>
      <c r="Z67" s="238"/>
      <c r="AA67" s="7"/>
      <c r="AB67" s="525" t="s">
        <v>8</v>
      </c>
      <c r="AC67" s="51"/>
      <c r="AD67" s="51"/>
      <c r="AE67" s="349" t="s">
        <v>9</v>
      </c>
      <c r="AF67" s="51"/>
      <c r="AG67" s="51"/>
      <c r="AH67" s="51"/>
      <c r="AI67" s="526"/>
    </row>
    <row r="68" spans="1:35" ht="21.95" customHeight="1">
      <c r="A68" s="1"/>
      <c r="B68" s="129" t="s">
        <v>164</v>
      </c>
      <c r="C68" s="567" t="s">
        <v>780</v>
      </c>
      <c r="E68" s="157"/>
      <c r="F68" s="568"/>
      <c r="G68" s="567" t="s">
        <v>780</v>
      </c>
      <c r="H68" s="157"/>
      <c r="I68" s="157"/>
      <c r="J68" s="568"/>
      <c r="K68" s="567" t="s">
        <v>780</v>
      </c>
      <c r="L68" s="157"/>
      <c r="M68" s="157"/>
      <c r="N68" s="568"/>
      <c r="O68" s="567" t="s">
        <v>781</v>
      </c>
      <c r="P68" s="157"/>
      <c r="Q68" s="157"/>
      <c r="R68" s="568"/>
      <c r="S68" s="567" t="s">
        <v>782</v>
      </c>
      <c r="T68" s="157"/>
      <c r="U68" s="157"/>
      <c r="V68" s="569"/>
      <c r="W68" s="899"/>
      <c r="X68" s="900"/>
      <c r="Y68" s="900"/>
      <c r="Z68" s="901"/>
      <c r="AA68" s="569"/>
      <c r="AB68" s="157"/>
      <c r="AC68" s="157"/>
      <c r="AD68" s="569"/>
      <c r="AE68" s="121">
        <v>37</v>
      </c>
      <c r="AG68" s="157"/>
      <c r="AH68" s="569"/>
      <c r="AI68" s="490"/>
    </row>
    <row r="69" spans="1:35" ht="21.95" customHeight="1">
      <c r="A69" s="1"/>
      <c r="B69" s="129" t="s">
        <v>167</v>
      </c>
      <c r="C69" s="567" t="s">
        <v>474</v>
      </c>
      <c r="D69" s="157"/>
      <c r="E69" s="157"/>
      <c r="F69" s="568"/>
      <c r="G69" s="567" t="s">
        <v>474</v>
      </c>
      <c r="H69" s="157"/>
      <c r="I69" s="157"/>
      <c r="J69" s="568"/>
      <c r="K69" s="567" t="s">
        <v>474</v>
      </c>
      <c r="L69" s="157"/>
      <c r="M69" s="157"/>
      <c r="N69" s="568"/>
      <c r="O69" s="567" t="s">
        <v>475</v>
      </c>
      <c r="P69" s="157"/>
      <c r="Q69" s="157"/>
      <c r="R69" s="568"/>
      <c r="S69" s="567" t="s">
        <v>477</v>
      </c>
      <c r="T69" s="157"/>
      <c r="U69" s="157"/>
      <c r="V69" s="568"/>
      <c r="W69" s="610" t="s">
        <v>775</v>
      </c>
      <c r="X69" s="55"/>
      <c r="Y69" s="55"/>
      <c r="Z69" s="55"/>
      <c r="AA69" s="567" t="s">
        <v>479</v>
      </c>
      <c r="AB69" s="567"/>
      <c r="AC69" s="567"/>
      <c r="AD69" s="567"/>
      <c r="AE69" s="155">
        <v>68.25</v>
      </c>
      <c r="AF69" s="157"/>
      <c r="AG69" s="571"/>
      <c r="AH69" s="572"/>
      <c r="AI69" s="573"/>
    </row>
    <row r="70" spans="1:35" ht="21.95" customHeight="1">
      <c r="A70" s="1"/>
      <c r="B70" s="129" t="s">
        <v>170</v>
      </c>
      <c r="C70" s="897" t="s">
        <v>162</v>
      </c>
      <c r="D70" s="157"/>
      <c r="E70" s="157"/>
      <c r="F70" s="568"/>
      <c r="G70" s="157" t="s">
        <v>162</v>
      </c>
      <c r="H70" s="157"/>
      <c r="I70" s="157"/>
      <c r="J70" s="568"/>
      <c r="K70" s="157" t="s">
        <v>162</v>
      </c>
      <c r="L70" s="157"/>
      <c r="M70" s="157"/>
      <c r="N70" s="568"/>
      <c r="O70" s="157" t="s">
        <v>162</v>
      </c>
      <c r="P70" s="157"/>
      <c r="Q70" s="157"/>
      <c r="R70" s="568"/>
      <c r="S70" s="157" t="s">
        <v>162</v>
      </c>
      <c r="T70" s="157"/>
      <c r="U70" s="157"/>
      <c r="V70" s="568"/>
      <c r="W70" s="567"/>
      <c r="X70" s="157"/>
      <c r="Y70" s="157"/>
      <c r="Z70" s="568"/>
      <c r="AA70" s="567"/>
      <c r="AB70" s="157"/>
      <c r="AC70" s="157"/>
      <c r="AD70" s="569"/>
      <c r="AE70" s="570">
        <v>0</v>
      </c>
      <c r="AF70" s="571"/>
      <c r="AG70" s="157"/>
      <c r="AH70" s="569"/>
      <c r="AI70" s="490"/>
    </row>
    <row r="71" spans="1:35" ht="21.95" customHeight="1" thickBot="1">
      <c r="A71" s="1"/>
      <c r="B71" s="47"/>
      <c r="C71" s="574"/>
      <c r="D71" s="53"/>
      <c r="E71" s="53"/>
      <c r="F71" s="575"/>
      <c r="G71" s="574"/>
      <c r="H71" s="53"/>
      <c r="I71" s="53"/>
      <c r="J71" s="575"/>
      <c r="K71" s="574"/>
      <c r="L71" s="53"/>
      <c r="M71" s="53"/>
      <c r="N71" s="575"/>
      <c r="O71" s="574"/>
      <c r="P71" s="53"/>
      <c r="Q71" s="53"/>
      <c r="R71" s="575"/>
      <c r="S71" s="574"/>
      <c r="T71" s="53"/>
      <c r="U71" s="53"/>
      <c r="V71" s="575"/>
      <c r="W71" s="53"/>
      <c r="X71" s="53"/>
      <c r="Y71" s="53"/>
      <c r="Z71" s="53"/>
      <c r="AA71" s="53"/>
      <c r="AB71" s="53"/>
      <c r="AC71" s="53"/>
      <c r="AD71" s="53"/>
      <c r="AE71" s="576"/>
      <c r="AF71" s="53"/>
      <c r="AG71" s="53"/>
      <c r="AH71" s="577"/>
      <c r="AI71" s="539"/>
    </row>
    <row r="72" spans="1:35" ht="21.95" customHeight="1" thickBot="1">
      <c r="A72" s="578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>
      <c r="A73" s="556"/>
      <c r="B73" s="297" t="s">
        <v>480</v>
      </c>
      <c r="C73" s="1235">
        <v>1</v>
      </c>
      <c r="D73" s="1234">
        <v>2</v>
      </c>
      <c r="E73" s="1234">
        <v>3</v>
      </c>
      <c r="F73" s="1234">
        <v>4</v>
      </c>
      <c r="G73" s="1234">
        <v>5</v>
      </c>
      <c r="H73" s="1234">
        <v>6</v>
      </c>
      <c r="I73" s="1330">
        <v>7</v>
      </c>
      <c r="J73" s="1330">
        <v>8</v>
      </c>
      <c r="K73" s="1234">
        <v>9</v>
      </c>
      <c r="L73" s="1234">
        <v>10</v>
      </c>
      <c r="M73" s="1234">
        <v>11</v>
      </c>
      <c r="N73" s="1234">
        <v>12</v>
      </c>
      <c r="O73" s="1234">
        <v>13</v>
      </c>
      <c r="P73" s="1330">
        <v>14</v>
      </c>
      <c r="Q73" s="1330">
        <v>15</v>
      </c>
      <c r="R73" s="1234">
        <v>16</v>
      </c>
      <c r="S73" s="1234">
        <v>17</v>
      </c>
      <c r="T73" s="1234">
        <v>18</v>
      </c>
      <c r="U73" s="1234">
        <v>19</v>
      </c>
      <c r="V73" s="1213">
        <v>20</v>
      </c>
      <c r="W73" s="1330">
        <v>21</v>
      </c>
      <c r="X73" s="1330">
        <v>22</v>
      </c>
      <c r="Y73" s="1234">
        <v>23</v>
      </c>
      <c r="Z73" s="1235">
        <v>24</v>
      </c>
      <c r="AA73" s="1235">
        <v>25</v>
      </c>
      <c r="AB73" s="1235">
        <v>26</v>
      </c>
      <c r="AC73" s="1234">
        <v>27</v>
      </c>
      <c r="AD73" s="1330">
        <v>28</v>
      </c>
      <c r="AE73" s="1330">
        <v>29</v>
      </c>
      <c r="AF73" s="1234">
        <v>30</v>
      </c>
      <c r="AG73" s="1235">
        <v>31</v>
      </c>
      <c r="AH73" s="498" t="s">
        <v>481</v>
      </c>
      <c r="AI73" s="499" t="s">
        <v>482</v>
      </c>
    </row>
    <row r="74" spans="1:35" ht="21.95" customHeight="1" thickBot="1">
      <c r="A74" s="579">
        <v>1</v>
      </c>
      <c r="B74" s="153" t="s">
        <v>483</v>
      </c>
      <c r="C74" s="1609" t="s">
        <v>486</v>
      </c>
      <c r="D74" s="557" t="s">
        <v>487</v>
      </c>
      <c r="E74" s="557" t="s">
        <v>487</v>
      </c>
      <c r="F74" s="557" t="s">
        <v>487</v>
      </c>
      <c r="G74" s="557" t="s">
        <v>487</v>
      </c>
      <c r="H74" s="557" t="s">
        <v>487</v>
      </c>
      <c r="I74" s="557"/>
      <c r="J74" s="557"/>
      <c r="K74" s="1511" t="s">
        <v>682</v>
      </c>
      <c r="L74" s="557" t="s">
        <v>682</v>
      </c>
      <c r="M74" s="557" t="s">
        <v>682</v>
      </c>
      <c r="N74" s="557" t="s">
        <v>682</v>
      </c>
      <c r="O74" s="557" t="s">
        <v>682</v>
      </c>
      <c r="P74" s="557"/>
      <c r="Q74" s="557"/>
      <c r="R74" s="557" t="s">
        <v>484</v>
      </c>
      <c r="S74" s="557" t="s">
        <v>484</v>
      </c>
      <c r="T74" s="557" t="s">
        <v>484</v>
      </c>
      <c r="U74" s="557" t="s">
        <v>485</v>
      </c>
      <c r="V74" s="557" t="s">
        <v>485</v>
      </c>
      <c r="W74" s="557" t="s">
        <v>486</v>
      </c>
      <c r="X74" s="557" t="s">
        <v>486</v>
      </c>
      <c r="Y74" s="557" t="s">
        <v>487</v>
      </c>
      <c r="Z74" s="557" t="s">
        <v>487</v>
      </c>
      <c r="AA74" s="557" t="s">
        <v>487</v>
      </c>
      <c r="AB74" s="557" t="s">
        <v>487</v>
      </c>
      <c r="AC74" s="557" t="s">
        <v>487</v>
      </c>
      <c r="AD74" s="557"/>
      <c r="AE74" s="557"/>
      <c r="AF74" s="557" t="s">
        <v>682</v>
      </c>
      <c r="AG74" s="557" t="s">
        <v>682</v>
      </c>
      <c r="AH74" s="504">
        <v>185</v>
      </c>
      <c r="AI74" s="505">
        <v>37</v>
      </c>
    </row>
    <row r="75" spans="1:35" ht="21.95" customHeight="1">
      <c r="A75" s="579">
        <v>2</v>
      </c>
      <c r="B75" s="45" t="s">
        <v>489</v>
      </c>
      <c r="C75" s="557"/>
      <c r="D75" s="1365" t="s">
        <v>682</v>
      </c>
      <c r="E75" s="1365" t="s">
        <v>682</v>
      </c>
      <c r="F75" s="1365" t="s">
        <v>682</v>
      </c>
      <c r="G75" s="1365" t="s">
        <v>682</v>
      </c>
      <c r="H75" s="1365" t="s">
        <v>682</v>
      </c>
      <c r="I75" s="1365"/>
      <c r="J75" s="1365"/>
      <c r="K75" s="1365" t="s">
        <v>484</v>
      </c>
      <c r="L75" s="1365" t="s">
        <v>484</v>
      </c>
      <c r="M75" s="1365" t="s">
        <v>484</v>
      </c>
      <c r="N75" s="1365" t="s">
        <v>485</v>
      </c>
      <c r="O75" s="1365" t="s">
        <v>485</v>
      </c>
      <c r="P75" s="1365" t="s">
        <v>486</v>
      </c>
      <c r="Q75" s="1365" t="s">
        <v>486</v>
      </c>
      <c r="R75" s="1365" t="s">
        <v>487</v>
      </c>
      <c r="S75" s="1365" t="s">
        <v>487</v>
      </c>
      <c r="T75" s="1365" t="s">
        <v>487</v>
      </c>
      <c r="U75" s="1365" t="s">
        <v>487</v>
      </c>
      <c r="V75" s="1365" t="s">
        <v>487</v>
      </c>
      <c r="W75" s="1365"/>
      <c r="X75" s="1365"/>
      <c r="Y75" s="1347" t="s">
        <v>682</v>
      </c>
      <c r="Z75" s="1208" t="s">
        <v>682</v>
      </c>
      <c r="AA75" s="1208" t="s">
        <v>682</v>
      </c>
      <c r="AB75" s="1208" t="s">
        <v>682</v>
      </c>
      <c r="AC75" s="1347" t="s">
        <v>682</v>
      </c>
      <c r="AD75" s="1347"/>
      <c r="AE75" s="1347"/>
      <c r="AF75" s="1347" t="s">
        <v>484</v>
      </c>
      <c r="AG75" s="1347" t="s">
        <v>484</v>
      </c>
      <c r="AH75" s="504">
        <v>185</v>
      </c>
      <c r="AI75" s="505">
        <v>37</v>
      </c>
    </row>
    <row r="76" spans="1:35" ht="21.95" customHeight="1">
      <c r="A76" s="579">
        <v>3</v>
      </c>
      <c r="B76" s="545" t="s">
        <v>721</v>
      </c>
      <c r="C76" s="557"/>
      <c r="D76" s="557" t="s">
        <v>484</v>
      </c>
      <c r="E76" s="557" t="s">
        <v>484</v>
      </c>
      <c r="F76" s="557" t="s">
        <v>484</v>
      </c>
      <c r="G76" s="557" t="s">
        <v>485</v>
      </c>
      <c r="H76" s="557" t="s">
        <v>485</v>
      </c>
      <c r="I76" s="557" t="s">
        <v>486</v>
      </c>
      <c r="J76" s="557" t="s">
        <v>486</v>
      </c>
      <c r="K76" s="557" t="s">
        <v>487</v>
      </c>
      <c r="L76" s="1551" t="s">
        <v>487</v>
      </c>
      <c r="M76" s="1551" t="s">
        <v>487</v>
      </c>
      <c r="N76" s="1551" t="s">
        <v>487</v>
      </c>
      <c r="O76" s="557" t="s">
        <v>487</v>
      </c>
      <c r="P76" s="557"/>
      <c r="Q76" s="557"/>
      <c r="R76" s="557" t="s">
        <v>682</v>
      </c>
      <c r="S76" s="557" t="s">
        <v>682</v>
      </c>
      <c r="T76" s="557" t="s">
        <v>682</v>
      </c>
      <c r="U76" s="1439" t="s">
        <v>682</v>
      </c>
      <c r="V76" s="1439" t="s">
        <v>798</v>
      </c>
      <c r="W76" s="1208"/>
      <c r="X76" s="1208"/>
      <c r="Y76" s="1608" t="s">
        <v>484</v>
      </c>
      <c r="Z76" s="557" t="s">
        <v>484</v>
      </c>
      <c r="AA76" s="1368" t="s">
        <v>484</v>
      </c>
      <c r="AB76" s="557" t="s">
        <v>485</v>
      </c>
      <c r="AC76" s="1388" t="s">
        <v>485</v>
      </c>
      <c r="AD76" s="557" t="s">
        <v>486</v>
      </c>
      <c r="AE76" s="557" t="s">
        <v>486</v>
      </c>
      <c r="AF76" s="557" t="s">
        <v>487</v>
      </c>
      <c r="AG76" s="557" t="s">
        <v>487</v>
      </c>
      <c r="AH76" s="504">
        <v>185</v>
      </c>
      <c r="AI76" s="505">
        <v>37</v>
      </c>
    </row>
    <row r="77" spans="1:35" ht="21" customHeight="1"/>
    <row r="78" spans="1:35" ht="21.95" customHeight="1" thickBot="1">
      <c r="A78" s="312" t="s">
        <v>491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  <c r="O78" s="559"/>
      <c r="P78" s="559"/>
      <c r="Q78" s="559"/>
      <c r="R78" s="559"/>
      <c r="S78" s="559"/>
      <c r="T78" s="559"/>
      <c r="U78" s="559"/>
      <c r="V78" s="559"/>
      <c r="W78" s="559"/>
      <c r="X78" s="559"/>
      <c r="Y78" s="559"/>
      <c r="Z78" s="559"/>
      <c r="AA78" s="559"/>
      <c r="AB78" s="559"/>
      <c r="AC78" s="559"/>
      <c r="AD78" s="559"/>
      <c r="AE78" s="559"/>
      <c r="AF78" s="559"/>
      <c r="AH78" s="560"/>
      <c r="AI78" s="560"/>
    </row>
    <row r="79" spans="1:35" ht="21.95" customHeight="1">
      <c r="A79" s="580"/>
      <c r="B79" s="23" t="s">
        <v>726</v>
      </c>
      <c r="C79" s="7"/>
      <c r="D79" s="525" t="s">
        <v>2</v>
      </c>
      <c r="E79" s="51"/>
      <c r="F79" s="551"/>
      <c r="G79" s="7"/>
      <c r="H79" s="525" t="s">
        <v>3</v>
      </c>
      <c r="I79" s="51"/>
      <c r="J79" s="551"/>
      <c r="K79" s="7"/>
      <c r="L79" s="525" t="s">
        <v>4</v>
      </c>
      <c r="M79" s="51"/>
      <c r="N79" s="551"/>
      <c r="O79" s="7"/>
      <c r="P79" s="525" t="s">
        <v>5</v>
      </c>
      <c r="Q79" s="51"/>
      <c r="R79" s="551"/>
      <c r="S79" s="7"/>
      <c r="T79" s="525" t="s">
        <v>6</v>
      </c>
      <c r="U79" s="51"/>
      <c r="V79" s="551"/>
      <c r="W79" s="27"/>
      <c r="X79" s="898" t="s">
        <v>7</v>
      </c>
      <c r="Y79" s="522"/>
      <c r="Z79" s="238"/>
      <c r="AA79" s="7"/>
      <c r="AB79" s="525" t="s">
        <v>8</v>
      </c>
      <c r="AC79" s="51"/>
      <c r="AD79" s="51"/>
      <c r="AE79" s="349" t="s">
        <v>9</v>
      </c>
      <c r="AF79" s="51"/>
      <c r="AG79" s="51"/>
      <c r="AH79" s="51"/>
      <c r="AI79" s="526"/>
    </row>
    <row r="80" spans="1:35" ht="21.95" customHeight="1">
      <c r="B80" s="129" t="s">
        <v>164</v>
      </c>
      <c r="C80" s="593" t="s">
        <v>492</v>
      </c>
      <c r="E80" s="157"/>
      <c r="F80" s="568"/>
      <c r="G80" s="567" t="s">
        <v>488</v>
      </c>
      <c r="H80" s="483" t="s">
        <v>493</v>
      </c>
      <c r="I80" s="157"/>
      <c r="J80" s="568"/>
      <c r="K80" s="593" t="s">
        <v>492</v>
      </c>
      <c r="L80" s="483"/>
      <c r="M80" s="483"/>
      <c r="N80" s="592"/>
      <c r="O80" s="593" t="s">
        <v>494</v>
      </c>
      <c r="P80" s="483"/>
      <c r="Q80" s="483"/>
      <c r="R80" s="592"/>
      <c r="S80" s="593" t="s">
        <v>495</v>
      </c>
      <c r="T80" s="483"/>
      <c r="U80" s="483"/>
      <c r="V80" s="477"/>
      <c r="W80" s="899"/>
      <c r="X80" s="900"/>
      <c r="Y80" s="900"/>
      <c r="Z80" s="901"/>
      <c r="AA80" s="569"/>
      <c r="AB80" s="157"/>
      <c r="AC80" s="157"/>
      <c r="AD80" s="569"/>
      <c r="AE80" s="121">
        <v>37</v>
      </c>
      <c r="AG80" s="157"/>
      <c r="AH80" s="569"/>
      <c r="AI80" s="490"/>
    </row>
    <row r="81" spans="1:35" ht="21.95" customHeight="1">
      <c r="B81" s="129" t="s">
        <v>167</v>
      </c>
      <c r="C81" s="593" t="s">
        <v>496</v>
      </c>
      <c r="E81" s="157"/>
      <c r="F81" s="568"/>
      <c r="G81" s="593" t="s">
        <v>496</v>
      </c>
      <c r="I81" s="157"/>
      <c r="J81" s="568"/>
      <c r="K81" s="593" t="s">
        <v>496</v>
      </c>
      <c r="L81" s="157"/>
      <c r="M81" s="157"/>
      <c r="N81" s="568"/>
      <c r="O81" s="593" t="s">
        <v>497</v>
      </c>
      <c r="P81" s="157"/>
      <c r="Q81" s="157"/>
      <c r="R81" s="568"/>
      <c r="S81" s="567" t="s">
        <v>498</v>
      </c>
      <c r="T81" s="157"/>
      <c r="U81" s="157"/>
      <c r="V81" s="568"/>
      <c r="W81" s="610" t="s">
        <v>414</v>
      </c>
      <c r="X81" s="55"/>
      <c r="Y81" s="55"/>
      <c r="Z81" s="55"/>
      <c r="AA81" s="567" t="s">
        <v>28</v>
      </c>
      <c r="AB81" s="567"/>
      <c r="AC81" s="567"/>
      <c r="AD81" s="567"/>
      <c r="AE81" s="155">
        <v>37</v>
      </c>
      <c r="AF81" s="157"/>
      <c r="AG81" s="571"/>
      <c r="AH81" s="572"/>
      <c r="AI81" s="573"/>
    </row>
    <row r="82" spans="1:35" ht="21.95" customHeight="1">
      <c r="B82" s="129" t="s">
        <v>170</v>
      </c>
      <c r="C82" s="1336" t="s">
        <v>499</v>
      </c>
      <c r="D82" s="157"/>
      <c r="E82" s="157"/>
      <c r="F82" s="568"/>
      <c r="G82" s="157" t="s">
        <v>500</v>
      </c>
      <c r="H82" s="157"/>
      <c r="I82" s="157"/>
      <c r="J82" s="568"/>
      <c r="K82" s="1337" t="s">
        <v>501</v>
      </c>
      <c r="L82" s="157"/>
      <c r="M82" s="157"/>
      <c r="N82" s="568"/>
      <c r="O82" s="581" t="s">
        <v>502</v>
      </c>
      <c r="P82" s="157"/>
      <c r="Q82" s="157"/>
      <c r="R82" s="568"/>
      <c r="S82" s="581" t="s">
        <v>504</v>
      </c>
      <c r="T82" s="157"/>
      <c r="U82" s="157"/>
      <c r="V82" s="568"/>
      <c r="W82" s="567"/>
      <c r="X82" s="157"/>
      <c r="Y82" s="157"/>
      <c r="Z82" s="568"/>
      <c r="AA82" s="567"/>
      <c r="AB82" s="157"/>
      <c r="AC82" s="157"/>
      <c r="AD82" s="569"/>
      <c r="AE82" s="570">
        <v>36</v>
      </c>
      <c r="AF82" s="571"/>
      <c r="AG82" s="157"/>
      <c r="AH82" s="569"/>
      <c r="AI82" s="490"/>
    </row>
    <row r="83" spans="1:35" ht="21.95" customHeight="1" thickBot="1">
      <c r="B83" s="47"/>
      <c r="C83" s="574"/>
      <c r="D83" s="53"/>
      <c r="E83" s="53"/>
      <c r="F83" s="575"/>
      <c r="G83" s="574"/>
      <c r="H83" s="53"/>
      <c r="I83" s="53"/>
      <c r="J83" s="575"/>
      <c r="K83" s="574"/>
      <c r="L83" s="53"/>
      <c r="M83" s="53"/>
      <c r="N83" s="575"/>
      <c r="O83" s="574"/>
      <c r="P83" s="53"/>
      <c r="Q83" s="53"/>
      <c r="R83" s="575"/>
      <c r="S83" s="574"/>
      <c r="T83" s="53"/>
      <c r="U83" s="53"/>
      <c r="V83" s="575"/>
      <c r="W83" s="53"/>
      <c r="X83" s="53"/>
      <c r="Y83" s="53"/>
      <c r="Z83" s="53"/>
      <c r="AA83" s="53"/>
      <c r="AB83" s="53"/>
      <c r="AC83" s="53"/>
      <c r="AD83" s="53"/>
      <c r="AE83" s="576"/>
      <c r="AF83" s="53"/>
      <c r="AG83" s="53"/>
      <c r="AH83" s="577"/>
      <c r="AI83" s="539"/>
    </row>
    <row r="84" spans="1:35" ht="21.95" customHeight="1" thickBot="1"/>
    <row r="85" spans="1:35" ht="21.95" customHeight="1">
      <c r="A85" s="556"/>
      <c r="B85" s="297" t="s">
        <v>480</v>
      </c>
      <c r="C85" s="1235">
        <v>1</v>
      </c>
      <c r="D85" s="1234">
        <v>2</v>
      </c>
      <c r="E85" s="1234">
        <v>3</v>
      </c>
      <c r="F85" s="1234">
        <v>4</v>
      </c>
      <c r="G85" s="1234">
        <v>5</v>
      </c>
      <c r="H85" s="1234">
        <v>6</v>
      </c>
      <c r="I85" s="1330">
        <v>7</v>
      </c>
      <c r="J85" s="1330">
        <v>8</v>
      </c>
      <c r="K85" s="1234">
        <v>9</v>
      </c>
      <c r="L85" s="1234">
        <v>10</v>
      </c>
      <c r="M85" s="1234">
        <v>11</v>
      </c>
      <c r="N85" s="1234">
        <v>12</v>
      </c>
      <c r="O85" s="1234">
        <v>13</v>
      </c>
      <c r="P85" s="1330">
        <v>14</v>
      </c>
      <c r="Q85" s="1330">
        <v>15</v>
      </c>
      <c r="R85" s="1234">
        <v>16</v>
      </c>
      <c r="S85" s="1234">
        <v>17</v>
      </c>
      <c r="T85" s="1234">
        <v>18</v>
      </c>
      <c r="U85" s="1234">
        <v>19</v>
      </c>
      <c r="V85" s="1213">
        <v>20</v>
      </c>
      <c r="W85" s="1330">
        <v>21</v>
      </c>
      <c r="X85" s="1330">
        <v>22</v>
      </c>
      <c r="Y85" s="1234">
        <v>23</v>
      </c>
      <c r="Z85" s="1235">
        <v>24</v>
      </c>
      <c r="AA85" s="1235">
        <v>25</v>
      </c>
      <c r="AB85" s="1235">
        <v>26</v>
      </c>
      <c r="AC85" s="1234">
        <v>27</v>
      </c>
      <c r="AD85" s="1330">
        <v>28</v>
      </c>
      <c r="AE85" s="1330">
        <v>29</v>
      </c>
      <c r="AF85" s="1234">
        <v>30</v>
      </c>
      <c r="AG85" s="1235">
        <v>31</v>
      </c>
      <c r="AH85" s="498" t="s">
        <v>481</v>
      </c>
      <c r="AI85" s="499" t="s">
        <v>482</v>
      </c>
    </row>
    <row r="86" spans="1:35" ht="21.95" customHeight="1">
      <c r="A86" s="579">
        <v>1</v>
      </c>
      <c r="B86" s="153" t="s">
        <v>508</v>
      </c>
      <c r="C86" s="557"/>
      <c r="D86" s="557" t="s">
        <v>485</v>
      </c>
      <c r="E86" s="557" t="s">
        <v>485</v>
      </c>
      <c r="F86" s="557" t="s">
        <v>485</v>
      </c>
      <c r="G86" s="557" t="s">
        <v>484</v>
      </c>
      <c r="H86" s="557" t="s">
        <v>484</v>
      </c>
      <c r="I86" s="557"/>
      <c r="J86" s="557"/>
      <c r="K86" s="557" t="s">
        <v>488</v>
      </c>
      <c r="L86" s="1368" t="s">
        <v>488</v>
      </c>
      <c r="M86" s="1368" t="s">
        <v>488</v>
      </c>
      <c r="N86" s="1368" t="s">
        <v>488</v>
      </c>
      <c r="O86" s="1368" t="s">
        <v>488</v>
      </c>
      <c r="P86" s="557"/>
      <c r="Q86" s="557"/>
      <c r="R86" s="1439" t="s">
        <v>785</v>
      </c>
      <c r="S86" s="1208" t="s">
        <v>506</v>
      </c>
      <c r="T86" s="1208" t="s">
        <v>506</v>
      </c>
      <c r="U86" s="1208" t="s">
        <v>506</v>
      </c>
      <c r="V86" s="1208" t="s">
        <v>506</v>
      </c>
      <c r="W86" s="557"/>
      <c r="X86" s="557"/>
      <c r="Y86" s="557" t="s">
        <v>485</v>
      </c>
      <c r="Z86" s="557" t="s">
        <v>485</v>
      </c>
      <c r="AA86" s="557" t="s">
        <v>485</v>
      </c>
      <c r="AB86" s="557" t="s">
        <v>484</v>
      </c>
      <c r="AC86" s="557" t="s">
        <v>484</v>
      </c>
      <c r="AD86" s="557"/>
      <c r="AE86" s="557"/>
      <c r="AF86" s="557" t="s">
        <v>488</v>
      </c>
      <c r="AG86" s="557"/>
      <c r="AH86" s="504" t="s">
        <v>28</v>
      </c>
      <c r="AI86" s="505" t="s">
        <v>28</v>
      </c>
    </row>
    <row r="87" spans="1:35" ht="21.95" customHeight="1">
      <c r="A87" s="579">
        <v>2</v>
      </c>
      <c r="B87" s="1603" t="s">
        <v>507</v>
      </c>
      <c r="C87" s="1563"/>
      <c r="D87" s="557" t="s">
        <v>488</v>
      </c>
      <c r="E87" s="557" t="s">
        <v>488</v>
      </c>
      <c r="F87" s="557" t="s">
        <v>488</v>
      </c>
      <c r="G87" s="557" t="s">
        <v>488</v>
      </c>
      <c r="H87" s="557" t="s">
        <v>488</v>
      </c>
      <c r="I87" s="557"/>
      <c r="J87" s="557"/>
      <c r="K87" s="557" t="s">
        <v>506</v>
      </c>
      <c r="L87" s="557" t="s">
        <v>506</v>
      </c>
      <c r="M87" s="557" t="s">
        <v>506</v>
      </c>
      <c r="N87" s="557" t="s">
        <v>506</v>
      </c>
      <c r="O87" s="557" t="s">
        <v>506</v>
      </c>
      <c r="P87" s="557"/>
      <c r="Q87" s="557"/>
      <c r="R87" s="557" t="s">
        <v>485</v>
      </c>
      <c r="S87" s="1365" t="s">
        <v>485</v>
      </c>
      <c r="T87" s="1365" t="s">
        <v>485</v>
      </c>
      <c r="U87" s="1365" t="s">
        <v>484</v>
      </c>
      <c r="V87" s="1365" t="s">
        <v>484</v>
      </c>
      <c r="W87" s="557"/>
      <c r="X87" s="557"/>
      <c r="Y87" s="1362" t="s">
        <v>488</v>
      </c>
      <c r="Z87" s="557" t="s">
        <v>488</v>
      </c>
      <c r="AA87" s="557" t="s">
        <v>488</v>
      </c>
      <c r="AB87" s="557" t="s">
        <v>488</v>
      </c>
      <c r="AC87" s="1362" t="s">
        <v>488</v>
      </c>
      <c r="AD87" s="557"/>
      <c r="AE87" s="557"/>
      <c r="AF87" s="1365" t="s">
        <v>506</v>
      </c>
      <c r="AG87" s="557"/>
      <c r="AH87" s="504" t="s">
        <v>28</v>
      </c>
      <c r="AI87" s="505" t="s">
        <v>28</v>
      </c>
    </row>
    <row r="88" spans="1:35" ht="21.95" customHeight="1">
      <c r="A88" s="1602">
        <v>3</v>
      </c>
      <c r="B88" s="1604" t="s">
        <v>505</v>
      </c>
      <c r="C88" s="1605"/>
      <c r="D88" s="557" t="s">
        <v>506</v>
      </c>
      <c r="E88" s="557" t="s">
        <v>506</v>
      </c>
      <c r="F88" s="557" t="s">
        <v>506</v>
      </c>
      <c r="G88" s="557" t="s">
        <v>506</v>
      </c>
      <c r="H88" s="557" t="s">
        <v>506</v>
      </c>
      <c r="I88" s="557"/>
      <c r="J88" s="557"/>
      <c r="K88" s="1439" t="s">
        <v>485</v>
      </c>
      <c r="L88" s="1439" t="s">
        <v>765</v>
      </c>
      <c r="M88" s="557" t="s">
        <v>485</v>
      </c>
      <c r="N88" s="557" t="s">
        <v>484</v>
      </c>
      <c r="O88" s="557" t="s">
        <v>484</v>
      </c>
      <c r="P88" s="557"/>
      <c r="Q88" s="557"/>
      <c r="R88" s="557" t="s">
        <v>488</v>
      </c>
      <c r="S88" s="557" t="s">
        <v>488</v>
      </c>
      <c r="T88" s="557" t="s">
        <v>488</v>
      </c>
      <c r="U88" s="557" t="s">
        <v>488</v>
      </c>
      <c r="V88" s="557" t="s">
        <v>488</v>
      </c>
      <c r="W88" s="557"/>
      <c r="X88" s="557"/>
      <c r="Y88" s="557" t="s">
        <v>506</v>
      </c>
      <c r="Z88" s="557" t="s">
        <v>506</v>
      </c>
      <c r="AA88" s="557" t="s">
        <v>506</v>
      </c>
      <c r="AB88" s="557" t="s">
        <v>506</v>
      </c>
      <c r="AC88" s="1368" t="s">
        <v>506</v>
      </c>
      <c r="AD88" s="557"/>
      <c r="AE88" s="557"/>
      <c r="AF88" s="557" t="s">
        <v>485</v>
      </c>
      <c r="AG88" s="557"/>
      <c r="AH88" s="504" t="s">
        <v>28</v>
      </c>
      <c r="AI88" s="505" t="s">
        <v>28</v>
      </c>
    </row>
    <row r="89" spans="1:35" ht="21.95" customHeight="1">
      <c r="A89" s="580"/>
      <c r="B89" s="587"/>
      <c r="C89" s="587"/>
      <c r="D89" s="587"/>
      <c r="E89" s="587"/>
      <c r="F89" s="587"/>
      <c r="G89" s="587"/>
      <c r="H89" s="587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H89" s="560"/>
      <c r="AI89" s="560"/>
    </row>
    <row r="90" spans="1:35" ht="21.95" customHeight="1">
      <c r="A90" s="580"/>
      <c r="B90" s="587"/>
      <c r="C90" s="559"/>
      <c r="D90" s="559"/>
      <c r="E90" s="559"/>
      <c r="F90" s="559"/>
      <c r="G90" s="559"/>
      <c r="H90" s="559"/>
      <c r="I90" s="559"/>
      <c r="J90" s="559"/>
      <c r="K90" s="559"/>
      <c r="L90" s="559"/>
      <c r="M90" s="559"/>
      <c r="N90" s="559"/>
      <c r="O90" s="559"/>
      <c r="P90" s="559"/>
      <c r="Q90" s="559"/>
      <c r="R90" s="559"/>
      <c r="S90" s="559"/>
      <c r="T90" s="559"/>
      <c r="U90" s="559"/>
      <c r="V90" s="559"/>
      <c r="W90" s="559"/>
      <c r="X90" s="559"/>
      <c r="Y90" s="559"/>
      <c r="Z90" s="559"/>
      <c r="AA90" s="559"/>
      <c r="AB90" s="559"/>
      <c r="AC90" s="559"/>
      <c r="AD90" s="559"/>
      <c r="AE90" s="559"/>
      <c r="AF90" s="559"/>
      <c r="AG90" s="559"/>
      <c r="AH90" s="560"/>
      <c r="AI90" s="560"/>
    </row>
    <row r="91" spans="1:35" ht="21.95" customHeight="1" thickBot="1">
      <c r="A91" s="1" t="s">
        <v>686</v>
      </c>
      <c r="D91" s="361"/>
      <c r="E91" s="361"/>
      <c r="F91" s="361"/>
      <c r="G91" s="549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687</v>
      </c>
      <c r="C92" s="7"/>
      <c r="D92" s="525" t="s">
        <v>2</v>
      </c>
      <c r="E92" s="51"/>
      <c r="F92" s="551"/>
      <c r="G92" s="7"/>
      <c r="H92" s="525" t="s">
        <v>3</v>
      </c>
      <c r="I92" s="51"/>
      <c r="J92" s="551"/>
      <c r="K92" s="7"/>
      <c r="L92" s="525" t="s">
        <v>4</v>
      </c>
      <c r="M92" s="51"/>
      <c r="N92" s="551"/>
      <c r="O92" s="7"/>
      <c r="P92" s="525" t="s">
        <v>5</v>
      </c>
      <c r="Q92" s="51"/>
      <c r="R92" s="551"/>
      <c r="S92" s="7"/>
      <c r="T92" s="525" t="s">
        <v>6</v>
      </c>
      <c r="U92" s="51"/>
      <c r="V92" s="551"/>
      <c r="W92" s="7"/>
      <c r="X92" s="525" t="s">
        <v>7</v>
      </c>
      <c r="Y92" s="51"/>
      <c r="Z92" s="551"/>
      <c r="AA92" s="7"/>
      <c r="AB92" s="525" t="s">
        <v>8</v>
      </c>
      <c r="AC92" s="51"/>
      <c r="AD92" s="51"/>
      <c r="AE92" s="425" t="s">
        <v>10</v>
      </c>
      <c r="AF92" s="51"/>
      <c r="AG92" s="51"/>
      <c r="AH92" s="51"/>
      <c r="AI92" s="526"/>
    </row>
    <row r="93" spans="1:35" ht="21.95" customHeight="1">
      <c r="A93" s="1"/>
      <c r="B93" s="129" t="s">
        <v>164</v>
      </c>
      <c r="C93" s="121" t="s">
        <v>162</v>
      </c>
      <c r="D93" s="157"/>
      <c r="E93" s="157"/>
      <c r="F93" s="568"/>
      <c r="G93" s="121" t="s">
        <v>688</v>
      </c>
      <c r="H93" s="157"/>
      <c r="I93" s="157"/>
      <c r="J93" s="568"/>
      <c r="K93" s="121" t="s">
        <v>688</v>
      </c>
      <c r="L93" s="157"/>
      <c r="M93" s="157"/>
      <c r="N93" s="568"/>
      <c r="O93" s="121" t="s">
        <v>688</v>
      </c>
      <c r="P93" s="157"/>
      <c r="Q93" s="157"/>
      <c r="R93" s="568"/>
      <c r="S93" s="121" t="s">
        <v>688</v>
      </c>
      <c r="T93" s="157"/>
      <c r="U93" s="157"/>
      <c r="V93" s="568"/>
      <c r="W93" s="1243" t="s">
        <v>689</v>
      </c>
      <c r="X93" s="581"/>
      <c r="Y93" s="581"/>
      <c r="Z93" s="582"/>
      <c r="AA93" s="567"/>
      <c r="AB93" s="157"/>
      <c r="AC93" s="157"/>
      <c r="AD93" s="569"/>
      <c r="AE93" s="128">
        <v>37</v>
      </c>
      <c r="AF93" s="157"/>
      <c r="AG93" s="157" t="s">
        <v>28</v>
      </c>
      <c r="AH93" s="569"/>
      <c r="AI93" s="490"/>
    </row>
    <row r="94" spans="1:35" ht="21.95" customHeight="1">
      <c r="A94" s="1"/>
      <c r="B94" s="129" t="s">
        <v>167</v>
      </c>
      <c r="C94" s="121" t="s">
        <v>688</v>
      </c>
      <c r="D94" s="157"/>
      <c r="E94" s="157"/>
      <c r="F94" s="568"/>
      <c r="G94" s="121" t="s">
        <v>688</v>
      </c>
      <c r="H94" s="157"/>
      <c r="I94" s="157"/>
      <c r="J94" s="568"/>
      <c r="K94" s="121" t="s">
        <v>688</v>
      </c>
      <c r="L94" s="157"/>
      <c r="M94" s="157"/>
      <c r="N94" s="568"/>
      <c r="O94" s="121" t="s">
        <v>688</v>
      </c>
      <c r="P94" s="157"/>
      <c r="Q94" s="157"/>
      <c r="R94" s="568"/>
      <c r="S94" s="121" t="s">
        <v>162</v>
      </c>
      <c r="T94" s="157"/>
      <c r="U94" s="157"/>
      <c r="V94" s="568"/>
      <c r="W94" s="121"/>
      <c r="X94" s="157"/>
      <c r="Y94" s="157"/>
      <c r="Z94" s="568"/>
      <c r="AA94" s="157"/>
      <c r="AB94" s="157"/>
      <c r="AC94" s="157"/>
      <c r="AD94" s="569"/>
      <c r="AE94" s="128">
        <v>32</v>
      </c>
      <c r="AF94" s="157"/>
      <c r="AG94" s="157"/>
      <c r="AH94" s="569"/>
      <c r="AI94" s="490"/>
    </row>
    <row r="95" spans="1:35" ht="21.95" customHeight="1">
      <c r="A95" s="1"/>
      <c r="B95" s="129" t="s">
        <v>170</v>
      </c>
      <c r="C95" s="121" t="s">
        <v>690</v>
      </c>
      <c r="D95" s="157"/>
      <c r="E95" s="157"/>
      <c r="F95" s="568"/>
      <c r="G95" s="121" t="s">
        <v>690</v>
      </c>
      <c r="H95" s="157"/>
      <c r="I95" s="157"/>
      <c r="J95" s="568"/>
      <c r="K95" s="121" t="s">
        <v>690</v>
      </c>
      <c r="L95" s="157"/>
      <c r="M95" s="157"/>
      <c r="N95" s="568"/>
      <c r="O95" s="121" t="s">
        <v>690</v>
      </c>
      <c r="P95" s="157"/>
      <c r="Q95" s="157"/>
      <c r="R95" s="568"/>
      <c r="S95" s="121" t="s">
        <v>690</v>
      </c>
      <c r="T95" s="157"/>
      <c r="U95" s="157"/>
      <c r="V95" s="568"/>
      <c r="W95" s="588" t="s">
        <v>689</v>
      </c>
      <c r="X95" s="135"/>
      <c r="Y95" s="135"/>
      <c r="Z95" s="584"/>
      <c r="AA95" s="583"/>
      <c r="AB95" s="135"/>
      <c r="AC95" s="135"/>
      <c r="AD95" s="585"/>
      <c r="AE95" s="128">
        <v>40</v>
      </c>
      <c r="AF95" s="157"/>
      <c r="AG95" s="157"/>
      <c r="AH95" s="569"/>
      <c r="AI95" s="490"/>
    </row>
    <row r="96" spans="1:35" ht="21.95" customHeight="1" thickBot="1">
      <c r="A96" s="1"/>
      <c r="B96" s="16" t="s">
        <v>173</v>
      </c>
      <c r="C96" s="57" t="s">
        <v>688</v>
      </c>
      <c r="D96" s="53"/>
      <c r="E96" s="53"/>
      <c r="F96" s="575"/>
      <c r="G96" s="57" t="s">
        <v>688</v>
      </c>
      <c r="H96" s="53"/>
      <c r="I96" s="53"/>
      <c r="J96" s="575"/>
      <c r="K96" s="57" t="s">
        <v>688</v>
      </c>
      <c r="L96" s="53"/>
      <c r="M96" s="53"/>
      <c r="N96" s="575"/>
      <c r="O96" s="57" t="s">
        <v>688</v>
      </c>
      <c r="P96" s="53"/>
      <c r="Q96" s="53"/>
      <c r="R96" s="575"/>
      <c r="S96" s="57" t="s">
        <v>691</v>
      </c>
      <c r="T96" s="53"/>
      <c r="U96" s="53"/>
      <c r="V96" s="577"/>
      <c r="W96" s="57"/>
      <c r="X96" s="577"/>
      <c r="Y96" s="53"/>
      <c r="Z96" s="575"/>
      <c r="AA96" s="57"/>
      <c r="AB96" s="577"/>
      <c r="AC96" s="53"/>
      <c r="AD96" s="575"/>
      <c r="AE96" s="586">
        <v>39</v>
      </c>
      <c r="AF96" s="53"/>
      <c r="AG96" s="53"/>
      <c r="AH96" s="577"/>
      <c r="AI96" s="539"/>
    </row>
    <row r="97" spans="1:35" ht="21.95" customHeight="1" thickBot="1">
      <c r="A97" s="578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>
      <c r="A98" s="556"/>
      <c r="B98" s="297" t="s">
        <v>480</v>
      </c>
      <c r="C98" s="1235">
        <v>1</v>
      </c>
      <c r="D98" s="1234">
        <v>2</v>
      </c>
      <c r="E98" s="1234">
        <v>3</v>
      </c>
      <c r="F98" s="1234">
        <v>4</v>
      </c>
      <c r="G98" s="1234">
        <v>5</v>
      </c>
      <c r="H98" s="1234">
        <v>6</v>
      </c>
      <c r="I98" s="1330">
        <v>7</v>
      </c>
      <c r="J98" s="1330">
        <v>8</v>
      </c>
      <c r="K98" s="1234">
        <v>9</v>
      </c>
      <c r="L98" s="1234">
        <v>10</v>
      </c>
      <c r="M98" s="1234">
        <v>11</v>
      </c>
      <c r="N98" s="1234">
        <v>12</v>
      </c>
      <c r="O98" s="1234">
        <v>13</v>
      </c>
      <c r="P98" s="1330">
        <v>14</v>
      </c>
      <c r="Q98" s="1330">
        <v>15</v>
      </c>
      <c r="R98" s="1234">
        <v>16</v>
      </c>
      <c r="S98" s="1234">
        <v>17</v>
      </c>
      <c r="T98" s="1234">
        <v>18</v>
      </c>
      <c r="U98" s="1234">
        <v>19</v>
      </c>
      <c r="V98" s="1213">
        <v>20</v>
      </c>
      <c r="W98" s="1330">
        <v>21</v>
      </c>
      <c r="X98" s="1330">
        <v>22</v>
      </c>
      <c r="Y98" s="1234">
        <v>23</v>
      </c>
      <c r="Z98" s="1235">
        <v>24</v>
      </c>
      <c r="AA98" s="1235">
        <v>25</v>
      </c>
      <c r="AB98" s="1235">
        <v>26</v>
      </c>
      <c r="AC98" s="1234">
        <v>27</v>
      </c>
      <c r="AD98" s="1330">
        <v>28</v>
      </c>
      <c r="AE98" s="1330">
        <v>29</v>
      </c>
      <c r="AF98" s="1234">
        <v>30</v>
      </c>
      <c r="AG98" s="1235">
        <v>31</v>
      </c>
      <c r="AH98" s="498" t="s">
        <v>481</v>
      </c>
      <c r="AI98" s="499" t="s">
        <v>482</v>
      </c>
    </row>
    <row r="99" spans="1:35" ht="21.95" customHeight="1">
      <c r="A99" s="579">
        <v>1</v>
      </c>
      <c r="B99" s="545" t="s">
        <v>692</v>
      </c>
      <c r="C99" s="1215"/>
      <c r="D99" s="1215">
        <v>2</v>
      </c>
      <c r="E99" s="1500" t="s">
        <v>514</v>
      </c>
      <c r="F99" s="1208">
        <v>2</v>
      </c>
      <c r="G99" s="1354" t="s">
        <v>694</v>
      </c>
      <c r="H99" s="1215" t="s">
        <v>487</v>
      </c>
      <c r="I99" s="1215"/>
      <c r="J99" s="1215"/>
      <c r="K99" s="1500">
        <v>3</v>
      </c>
      <c r="L99" s="1215">
        <v>3</v>
      </c>
      <c r="M99" s="1208">
        <v>3</v>
      </c>
      <c r="N99" s="1215">
        <v>3</v>
      </c>
      <c r="O99" s="1215">
        <v>3</v>
      </c>
      <c r="P99" s="1215">
        <v>3</v>
      </c>
      <c r="Q99" s="1215"/>
      <c r="R99" s="1354" t="s">
        <v>694</v>
      </c>
      <c r="S99" s="1630" t="s">
        <v>694</v>
      </c>
      <c r="T99" s="1439" t="s">
        <v>799</v>
      </c>
      <c r="U99" s="1392">
        <v>4</v>
      </c>
      <c r="V99" s="1630" t="s">
        <v>694</v>
      </c>
      <c r="W99" s="1215"/>
      <c r="X99" s="1215"/>
      <c r="Y99" s="1215" t="s">
        <v>487</v>
      </c>
      <c r="Z99" s="1215"/>
      <c r="AA99" s="1208"/>
      <c r="AB99" s="1215"/>
      <c r="AC99" s="1335">
        <v>1</v>
      </c>
      <c r="AD99" s="1335">
        <v>1</v>
      </c>
      <c r="AE99" s="1215"/>
      <c r="AF99" s="1335">
        <v>2</v>
      </c>
      <c r="AG99" s="1208"/>
      <c r="AH99" s="504">
        <v>185</v>
      </c>
      <c r="AI99" s="505">
        <v>37</v>
      </c>
    </row>
    <row r="100" spans="1:35" ht="21.95" customHeight="1">
      <c r="A100" s="579">
        <v>2</v>
      </c>
      <c r="B100" s="545"/>
      <c r="C100" s="1215"/>
      <c r="D100" s="1215">
        <v>3</v>
      </c>
      <c r="E100" s="1215">
        <v>3</v>
      </c>
      <c r="F100" s="1208">
        <v>3</v>
      </c>
      <c r="G100" s="1215">
        <v>3</v>
      </c>
      <c r="H100" s="1215">
        <v>3</v>
      </c>
      <c r="I100" s="1215">
        <v>3</v>
      </c>
      <c r="J100" s="1215"/>
      <c r="K100" s="1215">
        <v>4</v>
      </c>
      <c r="L100" s="1208">
        <v>4</v>
      </c>
      <c r="M100" s="1208">
        <v>4</v>
      </c>
      <c r="N100" s="1215">
        <v>4</v>
      </c>
      <c r="O100" s="1215">
        <v>4</v>
      </c>
      <c r="P100" s="1215"/>
      <c r="Q100" s="1215"/>
      <c r="R100" s="1215" t="s">
        <v>487</v>
      </c>
      <c r="S100" s="1215">
        <v>1</v>
      </c>
      <c r="T100" s="1208">
        <v>1</v>
      </c>
      <c r="U100" s="1215">
        <v>1</v>
      </c>
      <c r="V100" s="1215">
        <v>1</v>
      </c>
      <c r="W100" s="1215">
        <v>1</v>
      </c>
      <c r="X100" s="1215"/>
      <c r="Y100" s="1215">
        <v>2</v>
      </c>
      <c r="Z100" s="1208"/>
      <c r="AA100" s="1208"/>
      <c r="AB100" s="1215"/>
      <c r="AC100" s="1215" t="s">
        <v>487</v>
      </c>
      <c r="AD100" s="1215"/>
      <c r="AE100" s="1215"/>
      <c r="AF100" s="1215">
        <v>3</v>
      </c>
      <c r="AG100" s="1215"/>
      <c r="AH100" s="504">
        <v>185</v>
      </c>
      <c r="AI100" s="505">
        <v>37</v>
      </c>
    </row>
    <row r="101" spans="1:35" ht="21.95" customHeight="1">
      <c r="A101" s="579">
        <v>3</v>
      </c>
      <c r="B101" s="545"/>
      <c r="C101" s="1215"/>
      <c r="D101" s="1215">
        <v>4</v>
      </c>
      <c r="E101" s="1215">
        <v>4</v>
      </c>
      <c r="F101" s="1208">
        <v>4</v>
      </c>
      <c r="G101" s="1215">
        <v>4</v>
      </c>
      <c r="H101" s="1215">
        <v>4</v>
      </c>
      <c r="I101" s="1215"/>
      <c r="J101" s="1215"/>
      <c r="K101" s="1215" t="s">
        <v>487</v>
      </c>
      <c r="L101" s="1208">
        <v>1</v>
      </c>
      <c r="M101" s="1208">
        <v>1</v>
      </c>
      <c r="N101" s="1215">
        <v>1</v>
      </c>
      <c r="O101" s="1215">
        <v>1</v>
      </c>
      <c r="P101" s="1215">
        <v>1</v>
      </c>
      <c r="Q101" s="1215"/>
      <c r="R101" s="1215">
        <v>2</v>
      </c>
      <c r="S101" s="1215">
        <v>2</v>
      </c>
      <c r="T101" s="1208">
        <v>2</v>
      </c>
      <c r="U101" s="1215">
        <v>2</v>
      </c>
      <c r="V101" s="1215" t="s">
        <v>487</v>
      </c>
      <c r="W101" s="1215"/>
      <c r="X101" s="1215"/>
      <c r="Y101" s="1215">
        <v>3</v>
      </c>
      <c r="Z101" s="1208"/>
      <c r="AA101" s="1208"/>
      <c r="AB101" s="1215"/>
      <c r="AC101" s="1215">
        <v>3</v>
      </c>
      <c r="AD101" s="1215">
        <v>3</v>
      </c>
      <c r="AE101" s="1215"/>
      <c r="AF101" s="1215">
        <v>4</v>
      </c>
      <c r="AG101" s="1215"/>
      <c r="AH101" s="504">
        <v>185</v>
      </c>
      <c r="AI101" s="505">
        <v>37</v>
      </c>
    </row>
    <row r="102" spans="1:35" ht="21.95" customHeight="1">
      <c r="A102" s="579">
        <v>4</v>
      </c>
      <c r="B102" s="545" t="s">
        <v>412</v>
      </c>
      <c r="C102" s="1208"/>
      <c r="D102" s="1208" t="s">
        <v>487</v>
      </c>
      <c r="E102" s="1208">
        <v>1</v>
      </c>
      <c r="F102" s="1208">
        <v>1</v>
      </c>
      <c r="G102" s="1215">
        <v>1</v>
      </c>
      <c r="H102" s="1215">
        <v>1</v>
      </c>
      <c r="I102" s="1215">
        <v>1</v>
      </c>
      <c r="J102" s="1215"/>
      <c r="K102" s="1215">
        <v>2</v>
      </c>
      <c r="L102" s="1215">
        <v>2</v>
      </c>
      <c r="M102" s="1208">
        <v>2</v>
      </c>
      <c r="N102" s="1215">
        <v>2</v>
      </c>
      <c r="O102" s="1215" t="s">
        <v>487</v>
      </c>
      <c r="P102" s="1215"/>
      <c r="Q102" s="1215"/>
      <c r="R102" s="1215">
        <v>3</v>
      </c>
      <c r="S102" s="1208">
        <v>3</v>
      </c>
      <c r="T102" s="1208">
        <v>3</v>
      </c>
      <c r="U102" s="1215">
        <v>3</v>
      </c>
      <c r="V102" s="1215">
        <v>3</v>
      </c>
      <c r="W102" s="1215">
        <v>3</v>
      </c>
      <c r="X102" s="1215"/>
      <c r="Y102" s="1215">
        <v>4</v>
      </c>
      <c r="Z102" s="1215"/>
      <c r="AA102" s="1208"/>
      <c r="AB102" s="1208"/>
      <c r="AC102" s="1365">
        <v>4</v>
      </c>
      <c r="AD102" s="1208"/>
      <c r="AE102" s="1208"/>
      <c r="AF102" s="1208" t="s">
        <v>487</v>
      </c>
      <c r="AG102" s="1208"/>
      <c r="AH102" s="504">
        <v>185</v>
      </c>
      <c r="AI102" s="505">
        <v>37</v>
      </c>
    </row>
    <row r="103" spans="1:35" ht="21.95" customHeight="1">
      <c r="A103" s="580"/>
      <c r="B103" s="587"/>
      <c r="C103" s="559"/>
      <c r="D103" s="541"/>
      <c r="E103" s="541"/>
      <c r="F103" s="541"/>
      <c r="G103" s="541"/>
      <c r="H103" s="541"/>
      <c r="I103" s="559"/>
      <c r="J103" s="559"/>
      <c r="K103" s="541"/>
      <c r="L103" s="541"/>
      <c r="M103" s="541"/>
      <c r="N103" s="541"/>
      <c r="O103" s="541"/>
      <c r="P103" s="541"/>
      <c r="Q103" s="559"/>
      <c r="R103" s="541"/>
      <c r="S103" s="1315"/>
      <c r="T103" s="1315"/>
      <c r="U103" s="1315"/>
      <c r="V103" s="1315"/>
      <c r="W103" s="559"/>
      <c r="X103" s="559"/>
      <c r="Y103" s="541"/>
      <c r="Z103" s="541"/>
      <c r="AA103" s="541"/>
      <c r="AB103" s="541"/>
      <c r="AC103" s="541"/>
      <c r="AD103" s="541"/>
      <c r="AE103" s="559"/>
      <c r="AF103" s="541"/>
      <c r="AG103" s="541"/>
      <c r="AH103" s="560"/>
      <c r="AI103" s="560"/>
    </row>
    <row r="104" spans="1:35" ht="21.95" customHeight="1" thickBot="1">
      <c r="A104" s="1303" t="s">
        <v>695</v>
      </c>
      <c r="B104" s="541"/>
      <c r="C104" s="559"/>
      <c r="D104" s="541"/>
      <c r="E104" s="541"/>
      <c r="F104" s="541"/>
      <c r="G104" s="541"/>
      <c r="H104" s="541"/>
      <c r="I104" s="559"/>
      <c r="J104" s="559"/>
      <c r="K104" s="541"/>
      <c r="L104" s="541"/>
      <c r="M104" s="541"/>
      <c r="N104" s="541"/>
      <c r="O104" s="541"/>
      <c r="P104" s="541"/>
      <c r="Q104" s="559"/>
      <c r="R104" s="541"/>
      <c r="S104" s="541"/>
      <c r="T104" s="541"/>
      <c r="U104" s="541"/>
      <c r="V104" s="541"/>
      <c r="W104" s="559"/>
      <c r="X104" s="559"/>
      <c r="Y104" s="541"/>
      <c r="Z104" s="541"/>
      <c r="AA104" s="541"/>
      <c r="AB104" s="541"/>
      <c r="AC104" s="541"/>
      <c r="AD104" s="541"/>
      <c r="AE104" s="559"/>
      <c r="AF104" s="541"/>
      <c r="AG104" s="541"/>
      <c r="AH104" s="560"/>
      <c r="AI104" s="560"/>
    </row>
    <row r="105" spans="1:35" ht="21.95" customHeight="1">
      <c r="A105" s="580"/>
      <c r="B105" s="1304" t="s">
        <v>696</v>
      </c>
      <c r="C105" s="1312"/>
      <c r="D105" s="1305" t="s">
        <v>2</v>
      </c>
      <c r="E105" s="1306"/>
      <c r="F105" s="1307"/>
      <c r="G105" s="1308"/>
      <c r="H105" s="1305" t="s">
        <v>3</v>
      </c>
      <c r="I105" s="1306"/>
      <c r="J105" s="1307"/>
      <c r="K105" s="1308"/>
      <c r="L105" s="1305" t="s">
        <v>4</v>
      </c>
      <c r="M105" s="1306"/>
      <c r="N105" s="1307"/>
      <c r="O105" s="1308"/>
      <c r="P105" s="1305" t="s">
        <v>5</v>
      </c>
      <c r="Q105" s="1306"/>
      <c r="R105" s="1307"/>
      <c r="S105" s="1308"/>
      <c r="T105" s="1305" t="s">
        <v>6</v>
      </c>
      <c r="U105" s="1306"/>
      <c r="V105" s="1307"/>
      <c r="W105" s="1308"/>
      <c r="X105" s="1305" t="s">
        <v>7</v>
      </c>
      <c r="Y105" s="1306"/>
      <c r="Z105" s="1307"/>
      <c r="AA105" s="1308"/>
      <c r="AB105" s="1305" t="s">
        <v>8</v>
      </c>
      <c r="AC105" s="1306"/>
      <c r="AD105" s="1306"/>
      <c r="AE105" s="1309" t="s">
        <v>10</v>
      </c>
      <c r="AF105" s="1306"/>
      <c r="AG105" s="1306"/>
      <c r="AH105" s="1306"/>
      <c r="AI105" s="1310"/>
    </row>
    <row r="106" spans="1:35" ht="21.95" customHeight="1">
      <c r="A106" s="580"/>
      <c r="B106" s="1332" t="s">
        <v>697</v>
      </c>
      <c r="C106" s="1313" t="s">
        <v>698</v>
      </c>
      <c r="D106" s="1331" t="s">
        <v>699</v>
      </c>
      <c r="E106" s="1314"/>
      <c r="F106" s="1311"/>
      <c r="G106" s="1313"/>
      <c r="H106" s="1331" t="s">
        <v>699</v>
      </c>
      <c r="I106" s="1314"/>
      <c r="J106" s="1311"/>
      <c r="K106" s="1313"/>
      <c r="L106" s="1331" t="s">
        <v>699</v>
      </c>
      <c r="M106" s="1314"/>
      <c r="N106" s="1311"/>
      <c r="O106" s="1313"/>
      <c r="P106" s="1331" t="s">
        <v>700</v>
      </c>
      <c r="Q106" s="1314"/>
      <c r="R106" s="1311"/>
      <c r="S106" s="1313"/>
      <c r="T106" s="1331" t="s">
        <v>701</v>
      </c>
      <c r="U106" s="1314"/>
      <c r="V106" s="1311"/>
      <c r="W106" s="1313"/>
      <c r="X106" s="1314"/>
      <c r="Y106" s="1314"/>
      <c r="Z106" s="1311"/>
      <c r="AA106" s="1313"/>
      <c r="AB106" s="1314"/>
      <c r="AC106" s="1314"/>
      <c r="AD106" s="1314"/>
      <c r="AE106" s="1313"/>
      <c r="AF106" s="1314"/>
      <c r="AG106" s="1314"/>
      <c r="AH106" s="1316"/>
      <c r="AI106" s="1317"/>
    </row>
    <row r="107" spans="1:35" ht="21.95" customHeight="1">
      <c r="A107" s="580"/>
      <c r="B107" s="1333" t="s">
        <v>702</v>
      </c>
      <c r="C107" s="1313" t="s">
        <v>683</v>
      </c>
      <c r="D107" s="1331" t="s">
        <v>699</v>
      </c>
      <c r="E107" s="1314"/>
      <c r="F107" s="1311"/>
      <c r="G107" s="1313"/>
      <c r="H107" s="1331" t="s">
        <v>699</v>
      </c>
      <c r="I107" s="1314"/>
      <c r="J107" s="1311"/>
      <c r="K107" s="1313"/>
      <c r="L107" s="1331" t="s">
        <v>699</v>
      </c>
      <c r="M107" s="1314"/>
      <c r="N107" s="1311"/>
      <c r="O107" s="1313"/>
      <c r="P107" s="1331" t="s">
        <v>700</v>
      </c>
      <c r="Q107" s="1314"/>
      <c r="R107" s="1311"/>
      <c r="S107" s="1313"/>
      <c r="T107" s="1331" t="s">
        <v>701</v>
      </c>
      <c r="U107" s="1314"/>
      <c r="V107" s="1311"/>
      <c r="W107" s="1313"/>
      <c r="X107" s="1314"/>
      <c r="Y107" s="1314"/>
      <c r="Z107" s="1311"/>
      <c r="AA107" s="1313"/>
      <c r="AB107" s="1314"/>
      <c r="AC107" s="1314"/>
      <c r="AD107" s="1314"/>
      <c r="AE107" s="1313"/>
      <c r="AF107" s="1314"/>
      <c r="AG107" s="1314"/>
      <c r="AH107" s="1316"/>
      <c r="AI107" s="1317"/>
    </row>
    <row r="108" spans="1:35" ht="21.95" customHeight="1">
      <c r="A108" s="580"/>
      <c r="B108" s="1333" t="s">
        <v>703</v>
      </c>
      <c r="C108" s="1313" t="s">
        <v>547</v>
      </c>
      <c r="D108" s="1331" t="s">
        <v>699</v>
      </c>
      <c r="E108" s="1314"/>
      <c r="F108" s="1311"/>
      <c r="G108" s="1313"/>
      <c r="H108" s="1331" t="s">
        <v>699</v>
      </c>
      <c r="I108" s="1314"/>
      <c r="J108" s="1311"/>
      <c r="K108" s="1313"/>
      <c r="L108" s="1331" t="s">
        <v>699</v>
      </c>
      <c r="M108" s="1314"/>
      <c r="N108" s="1311"/>
      <c r="O108" s="1313"/>
      <c r="P108" s="1331" t="s">
        <v>700</v>
      </c>
      <c r="Q108" s="1314"/>
      <c r="R108" s="1311"/>
      <c r="S108" s="1313"/>
      <c r="T108" s="1331" t="s">
        <v>701</v>
      </c>
      <c r="U108" s="1314"/>
      <c r="V108" s="1311"/>
      <c r="W108" s="1313"/>
      <c r="X108" s="1314"/>
      <c r="Y108" s="1314"/>
      <c r="Z108" s="1311"/>
      <c r="AA108" s="1313"/>
      <c r="AB108" s="1314"/>
      <c r="AC108" s="1314"/>
      <c r="AD108" s="1314"/>
      <c r="AE108" s="1313"/>
      <c r="AF108" s="1314"/>
      <c r="AG108" s="1314"/>
      <c r="AH108" s="1316"/>
      <c r="AI108" s="1317"/>
    </row>
    <row r="109" spans="1:35" ht="21.95" customHeight="1">
      <c r="A109" s="580"/>
      <c r="B109" s="1333" t="s">
        <v>704</v>
      </c>
      <c r="C109" s="1313" t="s">
        <v>685</v>
      </c>
      <c r="D109" s="1331" t="s">
        <v>699</v>
      </c>
      <c r="E109" s="1314"/>
      <c r="F109" s="1311"/>
      <c r="G109" s="1313"/>
      <c r="H109" s="1331" t="s">
        <v>699</v>
      </c>
      <c r="I109" s="1314"/>
      <c r="J109" s="1311"/>
      <c r="K109" s="1313"/>
      <c r="L109" s="1331" t="s">
        <v>699</v>
      </c>
      <c r="M109" s="1314"/>
      <c r="N109" s="1311"/>
      <c r="O109" s="1313"/>
      <c r="P109" s="1331" t="s">
        <v>700</v>
      </c>
      <c r="Q109" s="1314"/>
      <c r="R109" s="1311"/>
      <c r="S109" s="1313"/>
      <c r="T109" s="1331" t="s">
        <v>701</v>
      </c>
      <c r="U109" s="1314"/>
      <c r="V109" s="1311"/>
      <c r="W109" s="1313"/>
      <c r="X109" s="1314"/>
      <c r="Y109" s="1314"/>
      <c r="Z109" s="1311"/>
      <c r="AA109" s="1313"/>
      <c r="AB109" s="1314"/>
      <c r="AC109" s="1314"/>
      <c r="AD109" s="1314"/>
      <c r="AE109" s="1313"/>
      <c r="AF109" s="1314"/>
      <c r="AG109" s="1314"/>
      <c r="AH109" s="1316"/>
      <c r="AI109" s="1317"/>
    </row>
    <row r="110" spans="1:35" ht="21.95" customHeight="1">
      <c r="A110" s="580"/>
      <c r="B110" s="1333" t="s">
        <v>705</v>
      </c>
      <c r="C110" s="1313" t="s">
        <v>684</v>
      </c>
      <c r="D110" s="1331" t="s">
        <v>699</v>
      </c>
      <c r="E110" s="1314"/>
      <c r="F110" s="1311"/>
      <c r="G110" s="1313"/>
      <c r="H110" s="1331" t="s">
        <v>699</v>
      </c>
      <c r="I110" s="1314"/>
      <c r="J110" s="1311"/>
      <c r="K110" s="1313"/>
      <c r="L110" s="1331" t="s">
        <v>699</v>
      </c>
      <c r="M110" s="1314"/>
      <c r="N110" s="1311"/>
      <c r="O110" s="1313"/>
      <c r="P110" s="1331" t="s">
        <v>700</v>
      </c>
      <c r="Q110" s="1314"/>
      <c r="R110" s="1311"/>
      <c r="S110" s="1313"/>
      <c r="T110" s="1331" t="s">
        <v>701</v>
      </c>
      <c r="U110" s="1314"/>
      <c r="V110" s="1311"/>
      <c r="W110" s="1313"/>
      <c r="X110" s="1314"/>
      <c r="Y110" s="1314"/>
      <c r="Z110" s="1311"/>
      <c r="AA110" s="1313"/>
      <c r="AB110" s="1314"/>
      <c r="AC110" s="1314"/>
      <c r="AD110" s="1314"/>
      <c r="AE110" s="1313"/>
      <c r="AF110" s="1314"/>
      <c r="AG110" s="1314"/>
      <c r="AH110" s="1316"/>
      <c r="AI110" s="1317"/>
    </row>
    <row r="111" spans="1:35" ht="21.95" customHeight="1">
      <c r="A111" s="580"/>
      <c r="B111" s="1333" t="s">
        <v>706</v>
      </c>
      <c r="C111" s="1313" t="s">
        <v>539</v>
      </c>
      <c r="D111" s="1331" t="s">
        <v>699</v>
      </c>
      <c r="E111" s="1314"/>
      <c r="F111" s="1311"/>
      <c r="G111" s="1313"/>
      <c r="H111" s="1331" t="s">
        <v>699</v>
      </c>
      <c r="I111" s="1314"/>
      <c r="J111" s="1311"/>
      <c r="K111" s="1313"/>
      <c r="L111" s="1331" t="s">
        <v>699</v>
      </c>
      <c r="M111" s="1314"/>
      <c r="N111" s="1311"/>
      <c r="O111" s="1313"/>
      <c r="P111" s="1331" t="s">
        <v>700</v>
      </c>
      <c r="Q111" s="1314"/>
      <c r="R111" s="1311"/>
      <c r="S111" s="1313"/>
      <c r="T111" s="1331" t="s">
        <v>701</v>
      </c>
      <c r="U111" s="1314"/>
      <c r="V111" s="1311"/>
      <c r="W111" s="1313"/>
      <c r="X111" s="1314"/>
      <c r="Y111" s="1314"/>
      <c r="Z111" s="1311"/>
      <c r="AA111" s="1313"/>
      <c r="AB111" s="1314"/>
      <c r="AC111" s="1314"/>
      <c r="AD111" s="1314"/>
      <c r="AE111" s="1313"/>
      <c r="AF111" s="1314"/>
      <c r="AG111" s="1314"/>
      <c r="AH111" s="1316"/>
      <c r="AI111" s="1317"/>
    </row>
    <row r="112" spans="1:35" ht="21.95" customHeight="1">
      <c r="A112" s="580"/>
      <c r="B112" s="1333" t="s">
        <v>707</v>
      </c>
      <c r="C112" s="1313" t="s">
        <v>540</v>
      </c>
      <c r="D112" s="1331" t="s">
        <v>699</v>
      </c>
      <c r="E112" s="1314"/>
      <c r="F112" s="1311"/>
      <c r="G112" s="1313"/>
      <c r="H112" s="1331" t="s">
        <v>699</v>
      </c>
      <c r="I112" s="1314"/>
      <c r="J112" s="1311"/>
      <c r="K112" s="1313"/>
      <c r="L112" s="1331" t="s">
        <v>699</v>
      </c>
      <c r="M112" s="1314"/>
      <c r="N112" s="1311"/>
      <c r="O112" s="1313"/>
      <c r="P112" s="1331" t="s">
        <v>700</v>
      </c>
      <c r="Q112" s="1314"/>
      <c r="R112" s="1311"/>
      <c r="S112" s="1313"/>
      <c r="T112" s="1331" t="s">
        <v>701</v>
      </c>
      <c r="U112" s="1314"/>
      <c r="V112" s="1311"/>
      <c r="W112" s="1313"/>
      <c r="X112" s="1314"/>
      <c r="Y112" s="1314"/>
      <c r="Z112" s="1311"/>
      <c r="AA112" s="1313"/>
      <c r="AB112" s="1314"/>
      <c r="AC112" s="1314"/>
      <c r="AD112" s="1314"/>
      <c r="AE112" s="1313"/>
      <c r="AF112" s="1314"/>
      <c r="AG112" s="1314"/>
      <c r="AH112" s="1316"/>
      <c r="AI112" s="1317"/>
    </row>
    <row r="113" spans="1:35" ht="21.95" customHeight="1">
      <c r="A113" s="580"/>
      <c r="B113" s="1333" t="s">
        <v>707</v>
      </c>
      <c r="C113" s="1313" t="s">
        <v>708</v>
      </c>
      <c r="D113" s="1331" t="s">
        <v>699</v>
      </c>
      <c r="E113" s="1314"/>
      <c r="F113" s="1311"/>
      <c r="G113" s="1313"/>
      <c r="H113" s="1331" t="s">
        <v>699</v>
      </c>
      <c r="I113" s="1314"/>
      <c r="J113" s="1311"/>
      <c r="K113" s="1313"/>
      <c r="L113" s="1331" t="s">
        <v>699</v>
      </c>
      <c r="M113" s="1314"/>
      <c r="N113" s="1311"/>
      <c r="O113" s="1313"/>
      <c r="P113" s="1331" t="s">
        <v>700</v>
      </c>
      <c r="Q113" s="1314"/>
      <c r="R113" s="1311"/>
      <c r="S113" s="1313"/>
      <c r="T113" s="1331" t="s">
        <v>701</v>
      </c>
      <c r="U113" s="1314"/>
      <c r="V113" s="1311"/>
      <c r="W113" s="1313"/>
      <c r="X113" s="1314"/>
      <c r="Y113" s="1314"/>
      <c r="Z113" s="1311"/>
      <c r="AA113" s="1313"/>
      <c r="AB113" s="1314"/>
      <c r="AC113" s="1314"/>
      <c r="AD113" s="1314"/>
      <c r="AE113" s="1313"/>
      <c r="AF113" s="1314"/>
      <c r="AG113" s="1314"/>
      <c r="AH113" s="1316"/>
      <c r="AI113" s="1317"/>
    </row>
    <row r="114" spans="1:35" ht="21.95" customHeight="1">
      <c r="A114" s="580"/>
      <c r="B114" s="1333" t="s">
        <v>709</v>
      </c>
      <c r="C114" s="1313" t="s">
        <v>538</v>
      </c>
      <c r="D114" s="1331" t="s">
        <v>699</v>
      </c>
      <c r="E114" s="1314"/>
      <c r="F114" s="1311"/>
      <c r="G114" s="1313"/>
      <c r="H114" s="1331" t="s">
        <v>699</v>
      </c>
      <c r="I114" s="1314"/>
      <c r="J114" s="1311"/>
      <c r="K114" s="1313"/>
      <c r="L114" s="1331" t="s">
        <v>699</v>
      </c>
      <c r="M114" s="1314"/>
      <c r="N114" s="1311"/>
      <c r="O114" s="1313"/>
      <c r="P114" s="1331" t="s">
        <v>700</v>
      </c>
      <c r="Q114" s="1314"/>
      <c r="R114" s="1311"/>
      <c r="S114" s="1313"/>
      <c r="T114" s="1331" t="s">
        <v>701</v>
      </c>
      <c r="U114" s="1314"/>
      <c r="V114" s="1311"/>
      <c r="W114" s="1313"/>
      <c r="X114" s="1314"/>
      <c r="Y114" s="1314"/>
      <c r="Z114" s="1311"/>
      <c r="AA114" s="1313"/>
      <c r="AB114" s="1314"/>
      <c r="AC114" s="1314"/>
      <c r="AD114" s="1314"/>
      <c r="AE114" s="1313"/>
      <c r="AF114" s="1314"/>
      <c r="AG114" s="1314"/>
      <c r="AH114" s="1316"/>
      <c r="AI114" s="1317"/>
    </row>
    <row r="115" spans="1:35" ht="21.95" customHeight="1">
      <c r="A115" s="580"/>
      <c r="B115" s="1333" t="s">
        <v>710</v>
      </c>
      <c r="C115" s="1313" t="s">
        <v>711</v>
      </c>
      <c r="D115" s="1331" t="s">
        <v>699</v>
      </c>
      <c r="E115" s="1314"/>
      <c r="F115" s="1311"/>
      <c r="G115" s="1313"/>
      <c r="H115" s="1331" t="s">
        <v>699</v>
      </c>
      <c r="I115" s="1314"/>
      <c r="J115" s="1311"/>
      <c r="K115" s="1313"/>
      <c r="L115" s="1331" t="s">
        <v>699</v>
      </c>
      <c r="M115" s="1314"/>
      <c r="N115" s="1311"/>
      <c r="O115" s="1313"/>
      <c r="P115" s="1331" t="s">
        <v>700</v>
      </c>
      <c r="Q115" s="1314"/>
      <c r="R115" s="1311"/>
      <c r="S115" s="1313"/>
      <c r="T115" s="1331" t="s">
        <v>701</v>
      </c>
      <c r="U115" s="1314"/>
      <c r="V115" s="1311"/>
      <c r="W115" s="1313"/>
      <c r="X115" s="1314"/>
      <c r="Y115" s="1314"/>
      <c r="Z115" s="1311"/>
      <c r="AA115" s="1313"/>
      <c r="AB115" s="1314"/>
      <c r="AC115" s="1314"/>
      <c r="AD115" s="1314"/>
      <c r="AE115" s="1313"/>
      <c r="AF115" s="1314"/>
      <c r="AG115" s="1314"/>
      <c r="AH115" s="1316"/>
      <c r="AI115" s="1317"/>
    </row>
    <row r="116" spans="1:35" ht="21.95" customHeight="1">
      <c r="A116" s="580"/>
      <c r="B116" s="1333" t="s">
        <v>712</v>
      </c>
      <c r="C116" s="1313" t="s">
        <v>544</v>
      </c>
      <c r="D116" s="1331" t="s">
        <v>699</v>
      </c>
      <c r="E116" s="1314"/>
      <c r="F116" s="1311"/>
      <c r="G116" s="1313"/>
      <c r="H116" s="1331" t="s">
        <v>699</v>
      </c>
      <c r="I116" s="1314"/>
      <c r="J116" s="1311"/>
      <c r="K116" s="1313"/>
      <c r="L116" s="1331" t="s">
        <v>699</v>
      </c>
      <c r="M116" s="1314"/>
      <c r="N116" s="1311"/>
      <c r="O116" s="1313"/>
      <c r="P116" s="1331" t="s">
        <v>700</v>
      </c>
      <c r="Q116" s="1314"/>
      <c r="R116" s="1311"/>
      <c r="S116" s="1313"/>
      <c r="T116" s="1331" t="s">
        <v>701</v>
      </c>
      <c r="U116" s="1314"/>
      <c r="V116" s="1311"/>
      <c r="W116" s="1313"/>
      <c r="X116" s="1314"/>
      <c r="Y116" s="1314"/>
      <c r="Z116" s="1311"/>
      <c r="AA116" s="1313"/>
      <c r="AB116" s="1314"/>
      <c r="AC116" s="1314"/>
      <c r="AD116" s="1314"/>
      <c r="AE116" s="1313"/>
      <c r="AF116" s="1314"/>
      <c r="AG116" s="1314"/>
      <c r="AH116" s="1316"/>
      <c r="AI116" s="1317"/>
    </row>
    <row r="117" spans="1:35" ht="21.95" customHeight="1" thickBot="1">
      <c r="A117" s="580"/>
      <c r="B117" s="587"/>
      <c r="C117" s="559"/>
      <c r="D117" s="541"/>
      <c r="E117" s="541"/>
      <c r="F117" s="541"/>
      <c r="G117" s="541"/>
      <c r="H117" s="541"/>
      <c r="I117" s="559"/>
      <c r="J117" s="559"/>
      <c r="K117" s="541"/>
      <c r="L117" s="541"/>
      <c r="M117" s="541"/>
      <c r="N117" s="541"/>
      <c r="O117" s="541"/>
      <c r="P117" s="541"/>
      <c r="Q117" s="559"/>
      <c r="R117" s="541"/>
      <c r="S117" s="541"/>
      <c r="T117" s="541"/>
      <c r="U117" s="541"/>
      <c r="V117" s="541"/>
      <c r="W117" s="559"/>
      <c r="X117" s="559"/>
      <c r="Y117" s="541"/>
      <c r="Z117" s="541"/>
      <c r="AA117" s="541"/>
      <c r="AB117" s="541"/>
      <c r="AC117" s="541"/>
      <c r="AD117" s="541"/>
      <c r="AE117" s="559"/>
      <c r="AF117" s="541"/>
      <c r="AG117" s="541"/>
      <c r="AH117" s="560"/>
      <c r="AI117" s="560"/>
    </row>
    <row r="118" spans="1:35" ht="21.95" customHeight="1">
      <c r="A118" s="1232"/>
      <c r="B118" s="1298" t="s">
        <v>480</v>
      </c>
      <c r="C118" s="1235">
        <v>1</v>
      </c>
      <c r="D118" s="1234">
        <v>2</v>
      </c>
      <c r="E118" s="1234">
        <v>3</v>
      </c>
      <c r="F118" s="1234">
        <v>4</v>
      </c>
      <c r="G118" s="1234">
        <v>5</v>
      </c>
      <c r="H118" s="1234">
        <v>6</v>
      </c>
      <c r="I118" s="1330">
        <v>7</v>
      </c>
      <c r="J118" s="1330">
        <v>8</v>
      </c>
      <c r="K118" s="1234">
        <v>9</v>
      </c>
      <c r="L118" s="1234">
        <v>10</v>
      </c>
      <c r="M118" s="1234">
        <v>11</v>
      </c>
      <c r="N118" s="1234">
        <v>12</v>
      </c>
      <c r="O118" s="1234">
        <v>13</v>
      </c>
      <c r="P118" s="1330">
        <v>14</v>
      </c>
      <c r="Q118" s="1330">
        <v>15</v>
      </c>
      <c r="R118" s="1234">
        <v>16</v>
      </c>
      <c r="S118" s="1234">
        <v>17</v>
      </c>
      <c r="T118" s="1234">
        <v>18</v>
      </c>
      <c r="U118" s="1234">
        <v>19</v>
      </c>
      <c r="V118" s="1213">
        <v>20</v>
      </c>
      <c r="W118" s="1330">
        <v>21</v>
      </c>
      <c r="X118" s="1330">
        <v>22</v>
      </c>
      <c r="Y118" s="1234">
        <v>23</v>
      </c>
      <c r="Z118" s="1235">
        <v>24</v>
      </c>
      <c r="AA118" s="1235">
        <v>25</v>
      </c>
      <c r="AB118" s="1235">
        <v>26</v>
      </c>
      <c r="AC118" s="1234">
        <v>27</v>
      </c>
      <c r="AD118" s="1330">
        <v>28</v>
      </c>
      <c r="AE118" s="1330">
        <v>29</v>
      </c>
      <c r="AF118" s="1234">
        <v>30</v>
      </c>
      <c r="AG118" s="1235">
        <v>31</v>
      </c>
      <c r="AH118" s="1301" t="s">
        <v>481</v>
      </c>
      <c r="AI118" s="1302" t="s">
        <v>482</v>
      </c>
    </row>
    <row r="119" spans="1:35" ht="21.95" customHeight="1">
      <c r="A119" s="580"/>
      <c r="B119" s="1299" t="s">
        <v>713</v>
      </c>
      <c r="C119" s="1299"/>
      <c r="D119" s="1313" t="s">
        <v>698</v>
      </c>
      <c r="E119" s="1313" t="s">
        <v>698</v>
      </c>
      <c r="F119" s="1313" t="s">
        <v>698</v>
      </c>
      <c r="G119" s="1313" t="s">
        <v>698</v>
      </c>
      <c r="H119" s="1313" t="s">
        <v>698</v>
      </c>
      <c r="I119" s="1313"/>
      <c r="J119" s="1313"/>
      <c r="K119" s="1313" t="s">
        <v>698</v>
      </c>
      <c r="L119" s="1313" t="s">
        <v>698</v>
      </c>
      <c r="M119" s="1313" t="s">
        <v>698</v>
      </c>
      <c r="N119" s="1313" t="s">
        <v>698</v>
      </c>
      <c r="O119" s="1313" t="s">
        <v>698</v>
      </c>
      <c r="P119" s="1313"/>
      <c r="Q119" s="1313"/>
      <c r="R119" s="1313" t="s">
        <v>698</v>
      </c>
      <c r="S119" s="1313" t="s">
        <v>698</v>
      </c>
      <c r="T119" s="1313" t="s">
        <v>698</v>
      </c>
      <c r="U119" s="1313" t="s">
        <v>698</v>
      </c>
      <c r="V119" s="1313" t="s">
        <v>698</v>
      </c>
      <c r="W119" s="1313"/>
      <c r="X119" s="1313"/>
      <c r="Y119" s="1313" t="s">
        <v>698</v>
      </c>
      <c r="Z119" s="1313"/>
      <c r="AA119" s="1313"/>
      <c r="AB119" s="1313"/>
      <c r="AC119" s="1384" t="s">
        <v>698</v>
      </c>
      <c r="AD119" s="1313"/>
      <c r="AE119" s="1313"/>
      <c r="AF119" s="1384" t="s">
        <v>698</v>
      </c>
      <c r="AG119" s="1313"/>
      <c r="AH119" s="504">
        <v>185</v>
      </c>
      <c r="AI119" s="505">
        <v>37</v>
      </c>
    </row>
    <row r="120" spans="1:35" ht="21.95" customHeight="1">
      <c r="A120" s="580"/>
      <c r="B120" s="1299" t="s">
        <v>714</v>
      </c>
      <c r="C120" s="1299"/>
      <c r="D120" s="1363" t="s">
        <v>698</v>
      </c>
      <c r="E120" s="1313" t="s">
        <v>698</v>
      </c>
      <c r="F120" s="1363" t="s">
        <v>698</v>
      </c>
      <c r="G120" s="1313" t="s">
        <v>698</v>
      </c>
      <c r="H120" s="1313" t="s">
        <v>698</v>
      </c>
      <c r="I120" s="1313"/>
      <c r="J120" s="1313"/>
      <c r="K120" s="1313" t="s">
        <v>698</v>
      </c>
      <c r="L120" s="1313" t="s">
        <v>698</v>
      </c>
      <c r="M120" s="1313" t="s">
        <v>698</v>
      </c>
      <c r="N120" s="1313" t="s">
        <v>698</v>
      </c>
      <c r="O120" s="1313" t="s">
        <v>698</v>
      </c>
      <c r="P120" s="1313"/>
      <c r="Q120" s="1313"/>
      <c r="R120" s="1313" t="s">
        <v>698</v>
      </c>
      <c r="S120" s="1313" t="s">
        <v>698</v>
      </c>
      <c r="T120" s="1313" t="s">
        <v>698</v>
      </c>
      <c r="U120" s="1313" t="s">
        <v>698</v>
      </c>
      <c r="V120" s="1313" t="s">
        <v>698</v>
      </c>
      <c r="W120" s="1313"/>
      <c r="X120" s="1313"/>
      <c r="Y120" s="1313" t="s">
        <v>698</v>
      </c>
      <c r="Z120" s="1313"/>
      <c r="AA120" s="1313"/>
      <c r="AB120" s="1313"/>
      <c r="AC120" s="1384" t="s">
        <v>698</v>
      </c>
      <c r="AD120" s="1313"/>
      <c r="AE120" s="1313"/>
      <c r="AF120" s="1384" t="s">
        <v>698</v>
      </c>
      <c r="AG120" s="1313"/>
      <c r="AH120" s="504">
        <v>185</v>
      </c>
      <c r="AI120" s="505">
        <v>37</v>
      </c>
    </row>
    <row r="121" spans="1:35" ht="21.95" customHeight="1">
      <c r="A121" s="580"/>
      <c r="B121" s="1299" t="s">
        <v>715</v>
      </c>
      <c r="C121" s="1299"/>
      <c r="D121" s="1446" t="s">
        <v>683</v>
      </c>
      <c r="E121" s="1446" t="s">
        <v>683</v>
      </c>
      <c r="F121" s="1446" t="s">
        <v>683</v>
      </c>
      <c r="G121" s="1446" t="s">
        <v>683</v>
      </c>
      <c r="H121" s="1446" t="s">
        <v>683</v>
      </c>
      <c r="I121" s="1446"/>
      <c r="J121" s="1446"/>
      <c r="K121" s="1446" t="s">
        <v>683</v>
      </c>
      <c r="L121" s="1446" t="s">
        <v>683</v>
      </c>
      <c r="M121" s="1446" t="s">
        <v>683</v>
      </c>
      <c r="N121" s="1446" t="s">
        <v>683</v>
      </c>
      <c r="O121" s="1446" t="s">
        <v>683</v>
      </c>
      <c r="P121" s="1313"/>
      <c r="Q121" s="1313"/>
      <c r="R121" s="1446" t="s">
        <v>683</v>
      </c>
      <c r="S121" s="1446" t="s">
        <v>683</v>
      </c>
      <c r="T121" s="1446" t="s">
        <v>683</v>
      </c>
      <c r="U121" s="1446" t="s">
        <v>683</v>
      </c>
      <c r="V121" s="1446" t="s">
        <v>683</v>
      </c>
      <c r="W121" s="1313"/>
      <c r="X121" s="1313"/>
      <c r="Y121" s="1446" t="s">
        <v>683</v>
      </c>
      <c r="Z121" s="1313"/>
      <c r="AA121" s="1313"/>
      <c r="AB121" s="1313"/>
      <c r="AC121" s="1446" t="s">
        <v>683</v>
      </c>
      <c r="AD121" s="1313"/>
      <c r="AE121" s="1313"/>
      <c r="AF121" s="1446" t="s">
        <v>761</v>
      </c>
      <c r="AG121" s="1313"/>
      <c r="AH121" s="504">
        <v>185</v>
      </c>
      <c r="AI121" s="505">
        <v>37</v>
      </c>
    </row>
    <row r="122" spans="1:35" ht="21.95" customHeight="1">
      <c r="A122" s="580"/>
      <c r="B122" s="1299" t="s">
        <v>730</v>
      </c>
      <c r="C122" s="1299"/>
      <c r="D122" s="1313" t="s">
        <v>547</v>
      </c>
      <c r="E122" s="1313" t="s">
        <v>547</v>
      </c>
      <c r="F122" s="1313" t="s">
        <v>547</v>
      </c>
      <c r="G122" s="1313" t="s">
        <v>547</v>
      </c>
      <c r="H122" s="1313" t="s">
        <v>547</v>
      </c>
      <c r="I122" s="1313"/>
      <c r="J122" s="1313"/>
      <c r="K122" s="1313" t="s">
        <v>547</v>
      </c>
      <c r="L122" s="1313" t="s">
        <v>547</v>
      </c>
      <c r="M122" s="1313" t="s">
        <v>547</v>
      </c>
      <c r="N122" s="1313" t="s">
        <v>547</v>
      </c>
      <c r="O122" s="1313" t="s">
        <v>547</v>
      </c>
      <c r="P122" s="1313"/>
      <c r="Q122" s="1313"/>
      <c r="R122" s="1379" t="s">
        <v>547</v>
      </c>
      <c r="S122" s="1379" t="s">
        <v>547</v>
      </c>
      <c r="T122" s="1379" t="s">
        <v>547</v>
      </c>
      <c r="U122" s="1379" t="s">
        <v>547</v>
      </c>
      <c r="V122" s="1379" t="s">
        <v>547</v>
      </c>
      <c r="W122" s="1379"/>
      <c r="X122" s="1379"/>
      <c r="Y122" s="1379" t="s">
        <v>547</v>
      </c>
      <c r="Z122" s="1313"/>
      <c r="AA122" s="1313"/>
      <c r="AB122" s="1313"/>
      <c r="AC122" s="1379" t="s">
        <v>547</v>
      </c>
      <c r="AD122" s="1313"/>
      <c r="AE122" s="1313"/>
      <c r="AF122" s="1555" t="s">
        <v>547</v>
      </c>
      <c r="AG122" s="1313"/>
      <c r="AH122" s="504">
        <v>185</v>
      </c>
      <c r="AI122" s="505">
        <v>37</v>
      </c>
    </row>
    <row r="123" spans="1:35" ht="21.95" customHeight="1">
      <c r="A123" s="580"/>
      <c r="B123" s="1300" t="s">
        <v>717</v>
      </c>
      <c r="C123" s="1300"/>
      <c r="D123" s="1446" t="s">
        <v>685</v>
      </c>
      <c r="E123" s="1446" t="s">
        <v>685</v>
      </c>
      <c r="F123" s="1446" t="s">
        <v>685</v>
      </c>
      <c r="G123" s="1446" t="s">
        <v>685</v>
      </c>
      <c r="H123" s="1446" t="s">
        <v>685</v>
      </c>
      <c r="I123" s="1446"/>
      <c r="J123" s="1446"/>
      <c r="K123" s="1446" t="s">
        <v>685</v>
      </c>
      <c r="L123" s="1446" t="s">
        <v>685</v>
      </c>
      <c r="M123" s="1446" t="s">
        <v>685</v>
      </c>
      <c r="N123" s="1446" t="s">
        <v>685</v>
      </c>
      <c r="O123" s="1446" t="s">
        <v>685</v>
      </c>
      <c r="P123" s="1446"/>
      <c r="Q123" s="1446"/>
      <c r="R123" s="1446" t="s">
        <v>685</v>
      </c>
      <c r="S123" s="1446" t="s">
        <v>685</v>
      </c>
      <c r="T123" s="1446" t="s">
        <v>685</v>
      </c>
      <c r="U123" s="1446" t="s">
        <v>685</v>
      </c>
      <c r="V123" s="1446" t="s">
        <v>685</v>
      </c>
      <c r="W123" s="1446"/>
      <c r="X123" s="1446"/>
      <c r="Y123" s="1446" t="s">
        <v>685</v>
      </c>
      <c r="Z123" s="1446"/>
      <c r="AA123" s="1446"/>
      <c r="AB123" s="1446"/>
      <c r="AC123" s="1446" t="s">
        <v>685</v>
      </c>
      <c r="AD123" s="1446"/>
      <c r="AE123" s="1446"/>
      <c r="AF123" s="1446" t="s">
        <v>685</v>
      </c>
      <c r="AG123" s="1313"/>
      <c r="AH123" s="504">
        <v>185</v>
      </c>
      <c r="AI123" s="505">
        <v>37</v>
      </c>
    </row>
    <row r="124" spans="1:35" ht="21.95" customHeight="1">
      <c r="A124" s="580"/>
      <c r="B124" s="1299" t="s">
        <v>718</v>
      </c>
      <c r="C124" s="1300"/>
      <c r="D124" s="1446" t="s">
        <v>684</v>
      </c>
      <c r="E124" s="1446" t="s">
        <v>684</v>
      </c>
      <c r="F124" s="1446" t="s">
        <v>684</v>
      </c>
      <c r="G124" s="1446" t="s">
        <v>684</v>
      </c>
      <c r="H124" s="1446" t="s">
        <v>684</v>
      </c>
      <c r="I124" s="1446"/>
      <c r="J124" s="1446"/>
      <c r="K124" s="1446" t="s">
        <v>684</v>
      </c>
      <c r="L124" s="1446" t="s">
        <v>684</v>
      </c>
      <c r="M124" s="1446" t="s">
        <v>684</v>
      </c>
      <c r="N124" s="1446" t="s">
        <v>684</v>
      </c>
      <c r="O124" s="1446" t="s">
        <v>684</v>
      </c>
      <c r="P124" s="1446"/>
      <c r="Q124" s="1446"/>
      <c r="R124" s="1446" t="s">
        <v>684</v>
      </c>
      <c r="S124" s="1446" t="s">
        <v>684</v>
      </c>
      <c r="T124" s="1446" t="s">
        <v>684</v>
      </c>
      <c r="U124" s="1446" t="s">
        <v>684</v>
      </c>
      <c r="V124" s="1446" t="s">
        <v>684</v>
      </c>
      <c r="W124" s="1446"/>
      <c r="X124" s="1446"/>
      <c r="Y124" s="1446" t="s">
        <v>684</v>
      </c>
      <c r="Z124" s="1446"/>
      <c r="AA124" s="1446"/>
      <c r="AB124" s="1446"/>
      <c r="AC124" s="1446" t="s">
        <v>684</v>
      </c>
      <c r="AD124" s="1446"/>
      <c r="AE124" s="1446"/>
      <c r="AF124" s="1446" t="s">
        <v>684</v>
      </c>
      <c r="AG124" s="1313"/>
      <c r="AH124" s="504">
        <v>185</v>
      </c>
      <c r="AI124" s="505">
        <v>37</v>
      </c>
    </row>
    <row r="125" spans="1:35" ht="21.95" customHeight="1">
      <c r="A125" s="580"/>
      <c r="B125" s="1300" t="s">
        <v>719</v>
      </c>
      <c r="C125" s="1300"/>
      <c r="D125" s="1313" t="s">
        <v>539</v>
      </c>
      <c r="E125" s="1313" t="s">
        <v>539</v>
      </c>
      <c r="F125" s="1313" t="s">
        <v>539</v>
      </c>
      <c r="G125" s="1313" t="s">
        <v>539</v>
      </c>
      <c r="H125" s="1313" t="s">
        <v>539</v>
      </c>
      <c r="I125" s="1313"/>
      <c r="J125" s="1313"/>
      <c r="K125" s="1313" t="s">
        <v>539</v>
      </c>
      <c r="L125" s="1313" t="s">
        <v>539</v>
      </c>
      <c r="M125" s="1313" t="s">
        <v>539</v>
      </c>
      <c r="N125" s="1313" t="s">
        <v>539</v>
      </c>
      <c r="O125" s="1313" t="s">
        <v>539</v>
      </c>
      <c r="P125" s="1313"/>
      <c r="Q125" s="1313"/>
      <c r="R125" s="1313" t="s">
        <v>539</v>
      </c>
      <c r="S125" s="1313" t="s">
        <v>539</v>
      </c>
      <c r="T125" s="1313" t="s">
        <v>539</v>
      </c>
      <c r="U125" s="1313" t="s">
        <v>539</v>
      </c>
      <c r="V125" s="1313" t="s">
        <v>539</v>
      </c>
      <c r="W125" s="1313"/>
      <c r="X125" s="1313"/>
      <c r="Y125" s="1379" t="s">
        <v>539</v>
      </c>
      <c r="Z125" s="1313"/>
      <c r="AA125" s="1313"/>
      <c r="AB125" s="1313"/>
      <c r="AC125" s="1379" t="s">
        <v>539</v>
      </c>
      <c r="AD125" s="1313"/>
      <c r="AE125" s="1313"/>
      <c r="AF125" s="1379" t="s">
        <v>539</v>
      </c>
      <c r="AG125" s="1313"/>
      <c r="AH125" s="504">
        <v>185</v>
      </c>
      <c r="AI125" s="505">
        <v>37</v>
      </c>
    </row>
    <row r="126" spans="1:35" ht="21.95" customHeight="1">
      <c r="A126" s="580"/>
      <c r="B126" s="1299" t="s">
        <v>720</v>
      </c>
      <c r="C126" s="1299"/>
      <c r="D126" s="1313" t="s">
        <v>540</v>
      </c>
      <c r="E126" s="1313" t="s">
        <v>540</v>
      </c>
      <c r="F126" s="1313" t="s">
        <v>540</v>
      </c>
      <c r="G126" s="1313" t="s">
        <v>540</v>
      </c>
      <c r="H126" s="1313" t="s">
        <v>540</v>
      </c>
      <c r="I126" s="1313"/>
      <c r="J126" s="1313"/>
      <c r="K126" s="1313" t="s">
        <v>540</v>
      </c>
      <c r="L126" s="1313" t="s">
        <v>540</v>
      </c>
      <c r="M126" s="1313" t="s">
        <v>540</v>
      </c>
      <c r="N126" s="1313" t="s">
        <v>540</v>
      </c>
      <c r="O126" s="1313" t="s">
        <v>540</v>
      </c>
      <c r="P126" s="1313"/>
      <c r="Q126" s="1313"/>
      <c r="R126" s="1313" t="s">
        <v>540</v>
      </c>
      <c r="S126" s="1313" t="s">
        <v>540</v>
      </c>
      <c r="T126" s="1313" t="s">
        <v>540</v>
      </c>
      <c r="U126" s="1313" t="s">
        <v>540</v>
      </c>
      <c r="V126" s="1313" t="s">
        <v>540</v>
      </c>
      <c r="W126" s="1313"/>
      <c r="X126" s="1313"/>
      <c r="Y126" s="1313" t="s">
        <v>540</v>
      </c>
      <c r="Z126" s="1313"/>
      <c r="AA126" s="1313"/>
      <c r="AB126" s="1313"/>
      <c r="AC126" s="1379" t="s">
        <v>540</v>
      </c>
      <c r="AD126" s="1313"/>
      <c r="AE126" s="1313"/>
      <c r="AF126" s="1379" t="s">
        <v>540</v>
      </c>
      <c r="AG126" s="1313"/>
      <c r="AH126" s="504">
        <v>185</v>
      </c>
      <c r="AI126" s="505">
        <v>37</v>
      </c>
    </row>
    <row r="127" spans="1:35" ht="21.95" customHeight="1">
      <c r="A127" s="580"/>
      <c r="B127" s="1299" t="s">
        <v>572</v>
      </c>
      <c r="C127" s="1299"/>
      <c r="D127" s="1313" t="s">
        <v>708</v>
      </c>
      <c r="E127" s="1313" t="s">
        <v>708</v>
      </c>
      <c r="F127" s="1313" t="s">
        <v>708</v>
      </c>
      <c r="G127" s="1313" t="s">
        <v>708</v>
      </c>
      <c r="H127" s="1313" t="s">
        <v>708</v>
      </c>
      <c r="I127" s="1313"/>
      <c r="J127" s="1313"/>
      <c r="K127" s="1313" t="s">
        <v>708</v>
      </c>
      <c r="L127" s="1313" t="s">
        <v>708</v>
      </c>
      <c r="M127" s="1313" t="s">
        <v>708</v>
      </c>
      <c r="N127" s="1313" t="s">
        <v>708</v>
      </c>
      <c r="O127" s="1313" t="s">
        <v>708</v>
      </c>
      <c r="P127" s="1313"/>
      <c r="Q127" s="1313"/>
      <c r="R127" s="1313" t="s">
        <v>708</v>
      </c>
      <c r="S127" s="1313" t="s">
        <v>708</v>
      </c>
      <c r="T127" s="1313" t="s">
        <v>708</v>
      </c>
      <c r="U127" s="1313" t="s">
        <v>708</v>
      </c>
      <c r="V127" s="1313" t="s">
        <v>708</v>
      </c>
      <c r="W127" s="1313"/>
      <c r="X127" s="1313"/>
      <c r="Y127" s="1313" t="s">
        <v>708</v>
      </c>
      <c r="Z127" s="1313"/>
      <c r="AA127" s="1313"/>
      <c r="AB127" s="1313"/>
      <c r="AC127" s="1313" t="s">
        <v>708</v>
      </c>
      <c r="AD127" s="1313"/>
      <c r="AE127" s="1313"/>
      <c r="AF127" s="1313" t="s">
        <v>708</v>
      </c>
      <c r="AG127" s="1313" t="s">
        <v>708</v>
      </c>
      <c r="AH127" s="504">
        <v>185</v>
      </c>
      <c r="AI127" s="505">
        <v>37</v>
      </c>
    </row>
    <row r="128" spans="1:35" ht="21.95" customHeight="1">
      <c r="A128" s="580"/>
      <c r="B128" s="1299" t="s">
        <v>722</v>
      </c>
      <c r="C128" s="1299"/>
      <c r="D128" s="1313" t="s">
        <v>538</v>
      </c>
      <c r="E128" s="1313" t="s">
        <v>538</v>
      </c>
      <c r="F128" s="1313" t="s">
        <v>538</v>
      </c>
      <c r="G128" s="1313" t="s">
        <v>538</v>
      </c>
      <c r="H128" s="1313" t="s">
        <v>538</v>
      </c>
      <c r="I128" s="1313"/>
      <c r="J128" s="1313"/>
      <c r="K128" s="1313" t="s">
        <v>538</v>
      </c>
      <c r="L128" s="1313" t="s">
        <v>538</v>
      </c>
      <c r="M128" s="1313" t="s">
        <v>538</v>
      </c>
      <c r="N128" s="1313" t="s">
        <v>538</v>
      </c>
      <c r="O128" s="1313" t="s">
        <v>538</v>
      </c>
      <c r="P128" s="1313"/>
      <c r="Q128" s="1313"/>
      <c r="R128" s="1313" t="s">
        <v>538</v>
      </c>
      <c r="S128" s="1313" t="s">
        <v>538</v>
      </c>
      <c r="T128" s="1313" t="s">
        <v>538</v>
      </c>
      <c r="U128" s="1313" t="s">
        <v>538</v>
      </c>
      <c r="V128" s="1313" t="s">
        <v>538</v>
      </c>
      <c r="W128" s="1313"/>
      <c r="X128" s="1313"/>
      <c r="Y128" s="1313" t="s">
        <v>538</v>
      </c>
      <c r="Z128" s="1313"/>
      <c r="AA128" s="1313"/>
      <c r="AB128" s="1313"/>
      <c r="AC128" s="1379" t="s">
        <v>538</v>
      </c>
      <c r="AD128" s="1313"/>
      <c r="AE128" s="1313"/>
      <c r="AF128" s="1379" t="s">
        <v>538</v>
      </c>
      <c r="AG128" s="1313"/>
      <c r="AH128" s="504">
        <v>185</v>
      </c>
      <c r="AI128" s="505">
        <v>37</v>
      </c>
    </row>
    <row r="129" spans="1:35" ht="21.95" customHeight="1">
      <c r="A129" s="580"/>
      <c r="B129" s="1299" t="s">
        <v>723</v>
      </c>
      <c r="C129" s="1299"/>
      <c r="D129" s="1313" t="s">
        <v>711</v>
      </c>
      <c r="E129" s="1313" t="s">
        <v>711</v>
      </c>
      <c r="F129" s="1313" t="s">
        <v>711</v>
      </c>
      <c r="G129" s="1313" t="s">
        <v>711</v>
      </c>
      <c r="H129" s="1313" t="s">
        <v>711</v>
      </c>
      <c r="I129" s="1313"/>
      <c r="J129" s="1313"/>
      <c r="K129" s="1313" t="s">
        <v>711</v>
      </c>
      <c r="L129" s="1313" t="s">
        <v>711</v>
      </c>
      <c r="M129" s="1313" t="s">
        <v>711</v>
      </c>
      <c r="N129" s="1313" t="s">
        <v>711</v>
      </c>
      <c r="O129" s="1313" t="s">
        <v>711</v>
      </c>
      <c r="P129" s="1313"/>
      <c r="Q129" s="1313"/>
      <c r="R129" s="1313" t="s">
        <v>711</v>
      </c>
      <c r="S129" s="1313" t="s">
        <v>711</v>
      </c>
      <c r="T129" s="1313" t="s">
        <v>711</v>
      </c>
      <c r="U129" s="1313" t="s">
        <v>711</v>
      </c>
      <c r="V129" s="1313" t="s">
        <v>711</v>
      </c>
      <c r="W129" s="1313"/>
      <c r="X129" s="1313"/>
      <c r="Y129" s="1313" t="s">
        <v>711</v>
      </c>
      <c r="Z129" s="1313"/>
      <c r="AA129" s="1313"/>
      <c r="AB129" s="1313"/>
      <c r="AC129" s="1628" t="s">
        <v>711</v>
      </c>
      <c r="AD129" s="1313"/>
      <c r="AE129" s="1313"/>
      <c r="AF129" s="1379" t="s">
        <v>711</v>
      </c>
      <c r="AG129" s="1313"/>
      <c r="AH129" s="504">
        <v>185</v>
      </c>
      <c r="AI129" s="505">
        <v>37</v>
      </c>
    </row>
    <row r="130" spans="1:35" ht="21.95" customHeight="1">
      <c r="A130" s="580"/>
      <c r="B130" s="1299" t="s">
        <v>724</v>
      </c>
      <c r="C130" s="1299"/>
      <c r="D130" s="1313" t="s">
        <v>544</v>
      </c>
      <c r="E130" s="1313" t="s">
        <v>544</v>
      </c>
      <c r="F130" s="1313" t="s">
        <v>544</v>
      </c>
      <c r="G130" s="1313" t="s">
        <v>544</v>
      </c>
      <c r="H130" s="1313" t="s">
        <v>544</v>
      </c>
      <c r="I130" s="1313"/>
      <c r="J130" s="1313"/>
      <c r="K130" s="1313" t="s">
        <v>544</v>
      </c>
      <c r="L130" s="1313" t="s">
        <v>544</v>
      </c>
      <c r="M130" s="1313" t="s">
        <v>544</v>
      </c>
      <c r="N130" s="1313" t="s">
        <v>544</v>
      </c>
      <c r="O130" s="1313" t="s">
        <v>544</v>
      </c>
      <c r="P130" s="1313"/>
      <c r="Q130" s="1313"/>
      <c r="R130" s="1313" t="s">
        <v>544</v>
      </c>
      <c r="S130" s="1313" t="s">
        <v>544</v>
      </c>
      <c r="T130" s="1313" t="s">
        <v>544</v>
      </c>
      <c r="U130" s="1313" t="s">
        <v>544</v>
      </c>
      <c r="V130" s="1313" t="s">
        <v>544</v>
      </c>
      <c r="W130" s="1313"/>
      <c r="X130" s="1313"/>
      <c r="Y130" s="1313" t="s">
        <v>544</v>
      </c>
      <c r="Z130" s="1313"/>
      <c r="AA130" s="1313"/>
      <c r="AB130" s="1313"/>
      <c r="AC130" s="1363" t="s">
        <v>544</v>
      </c>
      <c r="AD130" s="1313"/>
      <c r="AE130" s="1313"/>
      <c r="AF130" s="1363" t="s">
        <v>544</v>
      </c>
      <c r="AG130" s="1313"/>
      <c r="AH130" s="504">
        <v>185</v>
      </c>
      <c r="AI130" s="505">
        <v>37</v>
      </c>
    </row>
    <row r="131" spans="1:35" ht="21.95" customHeight="1">
      <c r="A131" s="580"/>
      <c r="B131" s="1502"/>
      <c r="C131" s="1502"/>
      <c r="D131" s="559"/>
      <c r="E131" s="559"/>
      <c r="F131" s="559"/>
      <c r="G131" s="559"/>
      <c r="H131" s="559"/>
      <c r="I131" s="559"/>
      <c r="J131" s="559"/>
      <c r="K131" s="559"/>
      <c r="L131" s="559"/>
      <c r="M131" s="559"/>
      <c r="N131" s="559"/>
      <c r="O131" s="559"/>
      <c r="P131" s="559"/>
      <c r="Q131" s="559"/>
      <c r="R131" s="559"/>
      <c r="S131" s="559"/>
      <c r="T131" s="559"/>
      <c r="U131" s="559"/>
      <c r="V131" s="559"/>
      <c r="W131" s="559"/>
      <c r="X131" s="559"/>
      <c r="Y131" s="559"/>
      <c r="Z131" s="559"/>
      <c r="AA131" s="559"/>
      <c r="AB131" s="559"/>
      <c r="AC131" s="559"/>
      <c r="AD131" s="559"/>
      <c r="AE131" s="559"/>
      <c r="AF131" s="559"/>
      <c r="AG131" s="559"/>
      <c r="AH131" s="560"/>
      <c r="AI131" s="560"/>
    </row>
    <row r="132" spans="1:35" ht="21.95" customHeight="1" thickBot="1">
      <c r="A132" s="1303" t="s">
        <v>744</v>
      </c>
      <c r="B132" s="541" t="s">
        <v>763</v>
      </c>
      <c r="C132" s="559"/>
      <c r="D132" s="541"/>
      <c r="E132" s="541"/>
      <c r="F132" s="541"/>
      <c r="G132" s="541"/>
      <c r="H132" s="541"/>
      <c r="I132" s="559"/>
      <c r="J132" s="559"/>
      <c r="K132" s="541"/>
      <c r="L132" s="541"/>
      <c r="M132" s="541"/>
      <c r="N132" s="541"/>
      <c r="O132" s="541"/>
      <c r="P132" s="541"/>
      <c r="Q132" s="559"/>
      <c r="R132" s="541"/>
      <c r="S132" s="541"/>
      <c r="T132" s="541"/>
      <c r="U132" s="541"/>
      <c r="V132" s="541"/>
      <c r="W132" s="559"/>
      <c r="X132" s="559"/>
      <c r="Y132" s="541"/>
      <c r="Z132" s="541"/>
      <c r="AA132" s="541"/>
      <c r="AB132" s="541"/>
      <c r="AC132" s="541"/>
      <c r="AD132" s="541"/>
      <c r="AE132" s="559"/>
      <c r="AF132" s="541"/>
      <c r="AG132" s="541"/>
      <c r="AH132" s="560"/>
      <c r="AI132" s="560"/>
    </row>
    <row r="133" spans="1:35" ht="21.95" customHeight="1">
      <c r="A133" s="580"/>
      <c r="B133" s="1304" t="s">
        <v>696</v>
      </c>
      <c r="C133" s="1312"/>
      <c r="D133" s="1305" t="s">
        <v>2</v>
      </c>
      <c r="E133" s="1306"/>
      <c r="F133" s="1307"/>
      <c r="G133" s="1308"/>
      <c r="H133" s="1305" t="s">
        <v>3</v>
      </c>
      <c r="I133" s="1306"/>
      <c r="J133" s="1307"/>
      <c r="K133" s="1308"/>
      <c r="L133" s="1305" t="s">
        <v>4</v>
      </c>
      <c r="M133" s="1306"/>
      <c r="N133" s="1307"/>
      <c r="O133" s="1308"/>
      <c r="P133" s="1305" t="s">
        <v>5</v>
      </c>
      <c r="Q133" s="1306"/>
      <c r="R133" s="1307"/>
      <c r="S133" s="1308"/>
      <c r="T133" s="1305" t="s">
        <v>6</v>
      </c>
      <c r="U133" s="1306"/>
      <c r="V133" s="1307"/>
      <c r="W133" s="1308"/>
      <c r="X133" s="1305" t="s">
        <v>7</v>
      </c>
      <c r="Y133" s="1306"/>
      <c r="Z133" s="1307"/>
      <c r="AA133" s="1308"/>
      <c r="AB133" s="1305" t="s">
        <v>8</v>
      </c>
      <c r="AC133" s="1306"/>
      <c r="AD133" s="1306"/>
      <c r="AE133" s="1309" t="s">
        <v>10</v>
      </c>
      <c r="AF133" s="1306"/>
      <c r="AG133" s="1306"/>
      <c r="AH133" s="1306"/>
      <c r="AI133" s="1310"/>
    </row>
    <row r="134" spans="1:35" ht="21.95" customHeight="1">
      <c r="A134" s="580"/>
      <c r="B134" s="1332"/>
      <c r="C134" s="1313"/>
      <c r="D134" s="1331"/>
      <c r="E134" s="1314"/>
      <c r="F134" s="1311"/>
      <c r="G134" s="1313"/>
      <c r="H134" s="1331"/>
      <c r="I134" s="1314"/>
      <c r="J134" s="1311"/>
      <c r="K134" s="1313"/>
      <c r="L134" s="1331"/>
      <c r="M134" s="1314"/>
      <c r="N134" s="1311"/>
      <c r="O134" s="1313"/>
      <c r="P134" s="1331"/>
      <c r="Q134" s="1314"/>
      <c r="R134" s="1311"/>
      <c r="S134" s="1313"/>
      <c r="T134" s="1331"/>
      <c r="U134" s="1314"/>
      <c r="V134" s="1311"/>
      <c r="W134" s="1313"/>
      <c r="X134" s="1314"/>
      <c r="Y134" s="1314"/>
      <c r="Z134" s="1311"/>
      <c r="AA134" s="1313"/>
      <c r="AB134" s="1314"/>
      <c r="AC134" s="1314"/>
      <c r="AD134" s="1314"/>
      <c r="AE134" s="1313"/>
      <c r="AF134" s="1314"/>
      <c r="AG134" s="1314"/>
      <c r="AH134" s="1316"/>
      <c r="AI134" s="1317"/>
    </row>
    <row r="135" spans="1:35" ht="21.95" customHeight="1">
      <c r="A135" s="580"/>
      <c r="B135" s="1333"/>
      <c r="C135" s="1313"/>
      <c r="D135" s="1331"/>
      <c r="E135" s="1314"/>
      <c r="F135" s="1311"/>
      <c r="G135" s="1313"/>
      <c r="H135" s="1331"/>
      <c r="I135" s="1314"/>
      <c r="J135" s="1311"/>
      <c r="K135" s="1313"/>
      <c r="L135" s="1331"/>
      <c r="M135" s="1314"/>
      <c r="N135" s="1311"/>
      <c r="O135" s="1313"/>
      <c r="P135" s="1331"/>
      <c r="Q135" s="1314"/>
      <c r="R135" s="1311"/>
      <c r="S135" s="1313"/>
      <c r="T135" s="1331"/>
      <c r="U135" s="1314"/>
      <c r="V135" s="1311"/>
      <c r="W135" s="1313"/>
      <c r="X135" s="1314"/>
      <c r="Y135" s="1314"/>
      <c r="Z135" s="1311"/>
      <c r="AA135" s="1313"/>
      <c r="AB135" s="1314"/>
      <c r="AC135" s="1314"/>
      <c r="AD135" s="1314"/>
      <c r="AE135" s="1313"/>
      <c r="AF135" s="1314"/>
      <c r="AG135" s="1314"/>
      <c r="AH135" s="1316"/>
      <c r="AI135" s="1317"/>
    </row>
    <row r="136" spans="1:35" ht="21.95" customHeight="1">
      <c r="A136" s="580"/>
      <c r="B136" s="1333"/>
      <c r="C136" s="1313"/>
      <c r="D136" s="1331"/>
      <c r="E136" s="1314"/>
      <c r="F136" s="1311"/>
      <c r="G136" s="1313"/>
      <c r="H136" s="1331"/>
      <c r="I136" s="1314"/>
      <c r="J136" s="1311"/>
      <c r="K136" s="1313"/>
      <c r="L136" s="1331"/>
      <c r="M136" s="1314"/>
      <c r="N136" s="1311"/>
      <c r="O136" s="1313"/>
      <c r="P136" s="1331"/>
      <c r="Q136" s="1314"/>
      <c r="R136" s="1311"/>
      <c r="S136" s="1313"/>
      <c r="T136" s="1331"/>
      <c r="U136" s="1314"/>
      <c r="V136" s="1311"/>
      <c r="W136" s="1313"/>
      <c r="X136" s="1314"/>
      <c r="Y136" s="1314"/>
      <c r="Z136" s="1311"/>
      <c r="AA136" s="1313"/>
      <c r="AB136" s="1314"/>
      <c r="AC136" s="1314"/>
      <c r="AD136" s="1314"/>
      <c r="AE136" s="1313"/>
      <c r="AF136" s="1314"/>
      <c r="AG136" s="1314"/>
      <c r="AH136" s="1316"/>
      <c r="AI136" s="1317"/>
    </row>
    <row r="137" spans="1:35" ht="21.95" customHeight="1" thickBot="1">
      <c r="A137" s="580"/>
      <c r="B137" s="1502"/>
      <c r="C137" s="1502"/>
      <c r="D137" s="559"/>
      <c r="E137" s="559"/>
      <c r="F137" s="559"/>
      <c r="G137" s="559"/>
      <c r="H137" s="559"/>
      <c r="I137" s="559"/>
      <c r="J137" s="559"/>
      <c r="K137" s="559"/>
      <c r="L137" s="559"/>
      <c r="M137" s="559"/>
      <c r="N137" s="559"/>
      <c r="O137" s="559"/>
      <c r="P137" s="559"/>
      <c r="Q137" s="559"/>
      <c r="R137" s="559"/>
      <c r="S137" s="559"/>
      <c r="T137" s="559"/>
      <c r="U137" s="559"/>
      <c r="V137" s="559"/>
      <c r="W137" s="559"/>
      <c r="X137" s="559"/>
      <c r="Y137" s="559"/>
      <c r="Z137" s="559"/>
      <c r="AA137" s="559"/>
      <c r="AB137" s="559"/>
      <c r="AC137" s="559"/>
      <c r="AD137" s="559"/>
      <c r="AE137" s="559"/>
      <c r="AF137" s="559"/>
      <c r="AG137" s="559"/>
      <c r="AH137" s="560"/>
      <c r="AI137" s="560"/>
    </row>
    <row r="138" spans="1:35" ht="21.95" customHeight="1">
      <c r="A138" s="1232"/>
      <c r="B138" s="1298" t="s">
        <v>480</v>
      </c>
      <c r="C138" s="1235">
        <v>1</v>
      </c>
      <c r="D138" s="1234">
        <v>2</v>
      </c>
      <c r="E138" s="1234">
        <v>3</v>
      </c>
      <c r="F138" s="1234">
        <v>4</v>
      </c>
      <c r="G138" s="1234">
        <v>5</v>
      </c>
      <c r="H138" s="1234">
        <v>6</v>
      </c>
      <c r="I138" s="1330">
        <v>7</v>
      </c>
      <c r="J138" s="1330">
        <v>8</v>
      </c>
      <c r="K138" s="1234">
        <v>9</v>
      </c>
      <c r="L138" s="1234">
        <v>10</v>
      </c>
      <c r="M138" s="1234">
        <v>11</v>
      </c>
      <c r="N138" s="1234">
        <v>12</v>
      </c>
      <c r="O138" s="1234">
        <v>13</v>
      </c>
      <c r="P138" s="1330">
        <v>14</v>
      </c>
      <c r="Q138" s="1330">
        <v>15</v>
      </c>
      <c r="R138" s="1234">
        <v>16</v>
      </c>
      <c r="S138" s="1234">
        <v>17</v>
      </c>
      <c r="T138" s="1234">
        <v>18</v>
      </c>
      <c r="U138" s="1234">
        <v>19</v>
      </c>
      <c r="V138" s="1213">
        <v>20</v>
      </c>
      <c r="W138" s="1330">
        <v>21</v>
      </c>
      <c r="X138" s="1330">
        <v>22</v>
      </c>
      <c r="Y138" s="1234">
        <v>23</v>
      </c>
      <c r="Z138" s="1235">
        <v>24</v>
      </c>
      <c r="AA138" s="1235">
        <v>25</v>
      </c>
      <c r="AB138" s="1235">
        <v>26</v>
      </c>
      <c r="AC138" s="1234">
        <v>27</v>
      </c>
      <c r="AD138" s="1330">
        <v>28</v>
      </c>
      <c r="AE138" s="1330">
        <v>29</v>
      </c>
      <c r="AF138" s="1234">
        <v>30</v>
      </c>
      <c r="AG138" s="1235">
        <v>31</v>
      </c>
      <c r="AH138" s="1301" t="s">
        <v>481</v>
      </c>
      <c r="AI138" s="1302" t="s">
        <v>482</v>
      </c>
    </row>
    <row r="139" spans="1:35" ht="21.95" customHeight="1">
      <c r="A139" s="580"/>
      <c r="B139" s="1300" t="s">
        <v>746</v>
      </c>
      <c r="C139" s="1215"/>
      <c r="D139" s="1215" t="s">
        <v>535</v>
      </c>
      <c r="E139" s="1215" t="s">
        <v>535</v>
      </c>
      <c r="F139" s="1215" t="s">
        <v>535</v>
      </c>
      <c r="G139" s="1215" t="s">
        <v>535</v>
      </c>
      <c r="H139" s="1215" t="s">
        <v>535</v>
      </c>
      <c r="I139" s="1215"/>
      <c r="J139" s="1215"/>
      <c r="K139" s="1500" t="s">
        <v>535</v>
      </c>
      <c r="L139" s="1215" t="s">
        <v>535</v>
      </c>
      <c r="M139" s="1344" t="s">
        <v>514</v>
      </c>
      <c r="N139" s="1215" t="s">
        <v>535</v>
      </c>
      <c r="O139" s="1215" t="s">
        <v>535</v>
      </c>
      <c r="P139" s="1215"/>
      <c r="Q139" s="1215"/>
      <c r="R139" s="1215" t="s">
        <v>535</v>
      </c>
      <c r="S139" s="1215" t="s">
        <v>535</v>
      </c>
      <c r="T139" s="1215" t="s">
        <v>535</v>
      </c>
      <c r="U139" s="1215" t="s">
        <v>535</v>
      </c>
      <c r="V139" s="1215" t="s">
        <v>535</v>
      </c>
      <c r="W139" s="1215"/>
      <c r="X139" s="1215"/>
      <c r="Y139" s="1215" t="s">
        <v>535</v>
      </c>
      <c r="Z139" s="1215"/>
      <c r="AA139" s="1215"/>
      <c r="AB139" s="1215"/>
      <c r="AC139" s="1215" t="s">
        <v>535</v>
      </c>
      <c r="AD139" s="1215"/>
      <c r="AE139" s="1215"/>
      <c r="AF139" s="1215" t="s">
        <v>535</v>
      </c>
      <c r="AG139" s="1215"/>
      <c r="AH139" s="504">
        <v>185</v>
      </c>
      <c r="AI139" s="505">
        <v>37</v>
      </c>
    </row>
    <row r="140" spans="1:35" ht="21.95" customHeight="1">
      <c r="A140" s="580"/>
      <c r="B140" s="1300" t="s">
        <v>764</v>
      </c>
      <c r="C140" s="1215"/>
      <c r="D140" s="1500" t="s">
        <v>514</v>
      </c>
      <c r="E140" s="1215" t="s">
        <v>535</v>
      </c>
      <c r="F140" s="1215" t="s">
        <v>535</v>
      </c>
      <c r="G140" s="1215" t="s">
        <v>535</v>
      </c>
      <c r="H140" s="1215" t="s">
        <v>535</v>
      </c>
      <c r="I140" s="1215"/>
      <c r="J140" s="1215"/>
      <c r="K140" s="1215" t="s">
        <v>535</v>
      </c>
      <c r="L140" s="1215" t="s">
        <v>535</v>
      </c>
      <c r="M140" s="1215" t="s">
        <v>535</v>
      </c>
      <c r="N140" s="1215" t="s">
        <v>535</v>
      </c>
      <c r="O140" s="1215" t="s">
        <v>535</v>
      </c>
      <c r="P140" s="1215"/>
      <c r="Q140" s="1215"/>
      <c r="R140" s="1392" t="s">
        <v>535</v>
      </c>
      <c r="S140" s="1392" t="s">
        <v>535</v>
      </c>
      <c r="T140" s="1392" t="s">
        <v>535</v>
      </c>
      <c r="U140" s="1392" t="s">
        <v>535</v>
      </c>
      <c r="V140" s="1392" t="s">
        <v>535</v>
      </c>
      <c r="W140" s="1215"/>
      <c r="X140" s="1215"/>
      <c r="Y140" s="1215" t="s">
        <v>535</v>
      </c>
      <c r="Z140" s="1215"/>
      <c r="AA140" s="1215"/>
      <c r="AB140" s="1215"/>
      <c r="AC140" s="1215" t="s">
        <v>535</v>
      </c>
      <c r="AD140" s="1215"/>
      <c r="AE140" s="1215"/>
      <c r="AF140" s="1215" t="s">
        <v>535</v>
      </c>
      <c r="AG140" s="1215"/>
      <c r="AH140" s="504">
        <v>185</v>
      </c>
      <c r="AI140" s="505">
        <v>37</v>
      </c>
    </row>
    <row r="141" spans="1:35" ht="21.95" customHeight="1">
      <c r="A141" s="580"/>
      <c r="B141" s="1300" t="s">
        <v>748</v>
      </c>
      <c r="C141" s="1215"/>
      <c r="D141" s="1215" t="s">
        <v>535</v>
      </c>
      <c r="E141" s="1215" t="s">
        <v>535</v>
      </c>
      <c r="F141" s="1215" t="s">
        <v>535</v>
      </c>
      <c r="G141" s="1215" t="s">
        <v>535</v>
      </c>
      <c r="H141" s="1215" t="s">
        <v>535</v>
      </c>
      <c r="I141" s="1215"/>
      <c r="J141" s="1215"/>
      <c r="K141" s="1215" t="s">
        <v>535</v>
      </c>
      <c r="L141" s="1344"/>
      <c r="M141" s="1344" t="s">
        <v>514</v>
      </c>
      <c r="N141" s="1215" t="s">
        <v>535</v>
      </c>
      <c r="O141" s="1215" t="s">
        <v>535</v>
      </c>
      <c r="P141" s="1215"/>
      <c r="Q141" s="1215"/>
      <c r="R141" s="1215" t="s">
        <v>535</v>
      </c>
      <c r="S141" s="1215" t="s">
        <v>535</v>
      </c>
      <c r="T141" s="1215" t="s">
        <v>535</v>
      </c>
      <c r="U141" s="1215" t="s">
        <v>535</v>
      </c>
      <c r="V141" s="1215" t="s">
        <v>535</v>
      </c>
      <c r="W141" s="1215"/>
      <c r="X141" s="1215"/>
      <c r="Y141" s="1215" t="s">
        <v>535</v>
      </c>
      <c r="Z141" s="1215"/>
      <c r="AA141" s="1215"/>
      <c r="AB141" s="1215"/>
      <c r="AC141" s="1215" t="s">
        <v>535</v>
      </c>
      <c r="AD141" s="1215"/>
      <c r="AE141" s="1215"/>
      <c r="AF141" s="1215" t="s">
        <v>535</v>
      </c>
      <c r="AG141" s="1215"/>
      <c r="AH141" s="504">
        <v>185</v>
      </c>
      <c r="AI141" s="505">
        <v>37</v>
      </c>
    </row>
    <row r="142" spans="1:35" ht="21.95" customHeight="1">
      <c r="A142" s="580"/>
      <c r="B142" s="1509" t="s">
        <v>750</v>
      </c>
      <c r="C142" s="1215"/>
      <c r="D142" s="1215" t="s">
        <v>535</v>
      </c>
      <c r="E142" s="1344" t="s">
        <v>514</v>
      </c>
      <c r="F142" s="1215" t="s">
        <v>535</v>
      </c>
      <c r="G142" s="1215" t="s">
        <v>535</v>
      </c>
      <c r="H142" s="1215" t="s">
        <v>535</v>
      </c>
      <c r="I142" s="1215"/>
      <c r="J142" s="1215"/>
      <c r="K142" s="1215" t="s">
        <v>535</v>
      </c>
      <c r="L142" s="1500" t="s">
        <v>514</v>
      </c>
      <c r="M142" s="1344" t="s">
        <v>514</v>
      </c>
      <c r="N142" s="1215" t="s">
        <v>535</v>
      </c>
      <c r="O142" s="1215" t="s">
        <v>535</v>
      </c>
      <c r="P142" s="1215"/>
      <c r="Q142" s="1215"/>
      <c r="R142" s="1215" t="s">
        <v>535</v>
      </c>
      <c r="S142" s="1215" t="s">
        <v>535</v>
      </c>
      <c r="T142" s="1215" t="s">
        <v>535</v>
      </c>
      <c r="U142" s="1215" t="s">
        <v>535</v>
      </c>
      <c r="V142" s="1215" t="s">
        <v>535</v>
      </c>
      <c r="W142" s="1215"/>
      <c r="X142" s="1215"/>
      <c r="Y142" s="1215" t="s">
        <v>535</v>
      </c>
      <c r="Z142" s="1215"/>
      <c r="AA142" s="1215"/>
      <c r="AB142" s="1215"/>
      <c r="AC142" s="1215" t="s">
        <v>535</v>
      </c>
      <c r="AD142" s="1215"/>
      <c r="AE142" s="1215"/>
      <c r="AF142" s="1215" t="s">
        <v>535</v>
      </c>
      <c r="AG142" s="1215"/>
      <c r="AH142" s="504">
        <v>185</v>
      </c>
      <c r="AI142" s="505">
        <v>37</v>
      </c>
    </row>
    <row r="143" spans="1:35" ht="21.95" customHeight="1">
      <c r="A143" s="580"/>
      <c r="B143" s="1300" t="s">
        <v>786</v>
      </c>
      <c r="C143" s="1215"/>
      <c r="D143" s="1215" t="s">
        <v>535</v>
      </c>
      <c r="E143" s="1215" t="s">
        <v>535</v>
      </c>
      <c r="F143" s="1215" t="s">
        <v>535</v>
      </c>
      <c r="G143" s="1215" t="s">
        <v>535</v>
      </c>
      <c r="H143" s="1215" t="s">
        <v>535</v>
      </c>
      <c r="I143" s="1215"/>
      <c r="J143" s="1215"/>
      <c r="K143" s="1215" t="s">
        <v>535</v>
      </c>
      <c r="L143" s="1500" t="s">
        <v>514</v>
      </c>
      <c r="M143" s="1344" t="s">
        <v>514</v>
      </c>
      <c r="N143" s="1215" t="s">
        <v>535</v>
      </c>
      <c r="O143" s="1215" t="s">
        <v>535</v>
      </c>
      <c r="P143" s="1215"/>
      <c r="Q143" s="1215"/>
      <c r="R143" s="1215" t="s">
        <v>535</v>
      </c>
      <c r="S143" s="1215" t="s">
        <v>535</v>
      </c>
      <c r="T143" s="1215" t="s">
        <v>535</v>
      </c>
      <c r="U143" s="1215" t="s">
        <v>535</v>
      </c>
      <c r="V143" s="1215" t="s">
        <v>535</v>
      </c>
      <c r="W143" s="1215"/>
      <c r="X143" s="1215"/>
      <c r="Y143" s="1215" t="s">
        <v>535</v>
      </c>
      <c r="Z143" s="1215"/>
      <c r="AA143" s="1215"/>
      <c r="AB143" s="1215"/>
      <c r="AC143" s="1215" t="s">
        <v>535</v>
      </c>
      <c r="AD143" s="1215"/>
      <c r="AE143" s="1215"/>
      <c r="AF143" s="1215" t="s">
        <v>535</v>
      </c>
      <c r="AG143" s="1215"/>
      <c r="AH143" s="504">
        <v>185</v>
      </c>
      <c r="AI143" s="505">
        <v>37</v>
      </c>
    </row>
    <row r="144" spans="1:35" ht="21.95" customHeight="1">
      <c r="A144" s="580"/>
      <c r="B144" s="1299"/>
      <c r="C144" s="1215"/>
      <c r="D144" s="1215" t="s">
        <v>535</v>
      </c>
      <c r="E144" s="1215" t="s">
        <v>535</v>
      </c>
      <c r="F144" s="1215" t="s">
        <v>535</v>
      </c>
      <c r="G144" s="1215" t="s">
        <v>535</v>
      </c>
      <c r="H144" s="1215" t="s">
        <v>535</v>
      </c>
      <c r="I144" s="1215"/>
      <c r="J144" s="1215"/>
      <c r="K144" s="1215" t="s">
        <v>535</v>
      </c>
      <c r="L144" s="1215" t="s">
        <v>535</v>
      </c>
      <c r="M144" s="1215" t="s">
        <v>535</v>
      </c>
      <c r="N144" s="1215" t="s">
        <v>535</v>
      </c>
      <c r="O144" s="1215" t="s">
        <v>535</v>
      </c>
      <c r="P144" s="1215"/>
      <c r="Q144" s="1215"/>
      <c r="R144" s="1215" t="s">
        <v>535</v>
      </c>
      <c r="S144" s="1215" t="s">
        <v>535</v>
      </c>
      <c r="T144" s="1215" t="s">
        <v>535</v>
      </c>
      <c r="U144" s="1215" t="s">
        <v>535</v>
      </c>
      <c r="V144" s="1215" t="s">
        <v>535</v>
      </c>
      <c r="W144" s="1215"/>
      <c r="X144" s="1215"/>
      <c r="Y144" s="1215" t="s">
        <v>535</v>
      </c>
      <c r="Z144" s="1215"/>
      <c r="AA144" s="1215"/>
      <c r="AB144" s="1215"/>
      <c r="AC144" s="1215" t="s">
        <v>535</v>
      </c>
      <c r="AD144" s="1215"/>
      <c r="AE144" s="1215"/>
      <c r="AF144" s="1215" t="s">
        <v>535</v>
      </c>
      <c r="AG144" s="1215"/>
      <c r="AH144" s="504">
        <v>185</v>
      </c>
      <c r="AI144" s="505">
        <v>37</v>
      </c>
    </row>
    <row r="145" spans="1:36" ht="21.95" customHeight="1">
      <c r="A145" s="580"/>
      <c r="B145" s="1502"/>
      <c r="C145" s="1502"/>
      <c r="D145" s="559"/>
      <c r="E145" s="559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59"/>
      <c r="AE145" s="559"/>
      <c r="AF145" s="559"/>
      <c r="AG145" s="559"/>
      <c r="AH145" s="560"/>
      <c r="AI145" s="560"/>
    </row>
    <row r="146" spans="1:36" ht="21.95" customHeight="1" thickBot="1">
      <c r="A146" s="1303" t="s">
        <v>751</v>
      </c>
      <c r="B146" s="541"/>
      <c r="C146" s="559"/>
      <c r="D146" s="541"/>
      <c r="E146" s="541"/>
      <c r="F146" s="541"/>
      <c r="G146" s="541"/>
      <c r="H146" s="541"/>
      <c r="I146" s="559"/>
      <c r="J146" s="559"/>
      <c r="K146" s="541"/>
      <c r="L146" s="541"/>
      <c r="M146" s="541"/>
      <c r="N146" s="541"/>
      <c r="O146" s="541"/>
      <c r="P146" s="541"/>
      <c r="Q146" s="559"/>
      <c r="R146" s="541"/>
      <c r="S146" s="541"/>
      <c r="T146" s="541"/>
      <c r="U146" s="541"/>
      <c r="V146" s="541"/>
      <c r="W146" s="559"/>
      <c r="X146" s="559"/>
      <c r="Y146" s="541"/>
      <c r="Z146" s="541"/>
      <c r="AA146" s="541"/>
      <c r="AB146" s="541"/>
      <c r="AC146" s="541"/>
      <c r="AD146" s="541"/>
      <c r="AE146" s="559"/>
      <c r="AF146" s="541"/>
      <c r="AG146" s="541"/>
      <c r="AH146" s="560"/>
      <c r="AI146" s="560"/>
    </row>
    <row r="147" spans="1:36" ht="21.95" customHeight="1">
      <c r="A147" s="580"/>
      <c r="B147" s="1304" t="s">
        <v>696</v>
      </c>
      <c r="C147" s="1312"/>
      <c r="D147" s="1305" t="s">
        <v>2</v>
      </c>
      <c r="E147" s="1306"/>
      <c r="F147" s="1307"/>
      <c r="G147" s="1308"/>
      <c r="H147" s="1305" t="s">
        <v>3</v>
      </c>
      <c r="I147" s="1306"/>
      <c r="J147" s="1307"/>
      <c r="K147" s="1308"/>
      <c r="L147" s="1305" t="s">
        <v>4</v>
      </c>
      <c r="M147" s="1306"/>
      <c r="N147" s="1307"/>
      <c r="O147" s="1308"/>
      <c r="P147" s="1305" t="s">
        <v>5</v>
      </c>
      <c r="Q147" s="1306"/>
      <c r="R147" s="1307"/>
      <c r="S147" s="1308"/>
      <c r="T147" s="1305" t="s">
        <v>6</v>
      </c>
      <c r="U147" s="1306"/>
      <c r="V147" s="1307"/>
      <c r="W147" s="1308"/>
      <c r="X147" s="1305" t="s">
        <v>7</v>
      </c>
      <c r="Y147" s="1306"/>
      <c r="Z147" s="1307"/>
      <c r="AA147" s="1308"/>
      <c r="AB147" s="1305" t="s">
        <v>8</v>
      </c>
      <c r="AC147" s="1306"/>
      <c r="AD147" s="1306"/>
      <c r="AE147" s="1309" t="s">
        <v>10</v>
      </c>
      <c r="AF147" s="1306"/>
      <c r="AG147" s="1306"/>
      <c r="AH147" s="1306"/>
      <c r="AI147" s="1310"/>
    </row>
    <row r="148" spans="1:36" ht="21.95" customHeight="1">
      <c r="A148" s="580"/>
      <c r="B148" s="1332"/>
      <c r="C148" s="1313"/>
      <c r="D148" s="1331"/>
      <c r="E148" s="1314"/>
      <c r="F148" s="1311"/>
      <c r="G148" s="1313"/>
      <c r="H148" s="1331"/>
      <c r="I148" s="1314"/>
      <c r="J148" s="1311"/>
      <c r="K148" s="1313"/>
      <c r="L148" s="1331"/>
      <c r="M148" s="1314"/>
      <c r="N148" s="1311"/>
      <c r="O148" s="1313"/>
      <c r="P148" s="1331"/>
      <c r="Q148" s="1314"/>
      <c r="R148" s="1311"/>
      <c r="S148" s="1313"/>
      <c r="T148" s="1331"/>
      <c r="U148" s="1314"/>
      <c r="V148" s="1311"/>
      <c r="W148" s="1313"/>
      <c r="X148" s="1314"/>
      <c r="Y148" s="1314"/>
      <c r="Z148" s="1311"/>
      <c r="AA148" s="1313"/>
      <c r="AB148" s="1314"/>
      <c r="AC148" s="1314"/>
      <c r="AD148" s="1314"/>
      <c r="AE148" s="1313"/>
      <c r="AF148" s="1314"/>
      <c r="AG148" s="1314"/>
      <c r="AH148" s="1316"/>
      <c r="AI148" s="1317"/>
    </row>
    <row r="149" spans="1:36" ht="21.95" customHeight="1">
      <c r="A149" s="580"/>
      <c r="B149" s="1333"/>
      <c r="C149" s="1313"/>
      <c r="D149" s="1331"/>
      <c r="E149" s="1314"/>
      <c r="F149" s="1311"/>
      <c r="G149" s="1313"/>
      <c r="H149" s="1331"/>
      <c r="I149" s="1314"/>
      <c r="J149" s="1311"/>
      <c r="K149" s="1313"/>
      <c r="L149" s="1331"/>
      <c r="M149" s="1314"/>
      <c r="N149" s="1311"/>
      <c r="O149" s="1313"/>
      <c r="P149" s="1331"/>
      <c r="Q149" s="1314"/>
      <c r="R149" s="1311"/>
      <c r="S149" s="1313"/>
      <c r="T149" s="1331"/>
      <c r="U149" s="1314"/>
      <c r="V149" s="1311"/>
      <c r="W149" s="1313"/>
      <c r="X149" s="1314"/>
      <c r="Y149" s="1314"/>
      <c r="Z149" s="1311"/>
      <c r="AA149" s="1313"/>
      <c r="AB149" s="1314"/>
      <c r="AC149" s="1314"/>
      <c r="AD149" s="1314"/>
      <c r="AE149" s="1313"/>
      <c r="AF149" s="1314"/>
      <c r="AG149" s="1314"/>
      <c r="AH149" s="1316"/>
      <c r="AI149" s="1317"/>
    </row>
    <row r="150" spans="1:36" ht="21.95" customHeight="1">
      <c r="A150" s="580"/>
      <c r="B150" s="1333"/>
      <c r="C150" s="1313"/>
      <c r="D150" s="1331"/>
      <c r="E150" s="1314"/>
      <c r="F150" s="1311"/>
      <c r="G150" s="1313"/>
      <c r="H150" s="1331"/>
      <c r="I150" s="1314"/>
      <c r="J150" s="1311"/>
      <c r="K150" s="1313"/>
      <c r="L150" s="1331"/>
      <c r="M150" s="1314"/>
      <c r="N150" s="1311"/>
      <c r="O150" s="1313"/>
      <c r="P150" s="1331"/>
      <c r="Q150" s="1314"/>
      <c r="R150" s="1311"/>
      <c r="S150" s="1313"/>
      <c r="T150" s="1331"/>
      <c r="U150" s="1314"/>
      <c r="V150" s="1311"/>
      <c r="W150" s="1313"/>
      <c r="X150" s="1314"/>
      <c r="Y150" s="1314"/>
      <c r="Z150" s="1311"/>
      <c r="AA150" s="1313"/>
      <c r="AB150" s="1314"/>
      <c r="AC150" s="1314"/>
      <c r="AD150" s="1314"/>
      <c r="AE150" s="1313"/>
      <c r="AF150" s="1314"/>
      <c r="AG150" s="1314"/>
      <c r="AH150" s="1316"/>
      <c r="AI150" s="1317"/>
    </row>
    <row r="151" spans="1:36" ht="21.95" customHeight="1" thickBot="1">
      <c r="A151" s="580"/>
      <c r="B151" s="1502"/>
      <c r="C151" s="1502"/>
      <c r="D151" s="559"/>
      <c r="E151" s="559"/>
      <c r="F151" s="559"/>
      <c r="G151" s="559"/>
      <c r="H151" s="559"/>
      <c r="I151" s="559"/>
      <c r="J151" s="559"/>
      <c r="K151" s="559"/>
      <c r="L151" s="559"/>
      <c r="M151" s="559"/>
      <c r="N151" s="559"/>
      <c r="O151" s="559"/>
      <c r="P151" s="559"/>
      <c r="Q151" s="559"/>
      <c r="R151" s="559"/>
      <c r="S151" s="559"/>
      <c r="T151" s="559"/>
      <c r="U151" s="559"/>
      <c r="V151" s="559"/>
      <c r="W151" s="559"/>
      <c r="X151" s="559"/>
      <c r="Y151" s="559"/>
      <c r="Z151" s="559"/>
      <c r="AA151" s="559"/>
      <c r="AB151" s="559"/>
      <c r="AC151" s="559"/>
      <c r="AD151" s="559"/>
      <c r="AE151" s="559"/>
      <c r="AF151" s="559"/>
      <c r="AG151" s="559"/>
      <c r="AH151" s="560"/>
      <c r="AI151" s="560"/>
    </row>
    <row r="152" spans="1:36" ht="21.95" customHeight="1">
      <c r="A152" s="1232"/>
      <c r="B152" s="1298" t="s">
        <v>480</v>
      </c>
      <c r="C152" s="1235">
        <v>1</v>
      </c>
      <c r="D152" s="1234">
        <v>2</v>
      </c>
      <c r="E152" s="1234">
        <v>3</v>
      </c>
      <c r="F152" s="1234">
        <v>4</v>
      </c>
      <c r="G152" s="1234">
        <v>5</v>
      </c>
      <c r="H152" s="1234">
        <v>6</v>
      </c>
      <c r="I152" s="1330">
        <v>7</v>
      </c>
      <c r="J152" s="1330">
        <v>8</v>
      </c>
      <c r="K152" s="1234">
        <v>9</v>
      </c>
      <c r="L152" s="1234">
        <v>10</v>
      </c>
      <c r="M152" s="1234">
        <v>11</v>
      </c>
      <c r="N152" s="1234">
        <v>12</v>
      </c>
      <c r="O152" s="1234">
        <v>13</v>
      </c>
      <c r="P152" s="1330">
        <v>14</v>
      </c>
      <c r="Q152" s="1330">
        <v>15</v>
      </c>
      <c r="R152" s="1234">
        <v>16</v>
      </c>
      <c r="S152" s="1234">
        <v>17</v>
      </c>
      <c r="T152" s="1234">
        <v>18</v>
      </c>
      <c r="U152" s="1234">
        <v>19</v>
      </c>
      <c r="V152" s="1213">
        <v>20</v>
      </c>
      <c r="W152" s="1330">
        <v>21</v>
      </c>
      <c r="X152" s="1330">
        <v>22</v>
      </c>
      <c r="Y152" s="1234">
        <v>23</v>
      </c>
      <c r="Z152" s="1235">
        <v>24</v>
      </c>
      <c r="AA152" s="1235">
        <v>25</v>
      </c>
      <c r="AB152" s="1235">
        <v>26</v>
      </c>
      <c r="AC152" s="1234">
        <v>27</v>
      </c>
      <c r="AD152" s="1330">
        <v>28</v>
      </c>
      <c r="AE152" s="1330">
        <v>29</v>
      </c>
      <c r="AF152" s="1234">
        <v>30</v>
      </c>
      <c r="AG152" s="1235">
        <v>31</v>
      </c>
      <c r="AH152" s="1301" t="s">
        <v>481</v>
      </c>
      <c r="AI152" s="1302" t="s">
        <v>482</v>
      </c>
    </row>
    <row r="153" spans="1:36" ht="21.95" customHeight="1">
      <c r="A153" s="580"/>
      <c r="B153" s="1510" t="s">
        <v>752</v>
      </c>
      <c r="C153" s="1215"/>
      <c r="D153" s="1500" t="s">
        <v>514</v>
      </c>
      <c r="E153" s="1215" t="s">
        <v>535</v>
      </c>
      <c r="F153" s="1215" t="s">
        <v>535</v>
      </c>
      <c r="G153" s="1215" t="s">
        <v>535</v>
      </c>
      <c r="H153" s="1215" t="s">
        <v>535</v>
      </c>
      <c r="I153" s="1215"/>
      <c r="J153" s="1215"/>
      <c r="K153" s="1215" t="s">
        <v>535</v>
      </c>
      <c r="L153" s="1215" t="s">
        <v>535</v>
      </c>
      <c r="M153" s="1215" t="s">
        <v>535</v>
      </c>
      <c r="N153" s="1215" t="s">
        <v>535</v>
      </c>
      <c r="O153" s="1215" t="s">
        <v>535</v>
      </c>
      <c r="P153" s="1215"/>
      <c r="Q153" s="1215"/>
      <c r="R153" s="1215" t="s">
        <v>535</v>
      </c>
      <c r="S153" s="1215" t="s">
        <v>535</v>
      </c>
      <c r="T153" s="1215" t="s">
        <v>535</v>
      </c>
      <c r="U153" s="1215" t="s">
        <v>535</v>
      </c>
      <c r="V153" s="1215" t="s">
        <v>535</v>
      </c>
      <c r="W153" s="1215"/>
      <c r="X153" s="1215"/>
      <c r="Y153" s="1215" t="s">
        <v>535</v>
      </c>
      <c r="Z153" s="1215"/>
      <c r="AA153" s="1215"/>
      <c r="AB153" s="1215"/>
      <c r="AC153" s="1215" t="s">
        <v>535</v>
      </c>
      <c r="AD153" s="1215"/>
      <c r="AE153" s="1215"/>
      <c r="AF153" s="1215" t="s">
        <v>535</v>
      </c>
      <c r="AG153" s="1215"/>
      <c r="AH153" s="504">
        <v>185</v>
      </c>
      <c r="AI153" s="505">
        <v>37</v>
      </c>
    </row>
    <row r="154" spans="1:36" ht="21.95" customHeight="1">
      <c r="A154" s="580"/>
      <c r="B154" s="1319"/>
      <c r="C154" s="1215"/>
      <c r="D154" s="1215" t="s">
        <v>535</v>
      </c>
      <c r="E154" s="1215" t="s">
        <v>535</v>
      </c>
      <c r="F154" s="1215" t="s">
        <v>535</v>
      </c>
      <c r="G154" s="1215" t="s">
        <v>535</v>
      </c>
      <c r="H154" s="1215" t="s">
        <v>535</v>
      </c>
      <c r="I154" s="1215"/>
      <c r="J154" s="1215"/>
      <c r="K154" s="1215" t="s">
        <v>535</v>
      </c>
      <c r="L154" s="1215" t="s">
        <v>535</v>
      </c>
      <c r="M154" s="1215" t="s">
        <v>535</v>
      </c>
      <c r="N154" s="1215" t="s">
        <v>535</v>
      </c>
      <c r="O154" s="1215" t="s">
        <v>535</v>
      </c>
      <c r="P154" s="1215"/>
      <c r="Q154" s="1215"/>
      <c r="R154" s="1215" t="s">
        <v>535</v>
      </c>
      <c r="S154" s="1215" t="s">
        <v>535</v>
      </c>
      <c r="T154" s="1215" t="s">
        <v>535</v>
      </c>
      <c r="U154" s="1215" t="s">
        <v>535</v>
      </c>
      <c r="V154" s="1215" t="s">
        <v>535</v>
      </c>
      <c r="W154" s="1215"/>
      <c r="X154" s="1215"/>
      <c r="Y154" s="1215" t="s">
        <v>535</v>
      </c>
      <c r="Z154" s="1215"/>
      <c r="AA154" s="1215"/>
      <c r="AB154" s="1215"/>
      <c r="AC154" s="1215" t="s">
        <v>535</v>
      </c>
      <c r="AD154" s="1215"/>
      <c r="AE154" s="1215"/>
      <c r="AF154" s="1215" t="s">
        <v>535</v>
      </c>
      <c r="AG154" s="1215"/>
      <c r="AH154" s="504">
        <v>185</v>
      </c>
      <c r="AI154" s="505">
        <v>37</v>
      </c>
    </row>
    <row r="155" spans="1:36" ht="21.95" customHeight="1">
      <c r="A155" s="580"/>
      <c r="B155" s="1510" t="s">
        <v>754</v>
      </c>
      <c r="C155" s="1215"/>
      <c r="D155" s="1215" t="s">
        <v>535</v>
      </c>
      <c r="E155" s="1500" t="s">
        <v>514</v>
      </c>
      <c r="F155" s="1215" t="s">
        <v>535</v>
      </c>
      <c r="G155" s="1215" t="s">
        <v>535</v>
      </c>
      <c r="H155" s="1215" t="s">
        <v>535</v>
      </c>
      <c r="I155" s="1215"/>
      <c r="J155" s="1215"/>
      <c r="K155" s="1338" t="s">
        <v>535</v>
      </c>
      <c r="L155" s="1215" t="s">
        <v>535</v>
      </c>
      <c r="M155" s="1215" t="s">
        <v>535</v>
      </c>
      <c r="N155" s="1215" t="s">
        <v>535</v>
      </c>
      <c r="O155" s="1215" t="s">
        <v>535</v>
      </c>
      <c r="P155" s="1215"/>
      <c r="Q155" s="1215"/>
      <c r="R155" s="1215" t="s">
        <v>535</v>
      </c>
      <c r="S155" s="1215" t="s">
        <v>535</v>
      </c>
      <c r="T155" s="1215" t="s">
        <v>535</v>
      </c>
      <c r="U155" s="1215" t="s">
        <v>535</v>
      </c>
      <c r="V155" s="1215" t="s">
        <v>535</v>
      </c>
      <c r="W155" s="1215"/>
      <c r="X155" s="1215"/>
      <c r="Y155" s="1215" t="s">
        <v>535</v>
      </c>
      <c r="Z155" s="1215"/>
      <c r="AA155" s="1215"/>
      <c r="AB155" s="1215"/>
      <c r="AC155" s="1215" t="s">
        <v>535</v>
      </c>
      <c r="AD155" s="1215"/>
      <c r="AE155" s="1215"/>
      <c r="AF155" s="1338" t="s">
        <v>535</v>
      </c>
      <c r="AG155" s="1215"/>
      <c r="AH155" s="504">
        <v>185</v>
      </c>
      <c r="AI155" s="505">
        <v>37</v>
      </c>
    </row>
    <row r="156" spans="1:36" ht="21.95" customHeight="1">
      <c r="A156" s="580"/>
      <c r="B156" s="1299" t="s">
        <v>755</v>
      </c>
      <c r="C156" s="1215"/>
      <c r="D156" s="1345" t="s">
        <v>535</v>
      </c>
      <c r="E156" s="1215" t="s">
        <v>535</v>
      </c>
      <c r="F156" s="1344" t="s">
        <v>514</v>
      </c>
      <c r="G156" s="1215" t="s">
        <v>535</v>
      </c>
      <c r="H156" s="1215" t="s">
        <v>535</v>
      </c>
      <c r="I156" s="1215"/>
      <c r="J156" s="1215"/>
      <c r="K156" s="1215" t="s">
        <v>535</v>
      </c>
      <c r="L156" s="1344" t="s">
        <v>514</v>
      </c>
      <c r="M156" s="1215" t="s">
        <v>535</v>
      </c>
      <c r="N156" s="1215" t="s">
        <v>535</v>
      </c>
      <c r="O156" s="1215" t="s">
        <v>535</v>
      </c>
      <c r="P156" s="1215"/>
      <c r="Q156" s="1215"/>
      <c r="R156" s="1215" t="s">
        <v>535</v>
      </c>
      <c r="S156" s="1215" t="s">
        <v>535</v>
      </c>
      <c r="T156" s="1215" t="s">
        <v>535</v>
      </c>
      <c r="U156" s="1215" t="s">
        <v>535</v>
      </c>
      <c r="V156" s="1215" t="s">
        <v>535</v>
      </c>
      <c r="W156" s="1215"/>
      <c r="X156" s="1215"/>
      <c r="Y156" s="1215" t="s">
        <v>535</v>
      </c>
      <c r="Z156" s="1215"/>
      <c r="AA156" s="1215"/>
      <c r="AB156" s="1215"/>
      <c r="AC156" s="1392" t="s">
        <v>535</v>
      </c>
      <c r="AD156" s="1392"/>
      <c r="AE156" s="1392"/>
      <c r="AF156" s="1392" t="s">
        <v>535</v>
      </c>
      <c r="AG156" s="1215"/>
      <c r="AH156" s="504">
        <v>185</v>
      </c>
      <c r="AI156" s="505">
        <v>37</v>
      </c>
    </row>
    <row r="157" spans="1:36" ht="21.95" customHeight="1">
      <c r="A157" s="580"/>
      <c r="B157" s="1300" t="s">
        <v>756</v>
      </c>
      <c r="C157" s="1215"/>
      <c r="D157" s="1215" t="s">
        <v>535</v>
      </c>
      <c r="E157" s="1215" t="s">
        <v>535</v>
      </c>
      <c r="F157" s="1215" t="s">
        <v>535</v>
      </c>
      <c r="G157" s="1215" t="s">
        <v>535</v>
      </c>
      <c r="H157" s="1215" t="s">
        <v>535</v>
      </c>
      <c r="I157" s="1215"/>
      <c r="J157" s="1215"/>
      <c r="K157" s="1215" t="s">
        <v>535</v>
      </c>
      <c r="L157" s="1500" t="s">
        <v>514</v>
      </c>
      <c r="M157" s="1344" t="s">
        <v>514</v>
      </c>
      <c r="N157" s="1215" t="s">
        <v>535</v>
      </c>
      <c r="O157" s="1215" t="s">
        <v>535</v>
      </c>
      <c r="P157" s="1215"/>
      <c r="Q157" s="1215"/>
      <c r="R157" s="1215" t="s">
        <v>535</v>
      </c>
      <c r="S157" s="1215" t="s">
        <v>535</v>
      </c>
      <c r="T157" s="1215" t="s">
        <v>535</v>
      </c>
      <c r="U157" s="1215" t="s">
        <v>535</v>
      </c>
      <c r="V157" s="1215" t="s">
        <v>535</v>
      </c>
      <c r="W157" s="1215"/>
      <c r="X157" s="1215"/>
      <c r="Y157" s="1345" t="s">
        <v>535</v>
      </c>
      <c r="Z157" s="1215"/>
      <c r="AA157" s="1215"/>
      <c r="AB157" s="1215"/>
      <c r="AC157" s="1345" t="s">
        <v>535</v>
      </c>
      <c r="AD157" s="1215"/>
      <c r="AE157" s="1215"/>
      <c r="AF157" s="1345" t="s">
        <v>535</v>
      </c>
      <c r="AG157" s="1215"/>
      <c r="AH157" s="504">
        <v>185</v>
      </c>
      <c r="AI157" s="505">
        <v>37</v>
      </c>
    </row>
    <row r="158" spans="1:36" ht="21.95" customHeight="1">
      <c r="A158" s="580"/>
      <c r="B158" s="1299"/>
      <c r="C158" s="1215"/>
      <c r="D158" s="1215" t="s">
        <v>535</v>
      </c>
      <c r="E158" s="1215" t="s">
        <v>535</v>
      </c>
      <c r="F158" s="1215" t="s">
        <v>535</v>
      </c>
      <c r="G158" s="1215" t="s">
        <v>535</v>
      </c>
      <c r="H158" s="1215" t="s">
        <v>535</v>
      </c>
      <c r="I158" s="1215"/>
      <c r="J158" s="1215"/>
      <c r="K158" s="1215" t="s">
        <v>535</v>
      </c>
      <c r="L158" s="1215" t="s">
        <v>535</v>
      </c>
      <c r="M158" s="1215" t="s">
        <v>535</v>
      </c>
      <c r="N158" s="1215" t="s">
        <v>535</v>
      </c>
      <c r="O158" s="1215" t="s">
        <v>535</v>
      </c>
      <c r="P158" s="1215"/>
      <c r="Q158" s="1215"/>
      <c r="R158" s="1215" t="s">
        <v>535</v>
      </c>
      <c r="S158" s="1215" t="s">
        <v>535</v>
      </c>
      <c r="T158" s="1215" t="s">
        <v>535</v>
      </c>
      <c r="U158" s="1215" t="s">
        <v>535</v>
      </c>
      <c r="V158" s="1215" t="s">
        <v>535</v>
      </c>
      <c r="W158" s="1215"/>
      <c r="X158" s="1215"/>
      <c r="Y158" s="1215" t="s">
        <v>535</v>
      </c>
      <c r="Z158" s="1215"/>
      <c r="AA158" s="1215"/>
      <c r="AB158" s="1215"/>
      <c r="AC158" s="1215" t="s">
        <v>535</v>
      </c>
      <c r="AD158" s="1215"/>
      <c r="AE158" s="1215"/>
      <c r="AF158" s="1215" t="s">
        <v>535</v>
      </c>
      <c r="AG158" s="1215"/>
      <c r="AH158" s="504">
        <v>185</v>
      </c>
      <c r="AI158" s="505">
        <v>37</v>
      </c>
    </row>
    <row r="159" spans="1:36" ht="21.95" customHeight="1">
      <c r="A159" s="580"/>
      <c r="B159" s="1502"/>
      <c r="C159" s="1503"/>
      <c r="D159" s="559"/>
      <c r="E159" s="559"/>
      <c r="F159" s="559"/>
      <c r="G159" s="559"/>
      <c r="H159" s="559"/>
      <c r="I159" s="559"/>
      <c r="J159" s="559"/>
      <c r="K159" s="559"/>
      <c r="L159" s="559"/>
      <c r="M159" s="559"/>
      <c r="N159" s="559"/>
      <c r="O159" s="559"/>
      <c r="P159" s="559"/>
      <c r="Q159" s="559"/>
      <c r="R159" s="559"/>
      <c r="S159" s="559"/>
      <c r="T159" s="559"/>
      <c r="U159" s="559"/>
      <c r="V159" s="559"/>
      <c r="W159" s="559"/>
      <c r="X159" s="559"/>
      <c r="Y159" s="559"/>
      <c r="Z159" s="559"/>
      <c r="AA159" s="559"/>
      <c r="AB159" s="559"/>
      <c r="AC159" s="559"/>
      <c r="AD159" s="559"/>
      <c r="AE159" s="559"/>
      <c r="AF159" s="559"/>
      <c r="AG159" s="559"/>
      <c r="AH159" s="560"/>
      <c r="AI159" s="560"/>
    </row>
    <row r="160" spans="1:36" ht="21.95" customHeight="1">
      <c r="A160" s="312" t="s">
        <v>527</v>
      </c>
      <c r="C160" s="559"/>
      <c r="D160" s="559"/>
      <c r="E160" s="559"/>
      <c r="F160" s="559"/>
      <c r="G160" s="559"/>
      <c r="H160" s="559"/>
      <c r="I160" s="559"/>
      <c r="J160" s="559"/>
      <c r="K160" s="559"/>
      <c r="L160" s="559"/>
      <c r="M160" s="559"/>
      <c r="N160" s="559"/>
      <c r="O160" s="559"/>
      <c r="P160" s="559"/>
      <c r="Q160" s="559"/>
      <c r="R160" s="559"/>
      <c r="S160" s="559"/>
      <c r="T160" s="559"/>
      <c r="U160" s="559"/>
      <c r="V160" s="559"/>
      <c r="W160" s="559"/>
      <c r="X160" s="559"/>
      <c r="Y160" s="559"/>
      <c r="Z160" s="559"/>
      <c r="AA160" s="559"/>
      <c r="AB160" s="559"/>
      <c r="AC160" s="559"/>
      <c r="AD160" s="559"/>
      <c r="AE160" s="559"/>
      <c r="AF160" s="559"/>
      <c r="AG160" s="559"/>
      <c r="AH160" s="560"/>
      <c r="AI160" s="560"/>
      <c r="AJ160" s="361"/>
    </row>
    <row r="161" spans="1:36" ht="21.95" customHeight="1">
      <c r="A161" s="299" t="s">
        <v>528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9" t="s">
        <v>10</v>
      </c>
      <c r="Y161" s="186"/>
      <c r="Z161" s="186"/>
      <c r="AA161" s="565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529</v>
      </c>
      <c r="C162" s="588" t="s">
        <v>124</v>
      </c>
      <c r="D162" s="585"/>
      <c r="E162" s="590"/>
      <c r="F162" s="588" t="s">
        <v>124</v>
      </c>
      <c r="G162" s="591"/>
      <c r="H162" s="590"/>
      <c r="I162" s="121" t="s">
        <v>124</v>
      </c>
      <c r="J162" s="569"/>
      <c r="K162" s="592"/>
      <c r="L162" s="121" t="s">
        <v>124</v>
      </c>
      <c r="M162" s="569"/>
      <c r="N162" s="592"/>
      <c r="O162" s="121" t="s">
        <v>125</v>
      </c>
      <c r="P162" s="569"/>
      <c r="Q162" s="477"/>
      <c r="R162" s="593" t="s">
        <v>28</v>
      </c>
      <c r="S162" s="569"/>
      <c r="T162" s="592"/>
      <c r="U162" s="569" t="s">
        <v>28</v>
      </c>
      <c r="V162" s="569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4"/>
      <c r="AH162" s="361"/>
      <c r="AI162" s="361"/>
      <c r="AJ162" s="361"/>
    </row>
    <row r="163" spans="1:36" ht="21.95" customHeight="1">
      <c r="A163" s="595">
        <v>8502</v>
      </c>
      <c r="B163" s="596" t="s">
        <v>530</v>
      </c>
      <c r="C163" s="121" t="s">
        <v>11</v>
      </c>
      <c r="D163" s="569"/>
      <c r="E163" s="477"/>
      <c r="F163" s="121" t="s">
        <v>11</v>
      </c>
      <c r="G163" s="569"/>
      <c r="H163" s="592"/>
      <c r="I163" s="121" t="s">
        <v>11</v>
      </c>
      <c r="J163" s="569"/>
      <c r="K163" s="592"/>
      <c r="L163" s="121" t="s">
        <v>11</v>
      </c>
      <c r="M163" s="569"/>
      <c r="N163" s="592"/>
      <c r="O163" s="121" t="s">
        <v>12</v>
      </c>
      <c r="P163" s="569"/>
      <c r="Q163" s="477"/>
      <c r="R163" s="597"/>
      <c r="S163" s="598"/>
      <c r="T163" s="592"/>
      <c r="U163" s="569"/>
      <c r="V163" s="569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9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9"/>
      <c r="B165" s="182" t="s">
        <v>480</v>
      </c>
      <c r="C165" s="1235">
        <v>1</v>
      </c>
      <c r="D165" s="1234">
        <v>2</v>
      </c>
      <c r="E165" s="1234">
        <v>3</v>
      </c>
      <c r="F165" s="1234">
        <v>4</v>
      </c>
      <c r="G165" s="1234">
        <v>5</v>
      </c>
      <c r="H165" s="1234">
        <v>6</v>
      </c>
      <c r="I165" s="1330">
        <v>7</v>
      </c>
      <c r="J165" s="1330">
        <v>8</v>
      </c>
      <c r="K165" s="1234">
        <v>9</v>
      </c>
      <c r="L165" s="1234">
        <v>10</v>
      </c>
      <c r="M165" s="1234">
        <v>11</v>
      </c>
      <c r="N165" s="1234">
        <v>12</v>
      </c>
      <c r="O165" s="1234">
        <v>13</v>
      </c>
      <c r="P165" s="1330">
        <v>14</v>
      </c>
      <c r="Q165" s="1330">
        <v>15</v>
      </c>
      <c r="R165" s="1234">
        <v>16</v>
      </c>
      <c r="S165" s="1234">
        <v>17</v>
      </c>
      <c r="T165" s="1234">
        <v>18</v>
      </c>
      <c r="U165" s="1234">
        <v>19</v>
      </c>
      <c r="V165" s="1213">
        <v>20</v>
      </c>
      <c r="W165" s="1330">
        <v>21</v>
      </c>
      <c r="X165" s="1330">
        <v>22</v>
      </c>
      <c r="Y165" s="1234">
        <v>23</v>
      </c>
      <c r="Z165" s="1235">
        <v>24</v>
      </c>
      <c r="AA165" s="1235">
        <v>25</v>
      </c>
      <c r="AB165" s="1235">
        <v>26</v>
      </c>
      <c r="AC165" s="1234">
        <v>27</v>
      </c>
      <c r="AD165" s="1330">
        <v>28</v>
      </c>
      <c r="AE165" s="1330">
        <v>29</v>
      </c>
      <c r="AF165" s="1234">
        <v>30</v>
      </c>
      <c r="AG165" s="1235">
        <v>31</v>
      </c>
      <c r="AH165" s="600" t="s">
        <v>481</v>
      </c>
      <c r="AI165" s="601" t="s">
        <v>482</v>
      </c>
    </row>
    <row r="166" spans="1:36" ht="21.95" customHeight="1">
      <c r="A166" s="602">
        <v>1</v>
      </c>
      <c r="B166" s="153" t="s">
        <v>531</v>
      </c>
      <c r="C166" s="1215"/>
      <c r="D166" s="1392" t="s">
        <v>514</v>
      </c>
      <c r="E166" s="1392" t="s">
        <v>535</v>
      </c>
      <c r="F166" s="1392" t="s">
        <v>535</v>
      </c>
      <c r="G166" s="1392" t="s">
        <v>535</v>
      </c>
      <c r="H166" s="1392" t="s">
        <v>535</v>
      </c>
      <c r="I166" s="1392"/>
      <c r="J166" s="1392"/>
      <c r="K166" s="1392" t="s">
        <v>535</v>
      </c>
      <c r="L166" s="1392" t="s">
        <v>535</v>
      </c>
      <c r="M166" s="1392" t="s">
        <v>535</v>
      </c>
      <c r="N166" s="1392" t="s">
        <v>535</v>
      </c>
      <c r="O166" s="1392" t="s">
        <v>535</v>
      </c>
      <c r="P166" s="1392"/>
      <c r="Q166" s="1392"/>
      <c r="R166" s="1392" t="s">
        <v>535</v>
      </c>
      <c r="S166" s="1392" t="s">
        <v>535</v>
      </c>
      <c r="T166" s="1392" t="s">
        <v>535</v>
      </c>
      <c r="U166" s="1392" t="s">
        <v>535</v>
      </c>
      <c r="V166" s="1392" t="s">
        <v>535</v>
      </c>
      <c r="W166" s="1392"/>
      <c r="X166" s="1392"/>
      <c r="Y166" s="1392" t="s">
        <v>535</v>
      </c>
      <c r="Z166" s="1392"/>
      <c r="AA166" s="1392"/>
      <c r="AB166" s="1392"/>
      <c r="AC166" s="1392" t="s">
        <v>535</v>
      </c>
      <c r="AD166" s="1392"/>
      <c r="AE166" s="1392"/>
      <c r="AF166" s="1392" t="s">
        <v>535</v>
      </c>
      <c r="AG166" s="1623"/>
      <c r="AH166" s="1320">
        <v>185</v>
      </c>
      <c r="AI166" s="1321">
        <v>37</v>
      </c>
    </row>
    <row r="167" spans="1:36" ht="21.95" customHeight="1">
      <c r="A167" s="602">
        <v>2</v>
      </c>
      <c r="B167" s="153" t="s">
        <v>534</v>
      </c>
      <c r="C167" s="1215"/>
      <c r="D167" s="1215" t="s">
        <v>485</v>
      </c>
      <c r="E167" s="1500" t="s">
        <v>535</v>
      </c>
      <c r="F167" s="1215" t="s">
        <v>485</v>
      </c>
      <c r="G167" s="1215" t="s">
        <v>484</v>
      </c>
      <c r="H167" s="1215" t="s">
        <v>484</v>
      </c>
      <c r="I167" s="1215"/>
      <c r="J167" s="1215"/>
      <c r="K167" s="1338" t="s">
        <v>535</v>
      </c>
      <c r="L167" s="1338" t="s">
        <v>535</v>
      </c>
      <c r="M167" s="1338" t="s">
        <v>535</v>
      </c>
      <c r="N167" s="1338" t="s">
        <v>535</v>
      </c>
      <c r="O167" s="1338" t="s">
        <v>535</v>
      </c>
      <c r="P167" s="1338"/>
      <c r="Q167" s="1338"/>
      <c r="R167" s="1338" t="s">
        <v>535</v>
      </c>
      <c r="S167" s="1338" t="s">
        <v>535</v>
      </c>
      <c r="T167" s="1338" t="s">
        <v>535</v>
      </c>
      <c r="U167" s="1338" t="s">
        <v>535</v>
      </c>
      <c r="V167" s="1338" t="s">
        <v>535</v>
      </c>
      <c r="W167" s="1338"/>
      <c r="X167" s="1338"/>
      <c r="Y167" s="1335" t="s">
        <v>535</v>
      </c>
      <c r="Z167" s="1215"/>
      <c r="AA167" s="1215"/>
      <c r="AB167" s="1215"/>
      <c r="AC167" s="1335" t="s">
        <v>535</v>
      </c>
      <c r="AD167" s="1215"/>
      <c r="AE167" s="1215"/>
      <c r="AF167" s="1335" t="s">
        <v>535</v>
      </c>
      <c r="AG167" s="1215"/>
      <c r="AH167" s="1322">
        <v>185</v>
      </c>
      <c r="AI167" s="1323">
        <v>37</v>
      </c>
    </row>
    <row r="168" spans="1:36" ht="21.95" customHeight="1">
      <c r="A168" s="602">
        <v>3</v>
      </c>
      <c r="B168" s="153" t="s">
        <v>536</v>
      </c>
      <c r="C168" s="1215" t="s">
        <v>555</v>
      </c>
      <c r="D168" s="1215" t="s">
        <v>487</v>
      </c>
      <c r="E168" s="1215" t="s">
        <v>487</v>
      </c>
      <c r="F168" s="1215" t="s">
        <v>487</v>
      </c>
      <c r="G168" s="1215" t="s">
        <v>487</v>
      </c>
      <c r="H168" s="1215" t="s">
        <v>487</v>
      </c>
      <c r="I168" s="1215"/>
      <c r="J168" s="1215"/>
      <c r="K168" s="1215">
        <v>6</v>
      </c>
      <c r="L168" s="1500" t="s">
        <v>514</v>
      </c>
      <c r="M168" s="1344">
        <v>6</v>
      </c>
      <c r="N168" s="1215">
        <v>6</v>
      </c>
      <c r="O168" s="1215">
        <v>6</v>
      </c>
      <c r="P168" s="1335" t="s">
        <v>532</v>
      </c>
      <c r="Q168" s="1335" t="s">
        <v>533</v>
      </c>
      <c r="R168" s="1215" t="s">
        <v>487</v>
      </c>
      <c r="S168" s="1215" t="s">
        <v>487</v>
      </c>
      <c r="T168" s="1215" t="s">
        <v>487</v>
      </c>
      <c r="U168" s="1215" t="s">
        <v>487</v>
      </c>
      <c r="V168" s="1215" t="s">
        <v>487</v>
      </c>
      <c r="W168" s="1215"/>
      <c r="X168" s="1215"/>
      <c r="Y168" s="1215" t="s">
        <v>484</v>
      </c>
      <c r="Z168" s="1215">
        <v>5</v>
      </c>
      <c r="AA168" s="1215">
        <v>5</v>
      </c>
      <c r="AB168" s="1215">
        <v>5</v>
      </c>
      <c r="AC168" s="1335">
        <v>5</v>
      </c>
      <c r="AD168" s="1215"/>
      <c r="AE168" s="1215"/>
      <c r="AF168" s="1215">
        <v>10</v>
      </c>
      <c r="AG168" s="1221">
        <v>10</v>
      </c>
      <c r="AH168" s="1322">
        <v>117</v>
      </c>
      <c r="AI168" s="1323">
        <v>37</v>
      </c>
    </row>
    <row r="169" spans="1:36" ht="21.95" customHeight="1">
      <c r="A169" s="602">
        <v>4</v>
      </c>
      <c r="B169" s="1241" t="s">
        <v>542</v>
      </c>
      <c r="C169" s="1215"/>
      <c r="D169" s="1215" t="s">
        <v>537</v>
      </c>
      <c r="E169" s="1215" t="s">
        <v>537</v>
      </c>
      <c r="F169" s="1215" t="s">
        <v>537</v>
      </c>
      <c r="G169" s="1215" t="s">
        <v>550</v>
      </c>
      <c r="H169" s="1215" t="s">
        <v>537</v>
      </c>
      <c r="I169" s="1215"/>
      <c r="J169" s="1215"/>
      <c r="K169" s="1215" t="s">
        <v>537</v>
      </c>
      <c r="L169" s="1215" t="s">
        <v>537</v>
      </c>
      <c r="M169" s="1215" t="s">
        <v>537</v>
      </c>
      <c r="N169" s="1215" t="s">
        <v>537</v>
      </c>
      <c r="O169" s="1215" t="s">
        <v>537</v>
      </c>
      <c r="P169" s="1215"/>
      <c r="Q169" s="1215"/>
      <c r="R169" s="1215" t="s">
        <v>537</v>
      </c>
      <c r="S169" s="1215" t="s">
        <v>537</v>
      </c>
      <c r="T169" s="1215" t="s">
        <v>537</v>
      </c>
      <c r="U169" s="1215" t="s">
        <v>537</v>
      </c>
      <c r="V169" s="1215" t="s">
        <v>537</v>
      </c>
      <c r="W169" s="1215"/>
      <c r="X169" s="1215"/>
      <c r="Y169" s="1215" t="s">
        <v>537</v>
      </c>
      <c r="Z169" s="1215"/>
      <c r="AA169" s="1215"/>
      <c r="AB169" s="1215"/>
      <c r="AC169" s="1215" t="s">
        <v>537</v>
      </c>
      <c r="AD169" s="1215"/>
      <c r="AE169" s="1215"/>
      <c r="AF169" s="1215" t="s">
        <v>537</v>
      </c>
      <c r="AG169" s="1215"/>
      <c r="AH169" s="1322">
        <v>185</v>
      </c>
      <c r="AI169" s="1323">
        <v>37</v>
      </c>
    </row>
    <row r="170" spans="1:36" ht="21.95" customHeight="1">
      <c r="A170" s="602">
        <v>5</v>
      </c>
      <c r="B170" s="319" t="s">
        <v>771</v>
      </c>
      <c r="C170" s="1215" t="s">
        <v>660</v>
      </c>
      <c r="D170" s="1344" t="s">
        <v>487</v>
      </c>
      <c r="E170" s="1344" t="s">
        <v>487</v>
      </c>
      <c r="F170" s="1344" t="s">
        <v>487</v>
      </c>
      <c r="G170" s="1344" t="s">
        <v>487</v>
      </c>
      <c r="H170" s="1344" t="s">
        <v>487</v>
      </c>
      <c r="I170" s="1344"/>
      <c r="J170" s="1344"/>
      <c r="K170" s="1392" t="s">
        <v>485</v>
      </c>
      <c r="L170" s="1392" t="s">
        <v>484</v>
      </c>
      <c r="M170" s="1392" t="s">
        <v>484</v>
      </c>
      <c r="N170" s="1392" t="s">
        <v>765</v>
      </c>
      <c r="O170" s="1344" t="s">
        <v>485</v>
      </c>
      <c r="P170" s="1215" t="s">
        <v>486</v>
      </c>
      <c r="Q170" s="1215" t="s">
        <v>486</v>
      </c>
      <c r="R170" s="1215" t="s">
        <v>487</v>
      </c>
      <c r="S170" s="1215" t="s">
        <v>487</v>
      </c>
      <c r="T170" s="1215" t="s">
        <v>487</v>
      </c>
      <c r="U170" s="1215" t="s">
        <v>487</v>
      </c>
      <c r="V170" s="1215" t="s">
        <v>487</v>
      </c>
      <c r="W170" s="1215"/>
      <c r="X170" s="1215"/>
      <c r="Y170" s="1215" t="s">
        <v>685</v>
      </c>
      <c r="Z170" s="1215"/>
      <c r="AA170" s="1215"/>
      <c r="AB170" s="1215"/>
      <c r="AC170" s="1335" t="s">
        <v>535</v>
      </c>
      <c r="AD170" s="1215"/>
      <c r="AE170" s="1215"/>
      <c r="AF170" s="1335" t="s">
        <v>535</v>
      </c>
      <c r="AG170" s="1215"/>
      <c r="AH170" s="1324">
        <v>185</v>
      </c>
      <c r="AI170" s="1325">
        <v>37</v>
      </c>
    </row>
    <row r="171" spans="1:36" ht="21.95" customHeight="1">
      <c r="A171" s="602">
        <v>6</v>
      </c>
      <c r="B171" s="153" t="s">
        <v>773</v>
      </c>
      <c r="C171" s="1215"/>
      <c r="D171" s="1215">
        <v>1</v>
      </c>
      <c r="E171" s="1215" t="s">
        <v>684</v>
      </c>
      <c r="F171" s="1215">
        <v>1</v>
      </c>
      <c r="G171" s="1215">
        <v>1</v>
      </c>
      <c r="H171" s="1215">
        <v>1</v>
      </c>
      <c r="I171" s="1215" t="s">
        <v>28</v>
      </c>
      <c r="J171" s="1215" t="s">
        <v>532</v>
      </c>
      <c r="K171" s="1215">
        <v>9</v>
      </c>
      <c r="L171" s="1215">
        <v>9</v>
      </c>
      <c r="M171" s="1215">
        <v>9</v>
      </c>
      <c r="N171" s="1215">
        <v>9</v>
      </c>
      <c r="O171" s="1215" t="s">
        <v>487</v>
      </c>
      <c r="P171" s="1215"/>
      <c r="Q171" s="1215"/>
      <c r="R171" s="1215" t="s">
        <v>484</v>
      </c>
      <c r="S171" s="1215" t="s">
        <v>484</v>
      </c>
      <c r="T171" s="1215" t="s">
        <v>684</v>
      </c>
      <c r="U171" s="1215" t="s">
        <v>485</v>
      </c>
      <c r="V171" s="1215" t="s">
        <v>485</v>
      </c>
      <c r="W171" s="1215"/>
      <c r="X171" s="1215"/>
      <c r="Y171" s="1215" t="s">
        <v>684</v>
      </c>
      <c r="Z171" s="1215"/>
      <c r="AA171" s="1215"/>
      <c r="AB171" s="1215"/>
      <c r="AC171" s="1335" t="s">
        <v>535</v>
      </c>
      <c r="AD171" s="1215"/>
      <c r="AE171" s="1215"/>
      <c r="AF171" s="1335" t="s">
        <v>535</v>
      </c>
      <c r="AG171" s="1215"/>
      <c r="AH171" s="1326">
        <v>185</v>
      </c>
      <c r="AI171" s="1327">
        <v>37</v>
      </c>
    </row>
    <row r="172" spans="1:36" ht="21.95" customHeight="1">
      <c r="A172" s="602">
        <v>7</v>
      </c>
      <c r="B172" s="902" t="s">
        <v>778</v>
      </c>
      <c r="C172" s="1215"/>
      <c r="D172" s="1215" t="s">
        <v>535</v>
      </c>
      <c r="E172" s="1500" t="s">
        <v>514</v>
      </c>
      <c r="F172" s="1215" t="s">
        <v>535</v>
      </c>
      <c r="G172" s="1215" t="s">
        <v>535</v>
      </c>
      <c r="H172" s="1215" t="s">
        <v>535</v>
      </c>
      <c r="I172" s="1215"/>
      <c r="J172" s="1215"/>
      <c r="K172" s="1392" t="s">
        <v>570</v>
      </c>
      <c r="L172" s="1344" t="s">
        <v>514</v>
      </c>
      <c r="M172" s="1215" t="s">
        <v>535</v>
      </c>
      <c r="N172" s="1215" t="s">
        <v>535</v>
      </c>
      <c r="O172" s="1215" t="s">
        <v>535</v>
      </c>
      <c r="P172" s="1215"/>
      <c r="Q172" s="1215"/>
      <c r="R172" s="1215" t="s">
        <v>535</v>
      </c>
      <c r="S172" s="1215" t="s">
        <v>535</v>
      </c>
      <c r="T172" s="1215" t="s">
        <v>535</v>
      </c>
      <c r="U172" s="1215" t="s">
        <v>535</v>
      </c>
      <c r="V172" s="1215" t="s">
        <v>535</v>
      </c>
      <c r="W172" s="1215"/>
      <c r="X172" s="1215"/>
      <c r="Y172" s="1215" t="s">
        <v>535</v>
      </c>
      <c r="Z172" s="1215"/>
      <c r="AA172" s="1215"/>
      <c r="AB172" s="1215"/>
      <c r="AC172" s="1215" t="s">
        <v>535</v>
      </c>
      <c r="AD172" s="1215"/>
      <c r="AE172" s="1215"/>
      <c r="AF172" s="1215" t="s">
        <v>535</v>
      </c>
      <c r="AG172" s="1215"/>
      <c r="AH172" s="1326">
        <v>148</v>
      </c>
      <c r="AI172" s="1327">
        <v>37</v>
      </c>
    </row>
    <row r="173" spans="1:36" ht="21.95" customHeight="1">
      <c r="A173" s="602">
        <v>8</v>
      </c>
      <c r="B173" s="902"/>
      <c r="C173" s="1215"/>
      <c r="D173" s="1215"/>
      <c r="E173" s="1215"/>
      <c r="F173" s="1215"/>
      <c r="G173" s="1215"/>
      <c r="H173" s="1215"/>
      <c r="I173" s="1215"/>
      <c r="J173" s="1215"/>
      <c r="K173" s="1215"/>
      <c r="L173" s="1215"/>
      <c r="M173" s="1215"/>
      <c r="N173" s="1215"/>
      <c r="O173" s="1215"/>
      <c r="P173" s="1215"/>
      <c r="Q173" s="1215"/>
      <c r="R173" s="1215"/>
      <c r="S173" s="1215"/>
      <c r="T173" s="1215"/>
      <c r="U173" s="1215"/>
      <c r="V173" s="1215"/>
      <c r="W173" s="1215"/>
      <c r="X173" s="1215"/>
      <c r="Y173" s="1215"/>
      <c r="Z173" s="1215"/>
      <c r="AA173" s="1215"/>
      <c r="AB173" s="1215"/>
      <c r="AC173" s="1215"/>
      <c r="AD173" s="1215"/>
      <c r="AE173" s="1215"/>
      <c r="AF173" s="1215"/>
      <c r="AG173" s="1215"/>
      <c r="AH173" s="1326">
        <v>185</v>
      </c>
      <c r="AI173" s="1327">
        <v>37</v>
      </c>
    </row>
    <row r="174" spans="1:36" ht="21.95" customHeight="1">
      <c r="A174" s="602">
        <v>9</v>
      </c>
      <c r="B174" s="153"/>
      <c r="C174" s="1215"/>
      <c r="D174" s="1215"/>
      <c r="E174" s="1215"/>
      <c r="F174" s="1215"/>
      <c r="G174" s="1215"/>
      <c r="H174" s="1215"/>
      <c r="I174" s="1215"/>
      <c r="J174" s="1215"/>
      <c r="K174" s="1215"/>
      <c r="L174" s="1215"/>
      <c r="M174" s="1215"/>
      <c r="N174" s="1215"/>
      <c r="O174" s="1215"/>
      <c r="P174" s="1215"/>
      <c r="Q174" s="1215"/>
      <c r="R174" s="1215"/>
      <c r="S174" s="1215"/>
      <c r="T174" s="1215"/>
      <c r="U174" s="1215"/>
      <c r="V174" s="1215"/>
      <c r="W174" s="1215"/>
      <c r="X174" s="1215"/>
      <c r="Y174" s="1215"/>
      <c r="Z174" s="1215"/>
      <c r="AA174" s="1215"/>
      <c r="AB174" s="1215"/>
      <c r="AC174" s="1215"/>
      <c r="AD174" s="1215"/>
      <c r="AE174" s="1215"/>
      <c r="AF174" s="1215"/>
      <c r="AG174" s="1215"/>
      <c r="AH174" s="1326">
        <v>185</v>
      </c>
      <c r="AI174" s="1327">
        <v>37</v>
      </c>
    </row>
    <row r="175" spans="1:36" ht="21.95" customHeight="1">
      <c r="A175" s="602">
        <v>10</v>
      </c>
      <c r="B175" s="153"/>
      <c r="C175" s="1213"/>
      <c r="D175" s="1213"/>
      <c r="E175" s="1213"/>
      <c r="F175" s="1213"/>
      <c r="G175" s="1213"/>
      <c r="H175" s="1213"/>
      <c r="I175" s="1213"/>
      <c r="J175" s="1213"/>
      <c r="K175" s="1213"/>
      <c r="L175" s="1213"/>
      <c r="M175" s="1213"/>
      <c r="N175" s="1213"/>
      <c r="O175" s="1213"/>
      <c r="P175" s="1213"/>
      <c r="Q175" s="1213"/>
      <c r="R175" s="1213"/>
      <c r="S175" s="1213"/>
      <c r="T175" s="1213"/>
      <c r="U175" s="1213"/>
      <c r="V175" s="1213"/>
      <c r="W175" s="1215"/>
      <c r="X175" s="1213"/>
      <c r="Y175" s="1213"/>
      <c r="Z175" s="1213"/>
      <c r="AA175" s="1213"/>
      <c r="AB175" s="1213"/>
      <c r="AC175" s="1213"/>
      <c r="AD175" s="1213"/>
      <c r="AE175" s="1213"/>
      <c r="AF175" s="1213"/>
      <c r="AG175" s="1230"/>
      <c r="AH175" s="1326">
        <v>185</v>
      </c>
      <c r="AI175" s="1327">
        <v>37</v>
      </c>
    </row>
    <row r="176" spans="1:36" ht="21.95" customHeight="1">
      <c r="A176" s="602">
        <v>11</v>
      </c>
      <c r="B176" s="153"/>
      <c r="C176" s="1213"/>
      <c r="D176" s="1213"/>
      <c r="E176" s="1213"/>
      <c r="F176" s="1213"/>
      <c r="G176" s="1213"/>
      <c r="H176" s="1213"/>
      <c r="I176" s="1213"/>
      <c r="J176" s="1213"/>
      <c r="K176" s="1213"/>
      <c r="L176" s="1213"/>
      <c r="M176" s="1213"/>
      <c r="N176" s="1213"/>
      <c r="O176" s="1213"/>
      <c r="P176" s="1213"/>
      <c r="Q176" s="1213"/>
      <c r="R176" s="1213"/>
      <c r="S176" s="1213"/>
      <c r="T176" s="1213"/>
      <c r="U176" s="1213"/>
      <c r="V176" s="1213"/>
      <c r="W176" s="1215"/>
      <c r="X176" s="1213"/>
      <c r="Y176" s="1213"/>
      <c r="Z176" s="1213"/>
      <c r="AA176" s="1213"/>
      <c r="AB176" s="1213"/>
      <c r="AC176" s="1213"/>
      <c r="AD176" s="1213"/>
      <c r="AE176" s="1213"/>
      <c r="AF176" s="1213"/>
      <c r="AG176" s="1230"/>
      <c r="AH176" s="1326">
        <v>185</v>
      </c>
      <c r="AI176" s="1327">
        <v>37</v>
      </c>
    </row>
    <row r="177" spans="1:35" ht="21.95" customHeight="1" thickBot="1">
      <c r="A177" s="602">
        <v>12</v>
      </c>
      <c r="B177" s="153"/>
      <c r="C177" s="1213"/>
      <c r="D177" s="1213"/>
      <c r="E177" s="1213"/>
      <c r="F177" s="1213"/>
      <c r="G177" s="1213"/>
      <c r="H177" s="1213"/>
      <c r="I177" s="1213"/>
      <c r="J177" s="1213"/>
      <c r="K177" s="1213"/>
      <c r="L177" s="1213"/>
      <c r="M177" s="1213"/>
      <c r="N177" s="1213"/>
      <c r="O177" s="1213"/>
      <c r="P177" s="1213"/>
      <c r="Q177" s="1213"/>
      <c r="R177" s="1213"/>
      <c r="S177" s="1213"/>
      <c r="T177" s="1213"/>
      <c r="U177" s="1213"/>
      <c r="V177" s="1213"/>
      <c r="W177" s="1215"/>
      <c r="X177" s="1213"/>
      <c r="Y177" s="1213"/>
      <c r="Z177" s="1213"/>
      <c r="AA177" s="1213"/>
      <c r="AB177" s="1213"/>
      <c r="AC177" s="1213"/>
      <c r="AD177" s="1213"/>
      <c r="AE177" s="1213"/>
      <c r="AF177" s="1213"/>
      <c r="AG177" s="1230"/>
      <c r="AH177" s="1328">
        <v>185</v>
      </c>
      <c r="AI177" s="1329">
        <v>37</v>
      </c>
    </row>
    <row r="178" spans="1:35" ht="21" customHeight="1">
      <c r="A178" s="312" t="s">
        <v>551</v>
      </c>
    </row>
    <row r="179" spans="1:35" ht="21" customHeight="1">
      <c r="A179" s="556"/>
      <c r="B179" s="297" t="s">
        <v>480</v>
      </c>
      <c r="C179" s="1235">
        <v>1</v>
      </c>
      <c r="D179" s="1234">
        <v>2</v>
      </c>
      <c r="E179" s="1234">
        <v>3</v>
      </c>
      <c r="F179" s="1234">
        <v>4</v>
      </c>
      <c r="G179" s="1234">
        <v>5</v>
      </c>
      <c r="H179" s="1234">
        <v>6</v>
      </c>
      <c r="I179" s="1330">
        <v>7</v>
      </c>
      <c r="J179" s="1330">
        <v>8</v>
      </c>
      <c r="K179" s="1234">
        <v>9</v>
      </c>
      <c r="L179" s="1234">
        <v>10</v>
      </c>
      <c r="M179" s="1234">
        <v>11</v>
      </c>
      <c r="N179" s="1234">
        <v>12</v>
      </c>
      <c r="O179" s="1234">
        <v>13</v>
      </c>
      <c r="P179" s="1330">
        <v>14</v>
      </c>
      <c r="Q179" s="1330">
        <v>15</v>
      </c>
      <c r="R179" s="1234">
        <v>16</v>
      </c>
      <c r="S179" s="1234">
        <v>17</v>
      </c>
      <c r="T179" s="1234">
        <v>18</v>
      </c>
      <c r="U179" s="1234">
        <v>19</v>
      </c>
      <c r="V179" s="1213">
        <v>20</v>
      </c>
      <c r="W179" s="1330">
        <v>21</v>
      </c>
      <c r="X179" s="1330">
        <v>22</v>
      </c>
      <c r="Y179" s="1234">
        <v>23</v>
      </c>
      <c r="Z179" s="1235">
        <v>24</v>
      </c>
      <c r="AA179" s="1235">
        <v>25</v>
      </c>
      <c r="AB179" s="1235">
        <v>26</v>
      </c>
      <c r="AC179" s="1234">
        <v>27</v>
      </c>
      <c r="AD179" s="1330">
        <v>28</v>
      </c>
      <c r="AE179" s="1330">
        <v>29</v>
      </c>
      <c r="AF179" s="1234">
        <v>30</v>
      </c>
      <c r="AG179" s="1235">
        <v>31</v>
      </c>
      <c r="AH179" s="606"/>
    </row>
    <row r="180" spans="1:35" ht="21" customHeight="1">
      <c r="A180" s="556">
        <v>1</v>
      </c>
      <c r="B180" s="319" t="s">
        <v>552</v>
      </c>
      <c r="C180" s="1215"/>
      <c r="D180" s="1215" t="s">
        <v>514</v>
      </c>
      <c r="E180" s="1215" t="s">
        <v>514</v>
      </c>
      <c r="F180" s="1215" t="s">
        <v>514</v>
      </c>
      <c r="G180" s="1215" t="s">
        <v>514</v>
      </c>
      <c r="H180" s="1215" t="s">
        <v>514</v>
      </c>
      <c r="I180" s="1215"/>
      <c r="J180" s="1215"/>
      <c r="K180" s="1215" t="s">
        <v>514</v>
      </c>
      <c r="L180" s="1215" t="s">
        <v>514</v>
      </c>
      <c r="M180" s="1215" t="s">
        <v>514</v>
      </c>
      <c r="N180" s="1215" t="s">
        <v>514</v>
      </c>
      <c r="O180" s="1215" t="s">
        <v>514</v>
      </c>
      <c r="P180" s="1215"/>
      <c r="Q180" s="1215"/>
      <c r="R180" s="1215">
        <v>1</v>
      </c>
      <c r="S180" s="1215">
        <v>1</v>
      </c>
      <c r="T180" s="1215">
        <v>1</v>
      </c>
      <c r="U180" s="1215">
        <v>4</v>
      </c>
      <c r="V180" s="1215">
        <v>1</v>
      </c>
      <c r="W180" s="1215"/>
      <c r="X180" s="1215"/>
      <c r="Y180" s="1215" t="s">
        <v>487</v>
      </c>
      <c r="Z180" s="1215"/>
      <c r="AA180" s="1215"/>
      <c r="AB180" s="1215"/>
      <c r="AC180" s="1215" t="s">
        <v>487</v>
      </c>
      <c r="AD180" s="1215"/>
      <c r="AE180" s="1215"/>
      <c r="AF180" s="1215" t="s">
        <v>487</v>
      </c>
      <c r="AG180" s="1215"/>
      <c r="AH180" s="606"/>
    </row>
    <row r="181" spans="1:35" ht="21" customHeight="1">
      <c r="A181" s="556">
        <v>2</v>
      </c>
      <c r="B181" s="545" t="s">
        <v>553</v>
      </c>
      <c r="C181" s="1344" t="s">
        <v>486</v>
      </c>
      <c r="D181" s="1344" t="s">
        <v>487</v>
      </c>
      <c r="E181" s="1344" t="s">
        <v>487</v>
      </c>
      <c r="F181" s="1344" t="s">
        <v>487</v>
      </c>
      <c r="G181" s="1500"/>
      <c r="H181" s="1344" t="s">
        <v>487</v>
      </c>
      <c r="I181" s="1344"/>
      <c r="J181" s="1344" t="s">
        <v>555</v>
      </c>
      <c r="K181" s="1344">
        <v>10</v>
      </c>
      <c r="L181" s="1344" t="s">
        <v>485</v>
      </c>
      <c r="M181" s="1344" t="s">
        <v>487</v>
      </c>
      <c r="N181" s="1344" t="s">
        <v>487</v>
      </c>
      <c r="O181" s="1344" t="s">
        <v>487</v>
      </c>
      <c r="P181" s="1344" t="s">
        <v>532</v>
      </c>
      <c r="Q181" s="1344"/>
      <c r="R181" s="1344" t="s">
        <v>485</v>
      </c>
      <c r="S181" s="1344" t="s">
        <v>485</v>
      </c>
      <c r="T181" s="1215" t="s">
        <v>485</v>
      </c>
      <c r="U181" s="1392" t="s">
        <v>484</v>
      </c>
      <c r="V181" s="1392" t="s">
        <v>484</v>
      </c>
      <c r="W181" s="1392"/>
      <c r="X181" s="1392" t="s">
        <v>800</v>
      </c>
      <c r="Y181" s="1344" t="s">
        <v>683</v>
      </c>
      <c r="Z181" s="1344"/>
      <c r="AA181" s="1344" t="s">
        <v>486</v>
      </c>
      <c r="AB181" s="1344"/>
      <c r="AC181" s="1344" t="s">
        <v>487</v>
      </c>
      <c r="AD181" s="1344"/>
      <c r="AE181" s="1344"/>
      <c r="AF181" s="1344" t="s">
        <v>484</v>
      </c>
      <c r="AG181" s="1344" t="s">
        <v>486</v>
      </c>
      <c r="AH181" s="606"/>
    </row>
    <row r="182" spans="1:35" ht="21" customHeight="1">
      <c r="A182" s="556">
        <v>3</v>
      </c>
      <c r="B182" s="545" t="s">
        <v>554</v>
      </c>
      <c r="C182" s="1344"/>
      <c r="D182" s="1500" t="s">
        <v>514</v>
      </c>
      <c r="E182" s="1344">
        <v>1</v>
      </c>
      <c r="F182" s="1393" t="s">
        <v>485</v>
      </c>
      <c r="G182" s="1393" t="s">
        <v>485</v>
      </c>
      <c r="H182" s="1393" t="s">
        <v>485</v>
      </c>
      <c r="I182" s="1344"/>
      <c r="J182" s="1344"/>
      <c r="K182" s="1344" t="s">
        <v>487</v>
      </c>
      <c r="L182" s="1215" t="s">
        <v>535</v>
      </c>
      <c r="M182" s="1215">
        <v>3</v>
      </c>
      <c r="N182" s="1215" t="s">
        <v>535</v>
      </c>
      <c r="O182" s="1344" t="s">
        <v>487</v>
      </c>
      <c r="P182" s="1344"/>
      <c r="Q182" s="1344" t="s">
        <v>533</v>
      </c>
      <c r="R182" s="1344">
        <v>3</v>
      </c>
      <c r="S182" s="1344">
        <v>3</v>
      </c>
      <c r="T182" s="1344">
        <v>3</v>
      </c>
      <c r="U182" s="1344" t="s">
        <v>514</v>
      </c>
      <c r="V182" s="1344" t="s">
        <v>514</v>
      </c>
      <c r="W182" s="1344"/>
      <c r="X182" s="1344"/>
      <c r="Y182" s="1344" t="s">
        <v>487</v>
      </c>
      <c r="Z182" s="1344"/>
      <c r="AA182" s="1344"/>
      <c r="AB182" s="1344"/>
      <c r="AC182" s="1344" t="s">
        <v>487</v>
      </c>
      <c r="AD182" s="1344"/>
      <c r="AE182" s="1344"/>
      <c r="AF182" s="1344" t="s">
        <v>487</v>
      </c>
      <c r="AG182" s="1344"/>
      <c r="AH182" s="606"/>
    </row>
    <row r="183" spans="1:35" ht="21" customHeight="1">
      <c r="A183" s="556">
        <v>4</v>
      </c>
      <c r="B183" s="545" t="s">
        <v>788</v>
      </c>
      <c r="C183" s="1344"/>
      <c r="D183" s="1393">
        <v>8</v>
      </c>
      <c r="E183" s="1393">
        <v>8</v>
      </c>
      <c r="F183" s="1393">
        <v>8</v>
      </c>
      <c r="G183" s="1393">
        <v>8</v>
      </c>
      <c r="H183" s="1393">
        <v>8</v>
      </c>
      <c r="I183" s="1344"/>
      <c r="J183" s="1344"/>
      <c r="K183" s="1344">
        <v>3</v>
      </c>
      <c r="L183" s="1344">
        <v>3</v>
      </c>
      <c r="M183" s="1393">
        <v>9</v>
      </c>
      <c r="N183" s="1393">
        <v>9</v>
      </c>
      <c r="O183" s="1393">
        <v>9</v>
      </c>
      <c r="P183" s="1393" t="s">
        <v>543</v>
      </c>
      <c r="Q183" s="1393" t="s">
        <v>543</v>
      </c>
      <c r="R183" s="1344" t="s">
        <v>487</v>
      </c>
      <c r="S183" s="1344" t="s">
        <v>487</v>
      </c>
      <c r="T183" s="1344" t="s">
        <v>487</v>
      </c>
      <c r="U183" s="1344" t="s">
        <v>487</v>
      </c>
      <c r="V183" s="1344" t="s">
        <v>487</v>
      </c>
      <c r="W183" s="1344"/>
      <c r="X183" s="1344"/>
      <c r="Y183" s="1344" t="s">
        <v>487</v>
      </c>
      <c r="Z183" s="1344"/>
      <c r="AA183" s="1344"/>
      <c r="AB183" s="1624"/>
      <c r="AC183" s="1344" t="s">
        <v>487</v>
      </c>
      <c r="AD183" s="1344"/>
      <c r="AE183" s="1344"/>
      <c r="AF183" s="1344" t="s">
        <v>487</v>
      </c>
      <c r="AG183" s="1344"/>
      <c r="AH183" s="606"/>
    </row>
    <row r="184" spans="1:35" ht="21" customHeight="1">
      <c r="A184" s="556">
        <v>5</v>
      </c>
      <c r="B184" s="545"/>
      <c r="C184" s="1344"/>
      <c r="D184" s="1344"/>
      <c r="E184" s="1344"/>
      <c r="F184" s="1344"/>
      <c r="G184" s="1344"/>
      <c r="H184" s="1344"/>
      <c r="I184" s="1344"/>
      <c r="J184" s="1344"/>
      <c r="K184" s="1344"/>
      <c r="L184" s="1344"/>
      <c r="M184" s="1344"/>
      <c r="N184" s="1344"/>
      <c r="O184" s="1344"/>
      <c r="P184" s="1344"/>
      <c r="Q184" s="1344"/>
      <c r="R184" s="1344"/>
      <c r="S184" s="1344"/>
      <c r="T184" s="1344"/>
      <c r="U184" s="1344"/>
      <c r="V184" s="1344"/>
      <c r="W184" s="1344"/>
      <c r="X184" s="1344"/>
      <c r="Y184" s="1344"/>
      <c r="Z184" s="1344"/>
      <c r="AA184" s="1344"/>
      <c r="AB184" s="1344"/>
      <c r="AC184" s="1344"/>
      <c r="AD184" s="1344"/>
      <c r="AE184" s="1344"/>
      <c r="AF184" s="1344"/>
      <c r="AG184" s="1344"/>
      <c r="AH184" s="606"/>
    </row>
    <row r="185" spans="1:35" ht="21" customHeight="1">
      <c r="A185" s="1232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1233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6"/>
    </row>
    <row r="186" spans="1:35" ht="21.95" customHeight="1" thickBot="1">
      <c r="A186" s="1" t="s">
        <v>560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1290" t="s">
        <v>516</v>
      </c>
      <c r="C187" s="51" t="s">
        <v>2</v>
      </c>
      <c r="D187" s="51"/>
      <c r="E187" s="51"/>
      <c r="F187" s="51"/>
      <c r="G187" s="1292" t="s">
        <v>3</v>
      </c>
      <c r="H187" s="51"/>
      <c r="I187" s="51"/>
      <c r="J187" s="51"/>
      <c r="K187" s="1292" t="s">
        <v>4</v>
      </c>
      <c r="L187" s="51"/>
      <c r="M187" s="51"/>
      <c r="N187" s="51"/>
      <c r="O187" s="1292" t="s">
        <v>5</v>
      </c>
      <c r="P187" s="51"/>
      <c r="Q187" s="51"/>
      <c r="R187" s="51"/>
      <c r="S187" s="1292" t="s">
        <v>6</v>
      </c>
      <c r="T187" s="51"/>
      <c r="U187" s="51"/>
      <c r="V187" s="51"/>
      <c r="W187" s="51"/>
      <c r="X187" s="1296" t="s">
        <v>7</v>
      </c>
      <c r="Y187" s="51"/>
      <c r="Z187" s="551"/>
      <c r="AA187" s="7"/>
      <c r="AB187" s="525" t="s">
        <v>8</v>
      </c>
      <c r="AC187" s="51"/>
      <c r="AD187" s="51"/>
      <c r="AE187" s="425" t="s">
        <v>10</v>
      </c>
      <c r="AF187" s="51"/>
      <c r="AG187" s="51"/>
      <c r="AH187" s="51"/>
      <c r="AI187" s="526"/>
    </row>
    <row r="188" spans="1:35" ht="21.95" customHeight="1">
      <c r="A188" s="1"/>
      <c r="B188" s="1290">
        <v>3701</v>
      </c>
      <c r="C188" s="55" t="s">
        <v>561</v>
      </c>
      <c r="D188" s="55"/>
      <c r="E188" s="55"/>
      <c r="F188" s="55"/>
      <c r="G188" s="1293" t="s">
        <v>124</v>
      </c>
      <c r="H188" s="55"/>
      <c r="I188" s="55"/>
      <c r="J188" s="55"/>
      <c r="K188" s="1293" t="s">
        <v>124</v>
      </c>
      <c r="L188" s="55"/>
      <c r="M188" s="55"/>
      <c r="N188" s="55"/>
      <c r="O188" s="1293" t="s">
        <v>124</v>
      </c>
      <c r="P188" s="55"/>
      <c r="Q188" s="55"/>
      <c r="R188" s="55"/>
      <c r="S188" s="1293" t="s">
        <v>125</v>
      </c>
      <c r="T188" s="55"/>
      <c r="U188" s="55"/>
      <c r="V188" s="55"/>
      <c r="W188" s="55"/>
      <c r="X188" s="1297"/>
      <c r="Y188" s="55"/>
      <c r="Z188" s="608"/>
      <c r="AA188" s="14"/>
      <c r="AB188" s="609"/>
      <c r="AC188" s="55"/>
      <c r="AD188" s="55"/>
      <c r="AE188" s="610"/>
      <c r="AF188" s="55"/>
      <c r="AG188" s="55"/>
      <c r="AH188" s="55"/>
      <c r="AI188" s="611"/>
    </row>
    <row r="189" spans="1:35" ht="21.95" customHeight="1">
      <c r="B189" s="1290">
        <v>3700</v>
      </c>
      <c r="C189" s="157" t="s">
        <v>512</v>
      </c>
      <c r="D189" s="157"/>
      <c r="E189" s="157"/>
      <c r="F189" s="157"/>
      <c r="G189" s="897" t="s">
        <v>512</v>
      </c>
      <c r="H189" s="157"/>
      <c r="I189" s="157"/>
      <c r="J189" s="157"/>
      <c r="K189" s="897" t="s">
        <v>512</v>
      </c>
      <c r="L189" s="157"/>
      <c r="M189" s="157"/>
      <c r="N189" s="157"/>
      <c r="O189" s="897" t="s">
        <v>512</v>
      </c>
      <c r="P189" s="157"/>
      <c r="Q189" s="157"/>
      <c r="R189" s="157"/>
      <c r="S189" s="897" t="s">
        <v>116</v>
      </c>
      <c r="T189" s="157"/>
      <c r="U189" s="157"/>
      <c r="V189" s="157"/>
      <c r="W189" s="157"/>
      <c r="X189" s="897"/>
      <c r="Y189" s="157"/>
      <c r="Z189" s="568"/>
      <c r="AA189" s="567"/>
      <c r="AB189" s="157"/>
      <c r="AC189" s="157"/>
      <c r="AD189" s="569"/>
      <c r="AE189" s="613"/>
      <c r="AF189" s="157"/>
      <c r="AG189" s="157" t="s">
        <v>28</v>
      </c>
      <c r="AH189" s="569"/>
      <c r="AI189" s="490"/>
    </row>
    <row r="190" spans="1:35" ht="21.95" customHeight="1">
      <c r="A190" s="1"/>
      <c r="B190" s="1290">
        <v>8514</v>
      </c>
      <c r="C190" s="157" t="s">
        <v>124</v>
      </c>
      <c r="D190" s="157"/>
      <c r="E190" s="157"/>
      <c r="F190" s="157"/>
      <c r="G190" s="897" t="s">
        <v>124</v>
      </c>
      <c r="H190" s="157"/>
      <c r="I190" s="157"/>
      <c r="J190" s="157"/>
      <c r="K190" s="897" t="s">
        <v>124</v>
      </c>
      <c r="L190" s="157"/>
      <c r="M190" s="157"/>
      <c r="N190" s="157"/>
      <c r="O190" s="897" t="s">
        <v>124</v>
      </c>
      <c r="P190" s="157"/>
      <c r="Q190" s="157"/>
      <c r="R190" s="157"/>
      <c r="S190" s="897" t="s">
        <v>562</v>
      </c>
      <c r="T190" s="157"/>
      <c r="U190" s="157"/>
      <c r="V190" s="157"/>
      <c r="W190" s="157"/>
      <c r="X190" s="897"/>
      <c r="Y190" s="157"/>
      <c r="Z190" s="568"/>
      <c r="AA190" s="121"/>
      <c r="AB190" s="157"/>
      <c r="AC190" s="157"/>
      <c r="AD190" s="569"/>
      <c r="AE190" s="121"/>
      <c r="AF190" s="157"/>
      <c r="AG190" s="157"/>
      <c r="AH190" s="569"/>
      <c r="AI190" s="490"/>
    </row>
    <row r="191" spans="1:35" ht="21.95" customHeight="1">
      <c r="A191" s="1"/>
      <c r="B191" s="1290">
        <v>8500</v>
      </c>
      <c r="C191" s="55" t="s">
        <v>11</v>
      </c>
      <c r="D191" s="55"/>
      <c r="E191" s="55"/>
      <c r="F191" s="55"/>
      <c r="G191" s="1293" t="s">
        <v>11</v>
      </c>
      <c r="H191" s="55"/>
      <c r="I191" s="55"/>
      <c r="J191" s="55"/>
      <c r="K191" s="1293" t="s">
        <v>11</v>
      </c>
      <c r="L191" s="55"/>
      <c r="M191" s="55"/>
      <c r="N191" s="55"/>
      <c r="O191" s="1293" t="s">
        <v>11</v>
      </c>
      <c r="P191" s="55"/>
      <c r="Q191" s="55"/>
      <c r="R191" s="55"/>
      <c r="S191" s="1293" t="s">
        <v>12</v>
      </c>
      <c r="T191" s="55"/>
      <c r="U191" s="55"/>
      <c r="V191" s="55"/>
      <c r="W191" s="55"/>
      <c r="X191" s="1293"/>
      <c r="Y191" s="55"/>
      <c r="Z191" s="615"/>
      <c r="AA191" s="614"/>
      <c r="AB191" s="55"/>
      <c r="AC191" s="55"/>
      <c r="AD191" s="615"/>
      <c r="AE191" s="614"/>
      <c r="AF191" s="55"/>
      <c r="AG191" s="55"/>
      <c r="AH191" s="598"/>
      <c r="AI191" s="611"/>
    </row>
    <row r="192" spans="1:35" ht="21.95" customHeight="1">
      <c r="A192" s="1"/>
      <c r="B192" s="1290">
        <v>8514</v>
      </c>
      <c r="C192" s="616" t="s">
        <v>124</v>
      </c>
      <c r="D192" s="616"/>
      <c r="E192" s="616"/>
      <c r="F192" s="616"/>
      <c r="G192" s="1294" t="s">
        <v>124</v>
      </c>
      <c r="H192" s="616"/>
      <c r="I192" s="616"/>
      <c r="J192" s="616"/>
      <c r="K192" s="1294" t="s">
        <v>124</v>
      </c>
      <c r="L192" s="616"/>
      <c r="M192" s="616"/>
      <c r="N192" s="616"/>
      <c r="O192" s="1294" t="s">
        <v>124</v>
      </c>
      <c r="P192" s="616"/>
      <c r="Q192" s="616"/>
      <c r="R192" s="616"/>
      <c r="S192" s="1294" t="s">
        <v>562</v>
      </c>
      <c r="T192" s="616"/>
      <c r="U192" s="616"/>
      <c r="V192" s="616"/>
      <c r="W192" s="616"/>
      <c r="X192" s="1297"/>
      <c r="Y192" s="55"/>
      <c r="Z192" s="608"/>
      <c r="AA192" s="14"/>
      <c r="AB192" s="609"/>
      <c r="AC192" s="55"/>
      <c r="AD192" s="55"/>
      <c r="AE192" s="610"/>
      <c r="AF192" s="55"/>
      <c r="AG192" s="55"/>
      <c r="AH192" s="55"/>
      <c r="AI192" s="611"/>
    </row>
    <row r="193" spans="1:35" ht="21.95" customHeight="1" thickBot="1">
      <c r="A193" s="1"/>
      <c r="B193" s="1291" t="s">
        <v>563</v>
      </c>
      <c r="C193" s="53" t="s">
        <v>564</v>
      </c>
      <c r="D193" s="53"/>
      <c r="E193" s="53"/>
      <c r="F193" s="53"/>
      <c r="G193" s="1295" t="s">
        <v>564</v>
      </c>
      <c r="H193" s="53"/>
      <c r="I193" s="53"/>
      <c r="J193" s="53"/>
      <c r="K193" s="53" t="s">
        <v>564</v>
      </c>
      <c r="L193" s="53"/>
      <c r="M193" s="53"/>
      <c r="N193" s="53"/>
      <c r="O193" s="1295" t="s">
        <v>564</v>
      </c>
      <c r="P193" s="53"/>
      <c r="Q193" s="53"/>
      <c r="R193" s="53"/>
      <c r="S193" s="1295" t="s">
        <v>565</v>
      </c>
      <c r="T193" s="53"/>
      <c r="U193" s="53"/>
      <c r="V193" s="53"/>
      <c r="W193" s="53"/>
      <c r="X193" s="1295"/>
      <c r="Y193" s="53"/>
      <c r="Z193" s="575"/>
      <c r="AA193" s="574"/>
      <c r="AB193" s="53"/>
      <c r="AC193" s="53"/>
      <c r="AD193" s="577"/>
      <c r="AE193" s="618"/>
      <c r="AF193" s="53"/>
      <c r="AG193" s="53" t="s">
        <v>28</v>
      </c>
      <c r="AH193" s="577"/>
      <c r="AI193" s="539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509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>
      <c r="A196" s="556"/>
      <c r="B196" s="297" t="s">
        <v>480</v>
      </c>
      <c r="C196" s="1235">
        <v>1</v>
      </c>
      <c r="D196" s="1234">
        <v>2</v>
      </c>
      <c r="E196" s="1234">
        <v>3</v>
      </c>
      <c r="F196" s="1234">
        <v>4</v>
      </c>
      <c r="G196" s="1234">
        <v>5</v>
      </c>
      <c r="H196" s="1234">
        <v>6</v>
      </c>
      <c r="I196" s="1330">
        <v>7</v>
      </c>
      <c r="J196" s="1330">
        <v>8</v>
      </c>
      <c r="K196" s="1234">
        <v>9</v>
      </c>
      <c r="L196" s="1234">
        <v>10</v>
      </c>
      <c r="M196" s="1234">
        <v>11</v>
      </c>
      <c r="N196" s="1234">
        <v>12</v>
      </c>
      <c r="O196" s="1234">
        <v>13</v>
      </c>
      <c r="P196" s="1330">
        <v>14</v>
      </c>
      <c r="Q196" s="1330">
        <v>15</v>
      </c>
      <c r="R196" s="1234">
        <v>16</v>
      </c>
      <c r="S196" s="1234">
        <v>17</v>
      </c>
      <c r="T196" s="1234">
        <v>18</v>
      </c>
      <c r="U196" s="1234">
        <v>19</v>
      </c>
      <c r="V196" s="1213">
        <v>20</v>
      </c>
      <c r="W196" s="1330">
        <v>21</v>
      </c>
      <c r="X196" s="1330">
        <v>22</v>
      </c>
      <c r="Y196" s="178">
        <v>23</v>
      </c>
      <c r="Z196" s="1235">
        <v>24</v>
      </c>
      <c r="AA196" s="1235">
        <v>25</v>
      </c>
      <c r="AB196" s="1235">
        <v>26</v>
      </c>
      <c r="AC196" s="1234">
        <v>27</v>
      </c>
      <c r="AD196" s="1330">
        <v>28</v>
      </c>
      <c r="AE196" s="1330">
        <v>29</v>
      </c>
      <c r="AF196" s="1234">
        <v>30</v>
      </c>
      <c r="AG196" s="1235">
        <v>31</v>
      </c>
      <c r="AH196" s="498" t="s">
        <v>481</v>
      </c>
      <c r="AI196" s="499" t="s">
        <v>482</v>
      </c>
    </row>
    <row r="197" spans="1:35" ht="21.95" customHeight="1">
      <c r="A197" s="556"/>
      <c r="B197" s="1236" t="s">
        <v>768</v>
      </c>
      <c r="C197" s="1215"/>
      <c r="D197" s="1215" t="s">
        <v>535</v>
      </c>
      <c r="E197" s="1215" t="s">
        <v>535</v>
      </c>
      <c r="F197" s="1215" t="s">
        <v>535</v>
      </c>
      <c r="G197" s="1215" t="s">
        <v>535</v>
      </c>
      <c r="H197" s="1215" t="s">
        <v>535</v>
      </c>
      <c r="I197" s="1215"/>
      <c r="J197" s="1215"/>
      <c r="K197" s="1215" t="s">
        <v>535</v>
      </c>
      <c r="L197" s="1344" t="s">
        <v>514</v>
      </c>
      <c r="M197" s="1215" t="s">
        <v>535</v>
      </c>
      <c r="N197" s="1215" t="s">
        <v>535</v>
      </c>
      <c r="O197" s="1215" t="s">
        <v>535</v>
      </c>
      <c r="P197" s="1215"/>
      <c r="Q197" s="1215"/>
      <c r="R197" s="1215" t="s">
        <v>535</v>
      </c>
      <c r="S197" s="1215" t="s">
        <v>535</v>
      </c>
      <c r="T197" s="1215" t="s">
        <v>535</v>
      </c>
      <c r="U197" s="1215" t="s">
        <v>535</v>
      </c>
      <c r="V197" s="1215" t="s">
        <v>535</v>
      </c>
      <c r="W197" s="1215"/>
      <c r="X197" s="1215"/>
      <c r="Y197" s="1338" t="s">
        <v>535</v>
      </c>
      <c r="Z197" s="1215"/>
      <c r="AA197" s="1215"/>
      <c r="AB197" s="1215"/>
      <c r="AC197" s="1338" t="s">
        <v>535</v>
      </c>
      <c r="AD197" s="1215"/>
      <c r="AE197" s="1215"/>
      <c r="AF197" s="1338" t="s">
        <v>535</v>
      </c>
      <c r="AG197" s="1215"/>
      <c r="AH197" s="603">
        <v>185</v>
      </c>
      <c r="AI197" s="604">
        <v>37</v>
      </c>
    </row>
    <row r="198" spans="1:35" ht="21.95" customHeight="1">
      <c r="A198" s="620">
        <v>8500</v>
      </c>
      <c r="B198" s="1237" t="s">
        <v>151</v>
      </c>
      <c r="C198" s="1215"/>
      <c r="D198" s="1342" t="s">
        <v>535</v>
      </c>
      <c r="E198" s="1342" t="s">
        <v>535</v>
      </c>
      <c r="F198" s="1342" t="s">
        <v>535</v>
      </c>
      <c r="G198" s="1215" t="s">
        <v>535</v>
      </c>
      <c r="H198" s="1335" t="s">
        <v>535</v>
      </c>
      <c r="I198" s="1215"/>
      <c r="J198" s="1215"/>
      <c r="K198" s="1500" t="s">
        <v>535</v>
      </c>
      <c r="L198" s="1215" t="s">
        <v>535</v>
      </c>
      <c r="M198" s="1215" t="s">
        <v>535</v>
      </c>
      <c r="N198" s="1215" t="s">
        <v>535</v>
      </c>
      <c r="O198" s="1215" t="s">
        <v>535</v>
      </c>
      <c r="P198" s="1215"/>
      <c r="Q198" s="1215"/>
      <c r="R198" s="1215" t="s">
        <v>535</v>
      </c>
      <c r="S198" s="1215" t="s">
        <v>535</v>
      </c>
      <c r="T198" s="1215" t="s">
        <v>535</v>
      </c>
      <c r="U198" s="1215" t="s">
        <v>535</v>
      </c>
      <c r="V198" s="1335" t="s">
        <v>535</v>
      </c>
      <c r="W198" s="1215"/>
      <c r="X198" s="1215"/>
      <c r="Y198" s="1335" t="s">
        <v>535</v>
      </c>
      <c r="Z198" s="1215"/>
      <c r="AA198" s="1215"/>
      <c r="AB198" s="1215"/>
      <c r="AC198" s="1335" t="s">
        <v>535</v>
      </c>
      <c r="AD198" s="1215"/>
      <c r="AE198" s="1215"/>
      <c r="AF198" s="1335" t="s">
        <v>535</v>
      </c>
      <c r="AG198" s="1215"/>
      <c r="AH198" s="603">
        <v>185</v>
      </c>
      <c r="AI198" s="604">
        <v>37</v>
      </c>
    </row>
    <row r="199" spans="1:35" ht="21" customHeight="1">
      <c r="A199" s="442"/>
      <c r="B199" s="1236" t="s">
        <v>567</v>
      </c>
      <c r="C199" s="1215"/>
      <c r="D199" s="1215" t="s">
        <v>535</v>
      </c>
      <c r="E199" s="1215" t="s">
        <v>535</v>
      </c>
      <c r="F199" s="1215" t="s">
        <v>535</v>
      </c>
      <c r="G199" s="1215" t="s">
        <v>535</v>
      </c>
      <c r="H199" s="1215" t="s">
        <v>535</v>
      </c>
      <c r="I199" s="1215"/>
      <c r="J199" s="1215"/>
      <c r="K199" s="1500" t="s">
        <v>535</v>
      </c>
      <c r="L199" s="1215" t="s">
        <v>535</v>
      </c>
      <c r="M199" s="1215" t="s">
        <v>535</v>
      </c>
      <c r="N199" s="1215" t="s">
        <v>535</v>
      </c>
      <c r="O199" s="1215" t="s">
        <v>535</v>
      </c>
      <c r="P199" s="1215"/>
      <c r="Q199" s="1215"/>
      <c r="R199" s="1215" t="s">
        <v>535</v>
      </c>
      <c r="S199" s="1215" t="s">
        <v>535</v>
      </c>
      <c r="T199" s="1215" t="s">
        <v>535</v>
      </c>
      <c r="U199" s="1215" t="s">
        <v>535</v>
      </c>
      <c r="V199" s="1215" t="s">
        <v>535</v>
      </c>
      <c r="W199" s="1215"/>
      <c r="X199" s="1215"/>
      <c r="Y199" s="1338" t="s">
        <v>535</v>
      </c>
      <c r="Z199" s="1215"/>
      <c r="AA199" s="1215"/>
      <c r="AB199" s="1215"/>
      <c r="AC199" s="1338" t="s">
        <v>535</v>
      </c>
      <c r="AD199" s="1215"/>
      <c r="AE199" s="1215"/>
      <c r="AF199" s="1338" t="s">
        <v>535</v>
      </c>
      <c r="AG199" s="1215"/>
      <c r="AH199" s="603">
        <v>185</v>
      </c>
      <c r="AI199" s="604">
        <v>37</v>
      </c>
    </row>
    <row r="200" spans="1:35" ht="21" customHeight="1">
      <c r="A200" s="442">
        <v>8521</v>
      </c>
      <c r="B200" s="1236" t="s">
        <v>568</v>
      </c>
      <c r="C200" s="1215"/>
      <c r="D200" s="1215" t="s">
        <v>535</v>
      </c>
      <c r="E200" s="1392" t="s">
        <v>535</v>
      </c>
      <c r="F200" s="1392" t="s">
        <v>570</v>
      </c>
      <c r="G200" s="1500" t="s">
        <v>535</v>
      </c>
      <c r="H200" s="1344" t="s">
        <v>535</v>
      </c>
      <c r="I200" s="1215"/>
      <c r="J200" s="1215"/>
      <c r="K200" s="1500" t="s">
        <v>535</v>
      </c>
      <c r="L200" s="1215" t="s">
        <v>535</v>
      </c>
      <c r="M200" s="1215" t="s">
        <v>535</v>
      </c>
      <c r="N200" s="1500" t="s">
        <v>535</v>
      </c>
      <c r="O200" s="1215" t="s">
        <v>535</v>
      </c>
      <c r="P200" s="1215"/>
      <c r="Q200" s="1215"/>
      <c r="R200" s="1215" t="s">
        <v>535</v>
      </c>
      <c r="S200" s="1215" t="s">
        <v>535</v>
      </c>
      <c r="T200" s="1215" t="s">
        <v>535</v>
      </c>
      <c r="U200" s="1500" t="s">
        <v>535</v>
      </c>
      <c r="V200" s="1215" t="s">
        <v>535</v>
      </c>
      <c r="W200" s="1215"/>
      <c r="X200" s="1215"/>
      <c r="Y200" s="1335" t="s">
        <v>535</v>
      </c>
      <c r="Z200" s="1215"/>
      <c r="AA200" s="1215"/>
      <c r="AB200" s="1215"/>
      <c r="AC200" s="1335" t="s">
        <v>535</v>
      </c>
      <c r="AD200" s="1215"/>
      <c r="AE200" s="1215"/>
      <c r="AF200" s="1335" t="s">
        <v>535</v>
      </c>
      <c r="AG200" s="1215"/>
      <c r="AH200" s="603">
        <v>185</v>
      </c>
      <c r="AI200" s="604">
        <v>37</v>
      </c>
    </row>
    <row r="201" spans="1:35" ht="21" customHeight="1">
      <c r="A201" s="442"/>
      <c r="B201" s="1236"/>
      <c r="C201" s="1215"/>
      <c r="D201" s="1215" t="s">
        <v>535</v>
      </c>
      <c r="E201" s="1215" t="s">
        <v>535</v>
      </c>
      <c r="F201" s="1215" t="s">
        <v>535</v>
      </c>
      <c r="G201" s="1215" t="s">
        <v>535</v>
      </c>
      <c r="H201" s="1215" t="s">
        <v>535</v>
      </c>
      <c r="I201" s="1215"/>
      <c r="J201" s="1215"/>
      <c r="K201" s="1215" t="s">
        <v>535</v>
      </c>
      <c r="L201" s="1215" t="s">
        <v>535</v>
      </c>
      <c r="M201" s="1215" t="s">
        <v>535</v>
      </c>
      <c r="N201" s="1215" t="s">
        <v>535</v>
      </c>
      <c r="O201" s="1215" t="s">
        <v>535</v>
      </c>
      <c r="P201" s="1215"/>
      <c r="Q201" s="1215"/>
      <c r="R201" s="1215" t="s">
        <v>535</v>
      </c>
      <c r="S201" s="1215" t="s">
        <v>535</v>
      </c>
      <c r="T201" s="1215" t="s">
        <v>535</v>
      </c>
      <c r="U201" s="1215" t="s">
        <v>535</v>
      </c>
      <c r="V201" s="1215" t="s">
        <v>535</v>
      </c>
      <c r="W201" s="1215"/>
      <c r="X201" s="1215"/>
      <c r="Y201" s="1215" t="s">
        <v>535</v>
      </c>
      <c r="Z201" s="1215"/>
      <c r="AA201" s="1215"/>
      <c r="AB201" s="1215"/>
      <c r="AC201" s="1215" t="s">
        <v>535</v>
      </c>
      <c r="AD201" s="1215"/>
      <c r="AE201" s="1215"/>
      <c r="AF201" s="1215" t="s">
        <v>535</v>
      </c>
      <c r="AG201" s="1215"/>
      <c r="AH201" s="603">
        <v>185</v>
      </c>
      <c r="AI201" s="604">
        <v>37</v>
      </c>
    </row>
    <row r="202" spans="1:35" ht="21" customHeight="1">
      <c r="A202" s="442">
        <v>8514</v>
      </c>
      <c r="B202" s="1238" t="s">
        <v>569</v>
      </c>
      <c r="C202" s="1215"/>
      <c r="D202" s="1215" t="s">
        <v>535</v>
      </c>
      <c r="E202" s="1215" t="s">
        <v>535</v>
      </c>
      <c r="F202" s="1215" t="s">
        <v>535</v>
      </c>
      <c r="G202" s="1215" t="s">
        <v>535</v>
      </c>
      <c r="H202" s="1215" t="s">
        <v>535</v>
      </c>
      <c r="I202" s="1215"/>
      <c r="J202" s="1215"/>
      <c r="K202" s="1500" t="s">
        <v>535</v>
      </c>
      <c r="L202" s="1215" t="s">
        <v>535</v>
      </c>
      <c r="M202" s="1215" t="s">
        <v>535</v>
      </c>
      <c r="N202" s="1215" t="s">
        <v>535</v>
      </c>
      <c r="O202" s="1215" t="s">
        <v>535</v>
      </c>
      <c r="P202" s="1215"/>
      <c r="Q202" s="1215"/>
      <c r="R202" s="1215" t="s">
        <v>535</v>
      </c>
      <c r="S202" s="1215" t="s">
        <v>535</v>
      </c>
      <c r="T202" s="1215" t="s">
        <v>535</v>
      </c>
      <c r="U202" s="1215" t="s">
        <v>535</v>
      </c>
      <c r="V202" s="1335" t="s">
        <v>535</v>
      </c>
      <c r="W202" s="1215"/>
      <c r="X202" s="1215"/>
      <c r="Y202" s="1338" t="s">
        <v>535</v>
      </c>
      <c r="Z202" s="1215"/>
      <c r="AA202" s="1215"/>
      <c r="AB202" s="1215"/>
      <c r="AC202" s="1338" t="s">
        <v>535</v>
      </c>
      <c r="AD202" s="1215"/>
      <c r="AE202" s="1215"/>
      <c r="AF202" s="1338" t="s">
        <v>535</v>
      </c>
      <c r="AG202" s="1215"/>
      <c r="AH202" s="603">
        <v>185</v>
      </c>
      <c r="AI202" s="604">
        <v>37</v>
      </c>
    </row>
    <row r="203" spans="1:35" ht="21.95" customHeight="1">
      <c r="A203" s="442">
        <v>3701</v>
      </c>
      <c r="B203" s="545" t="s">
        <v>513</v>
      </c>
      <c r="C203" s="1215"/>
      <c r="D203" s="1215" t="s">
        <v>535</v>
      </c>
      <c r="E203" s="1215" t="s">
        <v>535</v>
      </c>
      <c r="F203" s="1215" t="s">
        <v>535</v>
      </c>
      <c r="G203" s="1215" t="s">
        <v>535</v>
      </c>
      <c r="H203" s="1215" t="s">
        <v>535</v>
      </c>
      <c r="I203" s="1215"/>
      <c r="J203" s="1215"/>
      <c r="K203" s="1500" t="s">
        <v>535</v>
      </c>
      <c r="L203" s="1215" t="s">
        <v>535</v>
      </c>
      <c r="M203" s="1215" t="s">
        <v>535</v>
      </c>
      <c r="N203" s="1215" t="s">
        <v>535</v>
      </c>
      <c r="O203" s="1215" t="s">
        <v>535</v>
      </c>
      <c r="P203" s="1215"/>
      <c r="Q203" s="1215"/>
      <c r="R203" s="1215" t="s">
        <v>535</v>
      </c>
      <c r="S203" s="1215" t="s">
        <v>535</v>
      </c>
      <c r="T203" s="1215" t="s">
        <v>535</v>
      </c>
      <c r="U203" s="1215" t="s">
        <v>535</v>
      </c>
      <c r="V203" s="1215" t="s">
        <v>535</v>
      </c>
      <c r="W203" s="1215"/>
      <c r="X203" s="1215"/>
      <c r="Y203" s="1335" t="s">
        <v>535</v>
      </c>
      <c r="Z203" s="1215"/>
      <c r="AA203" s="1215"/>
      <c r="AB203" s="1215"/>
      <c r="AC203" s="1335" t="s">
        <v>535</v>
      </c>
      <c r="AD203" s="1215"/>
      <c r="AE203" s="1215"/>
      <c r="AF203" s="1215" t="s">
        <v>535</v>
      </c>
      <c r="AG203" s="1215"/>
      <c r="AH203" s="603">
        <v>185</v>
      </c>
      <c r="AI203" s="604">
        <v>37</v>
      </c>
    </row>
    <row r="204" spans="1:35" ht="21.95" customHeight="1">
      <c r="A204" s="442">
        <v>3701</v>
      </c>
      <c r="B204" s="1236" t="s">
        <v>345</v>
      </c>
      <c r="C204" s="1215"/>
      <c r="D204" s="1215" t="s">
        <v>535</v>
      </c>
      <c r="E204" s="1215" t="s">
        <v>535</v>
      </c>
      <c r="F204" s="1215" t="s">
        <v>535</v>
      </c>
      <c r="G204" s="1215" t="s">
        <v>535</v>
      </c>
      <c r="H204" s="1215" t="s">
        <v>535</v>
      </c>
      <c r="I204" s="1215"/>
      <c r="J204" s="1215"/>
      <c r="K204" s="1500" t="s">
        <v>535</v>
      </c>
      <c r="L204" s="1215" t="s">
        <v>535</v>
      </c>
      <c r="M204" s="1215" t="s">
        <v>535</v>
      </c>
      <c r="N204" s="1215" t="s">
        <v>535</v>
      </c>
      <c r="O204" s="1215" t="s">
        <v>535</v>
      </c>
      <c r="P204" s="1215"/>
      <c r="Q204" s="1215"/>
      <c r="R204" s="1215" t="s">
        <v>535</v>
      </c>
      <c r="S204" s="1215" t="s">
        <v>535</v>
      </c>
      <c r="T204" s="1215" t="s">
        <v>535</v>
      </c>
      <c r="U204" s="1215" t="s">
        <v>535</v>
      </c>
      <c r="V204" s="1215" t="s">
        <v>535</v>
      </c>
      <c r="W204" s="1215"/>
      <c r="X204" s="1215"/>
      <c r="Y204" s="1335" t="s">
        <v>535</v>
      </c>
      <c r="Z204" s="1215"/>
      <c r="AA204" s="1215"/>
      <c r="AB204" s="1215"/>
      <c r="AC204" s="1335" t="s">
        <v>535</v>
      </c>
      <c r="AD204" s="1215"/>
      <c r="AE204" s="1215"/>
      <c r="AF204" s="1335" t="s">
        <v>535</v>
      </c>
      <c r="AG204" s="1215"/>
      <c r="AH204" s="603">
        <v>185</v>
      </c>
      <c r="AI204" s="604">
        <v>37</v>
      </c>
    </row>
    <row r="205" spans="1:35" ht="21.95" customHeight="1">
      <c r="A205" s="442">
        <v>3701</v>
      </c>
      <c r="B205" s="1236" t="s">
        <v>348</v>
      </c>
      <c r="C205" s="1215"/>
      <c r="D205" s="1215" t="s">
        <v>535</v>
      </c>
      <c r="E205" s="1500" t="s">
        <v>514</v>
      </c>
      <c r="F205" s="1344" t="s">
        <v>514</v>
      </c>
      <c r="G205" s="1215" t="s">
        <v>535</v>
      </c>
      <c r="H205" s="1215" t="s">
        <v>535</v>
      </c>
      <c r="I205" s="1215"/>
      <c r="J205" s="1215"/>
      <c r="K205" s="1215">
        <v>19</v>
      </c>
      <c r="L205" s="1215">
        <v>19</v>
      </c>
      <c r="M205" s="1215">
        <v>19</v>
      </c>
      <c r="N205" s="1215">
        <v>19</v>
      </c>
      <c r="O205" s="1215">
        <v>19</v>
      </c>
      <c r="P205" s="1215"/>
      <c r="Q205" s="1215"/>
      <c r="R205" s="1215" t="s">
        <v>535</v>
      </c>
      <c r="S205" s="1215" t="s">
        <v>535</v>
      </c>
      <c r="T205" s="1215" t="s">
        <v>535</v>
      </c>
      <c r="U205" s="1215" t="s">
        <v>535</v>
      </c>
      <c r="V205" s="1215" t="s">
        <v>535</v>
      </c>
      <c r="W205" s="1215"/>
      <c r="X205" s="1215"/>
      <c r="Y205" s="1215" t="s">
        <v>535</v>
      </c>
      <c r="Z205" s="1215"/>
      <c r="AA205" s="1215"/>
      <c r="AB205" s="1215"/>
      <c r="AC205" s="1335" t="s">
        <v>535</v>
      </c>
      <c r="AD205" s="1215"/>
      <c r="AE205" s="1215"/>
      <c r="AF205" s="1335" t="s">
        <v>535</v>
      </c>
      <c r="AG205" s="1215"/>
      <c r="AH205" s="603">
        <v>185</v>
      </c>
      <c r="AI205" s="604">
        <v>37</v>
      </c>
    </row>
    <row r="206" spans="1:35" ht="21.95" customHeight="1">
      <c r="A206" s="442">
        <v>3701</v>
      </c>
      <c r="B206" s="1236" t="s">
        <v>350</v>
      </c>
      <c r="C206" s="1215"/>
      <c r="D206" s="1215" t="s">
        <v>535</v>
      </c>
      <c r="E206" s="1215" t="s">
        <v>535</v>
      </c>
      <c r="F206" s="1215" t="s">
        <v>535</v>
      </c>
      <c r="G206" s="1215" t="s">
        <v>535</v>
      </c>
      <c r="H206" s="1215" t="s">
        <v>535</v>
      </c>
      <c r="I206" s="1215"/>
      <c r="J206" s="1215"/>
      <c r="K206" s="1215" t="s">
        <v>535</v>
      </c>
      <c r="L206" s="1215" t="s">
        <v>535</v>
      </c>
      <c r="M206" s="1215" t="s">
        <v>535</v>
      </c>
      <c r="N206" s="1215" t="s">
        <v>535</v>
      </c>
      <c r="O206" s="1215" t="s">
        <v>535</v>
      </c>
      <c r="P206" s="1215"/>
      <c r="Q206" s="1215"/>
      <c r="R206" s="1215" t="s">
        <v>535</v>
      </c>
      <c r="S206" s="1215" t="s">
        <v>535</v>
      </c>
      <c r="T206" s="1215" t="s">
        <v>535</v>
      </c>
      <c r="U206" s="1215" t="s">
        <v>535</v>
      </c>
      <c r="V206" s="1215" t="s">
        <v>535</v>
      </c>
      <c r="W206" s="1215"/>
      <c r="X206" s="1215"/>
      <c r="Y206" s="1345" t="s">
        <v>535</v>
      </c>
      <c r="Z206" s="1215"/>
      <c r="AA206" s="1215"/>
      <c r="AB206" s="1215"/>
      <c r="AC206" s="1345" t="s">
        <v>535</v>
      </c>
      <c r="AD206" s="1215"/>
      <c r="AE206" s="1215"/>
      <c r="AF206" s="1345">
        <v>19</v>
      </c>
      <c r="AG206" s="1215"/>
      <c r="AH206" s="603">
        <v>185</v>
      </c>
      <c r="AI206" s="604">
        <v>37</v>
      </c>
    </row>
    <row r="207" spans="1:35" ht="21.95" customHeight="1">
      <c r="A207" s="442">
        <v>3701</v>
      </c>
      <c r="B207" s="1236" t="s">
        <v>351</v>
      </c>
      <c r="C207" s="1215"/>
      <c r="D207" s="1215">
        <v>19</v>
      </c>
      <c r="E207" s="1215">
        <v>19</v>
      </c>
      <c r="F207" s="1215">
        <v>19</v>
      </c>
      <c r="G207" s="1215">
        <v>19</v>
      </c>
      <c r="H207" s="1215">
        <v>19</v>
      </c>
      <c r="I207" s="1215"/>
      <c r="J207" s="1215"/>
      <c r="K207" s="1215" t="s">
        <v>535</v>
      </c>
      <c r="L207" s="1215" t="s">
        <v>535</v>
      </c>
      <c r="M207" s="1215" t="s">
        <v>535</v>
      </c>
      <c r="N207" s="1215" t="s">
        <v>535</v>
      </c>
      <c r="O207" s="1215" t="s">
        <v>535</v>
      </c>
      <c r="P207" s="1215"/>
      <c r="Q207" s="1215"/>
      <c r="R207" s="1215" t="s">
        <v>535</v>
      </c>
      <c r="S207" s="1215" t="s">
        <v>535</v>
      </c>
      <c r="T207" s="1215" t="s">
        <v>535</v>
      </c>
      <c r="U207" s="1215" t="s">
        <v>535</v>
      </c>
      <c r="V207" s="1215" t="s">
        <v>535</v>
      </c>
      <c r="W207" s="1215"/>
      <c r="X207" s="1215"/>
      <c r="Y207" s="1346" t="s">
        <v>535</v>
      </c>
      <c r="Z207" s="1215"/>
      <c r="AA207" s="1215"/>
      <c r="AB207" s="1215"/>
      <c r="AC207" s="1346" t="s">
        <v>535</v>
      </c>
      <c r="AD207" s="1215"/>
      <c r="AE207" s="1215"/>
      <c r="AF207" s="1346" t="s">
        <v>535</v>
      </c>
      <c r="AG207" s="1215"/>
      <c r="AH207" s="603">
        <v>185</v>
      </c>
      <c r="AI207" s="604">
        <v>37</v>
      </c>
    </row>
    <row r="208" spans="1:35" ht="21.95" customHeight="1">
      <c r="A208" s="442">
        <v>3701</v>
      </c>
      <c r="B208" s="1236" t="s">
        <v>571</v>
      </c>
      <c r="C208" s="1215"/>
      <c r="D208" s="1335" t="s">
        <v>535</v>
      </c>
      <c r="E208" s="1335" t="s">
        <v>535</v>
      </c>
      <c r="F208" s="1335" t="s">
        <v>535</v>
      </c>
      <c r="G208" s="1335" t="s">
        <v>535</v>
      </c>
      <c r="H208" s="1335" t="s">
        <v>535</v>
      </c>
      <c r="I208" s="1215"/>
      <c r="J208" s="1215"/>
      <c r="K208" s="1215" t="s">
        <v>535</v>
      </c>
      <c r="L208" s="1215" t="s">
        <v>535</v>
      </c>
      <c r="M208" s="1392" t="s">
        <v>535</v>
      </c>
      <c r="N208" s="1392" t="s">
        <v>535</v>
      </c>
      <c r="O208" s="1392" t="s">
        <v>570</v>
      </c>
      <c r="P208" s="1344"/>
      <c r="Q208" s="1344"/>
      <c r="R208" s="1215">
        <v>19</v>
      </c>
      <c r="S208" s="1215">
        <v>19</v>
      </c>
      <c r="T208" s="1215">
        <v>19</v>
      </c>
      <c r="U208" s="1215">
        <v>19</v>
      </c>
      <c r="V208" s="1215">
        <v>19</v>
      </c>
      <c r="W208" s="1215"/>
      <c r="X208" s="1215"/>
      <c r="Y208" s="1335" t="s">
        <v>535</v>
      </c>
      <c r="Z208" s="1215"/>
      <c r="AA208" s="1215"/>
      <c r="AB208" s="1215"/>
      <c r="AC208" s="1335" t="s">
        <v>535</v>
      </c>
      <c r="AD208" s="1215"/>
      <c r="AE208" s="1215"/>
      <c r="AF208" s="1335" t="s">
        <v>535</v>
      </c>
      <c r="AG208" s="1215"/>
      <c r="AH208" s="603">
        <v>185</v>
      </c>
      <c r="AI208" s="604">
        <v>37</v>
      </c>
    </row>
    <row r="209" spans="1:35" ht="21.95" customHeight="1">
      <c r="A209" s="442">
        <v>3701</v>
      </c>
      <c r="B209" s="545" t="s">
        <v>490</v>
      </c>
      <c r="C209" s="1215"/>
      <c r="D209" s="1500" t="s">
        <v>514</v>
      </c>
      <c r="E209" s="1215" t="s">
        <v>535</v>
      </c>
      <c r="F209" s="1215" t="s">
        <v>535</v>
      </c>
      <c r="G209" s="1215" t="s">
        <v>535</v>
      </c>
      <c r="H209" s="1215" t="s">
        <v>535</v>
      </c>
      <c r="I209" s="1215"/>
      <c r="J209" s="1215"/>
      <c r="K209" s="1338" t="s">
        <v>535</v>
      </c>
      <c r="L209" s="1338" t="s">
        <v>535</v>
      </c>
      <c r="M209" s="1338" t="s">
        <v>535</v>
      </c>
      <c r="N209" s="1338" t="s">
        <v>535</v>
      </c>
      <c r="O209" s="1338" t="s">
        <v>535</v>
      </c>
      <c r="P209" s="1338"/>
      <c r="Q209" s="1338"/>
      <c r="R209" s="1215" t="s">
        <v>535</v>
      </c>
      <c r="S209" s="1215" t="s">
        <v>535</v>
      </c>
      <c r="T209" s="1215" t="s">
        <v>535</v>
      </c>
      <c r="U209" s="1215" t="s">
        <v>535</v>
      </c>
      <c r="V209" s="1215" t="s">
        <v>535</v>
      </c>
      <c r="W209" s="1215"/>
      <c r="X209" s="1215"/>
      <c r="Y209" s="1335" t="s">
        <v>535</v>
      </c>
      <c r="Z209" s="1215"/>
      <c r="AA209" s="1215"/>
      <c r="AB209" s="1215"/>
      <c r="AC209" s="1335" t="s">
        <v>535</v>
      </c>
      <c r="AD209" s="1215"/>
      <c r="AE209" s="1215"/>
      <c r="AF209" s="1335" t="s">
        <v>535</v>
      </c>
      <c r="AG209" s="1215"/>
      <c r="AH209" s="603">
        <v>185</v>
      </c>
      <c r="AI209" s="604">
        <v>37</v>
      </c>
    </row>
    <row r="210" spans="1:35" ht="21.95" customHeight="1">
      <c r="A210" s="1318">
        <v>3701</v>
      </c>
      <c r="B210" s="1319" t="s">
        <v>573</v>
      </c>
      <c r="C210" s="1215"/>
      <c r="D210" s="1346" t="s">
        <v>535</v>
      </c>
      <c r="E210" s="1346" t="s">
        <v>535</v>
      </c>
      <c r="F210" s="1215" t="s">
        <v>535</v>
      </c>
      <c r="G210" s="1215" t="s">
        <v>535</v>
      </c>
      <c r="H210" s="1215" t="s">
        <v>535</v>
      </c>
      <c r="I210" s="1215"/>
      <c r="J210" s="1215"/>
      <c r="K210" s="1215" t="s">
        <v>535</v>
      </c>
      <c r="L210" s="1215" t="s">
        <v>535</v>
      </c>
      <c r="M210" s="1215" t="s">
        <v>535</v>
      </c>
      <c r="N210" s="1215" t="s">
        <v>535</v>
      </c>
      <c r="O210" s="1215" t="s">
        <v>535</v>
      </c>
      <c r="P210" s="1215"/>
      <c r="Q210" s="1215"/>
      <c r="R210" s="1215" t="s">
        <v>535</v>
      </c>
      <c r="S210" s="1215" t="s">
        <v>535</v>
      </c>
      <c r="T210" s="1215" t="s">
        <v>535</v>
      </c>
      <c r="U210" s="1215" t="s">
        <v>535</v>
      </c>
      <c r="V210" s="1215" t="s">
        <v>535</v>
      </c>
      <c r="W210" s="1215"/>
      <c r="X210" s="1215"/>
      <c r="Y210" s="1345">
        <v>19</v>
      </c>
      <c r="Z210" s="1215"/>
      <c r="AA210" s="1215"/>
      <c r="AB210" s="1215">
        <v>19</v>
      </c>
      <c r="AC210" s="1345">
        <v>19</v>
      </c>
      <c r="AD210" s="1215"/>
      <c r="AE210" s="1215"/>
      <c r="AF210" s="1345" t="s">
        <v>535</v>
      </c>
      <c r="AG210" s="1215"/>
      <c r="AH210" s="603">
        <v>185</v>
      </c>
      <c r="AI210" s="604">
        <v>37</v>
      </c>
    </row>
    <row r="211" spans="1:35" ht="21.95" customHeight="1">
      <c r="A211" s="442">
        <v>3701</v>
      </c>
      <c r="B211" s="1236" t="s">
        <v>574</v>
      </c>
      <c r="C211" s="1215"/>
      <c r="D211" s="1215" t="s">
        <v>535</v>
      </c>
      <c r="E211" s="1215" t="s">
        <v>535</v>
      </c>
      <c r="F211" s="1215" t="s">
        <v>535</v>
      </c>
      <c r="G211" s="1215" t="s">
        <v>535</v>
      </c>
      <c r="H211" s="1215" t="s">
        <v>535</v>
      </c>
      <c r="I211" s="1215"/>
      <c r="J211" s="1215"/>
      <c r="K211" s="1215" t="s">
        <v>535</v>
      </c>
      <c r="L211" s="1215" t="s">
        <v>535</v>
      </c>
      <c r="M211" s="1215" t="s">
        <v>535</v>
      </c>
      <c r="N211" s="1215" t="s">
        <v>535</v>
      </c>
      <c r="O211" s="1215" t="s">
        <v>535</v>
      </c>
      <c r="P211" s="1215"/>
      <c r="Q211" s="1215"/>
      <c r="R211" s="1215" t="s">
        <v>535</v>
      </c>
      <c r="S211" s="1215" t="s">
        <v>535</v>
      </c>
      <c r="T211" s="1215" t="s">
        <v>535</v>
      </c>
      <c r="U211" s="1215" t="s">
        <v>535</v>
      </c>
      <c r="V211" s="1215" t="s">
        <v>535</v>
      </c>
      <c r="W211" s="1215"/>
      <c r="X211" s="1215"/>
      <c r="Y211" s="1346" t="s">
        <v>535</v>
      </c>
      <c r="Z211" s="1215"/>
      <c r="AA211" s="1215"/>
      <c r="AB211" s="1215"/>
      <c r="AC211" s="1346" t="s">
        <v>535</v>
      </c>
      <c r="AD211" s="1215"/>
      <c r="AE211" s="1215"/>
      <c r="AF211" s="1346" t="s">
        <v>535</v>
      </c>
      <c r="AG211" s="1215"/>
      <c r="AH211" s="603">
        <v>185</v>
      </c>
      <c r="AI211" s="604">
        <v>37</v>
      </c>
    </row>
    <row r="212" spans="1:35" ht="21.95" customHeight="1">
      <c r="A212" s="442">
        <v>3701</v>
      </c>
      <c r="B212" s="1239" t="s">
        <v>575</v>
      </c>
      <c r="C212" s="1215"/>
      <c r="D212" s="1215" t="s">
        <v>535</v>
      </c>
      <c r="E212" s="1215" t="s">
        <v>535</v>
      </c>
      <c r="F212" s="1215" t="s">
        <v>535</v>
      </c>
      <c r="G212" s="1215" t="s">
        <v>535</v>
      </c>
      <c r="H212" s="1215" t="s">
        <v>535</v>
      </c>
      <c r="I212" s="1215"/>
      <c r="J212" s="1215"/>
      <c r="K212" s="1215" t="s">
        <v>535</v>
      </c>
      <c r="L212" s="1215" t="s">
        <v>535</v>
      </c>
      <c r="M212" s="1215" t="s">
        <v>535</v>
      </c>
      <c r="N212" s="1215" t="s">
        <v>535</v>
      </c>
      <c r="O212" s="1215" t="s">
        <v>535</v>
      </c>
      <c r="P212" s="1215"/>
      <c r="Q212" s="1215"/>
      <c r="R212" s="1215" t="s">
        <v>535</v>
      </c>
      <c r="S212" s="1215" t="s">
        <v>535</v>
      </c>
      <c r="T212" s="1215" t="s">
        <v>535</v>
      </c>
      <c r="U212" s="1215" t="s">
        <v>535</v>
      </c>
      <c r="V212" s="1215" t="s">
        <v>535</v>
      </c>
      <c r="W212" s="1215"/>
      <c r="X212" s="1215"/>
      <c r="Y212" s="1346" t="s">
        <v>535</v>
      </c>
      <c r="Z212" s="1215"/>
      <c r="AA212" s="1215"/>
      <c r="AB212" s="1215"/>
      <c r="AC212" s="1346" t="s">
        <v>535</v>
      </c>
      <c r="AD212" s="1215"/>
      <c r="AE212" s="1215"/>
      <c r="AF212" s="1346" t="s">
        <v>535</v>
      </c>
      <c r="AG212" s="1215"/>
      <c r="AH212" s="603">
        <v>185</v>
      </c>
      <c r="AI212" s="604">
        <v>37</v>
      </c>
    </row>
    <row r="213" spans="1:35" ht="21.95" customHeight="1">
      <c r="A213" s="442">
        <v>3701</v>
      </c>
      <c r="B213" s="1240" t="s">
        <v>576</v>
      </c>
      <c r="C213" s="1229"/>
      <c r="D213" s="1215" t="s">
        <v>535</v>
      </c>
      <c r="E213" s="1215" t="s">
        <v>535</v>
      </c>
      <c r="F213" s="1215" t="s">
        <v>535</v>
      </c>
      <c r="G213" s="1215" t="s">
        <v>535</v>
      </c>
      <c r="H213" s="1215" t="s">
        <v>535</v>
      </c>
      <c r="I213" s="1215"/>
      <c r="J213" s="1215"/>
      <c r="K213" s="1215" t="s">
        <v>535</v>
      </c>
      <c r="L213" s="1215" t="s">
        <v>535</v>
      </c>
      <c r="M213" s="1215" t="s">
        <v>535</v>
      </c>
      <c r="N213" s="1215" t="s">
        <v>535</v>
      </c>
      <c r="O213" s="1215" t="s">
        <v>535</v>
      </c>
      <c r="P213" s="1215"/>
      <c r="Q213" s="1215"/>
      <c r="R213" s="1215" t="s">
        <v>535</v>
      </c>
      <c r="S213" s="1215" t="s">
        <v>535</v>
      </c>
      <c r="T213" s="1215" t="s">
        <v>535</v>
      </c>
      <c r="U213" s="1215" t="s">
        <v>535</v>
      </c>
      <c r="V213" s="1215" t="s">
        <v>535</v>
      </c>
      <c r="W213" s="1215"/>
      <c r="X213" s="1215"/>
      <c r="Y213" s="1346" t="s">
        <v>535</v>
      </c>
      <c r="Z213" s="1215"/>
      <c r="AA213" s="1215"/>
      <c r="AB213" s="1215"/>
      <c r="AC213" s="1346" t="s">
        <v>535</v>
      </c>
      <c r="AD213" s="1215"/>
      <c r="AE213" s="1215"/>
      <c r="AF213" s="1346" t="s">
        <v>535</v>
      </c>
      <c r="AG213" s="1229"/>
      <c r="AH213" s="603">
        <v>185</v>
      </c>
      <c r="AI213" s="604">
        <v>37</v>
      </c>
    </row>
    <row r="214" spans="1:35" ht="21.95" customHeight="1">
      <c r="A214" s="903">
        <v>3701</v>
      </c>
      <c r="B214" s="1240"/>
      <c r="C214" s="1229"/>
      <c r="D214" s="1229"/>
      <c r="E214" s="1229"/>
      <c r="F214" s="1229"/>
      <c r="G214" s="1229"/>
      <c r="H214" s="1229"/>
      <c r="I214" s="1229"/>
      <c r="J214" s="1229"/>
      <c r="K214" s="1229"/>
      <c r="L214" s="1229"/>
      <c r="M214" s="1229"/>
      <c r="N214" s="1229"/>
      <c r="O214" s="1229"/>
      <c r="P214" s="1229"/>
      <c r="Q214" s="1229"/>
      <c r="R214" s="1229"/>
      <c r="S214" s="1229"/>
      <c r="T214" s="1229"/>
      <c r="U214" s="1229"/>
      <c r="V214" s="1229"/>
      <c r="W214" s="1229"/>
      <c r="X214" s="1229"/>
      <c r="Y214" s="1229"/>
      <c r="Z214" s="1229"/>
      <c r="AA214" s="1229"/>
      <c r="AB214" s="1229"/>
      <c r="AC214" s="1229"/>
      <c r="AD214" s="1229"/>
      <c r="AE214" s="1229"/>
      <c r="AF214" s="1229"/>
      <c r="AG214" s="1229"/>
      <c r="AH214" s="904"/>
      <c r="AI214" s="904"/>
    </row>
    <row r="215" spans="1:35" ht="21.95" customHeight="1">
      <c r="A215" s="578"/>
      <c r="B215" s="621"/>
      <c r="C215" s="559"/>
      <c r="D215" s="559"/>
      <c r="E215" s="559"/>
      <c r="F215" s="559"/>
      <c r="G215" s="559"/>
      <c r="H215" s="559"/>
      <c r="I215" s="559"/>
      <c r="J215" s="559"/>
      <c r="K215" s="520"/>
      <c r="L215" s="559"/>
      <c r="M215" s="559"/>
      <c r="N215" s="559"/>
      <c r="O215" s="559"/>
      <c r="P215" s="541"/>
      <c r="Q215" s="541"/>
      <c r="R215" s="541"/>
      <c r="S215" s="559"/>
      <c r="T215" s="559"/>
      <c r="U215" s="559"/>
      <c r="V215" s="559"/>
      <c r="W215" s="559"/>
      <c r="X215" s="559"/>
      <c r="Y215" s="559"/>
      <c r="Z215" s="559"/>
      <c r="AA215" s="559"/>
      <c r="AB215" s="559"/>
      <c r="AC215" s="559"/>
      <c r="AD215" s="559"/>
      <c r="AE215" s="559"/>
      <c r="AF215" s="559"/>
      <c r="AG215" s="559"/>
      <c r="AH215" s="560"/>
      <c r="AI215" s="560"/>
    </row>
    <row r="216" spans="1:35" ht="21" customHeight="1" thickBot="1">
      <c r="A216" s="1" t="s">
        <v>577</v>
      </c>
    </row>
    <row r="217" spans="1:35" ht="21" customHeight="1">
      <c r="B217" s="201" t="s">
        <v>516</v>
      </c>
      <c r="C217" s="7"/>
      <c r="D217" s="525" t="s">
        <v>2</v>
      </c>
      <c r="E217" s="51"/>
      <c r="F217" s="551"/>
      <c r="G217" s="7"/>
      <c r="H217" s="525" t="s">
        <v>3</v>
      </c>
      <c r="I217" s="51"/>
      <c r="J217" s="551"/>
      <c r="K217" s="7"/>
      <c r="L217" s="525" t="s">
        <v>4</v>
      </c>
      <c r="M217" s="51"/>
      <c r="N217" s="551"/>
      <c r="O217" s="7"/>
      <c r="P217" s="525" t="s">
        <v>5</v>
      </c>
      <c r="Q217" s="51"/>
      <c r="R217" s="551"/>
      <c r="S217" s="7"/>
      <c r="T217" s="525" t="s">
        <v>6</v>
      </c>
      <c r="U217" s="51"/>
      <c r="V217" s="551"/>
      <c r="W217" s="7"/>
      <c r="X217" s="525" t="s">
        <v>7</v>
      </c>
      <c r="Y217" s="51"/>
      <c r="Z217" s="551"/>
      <c r="AA217" s="7"/>
      <c r="AB217" s="525" t="s">
        <v>8</v>
      </c>
      <c r="AC217" s="51"/>
      <c r="AD217" s="51"/>
      <c r="AE217" s="425" t="s">
        <v>10</v>
      </c>
      <c r="AF217" s="51"/>
      <c r="AG217" s="51"/>
      <c r="AH217" s="51"/>
      <c r="AI217" s="526"/>
    </row>
    <row r="218" spans="1:35" ht="21" customHeight="1">
      <c r="B218" s="9">
        <v>8502</v>
      </c>
      <c r="C218" s="14" t="s">
        <v>11</v>
      </c>
      <c r="D218" s="609"/>
      <c r="E218" s="55"/>
      <c r="F218" s="608"/>
      <c r="G218" s="14" t="s">
        <v>11</v>
      </c>
      <c r="H218" s="609"/>
      <c r="I218" s="55"/>
      <c r="J218" s="608"/>
      <c r="K218" s="14" t="s">
        <v>11</v>
      </c>
      <c r="L218" s="609"/>
      <c r="M218" s="55"/>
      <c r="N218" s="608"/>
      <c r="O218" s="14" t="s">
        <v>11</v>
      </c>
      <c r="P218" s="609"/>
      <c r="Q218" s="55"/>
      <c r="R218" s="608"/>
      <c r="S218" s="14" t="s">
        <v>12</v>
      </c>
      <c r="T218" s="609"/>
      <c r="U218" s="55"/>
      <c r="V218" s="608"/>
      <c r="W218" s="14"/>
      <c r="X218" s="609"/>
      <c r="Y218" s="55"/>
      <c r="Z218" s="608"/>
      <c r="AA218" s="14"/>
      <c r="AB218" s="609"/>
      <c r="AC218" s="55"/>
      <c r="AD218" s="55"/>
      <c r="AE218" s="610"/>
      <c r="AF218" s="55"/>
      <c r="AG218" s="55"/>
      <c r="AH218" s="55"/>
      <c r="AI218" s="611"/>
    </row>
    <row r="219" spans="1:35" ht="21" customHeight="1">
      <c r="B219" s="612">
        <v>3701</v>
      </c>
      <c r="C219" s="121" t="s">
        <v>11</v>
      </c>
      <c r="D219" s="131"/>
      <c r="E219" s="55"/>
      <c r="F219" s="608"/>
      <c r="G219" s="121" t="s">
        <v>11</v>
      </c>
      <c r="H219" s="609"/>
      <c r="I219" s="55"/>
      <c r="J219" s="608"/>
      <c r="K219" s="121" t="s">
        <v>11</v>
      </c>
      <c r="L219" s="609"/>
      <c r="M219" s="55"/>
      <c r="N219" s="608"/>
      <c r="O219" s="121" t="s">
        <v>11</v>
      </c>
      <c r="P219" s="609"/>
      <c r="Q219" s="55"/>
      <c r="R219" s="608"/>
      <c r="S219" s="14" t="s">
        <v>12</v>
      </c>
      <c r="T219" s="609"/>
      <c r="U219" s="55"/>
      <c r="V219" s="608"/>
      <c r="W219" s="14"/>
      <c r="X219" s="609"/>
      <c r="Y219" s="55"/>
      <c r="Z219" s="608"/>
      <c r="AA219" s="14"/>
      <c r="AB219" s="609"/>
      <c r="AC219" s="55"/>
      <c r="AD219" s="55"/>
      <c r="AE219" s="610"/>
      <c r="AF219" s="55"/>
      <c r="AG219" s="55"/>
      <c r="AH219" s="55"/>
      <c r="AI219" s="611"/>
    </row>
    <row r="220" spans="1:35" ht="21" customHeight="1">
      <c r="B220" s="612">
        <v>3705</v>
      </c>
      <c r="C220" s="121" t="s">
        <v>147</v>
      </c>
      <c r="D220" s="131"/>
      <c r="E220" s="55"/>
      <c r="F220" s="608"/>
      <c r="G220" s="121" t="s">
        <v>147</v>
      </c>
      <c r="H220" s="609"/>
      <c r="I220" s="55"/>
      <c r="J220" s="608"/>
      <c r="K220" s="121" t="s">
        <v>147</v>
      </c>
      <c r="L220" s="609"/>
      <c r="M220" s="55"/>
      <c r="N220" s="608"/>
      <c r="O220" s="121" t="s">
        <v>147</v>
      </c>
      <c r="P220" s="609"/>
      <c r="Q220" s="55"/>
      <c r="R220" s="608"/>
      <c r="S220" s="121" t="s">
        <v>578</v>
      </c>
      <c r="T220" s="609"/>
      <c r="U220" s="55"/>
      <c r="V220" s="608"/>
      <c r="W220" s="14"/>
      <c r="X220" s="609"/>
      <c r="Y220" s="55"/>
      <c r="Z220" s="608"/>
      <c r="AA220" s="14"/>
      <c r="AB220" s="609"/>
      <c r="AC220" s="55"/>
      <c r="AD220" s="55"/>
      <c r="AE220" s="610"/>
      <c r="AF220" s="55"/>
      <c r="AG220" s="55"/>
      <c r="AH220" s="55"/>
      <c r="AI220" s="611"/>
    </row>
    <row r="221" spans="1:35" ht="21" customHeight="1">
      <c r="B221" s="612" t="s">
        <v>579</v>
      </c>
      <c r="C221" s="567" t="s">
        <v>580</v>
      </c>
      <c r="D221" s="131"/>
      <c r="E221" s="55"/>
      <c r="F221" s="608"/>
      <c r="G221" s="567" t="s">
        <v>580</v>
      </c>
      <c r="H221" s="609"/>
      <c r="I221" s="55"/>
      <c r="J221" s="608"/>
      <c r="K221" s="567" t="s">
        <v>580</v>
      </c>
      <c r="L221" s="609"/>
      <c r="M221" s="55"/>
      <c r="N221" s="608"/>
      <c r="O221" s="567" t="s">
        <v>580</v>
      </c>
      <c r="P221" s="609"/>
      <c r="Q221" s="55"/>
      <c r="R221" s="608"/>
      <c r="S221" s="567" t="s">
        <v>580</v>
      </c>
      <c r="T221" s="609"/>
      <c r="U221" s="55"/>
      <c r="V221" s="608"/>
      <c r="W221" s="14"/>
      <c r="X221" s="609"/>
      <c r="Y221" s="55"/>
      <c r="Z221" s="608"/>
      <c r="AA221" s="14"/>
      <c r="AB221" s="609"/>
      <c r="AC221" s="55"/>
      <c r="AD221" s="55"/>
      <c r="AE221" s="610"/>
      <c r="AF221" s="55"/>
      <c r="AG221" s="55"/>
      <c r="AH221" s="55"/>
      <c r="AI221" s="611"/>
    </row>
    <row r="222" spans="1:35" ht="21" customHeight="1">
      <c r="B222" s="612" t="s">
        <v>581</v>
      </c>
      <c r="C222" s="567" t="s">
        <v>582</v>
      </c>
      <c r="D222" s="131"/>
      <c r="E222" s="55"/>
      <c r="F222" s="608"/>
      <c r="G222" s="609" t="s">
        <v>583</v>
      </c>
      <c r="H222" s="609"/>
      <c r="I222" s="55"/>
      <c r="J222" s="608"/>
      <c r="K222" s="609" t="s">
        <v>584</v>
      </c>
      <c r="L222" s="609"/>
      <c r="M222" s="55"/>
      <c r="N222" s="608"/>
      <c r="O222" s="609" t="s">
        <v>584</v>
      </c>
      <c r="P222" s="609"/>
      <c r="Q222" s="55"/>
      <c r="R222" s="608"/>
      <c r="S222" s="609" t="s">
        <v>585</v>
      </c>
      <c r="T222" s="609"/>
      <c r="U222" s="55"/>
      <c r="V222" s="608"/>
      <c r="W222" s="14"/>
      <c r="X222" s="609"/>
      <c r="Y222" s="55"/>
      <c r="Z222" s="608"/>
      <c r="AA222" s="14"/>
      <c r="AB222" s="609"/>
      <c r="AC222" s="55"/>
      <c r="AD222" s="55"/>
      <c r="AE222" s="610"/>
      <c r="AF222" s="55"/>
      <c r="AG222" s="55"/>
      <c r="AH222" s="55"/>
      <c r="AI222" s="611"/>
    </row>
    <row r="223" spans="1:35" ht="21" customHeight="1">
      <c r="B223" s="612" t="s">
        <v>164</v>
      </c>
      <c r="C223" s="567" t="s">
        <v>518</v>
      </c>
      <c r="D223" s="131"/>
      <c r="E223" s="55"/>
      <c r="F223" s="608"/>
      <c r="G223" s="567" t="s">
        <v>518</v>
      </c>
      <c r="H223" s="131"/>
      <c r="I223" s="55"/>
      <c r="J223" s="608"/>
      <c r="K223" s="567" t="s">
        <v>518</v>
      </c>
      <c r="L223" s="131"/>
      <c r="M223" s="55"/>
      <c r="N223" s="608"/>
      <c r="O223" s="567" t="s">
        <v>518</v>
      </c>
      <c r="P223" s="131"/>
      <c r="Q223" s="55"/>
      <c r="R223" s="608"/>
      <c r="S223" s="609" t="s">
        <v>519</v>
      </c>
      <c r="T223" s="609"/>
      <c r="U223" s="55"/>
      <c r="V223" s="608"/>
      <c r="W223" s="14"/>
      <c r="X223" s="609"/>
      <c r="Y223" s="55"/>
      <c r="Z223" s="608"/>
      <c r="AA223" s="14"/>
      <c r="AB223" s="609"/>
      <c r="AC223" s="55"/>
      <c r="AD223" s="55"/>
      <c r="AE223" s="610"/>
      <c r="AF223" s="55"/>
      <c r="AG223" s="55"/>
      <c r="AH223" s="55"/>
      <c r="AI223" s="611"/>
    </row>
    <row r="224" spans="1:35" ht="21" customHeight="1">
      <c r="B224" s="612" t="s">
        <v>167</v>
      </c>
      <c r="C224" s="567" t="s">
        <v>521</v>
      </c>
      <c r="D224" s="131"/>
      <c r="E224" s="55"/>
      <c r="F224" s="608"/>
      <c r="G224" s="567" t="s">
        <v>521</v>
      </c>
      <c r="H224" s="131"/>
      <c r="I224" s="55"/>
      <c r="J224" s="608"/>
      <c r="K224" s="567" t="s">
        <v>521</v>
      </c>
      <c r="L224" s="131"/>
      <c r="M224" s="55"/>
      <c r="N224" s="608"/>
      <c r="O224" s="567" t="s">
        <v>521</v>
      </c>
      <c r="P224" s="131"/>
      <c r="Q224" s="55"/>
      <c r="R224" s="608"/>
      <c r="S224" s="609" t="s">
        <v>522</v>
      </c>
      <c r="T224" s="609"/>
      <c r="U224" s="55"/>
      <c r="V224" s="608"/>
      <c r="W224" s="14"/>
      <c r="X224" s="609"/>
      <c r="Y224" s="55"/>
      <c r="Z224" s="608"/>
      <c r="AA224" s="14"/>
      <c r="AB224" s="609"/>
      <c r="AC224" s="55"/>
      <c r="AD224" s="55"/>
      <c r="AE224" s="610"/>
      <c r="AF224" s="55"/>
      <c r="AG224" s="55"/>
      <c r="AH224" s="55"/>
      <c r="AI224" s="611"/>
    </row>
    <row r="225" spans="1:35" ht="21" customHeight="1" thickBot="1">
      <c r="B225" s="617" t="s">
        <v>170</v>
      </c>
      <c r="C225" s="574" t="s">
        <v>524</v>
      </c>
      <c r="D225" s="48"/>
      <c r="E225" s="622"/>
      <c r="F225" s="240"/>
      <c r="G225" s="574" t="s">
        <v>524</v>
      </c>
      <c r="H225" s="48"/>
      <c r="I225" s="622"/>
      <c r="J225" s="240"/>
      <c r="K225" s="574" t="s">
        <v>524</v>
      </c>
      <c r="L225" s="48"/>
      <c r="M225" s="622"/>
      <c r="N225" s="240"/>
      <c r="O225" s="574" t="s">
        <v>524</v>
      </c>
      <c r="P225" s="48"/>
      <c r="Q225" s="622"/>
      <c r="R225" s="240"/>
      <c r="S225" s="149" t="s">
        <v>525</v>
      </c>
      <c r="T225" s="149"/>
      <c r="U225" s="622"/>
      <c r="V225" s="240"/>
      <c r="W225" s="623"/>
      <c r="X225" s="149"/>
      <c r="Y225" s="622"/>
      <c r="Z225" s="240"/>
      <c r="AA225" s="623"/>
      <c r="AB225" s="149"/>
      <c r="AC225" s="622"/>
      <c r="AD225" s="622"/>
      <c r="AE225" s="624"/>
      <c r="AF225" s="622"/>
      <c r="AG225" s="622"/>
      <c r="AH225" s="622"/>
      <c r="AI225" s="625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6" t="s">
        <v>586</v>
      </c>
    </row>
    <row r="228" spans="1:35" ht="21" customHeight="1">
      <c r="A228" s="556"/>
      <c r="B228" s="297" t="s">
        <v>480</v>
      </c>
      <c r="C228" s="1235">
        <v>1</v>
      </c>
      <c r="D228" s="1234">
        <v>2</v>
      </c>
      <c r="E228" s="1234">
        <v>3</v>
      </c>
      <c r="F228" s="1234">
        <v>4</v>
      </c>
      <c r="G228" s="1234">
        <v>5</v>
      </c>
      <c r="H228" s="1234">
        <v>6</v>
      </c>
      <c r="I228" s="1330">
        <v>7</v>
      </c>
      <c r="J228" s="1330">
        <v>8</v>
      </c>
      <c r="K228" s="1234">
        <v>9</v>
      </c>
      <c r="L228" s="1234">
        <v>10</v>
      </c>
      <c r="M228" s="1234">
        <v>11</v>
      </c>
      <c r="N228" s="1234">
        <v>12</v>
      </c>
      <c r="O228" s="1234">
        <v>13</v>
      </c>
      <c r="P228" s="1330">
        <v>14</v>
      </c>
      <c r="Q228" s="1330">
        <v>15</v>
      </c>
      <c r="R228" s="1234">
        <v>16</v>
      </c>
      <c r="S228" s="1234">
        <v>17</v>
      </c>
      <c r="T228" s="1234">
        <v>18</v>
      </c>
      <c r="U228" s="1234">
        <v>19</v>
      </c>
      <c r="V228" s="1213">
        <v>20</v>
      </c>
      <c r="W228" s="1330">
        <v>21</v>
      </c>
      <c r="X228" s="1330">
        <v>22</v>
      </c>
      <c r="Y228" s="1234">
        <v>23</v>
      </c>
      <c r="Z228" s="1235">
        <v>24</v>
      </c>
      <c r="AA228" s="1235">
        <v>25</v>
      </c>
      <c r="AB228" s="1235">
        <v>26</v>
      </c>
      <c r="AC228" s="1234">
        <v>27</v>
      </c>
      <c r="AD228" s="1330">
        <v>28</v>
      </c>
      <c r="AE228" s="1330">
        <v>29</v>
      </c>
      <c r="AF228" s="1234">
        <v>30</v>
      </c>
      <c r="AG228" s="1235">
        <v>31</v>
      </c>
      <c r="AH228" s="498" t="s">
        <v>481</v>
      </c>
      <c r="AI228" s="499" t="s">
        <v>482</v>
      </c>
    </row>
    <row r="229" spans="1:35" ht="21" customHeight="1">
      <c r="A229" s="442">
        <v>3702</v>
      </c>
      <c r="B229" s="153" t="s">
        <v>587</v>
      </c>
      <c r="C229" s="557"/>
      <c r="D229" s="1500" t="s">
        <v>514</v>
      </c>
      <c r="E229" s="557">
        <v>2</v>
      </c>
      <c r="F229" s="1439">
        <v>2</v>
      </c>
      <c r="G229" s="1439">
        <v>2</v>
      </c>
      <c r="H229" s="1439" t="s">
        <v>759</v>
      </c>
      <c r="I229" s="1215"/>
      <c r="J229" s="1215"/>
      <c r="K229" s="1511">
        <v>1</v>
      </c>
      <c r="L229" s="557">
        <v>1</v>
      </c>
      <c r="M229" s="557">
        <v>1</v>
      </c>
      <c r="N229" s="557">
        <v>1</v>
      </c>
      <c r="O229" s="557">
        <v>1</v>
      </c>
      <c r="P229" s="1208"/>
      <c r="Q229" s="1208"/>
      <c r="R229" s="1208">
        <v>2</v>
      </c>
      <c r="S229" s="1208">
        <v>2</v>
      </c>
      <c r="T229" s="1208">
        <v>2</v>
      </c>
      <c r="U229" s="557">
        <v>2</v>
      </c>
      <c r="V229" s="557">
        <v>2</v>
      </c>
      <c r="W229" s="1215"/>
      <c r="X229" s="1215"/>
      <c r="Y229" s="1365">
        <v>1</v>
      </c>
      <c r="Z229" s="557"/>
      <c r="AA229" s="557"/>
      <c r="AB229" s="557"/>
      <c r="AC229" s="1365">
        <v>1</v>
      </c>
      <c r="AD229" s="1215"/>
      <c r="AE229" s="1208"/>
      <c r="AF229" s="1365">
        <v>2</v>
      </c>
      <c r="AG229" s="1208"/>
      <c r="AH229" s="504">
        <v>185</v>
      </c>
      <c r="AI229" s="505">
        <v>37</v>
      </c>
    </row>
    <row r="230" spans="1:35" ht="21" customHeight="1">
      <c r="A230" s="442">
        <v>3701</v>
      </c>
      <c r="B230" s="153" t="s">
        <v>588</v>
      </c>
      <c r="C230" s="557"/>
      <c r="D230" s="557" t="s">
        <v>535</v>
      </c>
      <c r="E230" s="557" t="s">
        <v>535</v>
      </c>
      <c r="F230" s="557" t="s">
        <v>535</v>
      </c>
      <c r="G230" s="557" t="s">
        <v>535</v>
      </c>
      <c r="H230" s="557" t="s">
        <v>535</v>
      </c>
      <c r="I230" s="1215"/>
      <c r="J230" s="1215"/>
      <c r="K230" s="557" t="s">
        <v>535</v>
      </c>
      <c r="L230" s="557" t="s">
        <v>535</v>
      </c>
      <c r="M230" s="557" t="s">
        <v>535</v>
      </c>
      <c r="N230" s="557" t="s">
        <v>535</v>
      </c>
      <c r="O230" s="557" t="s">
        <v>535</v>
      </c>
      <c r="P230" s="1208"/>
      <c r="Q230" s="1208"/>
      <c r="R230" s="1208" t="s">
        <v>535</v>
      </c>
      <c r="S230" s="1208" t="s">
        <v>535</v>
      </c>
      <c r="T230" s="1208" t="s">
        <v>535</v>
      </c>
      <c r="U230" s="557" t="s">
        <v>535</v>
      </c>
      <c r="V230" s="557" t="s">
        <v>535</v>
      </c>
      <c r="W230" s="1215"/>
      <c r="X230" s="1215"/>
      <c r="Y230" s="1368" t="s">
        <v>535</v>
      </c>
      <c r="Z230" s="557"/>
      <c r="AA230" s="557"/>
      <c r="AB230" s="557"/>
      <c r="AC230" s="1368" t="s">
        <v>535</v>
      </c>
      <c r="AD230" s="1215"/>
      <c r="AE230" s="1208"/>
      <c r="AF230" s="1368" t="s">
        <v>535</v>
      </c>
      <c r="AG230" s="1208"/>
      <c r="AH230" s="504">
        <v>185</v>
      </c>
      <c r="AI230" s="505">
        <v>37</v>
      </c>
    </row>
    <row r="231" spans="1:35" ht="21" customHeight="1">
      <c r="A231" s="442">
        <v>3702</v>
      </c>
      <c r="B231" s="153" t="s">
        <v>589</v>
      </c>
      <c r="C231" s="557"/>
      <c r="D231" s="557">
        <v>1</v>
      </c>
      <c r="E231" s="1500" t="s">
        <v>514</v>
      </c>
      <c r="F231" s="557">
        <v>1</v>
      </c>
      <c r="G231" s="557">
        <v>1</v>
      </c>
      <c r="H231" s="557">
        <v>1</v>
      </c>
      <c r="I231" s="1215"/>
      <c r="J231" s="1215"/>
      <c r="K231" s="557">
        <v>2</v>
      </c>
      <c r="L231" s="557">
        <v>2</v>
      </c>
      <c r="M231" s="557">
        <v>2</v>
      </c>
      <c r="N231" s="557">
        <v>2</v>
      </c>
      <c r="O231" s="557">
        <v>2</v>
      </c>
      <c r="P231" s="1208"/>
      <c r="Q231" s="1208"/>
      <c r="R231" s="1208">
        <v>1</v>
      </c>
      <c r="S231" s="1208">
        <v>1</v>
      </c>
      <c r="T231" s="1208">
        <v>1</v>
      </c>
      <c r="U231" s="557">
        <v>1</v>
      </c>
      <c r="V231" s="557">
        <v>1</v>
      </c>
      <c r="W231" s="1215"/>
      <c r="X231" s="1215"/>
      <c r="Y231" s="1365">
        <v>2</v>
      </c>
      <c r="Z231" s="557"/>
      <c r="AA231" s="557"/>
      <c r="AB231" s="557"/>
      <c r="AC231" s="1365">
        <v>2</v>
      </c>
      <c r="AD231" s="1215"/>
      <c r="AE231" s="1208"/>
      <c r="AF231" s="1365">
        <v>1</v>
      </c>
      <c r="AG231" s="1208"/>
      <c r="AH231" s="504">
        <v>185</v>
      </c>
      <c r="AI231" s="505">
        <v>37</v>
      </c>
    </row>
    <row r="232" spans="1:35" ht="21" customHeight="1">
      <c r="A232" s="627">
        <v>3706</v>
      </c>
      <c r="B232" s="1607" t="s">
        <v>791</v>
      </c>
      <c r="C232" s="1215"/>
      <c r="D232" s="1215"/>
      <c r="E232" s="1215"/>
      <c r="F232" s="1215"/>
      <c r="G232" s="1215"/>
      <c r="H232" s="1215"/>
      <c r="I232" s="1215"/>
      <c r="J232" s="1215"/>
      <c r="K232" s="1215"/>
      <c r="L232" s="1500" t="s">
        <v>514</v>
      </c>
      <c r="M232" s="1344" t="s">
        <v>514</v>
      </c>
      <c r="N232" s="1215"/>
      <c r="O232" s="1215"/>
      <c r="P232" s="1215"/>
      <c r="Q232" s="1215"/>
      <c r="R232" s="1215"/>
      <c r="S232" s="1215"/>
      <c r="T232" s="1215"/>
      <c r="U232" s="1215"/>
      <c r="V232" s="1215"/>
      <c r="W232" s="1215"/>
      <c r="X232" s="1215"/>
      <c r="Y232" s="1215"/>
      <c r="Z232" s="1215"/>
      <c r="AA232" s="1215"/>
      <c r="AB232" s="1215"/>
      <c r="AC232" s="1215"/>
      <c r="AD232" s="1215"/>
      <c r="AE232" s="1215"/>
      <c r="AF232" s="1215"/>
      <c r="AG232" s="1215"/>
      <c r="AH232" s="504">
        <v>185</v>
      </c>
      <c r="AI232" s="505">
        <v>37</v>
      </c>
    </row>
    <row r="233" spans="1:35" ht="21" customHeight="1">
      <c r="A233" s="628"/>
      <c r="B233" s="629" t="s">
        <v>590</v>
      </c>
      <c r="C233" s="630"/>
      <c r="D233" s="630"/>
      <c r="E233" s="630"/>
      <c r="F233" s="630"/>
      <c r="G233" s="630"/>
      <c r="H233" s="630"/>
      <c r="I233" s="630"/>
      <c r="J233" s="630"/>
      <c r="K233" s="630"/>
      <c r="L233" s="630"/>
      <c r="M233" s="630"/>
      <c r="N233" s="630"/>
      <c r="O233" s="630"/>
      <c r="P233" s="630"/>
      <c r="Q233" s="630"/>
      <c r="R233" s="630"/>
      <c r="S233" s="630"/>
      <c r="T233" s="630"/>
      <c r="U233" s="630"/>
      <c r="V233" s="630"/>
      <c r="W233" s="630"/>
      <c r="X233" s="630"/>
      <c r="Y233" s="630"/>
      <c r="Z233" s="630"/>
      <c r="AA233" s="630"/>
      <c r="AB233" s="630"/>
      <c r="AC233" s="630"/>
      <c r="AD233" s="630"/>
      <c r="AE233" s="630"/>
      <c r="AF233" s="630"/>
      <c r="AG233" s="631"/>
      <c r="AH233" s="632"/>
      <c r="AI233" s="633"/>
    </row>
    <row r="234" spans="1:35" ht="21" customHeight="1">
      <c r="A234" s="442">
        <v>3702</v>
      </c>
      <c r="B234" s="902" t="s">
        <v>520</v>
      </c>
      <c r="C234" s="557"/>
      <c r="D234" s="557" t="s">
        <v>591</v>
      </c>
      <c r="E234" s="557" t="s">
        <v>591</v>
      </c>
      <c r="F234" s="557" t="s">
        <v>591</v>
      </c>
      <c r="G234" s="557" t="s">
        <v>591</v>
      </c>
      <c r="H234" s="557" t="s">
        <v>591</v>
      </c>
      <c r="I234" s="1231"/>
      <c r="J234" s="1215"/>
      <c r="K234" s="557" t="s">
        <v>591</v>
      </c>
      <c r="L234" s="557" t="s">
        <v>591</v>
      </c>
      <c r="M234" s="557" t="s">
        <v>591</v>
      </c>
      <c r="N234" s="557" t="s">
        <v>591</v>
      </c>
      <c r="O234" s="1439" t="s">
        <v>591</v>
      </c>
      <c r="P234" s="1392"/>
      <c r="Q234" s="1392"/>
      <c r="R234" s="1439" t="s">
        <v>591</v>
      </c>
      <c r="S234" s="1439" t="s">
        <v>774</v>
      </c>
      <c r="T234" s="1208" t="s">
        <v>591</v>
      </c>
      <c r="U234" s="1208" t="s">
        <v>591</v>
      </c>
      <c r="V234" s="1208" t="s">
        <v>591</v>
      </c>
      <c r="W234" s="502"/>
      <c r="X234" s="502"/>
      <c r="Y234" s="1365" t="s">
        <v>591</v>
      </c>
      <c r="Z234" s="557"/>
      <c r="AA234" s="557"/>
      <c r="AB234" s="557"/>
      <c r="AC234" s="1365" t="s">
        <v>591</v>
      </c>
      <c r="AD234" s="1231"/>
      <c r="AE234" s="1215"/>
      <c r="AF234" s="1365" t="s">
        <v>591</v>
      </c>
      <c r="AG234" s="557"/>
      <c r="AH234" s="504">
        <v>185</v>
      </c>
      <c r="AI234" s="505">
        <v>37</v>
      </c>
    </row>
    <row r="235" spans="1:35" ht="21" customHeight="1">
      <c r="A235" s="442"/>
      <c r="B235" s="153" t="s">
        <v>517</v>
      </c>
      <c r="C235" s="1365"/>
      <c r="D235" s="1365" t="s">
        <v>592</v>
      </c>
      <c r="E235" s="1365" t="s">
        <v>592</v>
      </c>
      <c r="F235" s="1365" t="s">
        <v>592</v>
      </c>
      <c r="G235" s="1365" t="s">
        <v>592</v>
      </c>
      <c r="H235" s="1365" t="s">
        <v>592</v>
      </c>
      <c r="I235" s="1573"/>
      <c r="J235" s="1338"/>
      <c r="K235" s="557" t="s">
        <v>592</v>
      </c>
      <c r="L235" s="557" t="s">
        <v>592</v>
      </c>
      <c r="M235" s="557" t="s">
        <v>592</v>
      </c>
      <c r="N235" s="557" t="s">
        <v>592</v>
      </c>
      <c r="O235" s="557" t="s">
        <v>592</v>
      </c>
      <c r="P235" s="1215"/>
      <c r="Q235" s="1215"/>
      <c r="R235" s="557" t="s">
        <v>592</v>
      </c>
      <c r="S235" s="557" t="s">
        <v>592</v>
      </c>
      <c r="T235" s="557" t="s">
        <v>592</v>
      </c>
      <c r="U235" s="557" t="s">
        <v>592</v>
      </c>
      <c r="V235" s="557" t="s">
        <v>592</v>
      </c>
      <c r="W235" s="502"/>
      <c r="X235" s="502"/>
      <c r="Y235" s="1638" t="s">
        <v>592</v>
      </c>
      <c r="Z235" s="557"/>
      <c r="AA235" s="557"/>
      <c r="AB235" s="557"/>
      <c r="AC235" s="1347" t="s">
        <v>592</v>
      </c>
      <c r="AD235" s="1231"/>
      <c r="AE235" s="1215"/>
      <c r="AF235" s="1347" t="s">
        <v>592</v>
      </c>
      <c r="AG235" s="557"/>
      <c r="AH235" s="504">
        <v>185</v>
      </c>
      <c r="AI235" s="505">
        <v>37</v>
      </c>
    </row>
    <row r="236" spans="1:35" ht="21" customHeight="1">
      <c r="A236" s="442"/>
      <c r="B236" s="153" t="s">
        <v>523</v>
      </c>
      <c r="C236" s="557"/>
      <c r="D236" s="1629" t="s">
        <v>556</v>
      </c>
      <c r="E236" s="557" t="s">
        <v>556</v>
      </c>
      <c r="F236" s="557" t="s">
        <v>556</v>
      </c>
      <c r="G236" s="557" t="s">
        <v>556</v>
      </c>
      <c r="H236" s="557" t="s">
        <v>556</v>
      </c>
      <c r="I236" s="1231"/>
      <c r="J236" s="1215"/>
      <c r="K236" s="557" t="s">
        <v>556</v>
      </c>
      <c r="L236" s="557" t="s">
        <v>556</v>
      </c>
      <c r="M236" s="557" t="s">
        <v>556</v>
      </c>
      <c r="N236" s="557" t="s">
        <v>556</v>
      </c>
      <c r="O236" s="557" t="s">
        <v>556</v>
      </c>
      <c r="P236" s="1215"/>
      <c r="Q236" s="1215"/>
      <c r="R236" s="557" t="s">
        <v>556</v>
      </c>
      <c r="S236" s="557" t="s">
        <v>556</v>
      </c>
      <c r="T236" s="557" t="s">
        <v>556</v>
      </c>
      <c r="U236" s="557" t="s">
        <v>556</v>
      </c>
      <c r="V236" s="557" t="s">
        <v>556</v>
      </c>
      <c r="W236" s="502"/>
      <c r="X236" s="502"/>
      <c r="Y236" s="1365" t="s">
        <v>556</v>
      </c>
      <c r="Z236" s="557"/>
      <c r="AA236" s="557"/>
      <c r="AB236" s="557"/>
      <c r="AC236" s="1365" t="s">
        <v>556</v>
      </c>
      <c r="AD236" s="1231"/>
      <c r="AE236" s="1215"/>
      <c r="AF236" s="1365" t="s">
        <v>556</v>
      </c>
      <c r="AG236" s="557"/>
      <c r="AH236" s="504">
        <v>185</v>
      </c>
      <c r="AI236" s="505">
        <v>37</v>
      </c>
    </row>
    <row r="237" spans="1:35" ht="21" customHeight="1"/>
    <row r="238" spans="1:35" ht="21" customHeight="1"/>
    <row r="239" spans="1:35" ht="21" customHeight="1" thickBot="1">
      <c r="A239" s="1" t="s">
        <v>593</v>
      </c>
    </row>
    <row r="240" spans="1:35" ht="21" customHeight="1">
      <c r="B240" s="201" t="s">
        <v>516</v>
      </c>
      <c r="C240" s="7"/>
      <c r="D240" s="525" t="s">
        <v>2</v>
      </c>
      <c r="E240" s="51"/>
      <c r="F240" s="551"/>
      <c r="G240" s="7"/>
      <c r="H240" s="525" t="s">
        <v>3</v>
      </c>
      <c r="I240" s="51"/>
      <c r="J240" s="551"/>
      <c r="K240" s="7"/>
      <c r="L240" s="525" t="s">
        <v>4</v>
      </c>
      <c r="M240" s="51"/>
      <c r="N240" s="551"/>
      <c r="O240" s="7"/>
      <c r="P240" s="525" t="s">
        <v>5</v>
      </c>
      <c r="Q240" s="51"/>
      <c r="R240" s="551"/>
      <c r="S240" s="7"/>
      <c r="T240" s="525" t="s">
        <v>6</v>
      </c>
      <c r="U240" s="51"/>
      <c r="V240" s="551"/>
      <c r="W240" s="7"/>
      <c r="X240" s="525" t="s">
        <v>7</v>
      </c>
      <c r="Y240" s="51"/>
      <c r="Z240" s="551"/>
      <c r="AA240" s="7"/>
      <c r="AB240" s="525" t="s">
        <v>8</v>
      </c>
      <c r="AC240" s="51"/>
      <c r="AD240" s="51"/>
      <c r="AE240" s="425" t="s">
        <v>10</v>
      </c>
      <c r="AF240" s="51"/>
      <c r="AG240" s="51"/>
      <c r="AH240" s="51"/>
      <c r="AI240" s="526"/>
    </row>
    <row r="241" spans="1:35" ht="21" customHeight="1">
      <c r="B241" s="9">
        <v>8500</v>
      </c>
      <c r="C241" s="121" t="s">
        <v>33</v>
      </c>
      <c r="D241" s="609"/>
      <c r="E241" s="55"/>
      <c r="F241" s="608"/>
      <c r="G241" s="121" t="s">
        <v>33</v>
      </c>
      <c r="H241" s="609"/>
      <c r="I241" s="55"/>
      <c r="J241" s="608"/>
      <c r="K241" s="121" t="s">
        <v>33</v>
      </c>
      <c r="L241" s="609"/>
      <c r="M241" s="55"/>
      <c r="N241" s="608"/>
      <c r="O241" s="121" t="s">
        <v>33</v>
      </c>
      <c r="P241" s="609"/>
      <c r="Q241" s="55"/>
      <c r="R241" s="608"/>
      <c r="S241" s="121" t="s">
        <v>34</v>
      </c>
      <c r="T241" s="609"/>
      <c r="U241" s="55"/>
      <c r="V241" s="608"/>
      <c r="W241" s="14"/>
      <c r="X241" s="609"/>
      <c r="Y241" s="55"/>
      <c r="Z241" s="608"/>
      <c r="AA241" s="14"/>
      <c r="AB241" s="609"/>
      <c r="AC241" s="55"/>
      <c r="AD241" s="55"/>
      <c r="AE241" s="610"/>
      <c r="AF241" s="55"/>
      <c r="AG241" s="55"/>
      <c r="AH241" s="55"/>
      <c r="AI241" s="611"/>
    </row>
    <row r="242" spans="1:35" ht="21" customHeight="1" thickBot="1">
      <c r="B242" s="163" t="s">
        <v>594</v>
      </c>
      <c r="C242" s="634" t="s">
        <v>595</v>
      </c>
      <c r="D242" s="635"/>
      <c r="E242" s="622"/>
      <c r="F242" s="240"/>
      <c r="G242" s="634" t="s">
        <v>595</v>
      </c>
      <c r="H242" s="149"/>
      <c r="I242" s="622"/>
      <c r="J242" s="240"/>
      <c r="K242" s="634" t="s">
        <v>595</v>
      </c>
      <c r="L242" s="149"/>
      <c r="M242" s="622"/>
      <c r="N242" s="240"/>
      <c r="O242" s="634" t="s">
        <v>596</v>
      </c>
      <c r="P242" s="149"/>
      <c r="Q242" s="622"/>
      <c r="R242" s="240"/>
      <c r="S242" s="634" t="s">
        <v>16</v>
      </c>
      <c r="T242" s="149"/>
      <c r="U242" s="622"/>
      <c r="V242" s="240"/>
      <c r="W242" s="623"/>
      <c r="X242" s="149"/>
      <c r="Y242" s="622"/>
      <c r="Z242" s="240"/>
      <c r="AA242" s="623"/>
      <c r="AB242" s="149"/>
      <c r="AC242" s="622"/>
      <c r="AD242" s="622"/>
      <c r="AE242" s="624"/>
      <c r="AF242" s="622"/>
      <c r="AG242" s="622"/>
      <c r="AH242" s="622"/>
      <c r="AI242" s="625"/>
    </row>
    <row r="243" spans="1:35" ht="21" customHeight="1" thickBot="1">
      <c r="A243" s="60" t="s">
        <v>597</v>
      </c>
    </row>
    <row r="244" spans="1:35" ht="21" customHeight="1">
      <c r="A244" s="636"/>
      <c r="B244" s="297" t="s">
        <v>480</v>
      </c>
      <c r="C244" s="1235">
        <v>1</v>
      </c>
      <c r="D244" s="1234">
        <v>2</v>
      </c>
      <c r="E244" s="1234">
        <v>3</v>
      </c>
      <c r="F244" s="1234">
        <v>4</v>
      </c>
      <c r="G244" s="1234">
        <v>5</v>
      </c>
      <c r="H244" s="1234">
        <v>6</v>
      </c>
      <c r="I244" s="1330">
        <v>7</v>
      </c>
      <c r="J244" s="1330">
        <v>8</v>
      </c>
      <c r="K244" s="1234">
        <v>9</v>
      </c>
      <c r="L244" s="1234">
        <v>10</v>
      </c>
      <c r="M244" s="1234">
        <v>11</v>
      </c>
      <c r="N244" s="1234">
        <v>12</v>
      </c>
      <c r="O244" s="1234">
        <v>13</v>
      </c>
      <c r="P244" s="1330">
        <v>14</v>
      </c>
      <c r="Q244" s="1330">
        <v>15</v>
      </c>
      <c r="R244" s="1234">
        <v>16</v>
      </c>
      <c r="S244" s="1234">
        <v>17</v>
      </c>
      <c r="T244" s="1234">
        <v>18</v>
      </c>
      <c r="U244" s="1234">
        <v>19</v>
      </c>
      <c r="V244" s="1213">
        <v>20</v>
      </c>
      <c r="W244" s="1330">
        <v>21</v>
      </c>
      <c r="X244" s="1330">
        <v>22</v>
      </c>
      <c r="Y244" s="1234">
        <v>23</v>
      </c>
      <c r="Z244" s="1235">
        <v>24</v>
      </c>
      <c r="AA244" s="1235">
        <v>25</v>
      </c>
      <c r="AB244" s="1235">
        <v>26</v>
      </c>
      <c r="AC244" s="1234">
        <v>27</v>
      </c>
      <c r="AD244" s="1330">
        <v>28</v>
      </c>
      <c r="AE244" s="1330">
        <v>29</v>
      </c>
      <c r="AF244" s="1234">
        <v>30</v>
      </c>
      <c r="AG244" s="1235">
        <v>31</v>
      </c>
      <c r="AH244" s="498" t="s">
        <v>481</v>
      </c>
      <c r="AI244" s="499" t="s">
        <v>482</v>
      </c>
    </row>
    <row r="245" spans="1:35" ht="21" customHeight="1">
      <c r="A245" s="155">
        <v>8500</v>
      </c>
      <c r="B245" s="637" t="s">
        <v>598</v>
      </c>
      <c r="C245" s="557"/>
      <c r="D245" s="557" t="s">
        <v>535</v>
      </c>
      <c r="E245" s="1344" t="s">
        <v>514</v>
      </c>
      <c r="F245" s="557" t="s">
        <v>535</v>
      </c>
      <c r="G245" s="557" t="s">
        <v>535</v>
      </c>
      <c r="H245" s="557" t="s">
        <v>535</v>
      </c>
      <c r="I245" s="1215"/>
      <c r="J245" s="1215"/>
      <c r="K245" s="1511" t="s">
        <v>535</v>
      </c>
      <c r="L245" s="1614" t="s">
        <v>535</v>
      </c>
      <c r="M245" s="1614" t="s">
        <v>535</v>
      </c>
      <c r="N245" s="557" t="s">
        <v>535</v>
      </c>
      <c r="O245" s="557" t="s">
        <v>535</v>
      </c>
      <c r="P245" s="1208"/>
      <c r="Q245" s="1208"/>
      <c r="R245" s="1208" t="s">
        <v>535</v>
      </c>
      <c r="S245" s="1208" t="s">
        <v>535</v>
      </c>
      <c r="T245" s="1208" t="s">
        <v>535</v>
      </c>
      <c r="U245" s="557" t="s">
        <v>535</v>
      </c>
      <c r="V245" s="557" t="s">
        <v>535</v>
      </c>
      <c r="W245" s="1215"/>
      <c r="X245" s="1215"/>
      <c r="Y245" s="557" t="s">
        <v>535</v>
      </c>
      <c r="Z245" s="557"/>
      <c r="AA245" s="557"/>
      <c r="AB245" s="557"/>
      <c r="AC245" s="557" t="s">
        <v>535</v>
      </c>
      <c r="AD245" s="1215"/>
      <c r="AE245" s="1208"/>
      <c r="AF245" s="1208" t="s">
        <v>535</v>
      </c>
      <c r="AG245" s="1208"/>
      <c r="AH245" s="638">
        <v>185</v>
      </c>
      <c r="AI245" s="639">
        <v>37</v>
      </c>
    </row>
    <row r="246" spans="1:35" ht="21" customHeight="1">
      <c r="A246" s="500" t="s">
        <v>599</v>
      </c>
      <c r="B246" s="153" t="s">
        <v>600</v>
      </c>
      <c r="C246" s="557"/>
      <c r="D246" s="557" t="s">
        <v>535</v>
      </c>
      <c r="E246" s="557" t="s">
        <v>535</v>
      </c>
      <c r="F246" s="557" t="s">
        <v>535</v>
      </c>
      <c r="G246" s="557" t="s">
        <v>535</v>
      </c>
      <c r="H246" s="557" t="s">
        <v>535</v>
      </c>
      <c r="I246" s="1215"/>
      <c r="J246" s="1215"/>
      <c r="K246" s="557" t="s">
        <v>535</v>
      </c>
      <c r="L246" s="557" t="s">
        <v>535</v>
      </c>
      <c r="M246" s="557" t="s">
        <v>535</v>
      </c>
      <c r="N246" s="557" t="s">
        <v>535</v>
      </c>
      <c r="O246" s="557" t="s">
        <v>535</v>
      </c>
      <c r="P246" s="1208"/>
      <c r="Q246" s="1208"/>
      <c r="R246" s="1208" t="s">
        <v>535</v>
      </c>
      <c r="S246" s="1208" t="s">
        <v>535</v>
      </c>
      <c r="T246" s="1208" t="s">
        <v>535</v>
      </c>
      <c r="U246" s="557" t="s">
        <v>535</v>
      </c>
      <c r="V246" s="557" t="s">
        <v>535</v>
      </c>
      <c r="W246" s="1215"/>
      <c r="X246" s="1215"/>
      <c r="Y246" s="557" t="s">
        <v>535</v>
      </c>
      <c r="Z246" s="557"/>
      <c r="AA246" s="557"/>
      <c r="AB246" s="557"/>
      <c r="AC246" s="557" t="s">
        <v>535</v>
      </c>
      <c r="AD246" s="1215"/>
      <c r="AE246" s="1208"/>
      <c r="AF246" s="1365" t="s">
        <v>535</v>
      </c>
      <c r="AG246" s="1208"/>
      <c r="AH246" s="638">
        <v>185</v>
      </c>
      <c r="AI246" s="639">
        <v>37</v>
      </c>
    </row>
    <row r="247" spans="1:35" ht="21.95" customHeight="1">
      <c r="A247" s="442"/>
      <c r="B247" s="153" t="s">
        <v>601</v>
      </c>
      <c r="C247" s="557"/>
      <c r="D247" s="557" t="s">
        <v>535</v>
      </c>
      <c r="E247" s="557" t="s">
        <v>535</v>
      </c>
      <c r="F247" s="557" t="s">
        <v>535</v>
      </c>
      <c r="G247" s="557" t="s">
        <v>535</v>
      </c>
      <c r="H247" s="557" t="s">
        <v>535</v>
      </c>
      <c r="I247" s="1215"/>
      <c r="J247" s="1215"/>
      <c r="K247" s="557" t="s">
        <v>535</v>
      </c>
      <c r="L247" s="557" t="s">
        <v>535</v>
      </c>
      <c r="M247" s="557" t="s">
        <v>535</v>
      </c>
      <c r="N247" s="557" t="s">
        <v>535</v>
      </c>
      <c r="O247" s="557" t="s">
        <v>535</v>
      </c>
      <c r="P247" s="1208"/>
      <c r="Q247" s="1208"/>
      <c r="R247" s="1208" t="s">
        <v>535</v>
      </c>
      <c r="S247" s="1208" t="s">
        <v>535</v>
      </c>
      <c r="T247" s="1208" t="s">
        <v>535</v>
      </c>
      <c r="U247" s="557" t="s">
        <v>535</v>
      </c>
      <c r="V247" s="557" t="s">
        <v>535</v>
      </c>
      <c r="W247" s="1215"/>
      <c r="X247" s="1215"/>
      <c r="Y247" s="557" t="s">
        <v>535</v>
      </c>
      <c r="Z247" s="557"/>
      <c r="AA247" s="557"/>
      <c r="AB247" s="557"/>
      <c r="AC247" s="557" t="s">
        <v>535</v>
      </c>
      <c r="AD247" s="1215"/>
      <c r="AE247" s="1208"/>
      <c r="AF247" s="1208" t="s">
        <v>535</v>
      </c>
      <c r="AG247" s="1208"/>
      <c r="AH247" s="638">
        <v>185</v>
      </c>
      <c r="AI247" s="639">
        <v>37</v>
      </c>
    </row>
    <row r="248" spans="1:35" ht="21.95" customHeight="1">
      <c r="A248" s="519">
        <v>3701</v>
      </c>
      <c r="B248" s="134" t="s">
        <v>603</v>
      </c>
      <c r="C248" s="1563"/>
      <c r="D248" s="1563" t="s">
        <v>535</v>
      </c>
      <c r="E248" s="1563" t="s">
        <v>535</v>
      </c>
      <c r="F248" s="1563" t="s">
        <v>535</v>
      </c>
      <c r="G248" s="1563" t="s">
        <v>535</v>
      </c>
      <c r="H248" s="1563" t="s">
        <v>535</v>
      </c>
      <c r="I248" s="1219"/>
      <c r="J248" s="1219"/>
      <c r="K248" s="1563" t="s">
        <v>535</v>
      </c>
      <c r="L248" s="1563" t="s">
        <v>535</v>
      </c>
      <c r="M248" s="1563" t="s">
        <v>535</v>
      </c>
      <c r="N248" s="1563" t="s">
        <v>535</v>
      </c>
      <c r="O248" s="1563" t="s">
        <v>535</v>
      </c>
      <c r="P248" s="1564"/>
      <c r="Q248" s="1564"/>
      <c r="R248" s="1564" t="s">
        <v>535</v>
      </c>
      <c r="S248" s="1564" t="s">
        <v>535</v>
      </c>
      <c r="T248" s="1564" t="s">
        <v>535</v>
      </c>
      <c r="U248" s="1563" t="s">
        <v>535</v>
      </c>
      <c r="V248" s="1563" t="s">
        <v>535</v>
      </c>
      <c r="W248" s="1219"/>
      <c r="X248" s="1219"/>
      <c r="Y248" s="1621" t="s">
        <v>535</v>
      </c>
      <c r="Z248" s="1563"/>
      <c r="AA248" s="1563"/>
      <c r="AB248" s="1563"/>
      <c r="AC248" s="1621" t="s">
        <v>535</v>
      </c>
      <c r="AD248" s="1219"/>
      <c r="AE248" s="1564"/>
      <c r="AF248" s="1621" t="s">
        <v>535</v>
      </c>
      <c r="AG248" s="1564"/>
      <c r="AH248" s="1565">
        <v>185</v>
      </c>
      <c r="AI248" s="1566">
        <v>37</v>
      </c>
    </row>
    <row r="249" spans="1:35" ht="21" customHeight="1">
      <c r="A249" s="902">
        <v>8500</v>
      </c>
      <c r="B249" s="1615" t="s">
        <v>793</v>
      </c>
      <c r="C249" s="1567"/>
      <c r="D249" s="1617" t="s">
        <v>514</v>
      </c>
      <c r="E249" s="1567" t="s">
        <v>535</v>
      </c>
      <c r="F249" s="1567" t="s">
        <v>535</v>
      </c>
      <c r="G249" s="1567" t="s">
        <v>535</v>
      </c>
      <c r="H249" s="1567" t="s">
        <v>535</v>
      </c>
      <c r="I249" s="1229"/>
      <c r="J249" s="1229"/>
      <c r="K249" s="1567" t="s">
        <v>535</v>
      </c>
      <c r="L249" s="1567" t="s">
        <v>535</v>
      </c>
      <c r="M249" s="1567" t="s">
        <v>535</v>
      </c>
      <c r="N249" s="1567" t="s">
        <v>535</v>
      </c>
      <c r="O249" s="1567" t="s">
        <v>535</v>
      </c>
      <c r="P249" s="1568"/>
      <c r="Q249" s="1568"/>
      <c r="R249" s="1568" t="s">
        <v>535</v>
      </c>
      <c r="S249" s="1568" t="s">
        <v>535</v>
      </c>
      <c r="T249" s="1568" t="s">
        <v>535</v>
      </c>
      <c r="U249" s="1567" t="s">
        <v>535</v>
      </c>
      <c r="V249" s="1567" t="s">
        <v>535</v>
      </c>
      <c r="W249" s="1229"/>
      <c r="X249" s="1229"/>
      <c r="Y249" s="1567" t="s">
        <v>535</v>
      </c>
      <c r="Z249" s="1567"/>
      <c r="AA249" s="1567"/>
      <c r="AB249" s="1567"/>
      <c r="AC249" s="1567" t="s">
        <v>535</v>
      </c>
      <c r="AD249" s="1229"/>
      <c r="AE249" s="1568"/>
      <c r="AF249" s="1568" t="s">
        <v>535</v>
      </c>
      <c r="AG249" s="1568"/>
      <c r="AH249" s="1565">
        <v>185</v>
      </c>
      <c r="AI249" s="1566">
        <v>37</v>
      </c>
    </row>
    <row r="250" spans="1:35" ht="21.95" customHeight="1">
      <c r="A250" s="1616">
        <v>3350</v>
      </c>
      <c r="B250" s="1615" t="s">
        <v>801</v>
      </c>
      <c r="C250" s="1567"/>
      <c r="D250" s="1567" t="s">
        <v>535</v>
      </c>
      <c r="E250" s="1567" t="s">
        <v>535</v>
      </c>
      <c r="F250" s="1567" t="s">
        <v>535</v>
      </c>
      <c r="G250" s="1567" t="s">
        <v>535</v>
      </c>
      <c r="H250" s="1567" t="s">
        <v>535</v>
      </c>
      <c r="I250" s="1229"/>
      <c r="J250" s="1229"/>
      <c r="K250" s="1567" t="s">
        <v>535</v>
      </c>
      <c r="L250" s="1567" t="s">
        <v>535</v>
      </c>
      <c r="M250" s="1567" t="s">
        <v>535</v>
      </c>
      <c r="N250" s="1567" t="s">
        <v>535</v>
      </c>
      <c r="O250" s="1567" t="s">
        <v>535</v>
      </c>
      <c r="P250" s="1568"/>
      <c r="Q250" s="1568"/>
      <c r="R250" s="1568" t="s">
        <v>535</v>
      </c>
      <c r="S250" s="1568" t="s">
        <v>535</v>
      </c>
      <c r="T250" s="1568" t="s">
        <v>535</v>
      </c>
      <c r="U250" s="1567" t="s">
        <v>535</v>
      </c>
      <c r="V250" s="1567" t="s">
        <v>535</v>
      </c>
      <c r="W250" s="1229"/>
      <c r="X250" s="1229"/>
      <c r="Y250" s="1567" t="s">
        <v>535</v>
      </c>
      <c r="Z250" s="1567"/>
      <c r="AA250" s="1567"/>
      <c r="AB250" s="1567"/>
      <c r="AC250" s="1567" t="s">
        <v>535</v>
      </c>
      <c r="AD250" s="1229"/>
      <c r="AE250" s="1568"/>
      <c r="AF250" s="1568" t="s">
        <v>535</v>
      </c>
      <c r="AG250" s="1568"/>
      <c r="AH250" s="1565">
        <v>185</v>
      </c>
      <c r="AI250" s="1566">
        <v>37</v>
      </c>
    </row>
    <row r="251" spans="1:35" ht="21.95" customHeight="1">
      <c r="A251" s="1616"/>
      <c r="B251" s="1615" t="s">
        <v>802</v>
      </c>
      <c r="C251" s="1567"/>
      <c r="D251" s="1567" t="s">
        <v>535</v>
      </c>
      <c r="E251" s="1567" t="s">
        <v>535</v>
      </c>
      <c r="F251" s="1567" t="s">
        <v>535</v>
      </c>
      <c r="G251" s="1567" t="s">
        <v>535</v>
      </c>
      <c r="H251" s="1567" t="s">
        <v>535</v>
      </c>
      <c r="I251" s="1229"/>
      <c r="J251" s="1229"/>
      <c r="K251" s="1567" t="s">
        <v>535</v>
      </c>
      <c r="L251" s="1567" t="s">
        <v>535</v>
      </c>
      <c r="M251" s="1567" t="s">
        <v>535</v>
      </c>
      <c r="N251" s="1567" t="s">
        <v>535</v>
      </c>
      <c r="O251" s="1567" t="s">
        <v>535</v>
      </c>
      <c r="P251" s="1568"/>
      <c r="Q251" s="1568"/>
      <c r="R251" s="1568" t="s">
        <v>535</v>
      </c>
      <c r="S251" s="1568" t="s">
        <v>535</v>
      </c>
      <c r="T251" s="1568" t="s">
        <v>535</v>
      </c>
      <c r="U251" s="1567" t="s">
        <v>535</v>
      </c>
      <c r="V251" s="1567" t="s">
        <v>535</v>
      </c>
      <c r="W251" s="1229"/>
      <c r="X251" s="1229"/>
      <c r="Y251" s="1567" t="s">
        <v>535</v>
      </c>
      <c r="Z251" s="1567"/>
      <c r="AA251" s="1567"/>
      <c r="AB251" s="1567"/>
      <c r="AC251" s="1567" t="s">
        <v>535</v>
      </c>
      <c r="AD251" s="1229"/>
      <c r="AE251" s="1568"/>
      <c r="AF251" s="1568" t="s">
        <v>535</v>
      </c>
      <c r="AG251" s="1568"/>
      <c r="AH251" s="1618"/>
      <c r="AI251" s="1619"/>
    </row>
    <row r="253" spans="1:35" ht="25.5" customHeight="1" thickBot="1">
      <c r="A253" s="1" t="s">
        <v>604</v>
      </c>
    </row>
    <row r="254" spans="1:35" ht="21" customHeight="1">
      <c r="A254" s="1"/>
      <c r="B254" s="201" t="s">
        <v>516</v>
      </c>
      <c r="C254" s="7"/>
      <c r="D254" s="525" t="s">
        <v>2</v>
      </c>
      <c r="E254" s="51"/>
      <c r="F254" s="551"/>
      <c r="G254" s="7"/>
      <c r="H254" s="525" t="s">
        <v>3</v>
      </c>
      <c r="I254" s="51"/>
      <c r="J254" s="551"/>
      <c r="K254" s="7"/>
      <c r="L254" s="525" t="s">
        <v>4</v>
      </c>
      <c r="M254" s="51"/>
      <c r="N254" s="551"/>
      <c r="O254" s="7"/>
      <c r="P254" s="525" t="s">
        <v>5</v>
      </c>
      <c r="Q254" s="51"/>
      <c r="R254" s="551"/>
      <c r="S254" s="7"/>
      <c r="T254" s="525" t="s">
        <v>6</v>
      </c>
      <c r="U254" s="51"/>
      <c r="V254" s="551"/>
      <c r="W254" s="7"/>
      <c r="X254" s="525" t="s">
        <v>7</v>
      </c>
      <c r="Y254" s="51"/>
      <c r="Z254" s="551"/>
      <c r="AA254" s="7"/>
      <c r="AB254" s="525" t="s">
        <v>8</v>
      </c>
      <c r="AC254" s="51"/>
      <c r="AD254" s="51"/>
      <c r="AE254" s="425" t="s">
        <v>10</v>
      </c>
      <c r="AF254" s="51"/>
      <c r="AG254" s="51"/>
      <c r="AH254" s="51"/>
      <c r="AI254" s="526"/>
    </row>
    <row r="255" spans="1:35" ht="21" customHeight="1">
      <c r="A255" s="1"/>
      <c r="B255" s="9"/>
      <c r="C255" s="14"/>
      <c r="D255" s="609"/>
      <c r="E255" s="55"/>
      <c r="F255" s="608"/>
      <c r="G255" s="14"/>
      <c r="H255" s="609"/>
      <c r="I255" s="55"/>
      <c r="J255" s="608"/>
      <c r="K255" s="14"/>
      <c r="L255" s="609"/>
      <c r="M255" s="55"/>
      <c r="N255" s="608"/>
      <c r="O255" s="14"/>
      <c r="P255" s="609"/>
      <c r="Q255" s="55"/>
      <c r="R255" s="608"/>
      <c r="S255" s="14"/>
      <c r="T255" s="609"/>
      <c r="U255" s="55"/>
      <c r="V255" s="608"/>
      <c r="W255" s="14"/>
      <c r="X255" s="609"/>
      <c r="Y255" s="55"/>
      <c r="Z255" s="608"/>
      <c r="AA255" s="14"/>
      <c r="AB255" s="609"/>
      <c r="AC255" s="55"/>
      <c r="AD255" s="55"/>
      <c r="AE255" s="610"/>
      <c r="AF255" s="55"/>
      <c r="AG255" s="55"/>
      <c r="AH255" s="55"/>
      <c r="AI255" s="611"/>
    </row>
    <row r="256" spans="1:35" ht="21" customHeight="1">
      <c r="B256" s="612"/>
      <c r="C256" s="121"/>
      <c r="D256" s="157"/>
      <c r="E256" s="157"/>
      <c r="F256" s="568"/>
      <c r="G256" s="121"/>
      <c r="H256" s="157"/>
      <c r="I256" s="157"/>
      <c r="J256" s="568"/>
      <c r="K256" s="121"/>
      <c r="L256" s="157"/>
      <c r="M256" s="157"/>
      <c r="N256" s="568"/>
      <c r="O256" s="121"/>
      <c r="P256" s="157"/>
      <c r="Q256" s="157"/>
      <c r="R256" s="568"/>
      <c r="S256" s="121"/>
      <c r="T256" s="157"/>
      <c r="U256" s="157"/>
      <c r="V256" s="568"/>
      <c r="W256" s="121"/>
      <c r="X256" s="157"/>
      <c r="Y256" s="157"/>
      <c r="Z256" s="568"/>
      <c r="AA256" s="567"/>
      <c r="AB256" s="157"/>
      <c r="AC256" s="157"/>
      <c r="AD256" s="569"/>
      <c r="AE256" s="613"/>
      <c r="AF256" s="157"/>
      <c r="AG256" s="157" t="s">
        <v>28</v>
      </c>
      <c r="AH256" s="569"/>
      <c r="AI256" s="490"/>
    </row>
    <row r="257" spans="1:35" ht="21" customHeight="1" thickBot="1">
      <c r="A257" s="1"/>
      <c r="B257" s="47"/>
      <c r="C257" s="574"/>
      <c r="D257" s="53"/>
      <c r="E257" s="53"/>
      <c r="F257" s="575"/>
      <c r="G257" s="574"/>
      <c r="H257" s="53"/>
      <c r="I257" s="53"/>
      <c r="J257" s="575"/>
      <c r="K257" s="574"/>
      <c r="L257" s="53"/>
      <c r="M257" s="53"/>
      <c r="N257" s="575"/>
      <c r="O257" s="574"/>
      <c r="P257" s="53"/>
      <c r="Q257" s="53"/>
      <c r="R257" s="575"/>
      <c r="S257" s="574"/>
      <c r="T257" s="53"/>
      <c r="U257" s="53"/>
      <c r="V257" s="575"/>
      <c r="W257" s="57"/>
      <c r="X257" s="53"/>
      <c r="Y257" s="53"/>
      <c r="Z257" s="575"/>
      <c r="AA257" s="57"/>
      <c r="AB257" s="53"/>
      <c r="AC257" s="53"/>
      <c r="AD257" s="577"/>
      <c r="AE257" s="57"/>
      <c r="AF257" s="53"/>
      <c r="AG257" s="53"/>
      <c r="AH257" s="577"/>
      <c r="AI257" s="539"/>
    </row>
    <row r="258" spans="1:35" ht="33" customHeight="1" thickBot="1">
      <c r="A258" s="1" t="s">
        <v>605</v>
      </c>
      <c r="B258" s="72"/>
      <c r="C258" s="312"/>
      <c r="F258" s="354"/>
      <c r="G258" s="312"/>
      <c r="J258" s="354"/>
      <c r="K258" s="312"/>
      <c r="N258" s="354"/>
      <c r="O258" s="312"/>
      <c r="R258" s="354"/>
      <c r="S258" s="312"/>
      <c r="V258" s="354"/>
      <c r="W258" s="354"/>
      <c r="Z258" s="354"/>
      <c r="AA258" s="354"/>
      <c r="AD258" s="354"/>
      <c r="AE258" s="354"/>
      <c r="AH258" s="354"/>
    </row>
    <row r="259" spans="1:35" ht="21" customHeight="1">
      <c r="A259" s="556" t="s">
        <v>528</v>
      </c>
      <c r="B259" s="297" t="s">
        <v>480</v>
      </c>
      <c r="C259" s="1235">
        <v>1</v>
      </c>
      <c r="D259" s="1234">
        <v>2</v>
      </c>
      <c r="E259" s="1234">
        <v>3</v>
      </c>
      <c r="F259" s="1234">
        <v>4</v>
      </c>
      <c r="G259" s="1234">
        <v>5</v>
      </c>
      <c r="H259" s="1234">
        <v>6</v>
      </c>
      <c r="I259" s="1330">
        <v>7</v>
      </c>
      <c r="J259" s="1330">
        <v>8</v>
      </c>
      <c r="K259" s="1234">
        <v>9</v>
      </c>
      <c r="L259" s="1234">
        <v>10</v>
      </c>
      <c r="M259" s="1234">
        <v>11</v>
      </c>
      <c r="N259" s="1234">
        <v>12</v>
      </c>
      <c r="O259" s="1234">
        <v>13</v>
      </c>
      <c r="P259" s="1330">
        <v>14</v>
      </c>
      <c r="Q259" s="1330">
        <v>15</v>
      </c>
      <c r="R259" s="1234">
        <v>16</v>
      </c>
      <c r="S259" s="1234">
        <v>17</v>
      </c>
      <c r="T259" s="1234">
        <v>18</v>
      </c>
      <c r="U259" s="1234">
        <v>19</v>
      </c>
      <c r="V259" s="1213">
        <v>20</v>
      </c>
      <c r="W259" s="1330">
        <v>21</v>
      </c>
      <c r="X259" s="1330">
        <v>22</v>
      </c>
      <c r="Y259" s="1234">
        <v>23</v>
      </c>
      <c r="Z259" s="1235">
        <v>24</v>
      </c>
      <c r="AA259" s="1235">
        <v>25</v>
      </c>
      <c r="AB259" s="1235">
        <v>26</v>
      </c>
      <c r="AC259" s="1234">
        <v>27</v>
      </c>
      <c r="AD259" s="1330">
        <v>28</v>
      </c>
      <c r="AE259" s="1330">
        <v>29</v>
      </c>
      <c r="AF259" s="1234">
        <v>30</v>
      </c>
      <c r="AG259" s="1235">
        <v>31</v>
      </c>
      <c r="AH259" s="498" t="s">
        <v>481</v>
      </c>
      <c r="AI259" s="499" t="s">
        <v>482</v>
      </c>
    </row>
    <row r="260" spans="1:35" ht="21" customHeight="1">
      <c r="A260" s="442"/>
      <c r="B260" s="619" t="s">
        <v>606</v>
      </c>
      <c r="C260" s="557"/>
      <c r="D260" s="557" t="s">
        <v>535</v>
      </c>
      <c r="E260" s="557" t="s">
        <v>535</v>
      </c>
      <c r="F260" s="557" t="s">
        <v>535</v>
      </c>
      <c r="G260" s="557" t="s">
        <v>535</v>
      </c>
      <c r="H260" s="557" t="s">
        <v>535</v>
      </c>
      <c r="I260" s="1215"/>
      <c r="J260" s="1215"/>
      <c r="K260" s="1511" t="s">
        <v>535</v>
      </c>
      <c r="L260" s="1500" t="s">
        <v>514</v>
      </c>
      <c r="M260" s="1344" t="s">
        <v>514</v>
      </c>
      <c r="N260" s="557" t="s">
        <v>535</v>
      </c>
      <c r="O260" s="557" t="s">
        <v>535</v>
      </c>
      <c r="P260" s="1208"/>
      <c r="Q260" s="1208"/>
      <c r="R260" s="1208" t="s">
        <v>535</v>
      </c>
      <c r="S260" s="1208" t="s">
        <v>535</v>
      </c>
      <c r="T260" s="1208" t="s">
        <v>535</v>
      </c>
      <c r="U260" s="557" t="s">
        <v>535</v>
      </c>
      <c r="V260" s="557" t="s">
        <v>535</v>
      </c>
      <c r="W260" s="1215"/>
      <c r="X260" s="1215"/>
      <c r="Y260" s="557" t="s">
        <v>535</v>
      </c>
      <c r="Z260" s="557"/>
      <c r="AA260" s="557"/>
      <c r="AB260" s="557"/>
      <c r="AC260" s="557" t="s">
        <v>535</v>
      </c>
      <c r="AD260" s="1215"/>
      <c r="AE260" s="1208"/>
      <c r="AF260" s="1208" t="s">
        <v>535</v>
      </c>
      <c r="AG260" s="1208"/>
      <c r="AH260" s="638">
        <v>185</v>
      </c>
      <c r="AI260" s="639">
        <v>37</v>
      </c>
    </row>
    <row r="261" spans="1:35" ht="21" customHeight="1">
      <c r="A261" s="442"/>
      <c r="B261" s="619" t="s">
        <v>607</v>
      </c>
      <c r="C261" s="557"/>
      <c r="D261" s="557" t="s">
        <v>535</v>
      </c>
      <c r="E261" s="557" t="s">
        <v>535</v>
      </c>
      <c r="F261" s="557" t="s">
        <v>535</v>
      </c>
      <c r="G261" s="557" t="s">
        <v>535</v>
      </c>
      <c r="H261" s="557" t="s">
        <v>535</v>
      </c>
      <c r="I261" s="1215"/>
      <c r="J261" s="1215"/>
      <c r="K261" s="1511" t="s">
        <v>535</v>
      </c>
      <c r="L261" s="557" t="s">
        <v>535</v>
      </c>
      <c r="M261" s="557" t="s">
        <v>535</v>
      </c>
      <c r="N261" s="557" t="s">
        <v>535</v>
      </c>
      <c r="O261" s="557" t="s">
        <v>535</v>
      </c>
      <c r="P261" s="1208"/>
      <c r="Q261" s="1208"/>
      <c r="R261" s="1208" t="s">
        <v>535</v>
      </c>
      <c r="S261" s="1208" t="s">
        <v>535</v>
      </c>
      <c r="T261" s="1208" t="s">
        <v>535</v>
      </c>
      <c r="U261" s="557" t="s">
        <v>535</v>
      </c>
      <c r="V261" s="557" t="s">
        <v>535</v>
      </c>
      <c r="W261" s="1215"/>
      <c r="X261" s="1215"/>
      <c r="Y261" s="1362" t="s">
        <v>535</v>
      </c>
      <c r="Z261" s="557"/>
      <c r="AA261" s="557"/>
      <c r="AB261" s="557"/>
      <c r="AC261" s="1362" t="s">
        <v>535</v>
      </c>
      <c r="AD261" s="1215"/>
      <c r="AE261" s="1208"/>
      <c r="AF261" s="1208" t="s">
        <v>535</v>
      </c>
      <c r="AG261" s="1208"/>
      <c r="AH261" s="638">
        <v>185</v>
      </c>
      <c r="AI261" s="639">
        <v>37</v>
      </c>
    </row>
    <row r="262" spans="1:35" ht="21" customHeight="1">
      <c r="A262" s="442"/>
      <c r="B262" s="619" t="s">
        <v>608</v>
      </c>
      <c r="C262" s="557"/>
      <c r="D262" s="557" t="s">
        <v>535</v>
      </c>
      <c r="E262" s="557" t="s">
        <v>535</v>
      </c>
      <c r="F262" s="557" t="s">
        <v>535</v>
      </c>
      <c r="G262" s="557" t="s">
        <v>535</v>
      </c>
      <c r="H262" s="557" t="s">
        <v>535</v>
      </c>
      <c r="I262" s="1215"/>
      <c r="J262" s="1215"/>
      <c r="K262" s="1511" t="s">
        <v>535</v>
      </c>
      <c r="L262" s="557" t="s">
        <v>535</v>
      </c>
      <c r="M262" s="557" t="s">
        <v>535</v>
      </c>
      <c r="N262" s="557" t="s">
        <v>535</v>
      </c>
      <c r="O262" s="557" t="s">
        <v>535</v>
      </c>
      <c r="P262" s="1208"/>
      <c r="Q262" s="1208"/>
      <c r="R262" s="1208" t="s">
        <v>535</v>
      </c>
      <c r="S262" s="1208" t="s">
        <v>535</v>
      </c>
      <c r="T262" s="1208" t="s">
        <v>535</v>
      </c>
      <c r="U262" s="557" t="s">
        <v>535</v>
      </c>
      <c r="V262" s="557" t="s">
        <v>535</v>
      </c>
      <c r="W262" s="1215"/>
      <c r="X262" s="1215"/>
      <c r="Y262" s="557" t="s">
        <v>535</v>
      </c>
      <c r="Z262" s="557"/>
      <c r="AA262" s="557"/>
      <c r="AB262" s="557"/>
      <c r="AC262" s="557" t="s">
        <v>535</v>
      </c>
      <c r="AD262" s="1215"/>
      <c r="AE262" s="1208"/>
      <c r="AF262" s="1208" t="s">
        <v>535</v>
      </c>
      <c r="AG262" s="1208"/>
      <c r="AH262" s="638">
        <v>185</v>
      </c>
      <c r="AI262" s="639">
        <v>37</v>
      </c>
    </row>
    <row r="263" spans="1:35" ht="21" customHeight="1">
      <c r="A263" s="442"/>
      <c r="B263" s="619" t="s">
        <v>609</v>
      </c>
      <c r="C263" s="557"/>
      <c r="D263" s="557" t="s">
        <v>535</v>
      </c>
      <c r="E263" s="557" t="s">
        <v>535</v>
      </c>
      <c r="F263" s="557" t="s">
        <v>535</v>
      </c>
      <c r="G263" s="557" t="s">
        <v>535</v>
      </c>
      <c r="H263" s="557" t="s">
        <v>535</v>
      </c>
      <c r="I263" s="1215"/>
      <c r="J263" s="1215"/>
      <c r="K263" s="557" t="s">
        <v>535</v>
      </c>
      <c r="L263" s="1365" t="s">
        <v>535</v>
      </c>
      <c r="M263" s="557" t="s">
        <v>535</v>
      </c>
      <c r="N263" s="557" t="s">
        <v>535</v>
      </c>
      <c r="O263" s="557" t="s">
        <v>535</v>
      </c>
      <c r="P263" s="1208"/>
      <c r="Q263" s="1208"/>
      <c r="R263" s="1208" t="s">
        <v>535</v>
      </c>
      <c r="S263" s="1208" t="s">
        <v>535</v>
      </c>
      <c r="T263" s="1208" t="s">
        <v>535</v>
      </c>
      <c r="U263" s="557" t="s">
        <v>535</v>
      </c>
      <c r="V263" s="557" t="s">
        <v>535</v>
      </c>
      <c r="W263" s="1215"/>
      <c r="X263" s="1215"/>
      <c r="Y263" s="1365" t="s">
        <v>535</v>
      </c>
      <c r="Z263" s="557"/>
      <c r="AA263" s="557"/>
      <c r="AB263" s="557"/>
      <c r="AC263" s="1365" t="s">
        <v>535</v>
      </c>
      <c r="AD263" s="1215"/>
      <c r="AE263" s="1208"/>
      <c r="AF263" s="1208" t="s">
        <v>535</v>
      </c>
      <c r="AG263" s="1208"/>
      <c r="AH263" s="638">
        <v>185</v>
      </c>
      <c r="AI263" s="639">
        <v>37</v>
      </c>
    </row>
    <row r="264" spans="1:35" ht="21" customHeight="1">
      <c r="A264" s="442"/>
      <c r="B264" s="619" t="s">
        <v>610</v>
      </c>
      <c r="C264" s="557"/>
      <c r="D264" s="557" t="s">
        <v>535</v>
      </c>
      <c r="E264" s="557" t="s">
        <v>535</v>
      </c>
      <c r="F264" s="557" t="s">
        <v>535</v>
      </c>
      <c r="G264" s="557" t="s">
        <v>535</v>
      </c>
      <c r="H264" s="557" t="s">
        <v>535</v>
      </c>
      <c r="I264" s="1215"/>
      <c r="J264" s="1215"/>
      <c r="K264" s="557" t="s">
        <v>535</v>
      </c>
      <c r="L264" s="557" t="s">
        <v>535</v>
      </c>
      <c r="M264" s="557" t="s">
        <v>535</v>
      </c>
      <c r="N264" s="557" t="s">
        <v>535</v>
      </c>
      <c r="O264" s="557" t="s">
        <v>535</v>
      </c>
      <c r="P264" s="1208"/>
      <c r="Q264" s="1208"/>
      <c r="R264" s="1208" t="s">
        <v>535</v>
      </c>
      <c r="S264" s="1208" t="s">
        <v>535</v>
      </c>
      <c r="T264" s="1208" t="s">
        <v>535</v>
      </c>
      <c r="U264" s="557" t="s">
        <v>535</v>
      </c>
      <c r="V264" s="557" t="s">
        <v>535</v>
      </c>
      <c r="W264" s="1215"/>
      <c r="X264" s="1215"/>
      <c r="Y264" s="1625" t="s">
        <v>535</v>
      </c>
      <c r="Z264" s="557"/>
      <c r="AA264" s="557"/>
      <c r="AB264" s="557"/>
      <c r="AC264" s="1625" t="s">
        <v>535</v>
      </c>
      <c r="AD264" s="1215"/>
      <c r="AE264" s="1208"/>
      <c r="AF264" s="1208" t="s">
        <v>535</v>
      </c>
      <c r="AG264" s="1208"/>
      <c r="AH264" s="638">
        <v>185</v>
      </c>
      <c r="AI264" s="639">
        <v>37</v>
      </c>
    </row>
    <row r="265" spans="1:35" ht="21" customHeight="1">
      <c r="A265" s="442"/>
      <c r="B265" s="619" t="s">
        <v>611</v>
      </c>
      <c r="C265" s="557"/>
      <c r="D265" s="557" t="s">
        <v>535</v>
      </c>
      <c r="E265" s="557" t="s">
        <v>535</v>
      </c>
      <c r="F265" s="557" t="s">
        <v>535</v>
      </c>
      <c r="G265" s="557" t="s">
        <v>535</v>
      </c>
      <c r="H265" s="557" t="s">
        <v>535</v>
      </c>
      <c r="I265" s="1215"/>
      <c r="J265" s="1215"/>
      <c r="K265" s="557" t="s">
        <v>535</v>
      </c>
      <c r="L265" s="557" t="s">
        <v>535</v>
      </c>
      <c r="M265" s="557" t="s">
        <v>535</v>
      </c>
      <c r="N265" s="557" t="s">
        <v>535</v>
      </c>
      <c r="O265" s="557" t="s">
        <v>535</v>
      </c>
      <c r="P265" s="1208"/>
      <c r="Q265" s="1208"/>
      <c r="R265" s="1208" t="s">
        <v>535</v>
      </c>
      <c r="S265" s="1208" t="s">
        <v>535</v>
      </c>
      <c r="T265" s="1208" t="s">
        <v>535</v>
      </c>
      <c r="U265" s="557" t="s">
        <v>535</v>
      </c>
      <c r="V265" s="557" t="s">
        <v>535</v>
      </c>
      <c r="W265" s="1215"/>
      <c r="X265" s="1215"/>
      <c r="Y265" s="557" t="s">
        <v>535</v>
      </c>
      <c r="Z265" s="557"/>
      <c r="AA265" s="557"/>
      <c r="AB265" s="557"/>
      <c r="AC265" s="557" t="s">
        <v>535</v>
      </c>
      <c r="AD265" s="1215"/>
      <c r="AE265" s="1208"/>
      <c r="AF265" s="1208" t="s">
        <v>535</v>
      </c>
      <c r="AG265" s="1208"/>
      <c r="AH265" s="638">
        <v>185</v>
      </c>
      <c r="AI265" s="639">
        <v>37</v>
      </c>
    </row>
    <row r="266" spans="1:35" ht="21" customHeight="1">
      <c r="A266" s="442"/>
      <c r="B266" s="619" t="s">
        <v>612</v>
      </c>
      <c r="C266" s="557"/>
      <c r="D266" s="557" t="s">
        <v>535</v>
      </c>
      <c r="E266" s="557" t="s">
        <v>535</v>
      </c>
      <c r="F266" s="557" t="s">
        <v>535</v>
      </c>
      <c r="G266" s="557" t="s">
        <v>535</v>
      </c>
      <c r="H266" s="557" t="s">
        <v>535</v>
      </c>
      <c r="I266" s="1215"/>
      <c r="J266" s="1215"/>
      <c r="K266" s="557" t="s">
        <v>535</v>
      </c>
      <c r="L266" s="557" t="s">
        <v>535</v>
      </c>
      <c r="M266" s="557" t="s">
        <v>535</v>
      </c>
      <c r="N266" s="557" t="s">
        <v>535</v>
      </c>
      <c r="O266" s="557" t="s">
        <v>535</v>
      </c>
      <c r="P266" s="1208"/>
      <c r="Q266" s="1208"/>
      <c r="R266" s="1208" t="s">
        <v>535</v>
      </c>
      <c r="S266" s="1208" t="s">
        <v>535</v>
      </c>
      <c r="T266" s="1208" t="s">
        <v>535</v>
      </c>
      <c r="U266" s="557" t="s">
        <v>535</v>
      </c>
      <c r="V266" s="557" t="s">
        <v>535</v>
      </c>
      <c r="W266" s="1215"/>
      <c r="X266" s="1215"/>
      <c r="Y266" s="557" t="s">
        <v>535</v>
      </c>
      <c r="Z266" s="557"/>
      <c r="AA266" s="557"/>
      <c r="AB266" s="557"/>
      <c r="AC266" s="557" t="s">
        <v>535</v>
      </c>
      <c r="AD266" s="1215"/>
      <c r="AE266" s="1208"/>
      <c r="AF266" s="1208" t="s">
        <v>535</v>
      </c>
      <c r="AG266" s="1208"/>
      <c r="AH266" s="638">
        <v>185</v>
      </c>
      <c r="AI266" s="639">
        <v>37</v>
      </c>
    </row>
    <row r="267" spans="1:35" ht="21" customHeight="1">
      <c r="A267" s="442"/>
      <c r="B267" s="619" t="s">
        <v>613</v>
      </c>
      <c r="C267" s="557"/>
      <c r="D267" s="557" t="s">
        <v>535</v>
      </c>
      <c r="E267" s="557" t="s">
        <v>535</v>
      </c>
      <c r="F267" s="557" t="s">
        <v>535</v>
      </c>
      <c r="G267" s="557" t="s">
        <v>535</v>
      </c>
      <c r="H267" s="557" t="s">
        <v>535</v>
      </c>
      <c r="I267" s="1215"/>
      <c r="J267" s="1215"/>
      <c r="K267" s="1511" t="s">
        <v>535</v>
      </c>
      <c r="L267" s="557" t="s">
        <v>535</v>
      </c>
      <c r="M267" s="557" t="s">
        <v>535</v>
      </c>
      <c r="N267" s="557" t="s">
        <v>535</v>
      </c>
      <c r="O267" s="557" t="s">
        <v>535</v>
      </c>
      <c r="P267" s="1208"/>
      <c r="Q267" s="1208"/>
      <c r="R267" s="1208" t="s">
        <v>535</v>
      </c>
      <c r="S267" s="1208" t="s">
        <v>535</v>
      </c>
      <c r="T267" s="1208" t="s">
        <v>535</v>
      </c>
      <c r="U267" s="557" t="s">
        <v>535</v>
      </c>
      <c r="V267" s="557" t="s">
        <v>535</v>
      </c>
      <c r="W267" s="1215"/>
      <c r="X267" s="1215"/>
      <c r="Y267" s="1365" t="s">
        <v>535</v>
      </c>
      <c r="Z267" s="557"/>
      <c r="AA267" s="557"/>
      <c r="AB267" s="557"/>
      <c r="AC267" s="1365" t="s">
        <v>535</v>
      </c>
      <c r="AD267" s="1215"/>
      <c r="AE267" s="1208"/>
      <c r="AF267" s="1208" t="s">
        <v>535</v>
      </c>
      <c r="AG267" s="1208"/>
      <c r="AH267" s="638">
        <v>185</v>
      </c>
      <c r="AI267" s="639">
        <v>37</v>
      </c>
    </row>
    <row r="268" spans="1:35" ht="21" customHeight="1">
      <c r="A268" s="442"/>
      <c r="B268" s="619" t="s">
        <v>614</v>
      </c>
      <c r="C268" s="557"/>
      <c r="D268" s="1365" t="s">
        <v>535</v>
      </c>
      <c r="E268" s="557" t="s">
        <v>535</v>
      </c>
      <c r="F268" s="557" t="s">
        <v>535</v>
      </c>
      <c r="G268" s="557" t="s">
        <v>535</v>
      </c>
      <c r="H268" s="557" t="s">
        <v>535</v>
      </c>
      <c r="I268" s="1215"/>
      <c r="J268" s="1215"/>
      <c r="K268" s="557" t="s">
        <v>535</v>
      </c>
      <c r="L268" s="557" t="s">
        <v>535</v>
      </c>
      <c r="M268" s="557" t="s">
        <v>535</v>
      </c>
      <c r="N268" s="557" t="s">
        <v>535</v>
      </c>
      <c r="O268" s="557" t="s">
        <v>535</v>
      </c>
      <c r="P268" s="1208"/>
      <c r="Q268" s="1208"/>
      <c r="R268" s="1439" t="s">
        <v>570</v>
      </c>
      <c r="S268" s="557" t="s">
        <v>535</v>
      </c>
      <c r="T268" s="557" t="s">
        <v>535</v>
      </c>
      <c r="U268" s="557" t="s">
        <v>535</v>
      </c>
      <c r="V268" s="557" t="s">
        <v>535</v>
      </c>
      <c r="W268" s="1215"/>
      <c r="X268" s="1215"/>
      <c r="Y268" s="1387" t="s">
        <v>535</v>
      </c>
      <c r="Z268" s="557"/>
      <c r="AA268" s="557"/>
      <c r="AB268" s="557"/>
      <c r="AC268" s="1387" t="s">
        <v>535</v>
      </c>
      <c r="AD268" s="1215"/>
      <c r="AE268" s="1208"/>
      <c r="AF268" s="1387" t="s">
        <v>535</v>
      </c>
      <c r="AG268" s="1208"/>
      <c r="AH268" s="638">
        <v>185</v>
      </c>
      <c r="AI268" s="639">
        <v>37</v>
      </c>
    </row>
    <row r="269" spans="1:35" ht="21" customHeight="1">
      <c r="A269" s="442"/>
      <c r="B269" s="619" t="s">
        <v>615</v>
      </c>
      <c r="C269" s="557"/>
      <c r="D269" s="1625" t="s">
        <v>535</v>
      </c>
      <c r="E269" s="557" t="s">
        <v>535</v>
      </c>
      <c r="F269" s="557" t="s">
        <v>535</v>
      </c>
      <c r="G269" s="557" t="s">
        <v>535</v>
      </c>
      <c r="H269" s="557" t="s">
        <v>535</v>
      </c>
      <c r="I269" s="1215"/>
      <c r="J269" s="1215"/>
      <c r="K269" s="557" t="s">
        <v>535</v>
      </c>
      <c r="L269" s="557" t="s">
        <v>535</v>
      </c>
      <c r="M269" s="557" t="s">
        <v>535</v>
      </c>
      <c r="N269" s="557" t="s">
        <v>535</v>
      </c>
      <c r="O269" s="1387" t="s">
        <v>535</v>
      </c>
      <c r="P269" s="1208"/>
      <c r="Q269" s="1208"/>
      <c r="R269" s="1208" t="s">
        <v>535</v>
      </c>
      <c r="S269" s="1208" t="s">
        <v>535</v>
      </c>
      <c r="T269" s="1208" t="s">
        <v>535</v>
      </c>
      <c r="U269" s="557" t="s">
        <v>535</v>
      </c>
      <c r="V269" s="557" t="s">
        <v>535</v>
      </c>
      <c r="W269" s="1215"/>
      <c r="X269" s="1215"/>
      <c r="Y269" s="557" t="s">
        <v>535</v>
      </c>
      <c r="Z269" s="557"/>
      <c r="AA269" s="557"/>
      <c r="AB269" s="557"/>
      <c r="AC269" s="557" t="s">
        <v>535</v>
      </c>
      <c r="AD269" s="1215"/>
      <c r="AE269" s="1208"/>
      <c r="AF269" s="1208" t="s">
        <v>535</v>
      </c>
      <c r="AG269" s="1208"/>
      <c r="AH269" s="638">
        <v>185</v>
      </c>
      <c r="AI269" s="639">
        <v>37</v>
      </c>
    </row>
    <row r="270" spans="1:35" ht="21" customHeight="1">
      <c r="A270" s="442"/>
      <c r="B270" s="153" t="s">
        <v>616</v>
      </c>
      <c r="C270" s="557"/>
      <c r="D270" s="557" t="s">
        <v>535</v>
      </c>
      <c r="E270" s="557" t="s">
        <v>535</v>
      </c>
      <c r="F270" s="557" t="s">
        <v>535</v>
      </c>
      <c r="G270" s="557" t="s">
        <v>535</v>
      </c>
      <c r="H270" s="557" t="s">
        <v>535</v>
      </c>
      <c r="I270" s="1215"/>
      <c r="J270" s="1215"/>
      <c r="K270" s="557" t="s">
        <v>535</v>
      </c>
      <c r="L270" s="557" t="s">
        <v>535</v>
      </c>
      <c r="M270" s="557" t="s">
        <v>535</v>
      </c>
      <c r="N270" s="557" t="s">
        <v>535</v>
      </c>
      <c r="O270" s="557" t="s">
        <v>535</v>
      </c>
      <c r="P270" s="1208"/>
      <c r="Q270" s="1208"/>
      <c r="R270" s="1208" t="s">
        <v>535</v>
      </c>
      <c r="S270" s="1208" t="s">
        <v>535</v>
      </c>
      <c r="T270" s="1208" t="s">
        <v>535</v>
      </c>
      <c r="U270" s="1439" t="s">
        <v>535</v>
      </c>
      <c r="V270" s="1439" t="s">
        <v>570</v>
      </c>
      <c r="W270" s="1344"/>
      <c r="X270" s="1344"/>
      <c r="Y270" s="1362" t="s">
        <v>535</v>
      </c>
      <c r="Z270" s="557"/>
      <c r="AA270" s="557"/>
      <c r="AB270" s="557"/>
      <c r="AC270" s="1362" t="s">
        <v>535</v>
      </c>
      <c r="AD270" s="1215"/>
      <c r="AE270" s="1208"/>
      <c r="AF270" s="1362" t="s">
        <v>535</v>
      </c>
      <c r="AG270" s="1208"/>
      <c r="AH270" s="638">
        <v>185</v>
      </c>
      <c r="AI270" s="639">
        <v>37</v>
      </c>
    </row>
    <row r="271" spans="1:35" ht="21" customHeight="1">
      <c r="A271" s="442"/>
      <c r="B271" s="153" t="s">
        <v>617</v>
      </c>
      <c r="C271" s="557"/>
      <c r="D271" s="557" t="s">
        <v>535</v>
      </c>
      <c r="E271" s="557" t="s">
        <v>535</v>
      </c>
      <c r="F271" s="557" t="s">
        <v>535</v>
      </c>
      <c r="G271" s="557" t="s">
        <v>535</v>
      </c>
      <c r="H271" s="557" t="s">
        <v>535</v>
      </c>
      <c r="I271" s="1215"/>
      <c r="J271" s="1215"/>
      <c r="K271" s="557" t="s">
        <v>535</v>
      </c>
      <c r="L271" s="1500" t="s">
        <v>514</v>
      </c>
      <c r="M271" s="1344" t="s">
        <v>514</v>
      </c>
      <c r="N271" s="557" t="s">
        <v>535</v>
      </c>
      <c r="O271" s="557" t="s">
        <v>535</v>
      </c>
      <c r="P271" s="1208"/>
      <c r="Q271" s="1208"/>
      <c r="R271" s="1208" t="s">
        <v>535</v>
      </c>
      <c r="S271" s="1208" t="s">
        <v>535</v>
      </c>
      <c r="T271" s="1387" t="s">
        <v>535</v>
      </c>
      <c r="U271" s="1387" t="s">
        <v>535</v>
      </c>
      <c r="V271" s="557" t="s">
        <v>535</v>
      </c>
      <c r="W271" s="1215"/>
      <c r="X271" s="1215"/>
      <c r="Y271" s="1362" t="s">
        <v>535</v>
      </c>
      <c r="Z271" s="557"/>
      <c r="AA271" s="557"/>
      <c r="AB271" s="557"/>
      <c r="AC271" s="1362" t="s">
        <v>535</v>
      </c>
      <c r="AD271" s="1215"/>
      <c r="AE271" s="1208"/>
      <c r="AF271" s="1208" t="s">
        <v>535</v>
      </c>
      <c r="AG271" s="1208"/>
      <c r="AH271" s="638">
        <v>185</v>
      </c>
      <c r="AI271" s="639">
        <v>37</v>
      </c>
    </row>
    <row r="272" spans="1:35" ht="21" customHeight="1">
      <c r="A272" s="134"/>
      <c r="B272" s="134" t="s">
        <v>619</v>
      </c>
      <c r="C272" s="1563"/>
      <c r="D272" s="1563" t="s">
        <v>535</v>
      </c>
      <c r="E272" s="1563" t="s">
        <v>535</v>
      </c>
      <c r="F272" s="1563" t="s">
        <v>535</v>
      </c>
      <c r="G272" s="1563" t="s">
        <v>535</v>
      </c>
      <c r="H272" s="1563" t="s">
        <v>535</v>
      </c>
      <c r="I272" s="1219"/>
      <c r="J272" s="1219"/>
      <c r="K272" s="1563" t="s">
        <v>535</v>
      </c>
      <c r="L272" s="1563" t="s">
        <v>535</v>
      </c>
      <c r="M272" s="1563" t="s">
        <v>535</v>
      </c>
      <c r="N272" s="1563" t="s">
        <v>535</v>
      </c>
      <c r="O272" s="1563" t="s">
        <v>535</v>
      </c>
      <c r="P272" s="1564"/>
      <c r="Q272" s="1564"/>
      <c r="R272" s="1564" t="s">
        <v>535</v>
      </c>
      <c r="S272" s="1564" t="s">
        <v>535</v>
      </c>
      <c r="T272" s="1564" t="s">
        <v>535</v>
      </c>
      <c r="U272" s="1563" t="s">
        <v>535</v>
      </c>
      <c r="V272" s="1563" t="s">
        <v>535</v>
      </c>
      <c r="W272" s="1219"/>
      <c r="X272" s="1219"/>
      <c r="Y272" s="1632" t="s">
        <v>535</v>
      </c>
      <c r="Z272" s="1563"/>
      <c r="AA272" s="1563"/>
      <c r="AB272" s="1563"/>
      <c r="AC272" s="1632" t="s">
        <v>535</v>
      </c>
      <c r="AD272" s="1219"/>
      <c r="AE272" s="1564"/>
      <c r="AF272" s="1564" t="s">
        <v>535</v>
      </c>
      <c r="AG272" s="1564"/>
      <c r="AH272" s="1565">
        <v>185</v>
      </c>
      <c r="AI272" s="1566">
        <v>37</v>
      </c>
    </row>
    <row r="273" spans="1:35" ht="21" customHeight="1">
      <c r="A273" s="902"/>
      <c r="B273" s="902" t="s">
        <v>803</v>
      </c>
      <c r="C273" s="1567"/>
      <c r="D273" s="1567" t="s">
        <v>535</v>
      </c>
      <c r="E273" s="1567" t="s">
        <v>535</v>
      </c>
      <c r="F273" s="1567" t="s">
        <v>535</v>
      </c>
      <c r="G273" s="1567" t="s">
        <v>535</v>
      </c>
      <c r="H273" s="1567" t="s">
        <v>535</v>
      </c>
      <c r="I273" s="1229"/>
      <c r="J273" s="1229"/>
      <c r="K273" s="1567" t="s">
        <v>535</v>
      </c>
      <c r="L273" s="1567" t="s">
        <v>535</v>
      </c>
      <c r="M273" s="1567" t="s">
        <v>535</v>
      </c>
      <c r="N273" s="1567" t="s">
        <v>535</v>
      </c>
      <c r="O273" s="1567" t="s">
        <v>535</v>
      </c>
      <c r="P273" s="1568"/>
      <c r="Q273" s="1568"/>
      <c r="R273" s="1568" t="s">
        <v>535</v>
      </c>
      <c r="S273" s="1568" t="s">
        <v>535</v>
      </c>
      <c r="T273" s="1568" t="s">
        <v>535</v>
      </c>
      <c r="U273" s="1567" t="s">
        <v>535</v>
      </c>
      <c r="V273" s="1567" t="s">
        <v>535</v>
      </c>
      <c r="W273" s="1229"/>
      <c r="X273" s="1229"/>
      <c r="Y273" s="1567" t="s">
        <v>535</v>
      </c>
      <c r="Z273" s="1567"/>
      <c r="AA273" s="1567"/>
      <c r="AB273" s="1567"/>
      <c r="AC273" s="1567" t="s">
        <v>535</v>
      </c>
      <c r="AD273" s="1229"/>
      <c r="AE273" s="1568"/>
      <c r="AF273" s="1568" t="s">
        <v>535</v>
      </c>
      <c r="AG273" s="1568"/>
      <c r="AH273" s="1569">
        <v>185</v>
      </c>
      <c r="AI273" s="1569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68FC7-1B51-49C3-8BF5-27EEE8C95940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30"/>
  <dimension ref="A1:AL273"/>
  <sheetViews>
    <sheetView topLeftCell="A31" zoomScale="67" zoomScaleNormal="67" workbookViewId="0">
      <selection activeCell="AG61" sqref="AG61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620</v>
      </c>
      <c r="B6" s="157"/>
      <c r="C6" s="489"/>
      <c r="D6" s="488" t="s">
        <v>621</v>
      </c>
      <c r="E6" s="157"/>
      <c r="F6" s="157"/>
      <c r="G6" s="157"/>
      <c r="H6" s="490"/>
      <c r="I6" s="157"/>
      <c r="J6" s="157"/>
      <c r="K6" s="157"/>
      <c r="L6" s="488" t="s">
        <v>622</v>
      </c>
      <c r="M6" s="157"/>
      <c r="N6" s="157"/>
      <c r="O6" s="157"/>
      <c r="P6" s="157"/>
      <c r="Q6" s="157"/>
      <c r="R6" s="157"/>
      <c r="S6" s="489"/>
      <c r="T6" s="491" t="s">
        <v>623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624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625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626</v>
      </c>
      <c r="L8" s="496"/>
      <c r="AB8" s="1"/>
    </row>
    <row r="9" spans="1:35" ht="21.95" customHeight="1" thickBot="1">
      <c r="B9" s="497" t="s">
        <v>627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528</v>
      </c>
      <c r="B10" s="297" t="s">
        <v>480</v>
      </c>
      <c r="C10" s="1235">
        <v>1</v>
      </c>
      <c r="D10" s="1234">
        <v>2</v>
      </c>
      <c r="E10" s="1234">
        <v>3</v>
      </c>
      <c r="F10" s="1235">
        <v>4</v>
      </c>
      <c r="G10" s="1235">
        <v>5</v>
      </c>
      <c r="H10" s="1234">
        <v>6</v>
      </c>
      <c r="I10" s="1213">
        <v>7</v>
      </c>
      <c r="J10" s="1213">
        <v>8</v>
      </c>
      <c r="K10" s="1234">
        <v>9</v>
      </c>
      <c r="L10" s="1234">
        <v>10</v>
      </c>
      <c r="M10" s="1235">
        <v>11</v>
      </c>
      <c r="N10" s="1235">
        <v>12</v>
      </c>
      <c r="O10" s="1234">
        <v>13</v>
      </c>
      <c r="P10" s="1213">
        <v>14</v>
      </c>
      <c r="Q10" s="1213">
        <v>15</v>
      </c>
      <c r="R10" s="1234">
        <v>16</v>
      </c>
      <c r="S10" s="1234">
        <v>17</v>
      </c>
      <c r="T10" s="1235">
        <v>18</v>
      </c>
      <c r="U10" s="1235">
        <v>19</v>
      </c>
      <c r="V10" s="1213">
        <v>20</v>
      </c>
      <c r="W10" s="1213">
        <v>21</v>
      </c>
      <c r="X10" s="1213">
        <v>22</v>
      </c>
      <c r="Y10" s="1234">
        <v>23</v>
      </c>
      <c r="Z10" s="1234">
        <v>24</v>
      </c>
      <c r="AA10" s="1235">
        <v>25</v>
      </c>
      <c r="AB10" s="1235">
        <v>26</v>
      </c>
      <c r="AC10" s="1234">
        <v>27</v>
      </c>
      <c r="AD10" s="1213">
        <v>28</v>
      </c>
      <c r="AE10" s="1213">
        <v>29</v>
      </c>
      <c r="AF10" s="1234">
        <v>30</v>
      </c>
      <c r="AG10" s="1234">
        <v>31</v>
      </c>
      <c r="AH10" s="498" t="s">
        <v>481</v>
      </c>
      <c r="AI10" s="499" t="s">
        <v>482</v>
      </c>
    </row>
    <row r="11" spans="1:35" ht="21.95" customHeight="1">
      <c r="A11" s="500"/>
      <c r="B11" s="501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1215"/>
      <c r="N11" s="1215"/>
      <c r="O11" s="1215"/>
      <c r="P11" s="1215"/>
      <c r="Q11" s="1215"/>
      <c r="R11" s="1215"/>
      <c r="S11" s="1215"/>
      <c r="T11" s="1215"/>
      <c r="U11" s="1215"/>
      <c r="V11" s="1215"/>
      <c r="W11" s="1215"/>
      <c r="X11" s="1215"/>
      <c r="Y11" s="1215"/>
      <c r="Z11" s="1215"/>
      <c r="AA11" s="1215"/>
      <c r="AB11" s="1215"/>
      <c r="AC11" s="1215"/>
      <c r="AD11" s="1215"/>
      <c r="AE11" s="1215"/>
      <c r="AF11" s="1215"/>
      <c r="AG11" s="503"/>
      <c r="AH11" s="504"/>
      <c r="AI11" s="505"/>
    </row>
    <row r="12" spans="1:35" ht="21.95" customHeight="1">
      <c r="A12" s="506" t="s">
        <v>628</v>
      </c>
      <c r="B12" s="45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509"/>
      <c r="AI12" s="510"/>
    </row>
    <row r="13" spans="1:35" ht="21.95" customHeight="1">
      <c r="A13" s="511">
        <v>8546</v>
      </c>
      <c r="B13" s="512" t="s">
        <v>629</v>
      </c>
      <c r="C13" s="1211">
        <v>3</v>
      </c>
      <c r="D13" s="1211">
        <v>3</v>
      </c>
      <c r="E13" s="1211">
        <v>3</v>
      </c>
      <c r="F13" s="1211"/>
      <c r="G13" s="1211"/>
      <c r="H13" s="1215">
        <v>4</v>
      </c>
      <c r="I13" s="1211">
        <v>4</v>
      </c>
      <c r="J13" s="1211">
        <v>4</v>
      </c>
      <c r="K13" s="1211">
        <v>4</v>
      </c>
      <c r="L13" s="1211">
        <v>4</v>
      </c>
      <c r="M13" s="1211" t="s">
        <v>630</v>
      </c>
      <c r="N13" s="1394" t="s">
        <v>630</v>
      </c>
      <c r="O13" s="1211" t="s">
        <v>487</v>
      </c>
      <c r="P13" s="1211" t="s">
        <v>487</v>
      </c>
      <c r="Q13" s="1211" t="s">
        <v>487</v>
      </c>
      <c r="R13" s="1211" t="s">
        <v>487</v>
      </c>
      <c r="S13" s="1211" t="s">
        <v>487</v>
      </c>
      <c r="T13" s="1211"/>
      <c r="U13" s="1211"/>
      <c r="V13" s="1211">
        <v>1</v>
      </c>
      <c r="W13" s="1211">
        <v>1</v>
      </c>
      <c r="X13" s="1211">
        <v>1</v>
      </c>
      <c r="Y13" s="1211">
        <v>1</v>
      </c>
      <c r="Z13" s="1394">
        <v>1</v>
      </c>
      <c r="AA13" s="1211"/>
      <c r="AB13" s="1211"/>
      <c r="AC13" s="1211">
        <v>2</v>
      </c>
      <c r="AD13" s="1211">
        <v>2</v>
      </c>
      <c r="AE13" s="1211">
        <v>2</v>
      </c>
      <c r="AF13" s="1211">
        <v>2</v>
      </c>
      <c r="AG13" s="1218">
        <v>2</v>
      </c>
      <c r="AH13" s="513">
        <v>185</v>
      </c>
      <c r="AI13" s="514">
        <v>37</v>
      </c>
    </row>
    <row r="14" spans="1:35" ht="21.95" customHeight="1">
      <c r="A14" s="500">
        <v>8546</v>
      </c>
      <c r="B14" s="347" t="s">
        <v>632</v>
      </c>
      <c r="C14" s="1215">
        <v>2</v>
      </c>
      <c r="D14" s="1215">
        <v>2</v>
      </c>
      <c r="E14" s="1215">
        <v>2</v>
      </c>
      <c r="F14" s="1215" t="s">
        <v>631</v>
      </c>
      <c r="G14" s="1215" t="s">
        <v>631</v>
      </c>
      <c r="H14" s="1215" t="s">
        <v>487</v>
      </c>
      <c r="I14" s="1215" t="s">
        <v>487</v>
      </c>
      <c r="J14" s="1215" t="s">
        <v>487</v>
      </c>
      <c r="K14" s="1215" t="s">
        <v>487</v>
      </c>
      <c r="L14" s="1215" t="s">
        <v>487</v>
      </c>
      <c r="M14" s="1215"/>
      <c r="N14" s="1215"/>
      <c r="O14" s="1215">
        <v>3</v>
      </c>
      <c r="P14" s="1215">
        <v>3</v>
      </c>
      <c r="Q14" s="1215">
        <v>3</v>
      </c>
      <c r="R14" s="1215">
        <v>3</v>
      </c>
      <c r="S14" s="1215">
        <v>3</v>
      </c>
      <c r="T14" s="1215"/>
      <c r="U14" s="1215"/>
      <c r="V14" s="1215">
        <v>4</v>
      </c>
      <c r="W14" s="1215">
        <v>4</v>
      </c>
      <c r="X14" s="1215">
        <v>4</v>
      </c>
      <c r="Y14" s="1215">
        <v>4</v>
      </c>
      <c r="Z14" s="1215">
        <v>4</v>
      </c>
      <c r="AA14" s="1215" t="s">
        <v>630</v>
      </c>
      <c r="AB14" s="1215" t="s">
        <v>630</v>
      </c>
      <c r="AC14" s="1215" t="s">
        <v>487</v>
      </c>
      <c r="AD14" s="1215" t="s">
        <v>487</v>
      </c>
      <c r="AE14" s="1215" t="s">
        <v>487</v>
      </c>
      <c r="AF14" s="1215" t="s">
        <v>487</v>
      </c>
      <c r="AG14" s="1215" t="s">
        <v>487</v>
      </c>
      <c r="AH14" s="513">
        <v>185</v>
      </c>
      <c r="AI14" s="514">
        <v>37</v>
      </c>
    </row>
    <row r="15" spans="1:35" ht="21.95" customHeight="1">
      <c r="A15" s="500">
        <v>8546</v>
      </c>
      <c r="B15" s="347" t="s">
        <v>171</v>
      </c>
      <c r="C15" s="1215" t="s">
        <v>487</v>
      </c>
      <c r="D15" s="1215" t="s">
        <v>487</v>
      </c>
      <c r="E15" s="1215" t="s">
        <v>487</v>
      </c>
      <c r="F15" s="1215"/>
      <c r="G15" s="1215"/>
      <c r="H15" s="1345">
        <v>3</v>
      </c>
      <c r="I15" s="1345">
        <v>3</v>
      </c>
      <c r="J15" s="1345">
        <v>3</v>
      </c>
      <c r="K15" s="1345">
        <v>3</v>
      </c>
      <c r="L15" s="1345">
        <v>3</v>
      </c>
      <c r="M15" s="1345"/>
      <c r="N15" s="1345"/>
      <c r="O15" s="1215">
        <v>4</v>
      </c>
      <c r="P15" s="1215">
        <v>4</v>
      </c>
      <c r="Q15" s="1215">
        <v>4</v>
      </c>
      <c r="R15" s="1215">
        <v>4</v>
      </c>
      <c r="S15" s="1215">
        <v>4</v>
      </c>
      <c r="T15" s="1215" t="s">
        <v>630</v>
      </c>
      <c r="U15" s="1215" t="s">
        <v>630</v>
      </c>
      <c r="V15" s="1215" t="s">
        <v>487</v>
      </c>
      <c r="W15" s="1215" t="s">
        <v>487</v>
      </c>
      <c r="X15" s="1215" t="s">
        <v>487</v>
      </c>
      <c r="Y15" s="1215" t="s">
        <v>487</v>
      </c>
      <c r="Z15" s="1215" t="s">
        <v>487</v>
      </c>
      <c r="AA15" s="1215"/>
      <c r="AB15" s="1215"/>
      <c r="AC15" s="1215">
        <v>1</v>
      </c>
      <c r="AD15" s="1215">
        <v>1</v>
      </c>
      <c r="AE15" s="1215">
        <v>1</v>
      </c>
      <c r="AF15" s="1215">
        <v>1</v>
      </c>
      <c r="AG15" s="1215">
        <v>1</v>
      </c>
      <c r="AH15" s="513">
        <v>185</v>
      </c>
      <c r="AI15" s="514">
        <v>37</v>
      </c>
    </row>
    <row r="16" spans="1:35" ht="21.95" customHeight="1">
      <c r="A16" s="500">
        <v>8546</v>
      </c>
      <c r="B16" s="347" t="s">
        <v>633</v>
      </c>
      <c r="C16" s="1215" t="s">
        <v>487</v>
      </c>
      <c r="D16" s="1215" t="s">
        <v>487</v>
      </c>
      <c r="E16" s="1215" t="s">
        <v>487</v>
      </c>
      <c r="F16" s="1215"/>
      <c r="G16" s="1215"/>
      <c r="H16" s="1215">
        <v>1</v>
      </c>
      <c r="I16" s="1346">
        <v>1</v>
      </c>
      <c r="J16" s="1215">
        <v>1</v>
      </c>
      <c r="K16" s="1346">
        <v>1</v>
      </c>
      <c r="L16" s="1346">
        <v>1</v>
      </c>
      <c r="M16" s="1215"/>
      <c r="N16" s="1215"/>
      <c r="O16" s="1215">
        <v>2</v>
      </c>
      <c r="P16" s="1215">
        <v>2</v>
      </c>
      <c r="Q16" s="1215">
        <v>2</v>
      </c>
      <c r="R16" s="1215">
        <v>2</v>
      </c>
      <c r="S16" s="1215">
        <v>2</v>
      </c>
      <c r="T16" s="1215" t="s">
        <v>631</v>
      </c>
      <c r="U16" s="1215" t="s">
        <v>631</v>
      </c>
      <c r="V16" s="1215" t="s">
        <v>487</v>
      </c>
      <c r="W16" s="1215" t="s">
        <v>487</v>
      </c>
      <c r="X16" s="1215" t="s">
        <v>487</v>
      </c>
      <c r="Y16" s="1215" t="s">
        <v>487</v>
      </c>
      <c r="Z16" s="1215" t="s">
        <v>487</v>
      </c>
      <c r="AA16" s="1215"/>
      <c r="AB16" s="1215"/>
      <c r="AC16" s="1215">
        <v>3</v>
      </c>
      <c r="AD16" s="1215">
        <v>3</v>
      </c>
      <c r="AE16" s="1215">
        <v>3</v>
      </c>
      <c r="AF16" s="1215">
        <v>3</v>
      </c>
      <c r="AG16" s="1216">
        <v>3</v>
      </c>
      <c r="AH16" s="513">
        <v>185</v>
      </c>
      <c r="AI16" s="514">
        <v>37</v>
      </c>
    </row>
    <row r="17" spans="1:37" ht="21.95" customHeight="1">
      <c r="A17" s="500">
        <v>8546</v>
      </c>
      <c r="B17" s="347" t="s">
        <v>634</v>
      </c>
      <c r="C17" s="1215">
        <v>4</v>
      </c>
      <c r="D17" s="1215">
        <v>4</v>
      </c>
      <c r="E17" s="1215">
        <v>4</v>
      </c>
      <c r="F17" s="1215" t="s">
        <v>630</v>
      </c>
      <c r="G17" s="1215" t="s">
        <v>630</v>
      </c>
      <c r="H17" s="1215" t="s">
        <v>487</v>
      </c>
      <c r="I17" s="1215" t="s">
        <v>487</v>
      </c>
      <c r="J17" s="1215" t="s">
        <v>487</v>
      </c>
      <c r="K17" s="1215" t="s">
        <v>487</v>
      </c>
      <c r="L17" s="1215" t="s">
        <v>487</v>
      </c>
      <c r="M17" s="1215"/>
      <c r="N17" s="1215"/>
      <c r="O17" s="1215">
        <v>1</v>
      </c>
      <c r="P17" s="1215">
        <v>1</v>
      </c>
      <c r="Q17" s="1215">
        <v>1</v>
      </c>
      <c r="R17" s="1215">
        <v>1</v>
      </c>
      <c r="S17" s="1215">
        <v>1</v>
      </c>
      <c r="T17" s="1215"/>
      <c r="U17" s="1215"/>
      <c r="V17" s="1215">
        <v>2</v>
      </c>
      <c r="W17" s="1215">
        <v>2</v>
      </c>
      <c r="X17" s="1215">
        <v>2</v>
      </c>
      <c r="Y17" s="1215">
        <v>2</v>
      </c>
      <c r="Z17" s="1215">
        <v>2</v>
      </c>
      <c r="AA17" s="1335" t="s">
        <v>631</v>
      </c>
      <c r="AB17" s="1335" t="s">
        <v>631</v>
      </c>
      <c r="AC17" s="1215" t="s">
        <v>487</v>
      </c>
      <c r="AD17" s="1215" t="s">
        <v>487</v>
      </c>
      <c r="AE17" s="1215" t="s">
        <v>487</v>
      </c>
      <c r="AF17" s="1511" t="s">
        <v>487</v>
      </c>
      <c r="AG17" s="1216" t="s">
        <v>487</v>
      </c>
      <c r="AH17" s="513">
        <v>185</v>
      </c>
      <c r="AI17" s="514">
        <v>37</v>
      </c>
    </row>
    <row r="18" spans="1:37" ht="21.95" customHeight="1">
      <c r="A18" s="500">
        <v>8546</v>
      </c>
      <c r="B18" s="347" t="s">
        <v>635</v>
      </c>
      <c r="C18" s="1215">
        <v>1</v>
      </c>
      <c r="D18" s="1215">
        <v>1</v>
      </c>
      <c r="E18" s="1215">
        <v>1</v>
      </c>
      <c r="F18" s="1215"/>
      <c r="G18" s="1215"/>
      <c r="H18" s="1215">
        <v>2</v>
      </c>
      <c r="I18" s="1215">
        <v>2</v>
      </c>
      <c r="J18" s="1215">
        <v>2</v>
      </c>
      <c r="K18" s="1215">
        <v>2</v>
      </c>
      <c r="L18" s="1215">
        <v>2</v>
      </c>
      <c r="M18" s="1215" t="s">
        <v>631</v>
      </c>
      <c r="N18" s="1215" t="s">
        <v>631</v>
      </c>
      <c r="O18" s="1215" t="s">
        <v>487</v>
      </c>
      <c r="P18" s="1215" t="s">
        <v>487</v>
      </c>
      <c r="Q18" s="1215" t="s">
        <v>487</v>
      </c>
      <c r="R18" s="1215" t="s">
        <v>487</v>
      </c>
      <c r="S18" s="1215" t="s">
        <v>487</v>
      </c>
      <c r="T18" s="1215"/>
      <c r="U18" s="1215"/>
      <c r="V18" s="1215">
        <v>3</v>
      </c>
      <c r="W18" s="1215">
        <v>3</v>
      </c>
      <c r="X18" s="1215">
        <v>3</v>
      </c>
      <c r="Y18" s="1215">
        <v>3</v>
      </c>
      <c r="Z18" s="1215">
        <v>3</v>
      </c>
      <c r="AA18" s="1215"/>
      <c r="AB18" s="1215"/>
      <c r="AC18" s="1215">
        <v>4</v>
      </c>
      <c r="AD18" s="1215">
        <v>4</v>
      </c>
      <c r="AE18" s="1215">
        <v>4</v>
      </c>
      <c r="AF18" s="1215">
        <v>4</v>
      </c>
      <c r="AG18" s="1216">
        <v>4</v>
      </c>
      <c r="AH18" s="513">
        <v>185</v>
      </c>
      <c r="AI18" s="514">
        <v>37</v>
      </c>
    </row>
    <row r="19" spans="1:37" ht="21.95" customHeight="1">
      <c r="A19" s="515" t="s">
        <v>636</v>
      </c>
      <c r="B19" s="516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507"/>
      <c r="AE19" s="507"/>
      <c r="AF19" s="507"/>
      <c r="AG19" s="508"/>
      <c r="AH19" s="509"/>
      <c r="AI19" s="510"/>
    </row>
    <row r="20" spans="1:37" ht="21.95" customHeight="1">
      <c r="A20" s="500">
        <v>8500</v>
      </c>
      <c r="B20" s="186" t="s">
        <v>192</v>
      </c>
      <c r="C20" s="1215"/>
      <c r="D20" s="1335" t="s">
        <v>535</v>
      </c>
      <c r="E20" s="1335" t="s">
        <v>535</v>
      </c>
      <c r="F20" s="1215"/>
      <c r="G20" s="1215"/>
      <c r="H20" s="1215">
        <v>3</v>
      </c>
      <c r="I20" s="1215">
        <v>3</v>
      </c>
      <c r="J20" s="1215">
        <v>3</v>
      </c>
      <c r="K20" s="1215">
        <v>3</v>
      </c>
      <c r="L20" s="1215">
        <v>3</v>
      </c>
      <c r="M20" s="1215"/>
      <c r="N20" s="1215"/>
      <c r="O20" s="1215">
        <v>3</v>
      </c>
      <c r="P20" s="1215">
        <v>3</v>
      </c>
      <c r="Q20" s="1215">
        <v>3</v>
      </c>
      <c r="R20" s="1215" t="s">
        <v>535</v>
      </c>
      <c r="S20" s="1345" t="s">
        <v>535</v>
      </c>
      <c r="T20" s="1215"/>
      <c r="U20" s="1215"/>
      <c r="V20" s="1338" t="s">
        <v>535</v>
      </c>
      <c r="W20" s="1215" t="s">
        <v>535</v>
      </c>
      <c r="X20" s="1215" t="s">
        <v>535</v>
      </c>
      <c r="Y20" s="1338" t="s">
        <v>535</v>
      </c>
      <c r="Z20" s="1215" t="s">
        <v>487</v>
      </c>
      <c r="AA20" s="1215" t="s">
        <v>631</v>
      </c>
      <c r="AB20" s="1215" t="s">
        <v>631</v>
      </c>
      <c r="AC20" s="1215" t="s">
        <v>487</v>
      </c>
      <c r="AD20" s="1215" t="s">
        <v>487</v>
      </c>
      <c r="AE20" s="1215">
        <v>1</v>
      </c>
      <c r="AF20" s="1215">
        <v>1</v>
      </c>
      <c r="AG20" s="1215">
        <v>1</v>
      </c>
      <c r="AH20" s="504">
        <v>185</v>
      </c>
      <c r="AI20" s="505">
        <v>37</v>
      </c>
    </row>
    <row r="21" spans="1:37" ht="21.95" customHeight="1">
      <c r="A21" s="500">
        <v>8500</v>
      </c>
      <c r="B21" s="153" t="s">
        <v>638</v>
      </c>
      <c r="C21" s="1215"/>
      <c r="D21" s="1335" t="s">
        <v>535</v>
      </c>
      <c r="E21" s="1335" t="s">
        <v>535</v>
      </c>
      <c r="F21" s="1215"/>
      <c r="G21" s="1215"/>
      <c r="H21" s="1215" t="s">
        <v>535</v>
      </c>
      <c r="I21" s="1215">
        <v>1</v>
      </c>
      <c r="J21" s="1215">
        <v>4</v>
      </c>
      <c r="K21" s="1215">
        <v>1</v>
      </c>
      <c r="L21" s="1215">
        <v>1</v>
      </c>
      <c r="M21" s="1215"/>
      <c r="N21" s="1215" t="s">
        <v>630</v>
      </c>
      <c r="O21" s="1215" t="s">
        <v>487</v>
      </c>
      <c r="P21" s="1215" t="s">
        <v>487</v>
      </c>
      <c r="Q21" s="1215" t="s">
        <v>535</v>
      </c>
      <c r="R21" s="1215" t="s">
        <v>535</v>
      </c>
      <c r="S21" s="1215" t="s">
        <v>535</v>
      </c>
      <c r="T21" s="1215"/>
      <c r="U21" s="1215"/>
      <c r="V21" s="1215" t="s">
        <v>535</v>
      </c>
      <c r="W21" s="1335" t="s">
        <v>535</v>
      </c>
      <c r="X21" s="1335" t="s">
        <v>535</v>
      </c>
      <c r="Y21" s="1215" t="s">
        <v>535</v>
      </c>
      <c r="Z21" s="1215">
        <v>1</v>
      </c>
      <c r="AA21" s="1215" t="s">
        <v>637</v>
      </c>
      <c r="AB21" s="1215" t="s">
        <v>637</v>
      </c>
      <c r="AC21" s="1215" t="s">
        <v>535</v>
      </c>
      <c r="AD21" s="1215" t="s">
        <v>535</v>
      </c>
      <c r="AE21" s="1215" t="s">
        <v>535</v>
      </c>
      <c r="AF21" s="1215" t="s">
        <v>535</v>
      </c>
      <c r="AG21" s="1215" t="s">
        <v>535</v>
      </c>
      <c r="AH21" s="504">
        <v>185</v>
      </c>
      <c r="AI21" s="505">
        <v>37</v>
      </c>
    </row>
    <row r="22" spans="1:37" ht="21.95" customHeight="1" thickBot="1">
      <c r="A22" s="500"/>
      <c r="B22" s="153"/>
      <c r="C22" s="1215"/>
      <c r="D22" s="1215"/>
      <c r="E22" s="1215"/>
      <c r="F22" s="1215"/>
      <c r="G22" s="1215"/>
      <c r="H22" s="1215"/>
      <c r="I22" s="1215"/>
      <c r="J22" s="1215"/>
      <c r="K22" s="1215"/>
      <c r="L22" s="1215"/>
      <c r="M22" s="1215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15"/>
      <c r="AA22" s="1215"/>
      <c r="AB22" s="1215"/>
      <c r="AC22" s="1215"/>
      <c r="AD22" s="1215"/>
      <c r="AE22" s="1215"/>
      <c r="AF22" s="1215"/>
      <c r="AG22" s="1215"/>
      <c r="AH22" s="517">
        <v>185</v>
      </c>
      <c r="AI22" s="518">
        <v>37</v>
      </c>
    </row>
    <row r="23" spans="1:37" ht="21.95" customHeight="1">
      <c r="A23" s="519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</row>
    <row r="24" spans="1:37" ht="21.95" customHeight="1">
      <c r="A24" s="519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</row>
    <row r="25" spans="1:37" ht="21.95" customHeight="1">
      <c r="A25" s="519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</row>
    <row r="26" spans="1:37" ht="21.95" customHeight="1">
      <c r="A26" s="519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</row>
    <row r="27" spans="1:37" ht="21.95" customHeight="1">
      <c r="A27" s="519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</row>
    <row r="28" spans="1:37" ht="21.95" customHeight="1">
      <c r="A28" s="519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</row>
    <row r="29" spans="1:37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7" ht="21.95" customHeight="1" thickBot="1">
      <c r="A30" s="1" t="s">
        <v>639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640</v>
      </c>
      <c r="B31" s="521"/>
      <c r="C31" s="521"/>
      <c r="D31" s="425" t="s">
        <v>641</v>
      </c>
      <c r="E31" s="522"/>
      <c r="F31" s="522"/>
      <c r="G31" s="522"/>
      <c r="H31" s="522"/>
      <c r="I31" s="522"/>
      <c r="J31" s="522"/>
      <c r="K31" s="522"/>
      <c r="L31" s="522"/>
      <c r="M31" s="523" t="s">
        <v>642</v>
      </c>
      <c r="N31" s="522"/>
      <c r="O31" s="522"/>
      <c r="P31" s="522"/>
      <c r="Q31" s="522"/>
      <c r="R31" s="522"/>
      <c r="S31" s="524"/>
      <c r="T31" s="524" t="s">
        <v>643</v>
      </c>
      <c r="U31" s="522"/>
      <c r="V31" s="522"/>
      <c r="W31" s="522"/>
      <c r="X31" s="522"/>
      <c r="Y31" s="522"/>
      <c r="Z31" s="238"/>
      <c r="AA31" s="525" t="s">
        <v>644</v>
      </c>
      <c r="AB31" s="51"/>
      <c r="AC31" s="51"/>
      <c r="AD31" s="51"/>
      <c r="AE31" s="51"/>
      <c r="AF31" s="51"/>
      <c r="AG31" s="526"/>
      <c r="AK31" s="1"/>
    </row>
    <row r="32" spans="1:37" ht="21.95" customHeight="1">
      <c r="A32" s="527" t="s">
        <v>645</v>
      </c>
      <c r="B32" s="135"/>
      <c r="C32" s="135"/>
      <c r="D32" s="495" t="s">
        <v>646</v>
      </c>
      <c r="E32" s="491"/>
      <c r="F32" s="157"/>
      <c r="G32" s="157"/>
      <c r="H32" s="157"/>
      <c r="I32" s="157"/>
      <c r="J32" s="157"/>
      <c r="K32" s="157"/>
      <c r="L32" s="489"/>
      <c r="M32" s="528" t="s">
        <v>647</v>
      </c>
      <c r="N32" s="135"/>
      <c r="O32" s="529"/>
      <c r="P32" s="135"/>
      <c r="Q32" s="135"/>
      <c r="R32" s="135"/>
      <c r="S32" s="530"/>
      <c r="T32" s="495" t="s">
        <v>648</v>
      </c>
      <c r="U32" s="157"/>
      <c r="V32" s="491"/>
      <c r="W32" s="157"/>
      <c r="X32" s="157"/>
      <c r="Y32" s="157"/>
      <c r="Z32" s="489"/>
      <c r="AA32" s="1" t="s">
        <v>649</v>
      </c>
      <c r="AD32" s="496"/>
      <c r="AG32" s="531"/>
      <c r="AK32" s="1"/>
    </row>
    <row r="33" spans="1:38" ht="21.95" customHeight="1">
      <c r="A33" s="532" t="s">
        <v>650</v>
      </c>
      <c r="B33" s="157"/>
      <c r="C33" s="157"/>
      <c r="D33" s="157"/>
      <c r="E33" s="157"/>
      <c r="F33" s="157"/>
      <c r="G33" s="489"/>
      <c r="H33" s="495" t="s">
        <v>651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3" t="s">
        <v>652</v>
      </c>
      <c r="AA33" s="529"/>
      <c r="AB33" s="135"/>
      <c r="AC33" s="135"/>
      <c r="AD33" s="135"/>
      <c r="AE33" s="135"/>
      <c r="AF33" s="135"/>
      <c r="AG33" s="534"/>
      <c r="AK33" s="312"/>
    </row>
    <row r="34" spans="1:38" ht="21.95" customHeight="1" thickBot="1">
      <c r="A34" s="535" t="s">
        <v>653</v>
      </c>
      <c r="B34" s="53"/>
      <c r="C34" s="53"/>
      <c r="D34" s="53"/>
      <c r="E34" s="53"/>
      <c r="F34" s="53"/>
      <c r="G34" s="536"/>
      <c r="H34" s="537" t="s">
        <v>654</v>
      </c>
      <c r="I34" s="536"/>
      <c r="J34" s="53"/>
      <c r="K34" s="53"/>
      <c r="L34" s="53"/>
      <c r="M34" s="53"/>
      <c r="N34" s="53"/>
      <c r="O34" s="53"/>
      <c r="P34" s="53"/>
      <c r="Q34" s="538"/>
      <c r="R34" s="538"/>
      <c r="S34" s="538"/>
      <c r="T34" s="53"/>
      <c r="U34" s="537" t="s">
        <v>655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9"/>
      <c r="AK34" s="1"/>
    </row>
    <row r="35" spans="1:38" ht="21.95" customHeight="1" thickBot="1">
      <c r="B35" s="540" t="s">
        <v>627</v>
      </c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41"/>
      <c r="Y35" s="541"/>
      <c r="Z35" s="541"/>
      <c r="AA35" s="541"/>
      <c r="AB35" s="541"/>
      <c r="AC35" s="541"/>
      <c r="AD35" s="541"/>
      <c r="AE35" s="541"/>
      <c r="AF35" s="541"/>
      <c r="AG35" s="541"/>
      <c r="AH35" s="1"/>
    </row>
    <row r="36" spans="1:38" ht="21.95" customHeight="1" thickBot="1">
      <c r="A36" s="542" t="s">
        <v>528</v>
      </c>
      <c r="B36" s="182" t="s">
        <v>480</v>
      </c>
      <c r="C36" s="1235">
        <v>1</v>
      </c>
      <c r="D36" s="1234">
        <v>2</v>
      </c>
      <c r="E36" s="1234">
        <v>3</v>
      </c>
      <c r="F36" s="1235">
        <v>4</v>
      </c>
      <c r="G36" s="1235">
        <v>5</v>
      </c>
      <c r="H36" s="1234">
        <v>6</v>
      </c>
      <c r="I36" s="1213">
        <v>7</v>
      </c>
      <c r="J36" s="1213">
        <v>8</v>
      </c>
      <c r="K36" s="1234">
        <v>9</v>
      </c>
      <c r="L36" s="1234">
        <v>10</v>
      </c>
      <c r="M36" s="1235">
        <v>11</v>
      </c>
      <c r="N36" s="1235">
        <v>12</v>
      </c>
      <c r="O36" s="1234">
        <v>13</v>
      </c>
      <c r="P36" s="1213">
        <v>14</v>
      </c>
      <c r="Q36" s="1213">
        <v>15</v>
      </c>
      <c r="R36" s="1234">
        <v>16</v>
      </c>
      <c r="S36" s="1234">
        <v>17</v>
      </c>
      <c r="T36" s="1235">
        <v>18</v>
      </c>
      <c r="U36" s="1235">
        <v>19</v>
      </c>
      <c r="V36" s="1213">
        <v>20</v>
      </c>
      <c r="W36" s="1213">
        <v>21</v>
      </c>
      <c r="X36" s="1213">
        <v>22</v>
      </c>
      <c r="Y36" s="1234">
        <v>23</v>
      </c>
      <c r="Z36" s="1234">
        <v>24</v>
      </c>
      <c r="AA36" s="1235">
        <v>25</v>
      </c>
      <c r="AB36" s="1235">
        <v>26</v>
      </c>
      <c r="AC36" s="1234">
        <v>27</v>
      </c>
      <c r="AD36" s="1213">
        <v>28</v>
      </c>
      <c r="AE36" s="1213">
        <v>29</v>
      </c>
      <c r="AF36" s="1234">
        <v>30</v>
      </c>
      <c r="AG36" s="1234">
        <v>31</v>
      </c>
      <c r="AH36" s="498" t="s">
        <v>481</v>
      </c>
      <c r="AI36" s="499" t="s">
        <v>482</v>
      </c>
      <c r="AL36" t="s">
        <v>28</v>
      </c>
    </row>
    <row r="37" spans="1:38" ht="21.95" customHeight="1">
      <c r="A37" s="543">
        <v>1</v>
      </c>
      <c r="B37" s="45" t="s">
        <v>656</v>
      </c>
      <c r="C37" s="1209">
        <v>9</v>
      </c>
      <c r="D37" s="1209">
        <v>9</v>
      </c>
      <c r="E37" s="1209">
        <v>9</v>
      </c>
      <c r="F37" s="1209" t="s">
        <v>543</v>
      </c>
      <c r="G37" s="1209" t="s">
        <v>555</v>
      </c>
      <c r="H37" s="1209" t="s">
        <v>487</v>
      </c>
      <c r="I37" s="1209" t="s">
        <v>487</v>
      </c>
      <c r="J37" s="1209" t="s">
        <v>487</v>
      </c>
      <c r="K37" s="1209" t="s">
        <v>487</v>
      </c>
      <c r="L37" s="1209" t="s">
        <v>487</v>
      </c>
      <c r="M37" s="1209"/>
      <c r="N37" s="1209"/>
      <c r="O37" s="1209">
        <v>6</v>
      </c>
      <c r="P37" s="1209">
        <v>6</v>
      </c>
      <c r="Q37" s="1209">
        <v>6</v>
      </c>
      <c r="R37" s="1209">
        <v>6</v>
      </c>
      <c r="S37" s="1209">
        <v>6</v>
      </c>
      <c r="T37" s="1209" t="s">
        <v>532</v>
      </c>
      <c r="U37" s="1209" t="s">
        <v>533</v>
      </c>
      <c r="V37" s="1209" t="s">
        <v>487</v>
      </c>
      <c r="W37" s="1209" t="s">
        <v>487</v>
      </c>
      <c r="X37" s="1209" t="s">
        <v>487</v>
      </c>
      <c r="Y37" s="1575" t="s">
        <v>487</v>
      </c>
      <c r="Z37" s="1209" t="s">
        <v>487</v>
      </c>
      <c r="AA37" s="1209"/>
      <c r="AB37" s="1209"/>
      <c r="AC37" s="1353">
        <v>5</v>
      </c>
      <c r="AD37" s="1353">
        <v>5</v>
      </c>
      <c r="AE37" s="1353">
        <v>5</v>
      </c>
      <c r="AF37" s="1353">
        <v>5</v>
      </c>
      <c r="AG37" s="1645">
        <v>5</v>
      </c>
      <c r="AH37" s="504">
        <v>185</v>
      </c>
      <c r="AI37" s="505">
        <v>37</v>
      </c>
    </row>
    <row r="38" spans="1:38" ht="21.95" customHeight="1">
      <c r="A38" s="544">
        <v>6</v>
      </c>
      <c r="B38" s="545" t="s">
        <v>658</v>
      </c>
      <c r="C38" s="1376">
        <v>10</v>
      </c>
      <c r="D38" s="1376">
        <v>10</v>
      </c>
      <c r="E38" s="1376">
        <v>10</v>
      </c>
      <c r="F38" s="1376" t="s">
        <v>555</v>
      </c>
      <c r="G38" s="1376" t="s">
        <v>555</v>
      </c>
      <c r="H38" s="1376" t="s">
        <v>487</v>
      </c>
      <c r="I38" s="1376" t="s">
        <v>487</v>
      </c>
      <c r="J38" s="1376" t="s">
        <v>487</v>
      </c>
      <c r="K38" s="1376" t="s">
        <v>487</v>
      </c>
      <c r="L38" s="1376" t="s">
        <v>487</v>
      </c>
      <c r="M38" s="1376" t="s">
        <v>660</v>
      </c>
      <c r="N38" s="1376" t="s">
        <v>660</v>
      </c>
      <c r="O38" s="1376">
        <v>7</v>
      </c>
      <c r="P38" s="1376">
        <v>7</v>
      </c>
      <c r="Q38" s="1376">
        <v>7</v>
      </c>
      <c r="R38" s="1376">
        <v>7</v>
      </c>
      <c r="S38" s="1376">
        <v>7</v>
      </c>
      <c r="T38" s="1376"/>
      <c r="U38" s="1376"/>
      <c r="V38" s="1376">
        <v>4</v>
      </c>
      <c r="W38" s="1376">
        <v>4</v>
      </c>
      <c r="X38" s="1376">
        <v>4</v>
      </c>
      <c r="Y38" s="1376">
        <v>4</v>
      </c>
      <c r="Z38" s="1376">
        <v>4</v>
      </c>
      <c r="AA38" s="1376"/>
      <c r="AB38" s="1376"/>
      <c r="AC38" s="1376">
        <v>3</v>
      </c>
      <c r="AD38" s="1376">
        <v>3</v>
      </c>
      <c r="AE38" s="1376">
        <v>3</v>
      </c>
      <c r="AF38" s="1376">
        <v>3</v>
      </c>
      <c r="AG38" s="1377">
        <v>3</v>
      </c>
      <c r="AH38" s="504">
        <v>185</v>
      </c>
      <c r="AI38" s="505">
        <v>37</v>
      </c>
    </row>
    <row r="39" spans="1:38" ht="21.95" customHeight="1" thickBot="1">
      <c r="A39" s="546">
        <v>11</v>
      </c>
      <c r="B39" s="1242" t="s">
        <v>659</v>
      </c>
      <c r="C39" s="1207">
        <v>11</v>
      </c>
      <c r="D39" s="1207">
        <v>11</v>
      </c>
      <c r="E39" s="1207">
        <v>11</v>
      </c>
      <c r="F39" s="1207" t="s">
        <v>657</v>
      </c>
      <c r="G39" s="1207" t="s">
        <v>657</v>
      </c>
      <c r="H39" s="1207" t="s">
        <v>487</v>
      </c>
      <c r="I39" s="1207" t="s">
        <v>487</v>
      </c>
      <c r="J39" s="1500" t="s">
        <v>487</v>
      </c>
      <c r="K39" s="1207" t="s">
        <v>487</v>
      </c>
      <c r="L39" s="1207" t="s">
        <v>487</v>
      </c>
      <c r="M39" s="1207"/>
      <c r="N39" s="1207"/>
      <c r="O39" s="1207">
        <v>8</v>
      </c>
      <c r="P39" s="1207">
        <v>8</v>
      </c>
      <c r="Q39" s="1207">
        <v>8</v>
      </c>
      <c r="R39" s="1207">
        <v>8</v>
      </c>
      <c r="S39" s="1207">
        <v>8</v>
      </c>
      <c r="T39" s="1207" t="s">
        <v>533</v>
      </c>
      <c r="U39" s="1207" t="s">
        <v>533</v>
      </c>
      <c r="V39" s="1207" t="s">
        <v>487</v>
      </c>
      <c r="W39" s="1207" t="s">
        <v>487</v>
      </c>
      <c r="X39" s="1207" t="s">
        <v>487</v>
      </c>
      <c r="Y39" s="1207" t="s">
        <v>487</v>
      </c>
      <c r="Z39" s="1207" t="s">
        <v>487</v>
      </c>
      <c r="AA39" s="1207"/>
      <c r="AB39" s="1207"/>
      <c r="AC39" s="1207">
        <v>1</v>
      </c>
      <c r="AD39" s="1207">
        <v>1</v>
      </c>
      <c r="AE39" s="1207">
        <v>1</v>
      </c>
      <c r="AF39" s="1207">
        <v>1</v>
      </c>
      <c r="AG39" s="1222">
        <v>3</v>
      </c>
      <c r="AH39" s="504">
        <v>185</v>
      </c>
      <c r="AI39" s="505">
        <v>37</v>
      </c>
    </row>
    <row r="40" spans="1:38" ht="21.95" customHeight="1">
      <c r="A40" s="543">
        <v>2</v>
      </c>
      <c r="B40" s="45" t="s">
        <v>662</v>
      </c>
      <c r="C40" s="1209" t="s">
        <v>487</v>
      </c>
      <c r="D40" s="1209" t="s">
        <v>487</v>
      </c>
      <c r="E40" s="1209" t="s">
        <v>487</v>
      </c>
      <c r="F40" s="1223"/>
      <c r="G40" s="1223"/>
      <c r="H40" s="1209">
        <v>6</v>
      </c>
      <c r="I40" s="1209">
        <v>6</v>
      </c>
      <c r="J40" s="1500">
        <v>6</v>
      </c>
      <c r="K40" s="1209">
        <v>6</v>
      </c>
      <c r="L40" s="1209">
        <v>6</v>
      </c>
      <c r="M40" s="1209" t="s">
        <v>532</v>
      </c>
      <c r="N40" s="1209" t="s">
        <v>533</v>
      </c>
      <c r="O40" s="1209" t="s">
        <v>487</v>
      </c>
      <c r="P40" s="1209" t="s">
        <v>487</v>
      </c>
      <c r="Q40" s="1209" t="s">
        <v>487</v>
      </c>
      <c r="R40" s="1209" t="s">
        <v>487</v>
      </c>
      <c r="S40" s="1209" t="s">
        <v>487</v>
      </c>
      <c r="T40" s="1223"/>
      <c r="U40" s="1223"/>
      <c r="V40" s="1353">
        <v>5</v>
      </c>
      <c r="W40" s="1353">
        <v>5</v>
      </c>
      <c r="X40" s="1353">
        <v>5</v>
      </c>
      <c r="Y40" s="1353">
        <v>5</v>
      </c>
      <c r="Z40" s="1353">
        <v>5</v>
      </c>
      <c r="AA40" s="1209"/>
      <c r="AB40" s="1209"/>
      <c r="AC40" s="1209">
        <v>10</v>
      </c>
      <c r="AD40" s="1209">
        <v>10</v>
      </c>
      <c r="AE40" s="1209">
        <v>10</v>
      </c>
      <c r="AF40" s="1209">
        <v>10</v>
      </c>
      <c r="AG40" s="1209">
        <v>10</v>
      </c>
      <c r="AH40" s="504">
        <v>185</v>
      </c>
      <c r="AI40" s="505">
        <v>37</v>
      </c>
    </row>
    <row r="41" spans="1:38" ht="21.95" customHeight="1">
      <c r="A41" s="544">
        <v>7</v>
      </c>
      <c r="B41" s="153" t="s">
        <v>664</v>
      </c>
      <c r="C41" s="1215" t="s">
        <v>487</v>
      </c>
      <c r="D41" s="1215" t="s">
        <v>487</v>
      </c>
      <c r="E41" s="1215" t="s">
        <v>487</v>
      </c>
      <c r="F41" s="1215" t="s">
        <v>660</v>
      </c>
      <c r="G41" s="1215" t="s">
        <v>660</v>
      </c>
      <c r="H41" s="1215">
        <v>7</v>
      </c>
      <c r="I41" s="1215">
        <v>7</v>
      </c>
      <c r="J41" s="1215">
        <v>7</v>
      </c>
      <c r="K41" s="1215">
        <v>7</v>
      </c>
      <c r="L41" s="1215">
        <v>7</v>
      </c>
      <c r="M41" s="1215"/>
      <c r="N41" s="1215"/>
      <c r="O41" s="1338">
        <v>4</v>
      </c>
      <c r="P41" s="1338">
        <v>4</v>
      </c>
      <c r="Q41" s="1338">
        <v>4</v>
      </c>
      <c r="R41" s="1338">
        <v>4</v>
      </c>
      <c r="S41" s="1338">
        <v>4</v>
      </c>
      <c r="T41" s="1338"/>
      <c r="U41" s="1338"/>
      <c r="V41" s="1345">
        <v>3</v>
      </c>
      <c r="W41" s="1345">
        <v>3</v>
      </c>
      <c r="X41" s="1345">
        <v>3</v>
      </c>
      <c r="Y41" s="1345">
        <v>3</v>
      </c>
      <c r="Z41" s="1345">
        <v>3</v>
      </c>
      <c r="AA41" s="1345"/>
      <c r="AB41" s="1345"/>
      <c r="AC41" s="1344">
        <v>11</v>
      </c>
      <c r="AD41" s="1344">
        <v>11</v>
      </c>
      <c r="AE41" s="1344">
        <v>11</v>
      </c>
      <c r="AF41" s="1344">
        <v>11</v>
      </c>
      <c r="AG41" s="1626">
        <v>11</v>
      </c>
      <c r="AH41" s="504">
        <v>37</v>
      </c>
      <c r="AI41" s="505">
        <v>0</v>
      </c>
    </row>
    <row r="42" spans="1:38" ht="21.95" customHeight="1" thickBot="1">
      <c r="A42" s="546">
        <v>12</v>
      </c>
      <c r="B42" s="547" t="s">
        <v>665</v>
      </c>
      <c r="C42" s="1207" t="s">
        <v>487</v>
      </c>
      <c r="D42" s="1207" t="s">
        <v>487</v>
      </c>
      <c r="E42" s="1207" t="s">
        <v>487</v>
      </c>
      <c r="F42" s="1207"/>
      <c r="G42" s="1207"/>
      <c r="H42" s="1207">
        <v>8</v>
      </c>
      <c r="I42" s="1207">
        <v>8</v>
      </c>
      <c r="J42" s="1207">
        <v>8</v>
      </c>
      <c r="K42" s="1207">
        <v>8</v>
      </c>
      <c r="L42" s="1207">
        <v>8</v>
      </c>
      <c r="M42" s="1207" t="s">
        <v>533</v>
      </c>
      <c r="N42" s="1207" t="s">
        <v>533</v>
      </c>
      <c r="O42" s="1207" t="s">
        <v>487</v>
      </c>
      <c r="P42" s="1207" t="s">
        <v>487</v>
      </c>
      <c r="Q42" s="1207" t="s">
        <v>487</v>
      </c>
      <c r="R42" s="1207" t="s">
        <v>487</v>
      </c>
      <c r="S42" s="1207" t="s">
        <v>487</v>
      </c>
      <c r="T42" s="1207"/>
      <c r="U42" s="1207"/>
      <c r="V42" s="1207">
        <v>1</v>
      </c>
      <c r="W42" s="1207">
        <v>1</v>
      </c>
      <c r="X42" s="1207">
        <v>1</v>
      </c>
      <c r="Y42" s="1207">
        <v>1</v>
      </c>
      <c r="Z42" s="1207">
        <v>1</v>
      </c>
      <c r="AA42" s="1207"/>
      <c r="AB42" s="1207"/>
      <c r="AC42" s="1207">
        <v>9</v>
      </c>
      <c r="AD42" s="1207">
        <v>9</v>
      </c>
      <c r="AE42" s="1207">
        <v>9</v>
      </c>
      <c r="AF42" s="1207">
        <v>9</v>
      </c>
      <c r="AG42" s="1222">
        <v>9</v>
      </c>
      <c r="AH42" s="504">
        <v>185</v>
      </c>
      <c r="AI42" s="505">
        <v>37</v>
      </c>
    </row>
    <row r="43" spans="1:38" ht="21.95" customHeight="1">
      <c r="A43" s="548">
        <v>3</v>
      </c>
      <c r="B43" s="1373" t="s">
        <v>666</v>
      </c>
      <c r="C43" s="1211">
        <v>6</v>
      </c>
      <c r="D43" s="1211">
        <v>6</v>
      </c>
      <c r="E43" s="1211">
        <v>6</v>
      </c>
      <c r="F43" s="1211" t="s">
        <v>532</v>
      </c>
      <c r="G43" s="1211" t="s">
        <v>533</v>
      </c>
      <c r="H43" s="1211" t="s">
        <v>487</v>
      </c>
      <c r="I43" s="1211" t="s">
        <v>487</v>
      </c>
      <c r="J43" s="1211" t="s">
        <v>487</v>
      </c>
      <c r="K43" s="1211" t="s">
        <v>487</v>
      </c>
      <c r="L43" s="1211" t="s">
        <v>487</v>
      </c>
      <c r="M43" s="1211"/>
      <c r="N43" s="1211"/>
      <c r="O43" s="1211">
        <v>1</v>
      </c>
      <c r="P43" s="1211">
        <v>1</v>
      </c>
      <c r="Q43" s="1211">
        <v>1</v>
      </c>
      <c r="R43" s="1214">
        <v>1</v>
      </c>
      <c r="S43" s="1211">
        <v>1</v>
      </c>
      <c r="T43" s="1211"/>
      <c r="U43" s="1211"/>
      <c r="V43" s="1211">
        <v>10</v>
      </c>
      <c r="W43" s="1211">
        <v>10</v>
      </c>
      <c r="X43" s="1211">
        <v>10</v>
      </c>
      <c r="Y43" s="1211">
        <v>10</v>
      </c>
      <c r="Z43" s="1211">
        <v>10</v>
      </c>
      <c r="AA43" s="1211" t="s">
        <v>555</v>
      </c>
      <c r="AB43" s="1211" t="s">
        <v>555</v>
      </c>
      <c r="AC43" s="1211" t="s">
        <v>487</v>
      </c>
      <c r="AD43" s="1211" t="s">
        <v>487</v>
      </c>
      <c r="AE43" s="1211" t="s">
        <v>487</v>
      </c>
      <c r="AF43" s="1211" t="s">
        <v>487</v>
      </c>
      <c r="AG43" s="1224" t="s">
        <v>487</v>
      </c>
      <c r="AH43" s="504">
        <v>185</v>
      </c>
      <c r="AI43" s="505">
        <v>37</v>
      </c>
    </row>
    <row r="44" spans="1:38" ht="21.95" customHeight="1">
      <c r="A44" s="544">
        <v>8</v>
      </c>
      <c r="B44" s="319" t="s">
        <v>667</v>
      </c>
      <c r="C44" s="1215">
        <v>7</v>
      </c>
      <c r="D44" s="1215">
        <v>7</v>
      </c>
      <c r="E44" s="1215">
        <v>7</v>
      </c>
      <c r="F44" s="1215"/>
      <c r="G44" s="1225"/>
      <c r="H44" s="1338">
        <v>4</v>
      </c>
      <c r="I44" s="1338">
        <v>4</v>
      </c>
      <c r="J44" s="1338">
        <v>4</v>
      </c>
      <c r="K44" s="1338">
        <v>4</v>
      </c>
      <c r="L44" s="1338">
        <v>4</v>
      </c>
      <c r="M44" s="1338"/>
      <c r="N44" s="1338"/>
      <c r="O44" s="1338">
        <v>3</v>
      </c>
      <c r="P44" s="1338">
        <v>3</v>
      </c>
      <c r="Q44" s="1339">
        <v>3</v>
      </c>
      <c r="R44" s="1338">
        <v>3</v>
      </c>
      <c r="S44" s="1588">
        <v>3</v>
      </c>
      <c r="T44" s="1338"/>
      <c r="U44" s="1338"/>
      <c r="V44" s="1215">
        <v>11</v>
      </c>
      <c r="W44" s="1215">
        <v>11</v>
      </c>
      <c r="X44" s="1215">
        <v>11</v>
      </c>
      <c r="Y44" s="1215">
        <v>11</v>
      </c>
      <c r="Z44" s="1215">
        <v>11</v>
      </c>
      <c r="AA44" s="1215" t="s">
        <v>657</v>
      </c>
      <c r="AB44" s="1215" t="s">
        <v>657</v>
      </c>
      <c r="AC44" s="1215" t="s">
        <v>487</v>
      </c>
      <c r="AD44" s="1215" t="s">
        <v>487</v>
      </c>
      <c r="AE44" s="1215" t="s">
        <v>487</v>
      </c>
      <c r="AF44" s="1215" t="s">
        <v>487</v>
      </c>
      <c r="AG44" s="1215" t="s">
        <v>487</v>
      </c>
      <c r="AH44" s="504">
        <v>185</v>
      </c>
      <c r="AI44" s="505">
        <v>37</v>
      </c>
    </row>
    <row r="45" spans="1:38" ht="21.95" customHeight="1" thickBot="1">
      <c r="A45" s="546">
        <v>13</v>
      </c>
      <c r="B45" s="52" t="s">
        <v>668</v>
      </c>
      <c r="C45" s="1207">
        <v>8</v>
      </c>
      <c r="D45" s="1207">
        <v>8</v>
      </c>
      <c r="E45" s="1207">
        <v>8</v>
      </c>
      <c r="F45" s="1207" t="s">
        <v>533</v>
      </c>
      <c r="G45" s="1207" t="s">
        <v>533</v>
      </c>
      <c r="H45" s="1207" t="s">
        <v>487</v>
      </c>
      <c r="I45" s="1207" t="s">
        <v>487</v>
      </c>
      <c r="J45" s="1207" t="s">
        <v>487</v>
      </c>
      <c r="K45" s="1207" t="s">
        <v>487</v>
      </c>
      <c r="L45" s="1207" t="s">
        <v>487</v>
      </c>
      <c r="M45" s="1207"/>
      <c r="N45" s="1207"/>
      <c r="O45" s="1371">
        <v>1</v>
      </c>
      <c r="P45" s="1371">
        <v>1</v>
      </c>
      <c r="Q45" s="1371">
        <v>1</v>
      </c>
      <c r="R45" s="1371">
        <v>1</v>
      </c>
      <c r="S45" s="1371">
        <v>1</v>
      </c>
      <c r="T45" s="1207"/>
      <c r="U45" s="1207"/>
      <c r="V45" s="1207">
        <v>9</v>
      </c>
      <c r="W45" s="1207">
        <v>9</v>
      </c>
      <c r="X45" s="1207">
        <v>9</v>
      </c>
      <c r="Y45" s="1207">
        <v>9</v>
      </c>
      <c r="Z45" s="1207">
        <v>9</v>
      </c>
      <c r="AA45" s="1207" t="s">
        <v>543</v>
      </c>
      <c r="AB45" s="1207" t="s">
        <v>555</v>
      </c>
      <c r="AC45" s="1207" t="s">
        <v>487</v>
      </c>
      <c r="AD45" s="1207" t="s">
        <v>487</v>
      </c>
      <c r="AE45" s="1207" t="s">
        <v>487</v>
      </c>
      <c r="AF45" s="1207" t="s">
        <v>487</v>
      </c>
      <c r="AG45" s="1207" t="s">
        <v>487</v>
      </c>
      <c r="AH45" s="504">
        <v>185</v>
      </c>
      <c r="AI45" s="505">
        <v>37</v>
      </c>
    </row>
    <row r="46" spans="1:38" ht="21.95" customHeight="1">
      <c r="A46" s="548">
        <v>4</v>
      </c>
      <c r="B46" s="319" t="s">
        <v>669</v>
      </c>
      <c r="C46" s="1215" t="s">
        <v>487</v>
      </c>
      <c r="D46" s="1215" t="s">
        <v>487</v>
      </c>
      <c r="E46" s="1215" t="s">
        <v>487</v>
      </c>
      <c r="F46" s="1215"/>
      <c r="G46" s="1215"/>
      <c r="H46" s="1215" t="s">
        <v>514</v>
      </c>
      <c r="I46" s="1215" t="s">
        <v>514</v>
      </c>
      <c r="J46" s="1215" t="s">
        <v>514</v>
      </c>
      <c r="K46" s="1215" t="s">
        <v>514</v>
      </c>
      <c r="L46" s="1553" t="s">
        <v>514</v>
      </c>
      <c r="M46" s="1211"/>
      <c r="N46" s="1211"/>
      <c r="O46" s="1553">
        <v>10</v>
      </c>
      <c r="P46" s="1553">
        <v>10</v>
      </c>
      <c r="Q46" s="1553">
        <v>10</v>
      </c>
      <c r="R46" s="1553">
        <v>10</v>
      </c>
      <c r="S46" s="1553">
        <v>10</v>
      </c>
      <c r="T46" s="1553" t="s">
        <v>555</v>
      </c>
      <c r="U46" s="1553" t="s">
        <v>555</v>
      </c>
      <c r="V46" s="1211" t="s">
        <v>487</v>
      </c>
      <c r="W46" s="1211" t="s">
        <v>487</v>
      </c>
      <c r="X46" s="1211" t="s">
        <v>487</v>
      </c>
      <c r="Y46" s="1211" t="s">
        <v>487</v>
      </c>
      <c r="Z46" s="1211" t="s">
        <v>487</v>
      </c>
      <c r="AA46" s="1553" t="s">
        <v>660</v>
      </c>
      <c r="AB46" s="1553" t="s">
        <v>660</v>
      </c>
      <c r="AC46" s="1553">
        <v>7</v>
      </c>
      <c r="AD46" s="1211">
        <v>7</v>
      </c>
      <c r="AE46" s="1211">
        <v>7</v>
      </c>
      <c r="AF46" s="1211">
        <v>7</v>
      </c>
      <c r="AG46" s="1211">
        <v>7</v>
      </c>
      <c r="AH46" s="504">
        <v>185</v>
      </c>
      <c r="AI46" s="505">
        <v>37</v>
      </c>
    </row>
    <row r="47" spans="1:38" ht="21.95" customHeight="1">
      <c r="A47" s="544">
        <v>9</v>
      </c>
      <c r="B47" s="319" t="s">
        <v>670</v>
      </c>
      <c r="C47" s="1215">
        <v>4</v>
      </c>
      <c r="D47" s="1215">
        <v>4</v>
      </c>
      <c r="E47" s="1215">
        <v>4</v>
      </c>
      <c r="F47" s="1215"/>
      <c r="G47" s="1215"/>
      <c r="H47" s="1215">
        <v>3</v>
      </c>
      <c r="I47" s="1215">
        <v>3</v>
      </c>
      <c r="J47" s="1344">
        <v>3</v>
      </c>
      <c r="K47" s="1215">
        <v>3</v>
      </c>
      <c r="L47" s="1215">
        <v>3</v>
      </c>
      <c r="M47" s="1215"/>
      <c r="N47" s="1215"/>
      <c r="O47" s="1215">
        <v>11</v>
      </c>
      <c r="P47" s="1215">
        <v>11</v>
      </c>
      <c r="Q47" s="1215">
        <v>11</v>
      </c>
      <c r="R47" s="1215">
        <v>11</v>
      </c>
      <c r="S47" s="1215">
        <v>11</v>
      </c>
      <c r="T47" s="1215" t="s">
        <v>657</v>
      </c>
      <c r="U47" s="1215" t="s">
        <v>657</v>
      </c>
      <c r="V47" s="1215" t="s">
        <v>487</v>
      </c>
      <c r="W47" s="1215" t="s">
        <v>487</v>
      </c>
      <c r="X47" s="1215" t="s">
        <v>487</v>
      </c>
      <c r="Y47" s="1215" t="s">
        <v>487</v>
      </c>
      <c r="Z47" s="1215" t="s">
        <v>487</v>
      </c>
      <c r="AA47" s="1215"/>
      <c r="AB47" s="1215"/>
      <c r="AC47" s="1215">
        <v>8</v>
      </c>
      <c r="AD47" s="1215">
        <v>8</v>
      </c>
      <c r="AE47" s="1215">
        <v>8</v>
      </c>
      <c r="AF47" s="1215">
        <v>8</v>
      </c>
      <c r="AG47" s="1216">
        <v>8</v>
      </c>
      <c r="AH47" s="504">
        <v>185</v>
      </c>
      <c r="AI47" s="505">
        <v>37</v>
      </c>
    </row>
    <row r="48" spans="1:38" ht="21.95" customHeight="1" thickBot="1">
      <c r="A48" s="546">
        <v>14</v>
      </c>
      <c r="B48" s="547" t="s">
        <v>671</v>
      </c>
      <c r="C48" s="1207" t="s">
        <v>487</v>
      </c>
      <c r="D48" s="1207" t="s">
        <v>487</v>
      </c>
      <c r="E48" s="1211" t="s">
        <v>487</v>
      </c>
      <c r="F48" s="1211"/>
      <c r="G48" s="1211"/>
      <c r="H48" s="1211">
        <v>1</v>
      </c>
      <c r="I48" s="1211">
        <v>1</v>
      </c>
      <c r="J48" s="1211">
        <v>1</v>
      </c>
      <c r="K48" s="1211">
        <v>1</v>
      </c>
      <c r="L48" s="1207">
        <v>1</v>
      </c>
      <c r="M48" s="1207"/>
      <c r="N48" s="1207"/>
      <c r="O48" s="1207">
        <v>9</v>
      </c>
      <c r="P48" s="1207">
        <v>9</v>
      </c>
      <c r="Q48" s="1207">
        <v>9</v>
      </c>
      <c r="R48" s="1207">
        <v>9</v>
      </c>
      <c r="S48" s="1207">
        <v>9</v>
      </c>
      <c r="T48" s="1207" t="s">
        <v>543</v>
      </c>
      <c r="U48" s="1207" t="s">
        <v>555</v>
      </c>
      <c r="V48" s="1207" t="s">
        <v>487</v>
      </c>
      <c r="W48" s="1207" t="s">
        <v>487</v>
      </c>
      <c r="X48" s="1207" t="s">
        <v>487</v>
      </c>
      <c r="Y48" s="1207" t="s">
        <v>487</v>
      </c>
      <c r="Z48" s="1207" t="s">
        <v>487</v>
      </c>
      <c r="AA48" s="1207"/>
      <c r="AB48" s="1207"/>
      <c r="AC48" s="1207">
        <v>6</v>
      </c>
      <c r="AD48" s="1207">
        <v>6</v>
      </c>
      <c r="AE48" s="1207">
        <v>6</v>
      </c>
      <c r="AF48" s="1207">
        <v>6</v>
      </c>
      <c r="AG48" s="1227">
        <v>6</v>
      </c>
      <c r="AH48" s="504">
        <v>185</v>
      </c>
      <c r="AI48" s="505">
        <v>37</v>
      </c>
    </row>
    <row r="49" spans="1:35" ht="21.95" customHeight="1">
      <c r="A49" s="543">
        <v>5</v>
      </c>
      <c r="B49" s="545" t="s">
        <v>672</v>
      </c>
      <c r="C49" s="1209">
        <v>5</v>
      </c>
      <c r="D49" s="1209">
        <v>3</v>
      </c>
      <c r="E49" s="1209">
        <v>3</v>
      </c>
      <c r="F49" s="1209"/>
      <c r="G49" s="1209"/>
      <c r="H49" s="1209">
        <v>10</v>
      </c>
      <c r="I49" s="1209">
        <v>10</v>
      </c>
      <c r="J49" s="1209">
        <v>10</v>
      </c>
      <c r="K49" s="1209">
        <v>10</v>
      </c>
      <c r="L49" s="1209">
        <v>10</v>
      </c>
      <c r="M49" s="1209" t="s">
        <v>555</v>
      </c>
      <c r="N49" s="1209" t="s">
        <v>555</v>
      </c>
      <c r="O49" s="1209" t="s">
        <v>487</v>
      </c>
      <c r="P49" s="1209" t="s">
        <v>487</v>
      </c>
      <c r="Q49" s="1209" t="s">
        <v>487</v>
      </c>
      <c r="R49" s="1209" t="s">
        <v>487</v>
      </c>
      <c r="S49" s="1215" t="s">
        <v>487</v>
      </c>
      <c r="T49" s="1215" t="s">
        <v>660</v>
      </c>
      <c r="U49" s="1215" t="s">
        <v>660</v>
      </c>
      <c r="V49" s="1215">
        <v>7</v>
      </c>
      <c r="W49" s="1215">
        <v>7</v>
      </c>
      <c r="X49" s="1215">
        <v>7</v>
      </c>
      <c r="Y49" s="1215">
        <v>7</v>
      </c>
      <c r="Z49" s="1215">
        <v>7</v>
      </c>
      <c r="AA49" s="1215"/>
      <c r="AB49" s="1215"/>
      <c r="AC49" s="1215">
        <v>4</v>
      </c>
      <c r="AD49" s="1215">
        <v>4</v>
      </c>
      <c r="AE49" s="1228">
        <v>4</v>
      </c>
      <c r="AF49" s="1209">
        <v>4</v>
      </c>
      <c r="AG49" s="1228">
        <v>4</v>
      </c>
      <c r="AH49" s="504">
        <v>185</v>
      </c>
      <c r="AI49" s="505">
        <v>37</v>
      </c>
    </row>
    <row r="50" spans="1:35" ht="21.95" customHeight="1">
      <c r="A50" s="544">
        <v>10</v>
      </c>
      <c r="B50" s="319" t="s">
        <v>673</v>
      </c>
      <c r="C50" s="1215">
        <v>3</v>
      </c>
      <c r="D50" s="1392">
        <v>3</v>
      </c>
      <c r="E50" s="1392" t="s">
        <v>777</v>
      </c>
      <c r="F50" s="1215"/>
      <c r="G50" s="1215"/>
      <c r="H50" s="1215">
        <v>11</v>
      </c>
      <c r="I50" s="1215">
        <v>11</v>
      </c>
      <c r="J50" s="1215">
        <v>11</v>
      </c>
      <c r="K50" s="1215">
        <v>11</v>
      </c>
      <c r="L50" s="1215">
        <v>11</v>
      </c>
      <c r="M50" s="1215" t="s">
        <v>657</v>
      </c>
      <c r="N50" s="1215" t="s">
        <v>657</v>
      </c>
      <c r="O50" s="1215" t="s">
        <v>487</v>
      </c>
      <c r="P50" s="1215" t="s">
        <v>487</v>
      </c>
      <c r="Q50" s="1215" t="s">
        <v>487</v>
      </c>
      <c r="R50" s="1215" t="s">
        <v>487</v>
      </c>
      <c r="S50" s="1215" t="s">
        <v>487</v>
      </c>
      <c r="T50" s="1215"/>
      <c r="U50" s="1215"/>
      <c r="V50" s="1215">
        <v>8</v>
      </c>
      <c r="W50" s="1215">
        <v>8</v>
      </c>
      <c r="X50" s="1215">
        <v>8</v>
      </c>
      <c r="Y50" s="1215">
        <v>8</v>
      </c>
      <c r="Z50" s="1215">
        <v>8</v>
      </c>
      <c r="AA50" s="1215" t="s">
        <v>533</v>
      </c>
      <c r="AB50" s="1215" t="s">
        <v>533</v>
      </c>
      <c r="AC50" s="1215" t="s">
        <v>487</v>
      </c>
      <c r="AD50" s="1215" t="s">
        <v>487</v>
      </c>
      <c r="AE50" s="1216" t="s">
        <v>487</v>
      </c>
      <c r="AF50" s="1215" t="s">
        <v>487</v>
      </c>
      <c r="AG50" s="1216" t="s">
        <v>487</v>
      </c>
      <c r="AH50" s="504">
        <v>185</v>
      </c>
      <c r="AI50" s="505">
        <v>37</v>
      </c>
    </row>
    <row r="51" spans="1:35" ht="21.95" customHeight="1" thickBot="1">
      <c r="A51" s="546">
        <v>15</v>
      </c>
      <c r="B51" s="52" t="s">
        <v>674</v>
      </c>
      <c r="C51" s="1207">
        <v>1</v>
      </c>
      <c r="D51" s="1207">
        <v>1</v>
      </c>
      <c r="E51" s="1207">
        <v>1</v>
      </c>
      <c r="F51" s="1207"/>
      <c r="G51" s="1207"/>
      <c r="H51" s="1207">
        <v>9</v>
      </c>
      <c r="I51" s="1207">
        <v>9</v>
      </c>
      <c r="J51" s="1207" t="s">
        <v>487</v>
      </c>
      <c r="K51" s="1215" t="s">
        <v>514</v>
      </c>
      <c r="L51" s="1445">
        <v>9</v>
      </c>
      <c r="M51" s="1207" t="s">
        <v>543</v>
      </c>
      <c r="N51" s="1207" t="s">
        <v>555</v>
      </c>
      <c r="O51" s="1207" t="s">
        <v>487</v>
      </c>
      <c r="P51" s="1207" t="s">
        <v>487</v>
      </c>
      <c r="Q51" s="1207" t="s">
        <v>487</v>
      </c>
      <c r="R51" s="1207" t="s">
        <v>487</v>
      </c>
      <c r="S51" s="1207" t="s">
        <v>487</v>
      </c>
      <c r="T51" s="1207"/>
      <c r="U51" s="1207"/>
      <c r="V51" s="1207">
        <v>6</v>
      </c>
      <c r="W51" s="1207">
        <v>6</v>
      </c>
      <c r="X51" s="1207">
        <v>6</v>
      </c>
      <c r="Y51" s="1207">
        <v>6</v>
      </c>
      <c r="Z51" s="1207">
        <v>6</v>
      </c>
      <c r="AA51" s="1207" t="s">
        <v>532</v>
      </c>
      <c r="AB51" s="1207" t="s">
        <v>533</v>
      </c>
      <c r="AC51" s="1207" t="s">
        <v>487</v>
      </c>
      <c r="AD51" s="1207" t="s">
        <v>487</v>
      </c>
      <c r="AE51" s="1227" t="s">
        <v>487</v>
      </c>
      <c r="AF51" s="1207" t="s">
        <v>487</v>
      </c>
      <c r="AG51" s="1227" t="s">
        <v>487</v>
      </c>
      <c r="AH51" s="504">
        <v>185</v>
      </c>
      <c r="AI51" s="505">
        <v>37</v>
      </c>
    </row>
    <row r="52" spans="1:35" ht="21.95" customHeight="1">
      <c r="A52" s="519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  <c r="T52" s="541"/>
      <c r="U52" s="541"/>
      <c r="V52" s="541"/>
      <c r="W52" s="541"/>
      <c r="X52" s="541"/>
      <c r="Y52" s="541"/>
      <c r="Z52" s="541"/>
      <c r="AA52" s="541"/>
      <c r="AB52" s="541"/>
      <c r="AC52" s="541"/>
      <c r="AD52" s="541"/>
      <c r="AE52" s="541"/>
      <c r="AF52" s="541"/>
      <c r="AG52" s="541"/>
      <c r="AH52" s="1"/>
    </row>
    <row r="53" spans="1:35" ht="21.95" customHeight="1">
      <c r="A53" s="519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1"/>
      <c r="W53" s="541"/>
      <c r="X53" s="541"/>
      <c r="Y53" s="541"/>
      <c r="Z53" s="541"/>
      <c r="AA53" s="541"/>
      <c r="AB53" s="541"/>
      <c r="AC53" s="541"/>
      <c r="AD53" s="541"/>
      <c r="AE53" s="541"/>
      <c r="AF53" s="541"/>
      <c r="AG53" s="541"/>
      <c r="AH53" s="1"/>
    </row>
    <row r="54" spans="1:35" ht="21.95" customHeight="1">
      <c r="A54" s="519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1"/>
      <c r="AA54" s="541"/>
      <c r="AB54" s="541"/>
      <c r="AC54" s="541"/>
      <c r="AD54" s="541"/>
      <c r="AE54" s="541"/>
      <c r="AF54" s="541"/>
      <c r="AG54" s="541"/>
      <c r="AH54" s="1"/>
    </row>
    <row r="55" spans="1:35" ht="21.95" customHeight="1" thickBot="1">
      <c r="A55" s="558"/>
      <c r="C55" s="559"/>
      <c r="D55" s="559"/>
      <c r="E55" s="559"/>
      <c r="F55" s="559"/>
      <c r="G55" s="559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59"/>
      <c r="AA55" s="559"/>
      <c r="AB55" s="559"/>
      <c r="AC55" s="559"/>
      <c r="AD55" s="559"/>
      <c r="AE55" s="559"/>
      <c r="AF55" s="559"/>
      <c r="AG55" s="559"/>
      <c r="AH55" s="560"/>
      <c r="AI55" s="560"/>
    </row>
    <row r="56" spans="1:35" ht="21.95" customHeight="1">
      <c r="A56" s="361"/>
      <c r="B56" s="23" t="s">
        <v>675</v>
      </c>
      <c r="C56" s="7"/>
      <c r="D56" s="414" t="s">
        <v>2</v>
      </c>
      <c r="E56" s="550"/>
      <c r="F56" s="7"/>
      <c r="G56" s="6" t="s">
        <v>3</v>
      </c>
      <c r="H56" s="551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52"/>
      <c r="R56" s="118"/>
      <c r="S56" s="6" t="s">
        <v>7</v>
      </c>
      <c r="T56" s="553"/>
      <c r="U56" s="118"/>
      <c r="V56" s="6" t="s">
        <v>8</v>
      </c>
      <c r="W56" s="552"/>
      <c r="X56" s="349" t="s">
        <v>9</v>
      </c>
      <c r="Y56" s="561"/>
      <c r="Z56" s="561"/>
      <c r="AA56" s="562"/>
      <c r="AB56" s="27" t="s">
        <v>10</v>
      </c>
      <c r="AC56" s="554"/>
      <c r="AD56" s="554"/>
      <c r="AE56" s="563"/>
      <c r="AF56" s="563"/>
      <c r="AG56" s="564"/>
    </row>
    <row r="57" spans="1:35" ht="21.95" customHeight="1">
      <c r="A57" s="361"/>
      <c r="B57" s="306" t="s">
        <v>676</v>
      </c>
      <c r="C57" s="565" t="s">
        <v>512</v>
      </c>
      <c r="D57" s="483"/>
      <c r="E57" s="484"/>
      <c r="F57" s="565" t="s">
        <v>512</v>
      </c>
      <c r="G57" s="483"/>
      <c r="H57" s="484"/>
      <c r="I57" s="565" t="s">
        <v>512</v>
      </c>
      <c r="J57" s="483"/>
      <c r="K57" s="484"/>
      <c r="L57" s="565" t="s">
        <v>512</v>
      </c>
      <c r="M57" s="483"/>
      <c r="N57" s="484"/>
      <c r="O57" s="565" t="s">
        <v>116</v>
      </c>
      <c r="P57" s="483"/>
      <c r="Q57" s="484"/>
      <c r="R57" s="565"/>
      <c r="S57" s="483"/>
      <c r="T57" s="484"/>
      <c r="U57" s="565"/>
      <c r="V57" s="483"/>
      <c r="W57" s="484"/>
      <c r="X57" s="565"/>
      <c r="Y57" s="483"/>
      <c r="Z57" s="483"/>
      <c r="AA57" s="483"/>
      <c r="AB57" s="476"/>
      <c r="AC57" s="483"/>
      <c r="AD57" s="483"/>
      <c r="AE57" s="483"/>
      <c r="AF57" s="483"/>
      <c r="AG57" s="566"/>
    </row>
    <row r="58" spans="1:35" ht="21.95" customHeight="1">
      <c r="A58" s="361"/>
      <c r="B58" s="306" t="s">
        <v>677</v>
      </c>
      <c r="C58" s="565" t="s">
        <v>147</v>
      </c>
      <c r="D58" s="483"/>
      <c r="E58" s="484"/>
      <c r="F58" s="565" t="s">
        <v>147</v>
      </c>
      <c r="G58" s="483"/>
      <c r="H58" s="484"/>
      <c r="I58" s="565" t="s">
        <v>147</v>
      </c>
      <c r="J58" s="483"/>
      <c r="K58" s="484"/>
      <c r="L58" s="565" t="s">
        <v>147</v>
      </c>
      <c r="M58" s="483"/>
      <c r="N58" s="484"/>
      <c r="O58" s="565" t="s">
        <v>578</v>
      </c>
      <c r="P58" s="483"/>
      <c r="Q58" s="484"/>
      <c r="R58" s="565"/>
      <c r="S58" s="483"/>
      <c r="T58" s="484"/>
      <c r="U58" s="565"/>
      <c r="V58" s="483"/>
      <c r="W58" s="484"/>
      <c r="X58" s="565"/>
      <c r="Y58" s="483"/>
      <c r="Z58" s="483"/>
      <c r="AA58" s="483"/>
      <c r="AB58" s="476"/>
      <c r="AC58" s="483"/>
      <c r="AD58" s="483"/>
      <c r="AE58" s="483"/>
      <c r="AF58" s="483"/>
      <c r="AG58" s="566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>
      <c r="A60" s="556" t="s">
        <v>528</v>
      </c>
      <c r="B60" s="297" t="s">
        <v>480</v>
      </c>
      <c r="C60" s="1235">
        <v>1</v>
      </c>
      <c r="D60" s="1234">
        <v>2</v>
      </c>
      <c r="E60" s="1234">
        <v>3</v>
      </c>
      <c r="F60" s="1235">
        <v>4</v>
      </c>
      <c r="G60" s="1235">
        <v>5</v>
      </c>
      <c r="H60" s="1234">
        <v>6</v>
      </c>
      <c r="I60" s="1213">
        <v>7</v>
      </c>
      <c r="J60" s="1213">
        <v>8</v>
      </c>
      <c r="K60" s="1234">
        <v>9</v>
      </c>
      <c r="L60" s="1234">
        <v>10</v>
      </c>
      <c r="M60" s="1235">
        <v>11</v>
      </c>
      <c r="N60" s="1235">
        <v>12</v>
      </c>
      <c r="O60" s="1234">
        <v>13</v>
      </c>
      <c r="P60" s="1213">
        <v>14</v>
      </c>
      <c r="Q60" s="1213">
        <v>15</v>
      </c>
      <c r="R60" s="1234">
        <v>16</v>
      </c>
      <c r="S60" s="1234">
        <v>17</v>
      </c>
      <c r="T60" s="1235">
        <v>18</v>
      </c>
      <c r="U60" s="1235">
        <v>19</v>
      </c>
      <c r="V60" s="1213">
        <v>20</v>
      </c>
      <c r="W60" s="1213">
        <v>21</v>
      </c>
      <c r="X60" s="1213">
        <v>22</v>
      </c>
      <c r="Y60" s="1234">
        <v>23</v>
      </c>
      <c r="Z60" s="1234">
        <v>24</v>
      </c>
      <c r="AA60" s="1235">
        <v>25</v>
      </c>
      <c r="AB60" s="1235">
        <v>26</v>
      </c>
      <c r="AC60" s="1234">
        <v>27</v>
      </c>
      <c r="AD60" s="1213">
        <v>28</v>
      </c>
      <c r="AE60" s="1213">
        <v>29</v>
      </c>
      <c r="AF60" s="1234">
        <v>30</v>
      </c>
      <c r="AG60" s="1234">
        <v>31</v>
      </c>
      <c r="AH60" s="498" t="s">
        <v>481</v>
      </c>
      <c r="AI60" s="499" t="s">
        <v>482</v>
      </c>
    </row>
    <row r="61" spans="1:35" ht="21.95" customHeight="1">
      <c r="A61" s="186">
        <v>8520</v>
      </c>
      <c r="B61" s="186" t="s">
        <v>678</v>
      </c>
      <c r="C61" s="1219"/>
      <c r="D61" s="1215" t="s">
        <v>679</v>
      </c>
      <c r="E61" s="1215" t="s">
        <v>679</v>
      </c>
      <c r="F61" s="1215"/>
      <c r="G61" s="1215"/>
      <c r="H61" s="1215" t="s">
        <v>679</v>
      </c>
      <c r="I61" s="1215" t="s">
        <v>679</v>
      </c>
      <c r="J61" s="1215" t="s">
        <v>679</v>
      </c>
      <c r="K61" s="1215" t="s">
        <v>679</v>
      </c>
      <c r="L61" s="1215" t="s">
        <v>679</v>
      </c>
      <c r="M61" s="1215"/>
      <c r="N61" s="1215"/>
      <c r="O61" s="1215" t="s">
        <v>679</v>
      </c>
      <c r="P61" s="1215" t="s">
        <v>679</v>
      </c>
      <c r="Q61" s="1215" t="s">
        <v>679</v>
      </c>
      <c r="R61" s="1215" t="s">
        <v>679</v>
      </c>
      <c r="S61" s="1215" t="s">
        <v>679</v>
      </c>
      <c r="T61" s="1215"/>
      <c r="U61" s="1215"/>
      <c r="V61" s="1215" t="s">
        <v>679</v>
      </c>
      <c r="W61" s="1215" t="s">
        <v>679</v>
      </c>
      <c r="X61" s="1215" t="s">
        <v>679</v>
      </c>
      <c r="Y61" s="1215" t="s">
        <v>679</v>
      </c>
      <c r="Z61" s="1215" t="s">
        <v>679</v>
      </c>
      <c r="AA61" s="1215"/>
      <c r="AB61" s="1215"/>
      <c r="AC61" s="1215" t="s">
        <v>679</v>
      </c>
      <c r="AD61" s="1215" t="s">
        <v>679</v>
      </c>
      <c r="AE61" s="1215" t="s">
        <v>679</v>
      </c>
      <c r="AF61" s="1215" t="s">
        <v>679</v>
      </c>
      <c r="AG61" s="1358" t="s">
        <v>679</v>
      </c>
      <c r="AH61" s="504">
        <v>185</v>
      </c>
      <c r="AI61" s="505">
        <v>37</v>
      </c>
    </row>
    <row r="62" spans="1:35" ht="21.95" customHeight="1">
      <c r="A62" s="186">
        <v>8521</v>
      </c>
      <c r="B62" s="186"/>
      <c r="C62" s="1215"/>
      <c r="D62" s="1215" t="s">
        <v>550</v>
      </c>
      <c r="E62" s="1215" t="s">
        <v>550</v>
      </c>
      <c r="F62" s="1215"/>
      <c r="G62" s="1215"/>
      <c r="H62" s="1215" t="s">
        <v>550</v>
      </c>
      <c r="I62" s="1215" t="s">
        <v>550</v>
      </c>
      <c r="J62" s="1215" t="s">
        <v>550</v>
      </c>
      <c r="K62" s="1215" t="s">
        <v>550</v>
      </c>
      <c r="L62" s="1215" t="s">
        <v>550</v>
      </c>
      <c r="M62" s="1215"/>
      <c r="N62" s="1215"/>
      <c r="O62" s="1215" t="s">
        <v>550</v>
      </c>
      <c r="P62" s="1215" t="s">
        <v>550</v>
      </c>
      <c r="Q62" s="1215" t="s">
        <v>550</v>
      </c>
      <c r="R62" s="1215" t="s">
        <v>550</v>
      </c>
      <c r="S62" s="1215" t="s">
        <v>550</v>
      </c>
      <c r="T62" s="1215"/>
      <c r="U62" s="1215"/>
      <c r="V62" s="1215" t="s">
        <v>550</v>
      </c>
      <c r="W62" s="1215" t="s">
        <v>550</v>
      </c>
      <c r="X62" s="1215" t="s">
        <v>550</v>
      </c>
      <c r="Y62" s="1215" t="s">
        <v>550</v>
      </c>
      <c r="Z62" s="1215" t="s">
        <v>550</v>
      </c>
      <c r="AA62" s="1215"/>
      <c r="AB62" s="1215"/>
      <c r="AC62" s="1215" t="s">
        <v>550</v>
      </c>
      <c r="AD62" s="1215" t="s">
        <v>550</v>
      </c>
      <c r="AE62" s="1215" t="s">
        <v>550</v>
      </c>
      <c r="AF62" s="1215" t="s">
        <v>550</v>
      </c>
      <c r="AG62" s="1215" t="s">
        <v>550</v>
      </c>
      <c r="AH62" s="504">
        <v>185</v>
      </c>
      <c r="AI62" s="505">
        <v>37</v>
      </c>
    </row>
    <row r="63" spans="1:35" ht="21.95" customHeight="1">
      <c r="A63" s="361"/>
      <c r="B63" s="361"/>
      <c r="C63" s="541"/>
      <c r="D63" s="520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520"/>
      <c r="AE63" s="520"/>
      <c r="AF63" s="520"/>
      <c r="AG63" s="520"/>
      <c r="AH63" s="560"/>
      <c r="AI63" s="560"/>
    </row>
    <row r="64" spans="1:35" ht="21.95" customHeight="1">
      <c r="A64" s="361"/>
      <c r="B64" s="361"/>
      <c r="C64" s="541"/>
      <c r="D64" s="520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520"/>
      <c r="AE64" s="520"/>
      <c r="AF64" s="520"/>
      <c r="AG64" s="520"/>
      <c r="AH64" s="560"/>
      <c r="AI64" s="560"/>
    </row>
    <row r="65" spans="1:35" ht="21.95" customHeight="1">
      <c r="A65" s="361"/>
      <c r="B65" s="361"/>
      <c r="C65" s="541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60"/>
      <c r="AI65" s="560"/>
    </row>
    <row r="66" spans="1:35" ht="21.95" customHeight="1" thickBot="1">
      <c r="A66" s="1" t="s">
        <v>468</v>
      </c>
      <c r="D66" s="361"/>
      <c r="E66" s="361"/>
      <c r="F66" s="361"/>
      <c r="G66" s="549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726</v>
      </c>
      <c r="C67" s="7"/>
      <c r="D67" s="525" t="s">
        <v>2</v>
      </c>
      <c r="E67" s="51"/>
      <c r="F67" s="551"/>
      <c r="G67" s="7"/>
      <c r="H67" s="525" t="s">
        <v>3</v>
      </c>
      <c r="I67" s="51"/>
      <c r="J67" s="551"/>
      <c r="K67" s="7"/>
      <c r="L67" s="525" t="s">
        <v>4</v>
      </c>
      <c r="M67" s="51"/>
      <c r="N67" s="551"/>
      <c r="O67" s="7"/>
      <c r="P67" s="525" t="s">
        <v>5</v>
      </c>
      <c r="Q67" s="51"/>
      <c r="R67" s="551"/>
      <c r="S67" s="7"/>
      <c r="T67" s="525" t="s">
        <v>6</v>
      </c>
      <c r="U67" s="51"/>
      <c r="V67" s="551"/>
      <c r="W67" s="27"/>
      <c r="X67" s="898" t="s">
        <v>7</v>
      </c>
      <c r="Y67" s="522"/>
      <c r="Z67" s="238"/>
      <c r="AA67" s="7"/>
      <c r="AB67" s="525" t="s">
        <v>8</v>
      </c>
      <c r="AC67" s="51"/>
      <c r="AD67" s="51"/>
      <c r="AE67" s="349" t="s">
        <v>9</v>
      </c>
      <c r="AF67" s="51"/>
      <c r="AG67" s="51"/>
      <c r="AH67" s="51"/>
      <c r="AI67" s="526"/>
    </row>
    <row r="68" spans="1:35" ht="21.95" customHeight="1">
      <c r="A68" s="1"/>
      <c r="B68" s="129" t="s">
        <v>164</v>
      </c>
      <c r="C68" s="567" t="s">
        <v>740</v>
      </c>
      <c r="E68" s="157"/>
      <c r="F68" s="568"/>
      <c r="G68" s="567" t="s">
        <v>740</v>
      </c>
      <c r="H68" s="157"/>
      <c r="I68" s="157"/>
      <c r="J68" s="568"/>
      <c r="K68" s="567" t="s">
        <v>740</v>
      </c>
      <c r="L68" s="157"/>
      <c r="M68" s="157"/>
      <c r="N68" s="568"/>
      <c r="O68" s="567" t="s">
        <v>740</v>
      </c>
      <c r="P68" s="157"/>
      <c r="Q68" s="157"/>
      <c r="R68" s="568"/>
      <c r="S68" s="567" t="s">
        <v>741</v>
      </c>
      <c r="T68" s="157"/>
      <c r="U68" s="157"/>
      <c r="V68" s="569"/>
      <c r="W68" s="899"/>
      <c r="X68" s="900"/>
      <c r="Y68" s="900"/>
      <c r="Z68" s="901"/>
      <c r="AA68" s="569"/>
      <c r="AB68" s="157"/>
      <c r="AC68" s="157"/>
      <c r="AD68" s="569"/>
      <c r="AE68" s="121">
        <v>37</v>
      </c>
      <c r="AG68" s="157"/>
      <c r="AH68" s="569"/>
      <c r="AI68" s="490"/>
    </row>
    <row r="69" spans="1:35" ht="21.95" customHeight="1">
      <c r="A69" s="1"/>
      <c r="B69" s="129" t="s">
        <v>167</v>
      </c>
      <c r="C69" s="567" t="s">
        <v>474</v>
      </c>
      <c r="D69" s="157"/>
      <c r="E69" s="157"/>
      <c r="F69" s="568"/>
      <c r="G69" s="567" t="s">
        <v>474</v>
      </c>
      <c r="H69" s="157"/>
      <c r="I69" s="157"/>
      <c r="J69" s="568"/>
      <c r="K69" s="567" t="s">
        <v>474</v>
      </c>
      <c r="L69" s="157"/>
      <c r="M69" s="157"/>
      <c r="N69" s="568"/>
      <c r="O69" s="567" t="s">
        <v>475</v>
      </c>
      <c r="P69" s="157"/>
      <c r="Q69" s="157"/>
      <c r="R69" s="568"/>
      <c r="S69" s="567" t="s">
        <v>477</v>
      </c>
      <c r="T69" s="157"/>
      <c r="U69" s="157"/>
      <c r="V69" s="568"/>
      <c r="W69" s="610" t="s">
        <v>775</v>
      </c>
      <c r="X69" s="55"/>
      <c r="Y69" s="55"/>
      <c r="Z69" s="55"/>
      <c r="AA69" s="567" t="s">
        <v>479</v>
      </c>
      <c r="AB69" s="567"/>
      <c r="AC69" s="567"/>
      <c r="AD69" s="567"/>
      <c r="AE69" s="155">
        <v>68.25</v>
      </c>
      <c r="AF69" s="157"/>
      <c r="AG69" s="571"/>
      <c r="AH69" s="572"/>
      <c r="AI69" s="573"/>
    </row>
    <row r="70" spans="1:35" ht="21.95" customHeight="1">
      <c r="A70" s="1"/>
      <c r="B70" s="129" t="s">
        <v>170</v>
      </c>
      <c r="C70" s="897" t="s">
        <v>162</v>
      </c>
      <c r="D70" s="157"/>
      <c r="E70" s="157"/>
      <c r="F70" s="568"/>
      <c r="G70" s="157" t="s">
        <v>162</v>
      </c>
      <c r="H70" s="157"/>
      <c r="I70" s="157"/>
      <c r="J70" s="568"/>
      <c r="K70" s="157" t="s">
        <v>162</v>
      </c>
      <c r="L70" s="157"/>
      <c r="M70" s="157"/>
      <c r="N70" s="568"/>
      <c r="O70" s="157" t="s">
        <v>162</v>
      </c>
      <c r="P70" s="157"/>
      <c r="Q70" s="157"/>
      <c r="R70" s="568"/>
      <c r="S70" s="157" t="s">
        <v>162</v>
      </c>
      <c r="T70" s="157"/>
      <c r="U70" s="157"/>
      <c r="V70" s="568"/>
      <c r="W70" s="567"/>
      <c r="X70" s="157"/>
      <c r="Y70" s="157"/>
      <c r="Z70" s="568"/>
      <c r="AA70" s="567"/>
      <c r="AB70" s="157"/>
      <c r="AC70" s="157"/>
      <c r="AD70" s="569"/>
      <c r="AE70" s="570">
        <v>0</v>
      </c>
      <c r="AF70" s="571"/>
      <c r="AG70" s="157"/>
      <c r="AH70" s="569"/>
      <c r="AI70" s="490"/>
    </row>
    <row r="71" spans="1:35" ht="21.95" customHeight="1" thickBot="1">
      <c r="A71" s="1"/>
      <c r="B71" s="47"/>
      <c r="C71" s="574"/>
      <c r="D71" s="53"/>
      <c r="E71" s="53"/>
      <c r="F71" s="575"/>
      <c r="G71" s="574"/>
      <c r="H71" s="53"/>
      <c r="I71" s="53"/>
      <c r="J71" s="575"/>
      <c r="K71" s="574"/>
      <c r="L71" s="53"/>
      <c r="M71" s="53"/>
      <c r="N71" s="575"/>
      <c r="O71" s="574"/>
      <c r="P71" s="53"/>
      <c r="Q71" s="53"/>
      <c r="R71" s="575"/>
      <c r="S71" s="574"/>
      <c r="T71" s="53"/>
      <c r="U71" s="53"/>
      <c r="V71" s="575"/>
      <c r="W71" s="53"/>
      <c r="X71" s="53"/>
      <c r="Y71" s="53"/>
      <c r="Z71" s="53"/>
      <c r="AA71" s="53"/>
      <c r="AB71" s="53"/>
      <c r="AC71" s="53"/>
      <c r="AD71" s="53"/>
      <c r="AE71" s="576"/>
      <c r="AF71" s="53"/>
      <c r="AG71" s="53"/>
      <c r="AH71" s="577"/>
      <c r="AI71" s="539"/>
    </row>
    <row r="72" spans="1:35" ht="21.95" customHeight="1" thickBot="1">
      <c r="A72" s="578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>
      <c r="A73" s="556"/>
      <c r="B73" s="297" t="s">
        <v>480</v>
      </c>
      <c r="C73" s="1235">
        <v>1</v>
      </c>
      <c r="D73" s="1234">
        <v>2</v>
      </c>
      <c r="E73" s="1234">
        <v>3</v>
      </c>
      <c r="F73" s="1235">
        <v>4</v>
      </c>
      <c r="G73" s="1235">
        <v>5</v>
      </c>
      <c r="H73" s="1234">
        <v>6</v>
      </c>
      <c r="I73" s="1213">
        <v>7</v>
      </c>
      <c r="J73" s="1213">
        <v>8</v>
      </c>
      <c r="K73" s="1234">
        <v>9</v>
      </c>
      <c r="L73" s="1234">
        <v>10</v>
      </c>
      <c r="M73" s="1235">
        <v>11</v>
      </c>
      <c r="N73" s="1235">
        <v>12</v>
      </c>
      <c r="O73" s="1234">
        <v>13</v>
      </c>
      <c r="P73" s="1213">
        <v>14</v>
      </c>
      <c r="Q73" s="1213">
        <v>15</v>
      </c>
      <c r="R73" s="1234">
        <v>16</v>
      </c>
      <c r="S73" s="1234">
        <v>17</v>
      </c>
      <c r="T73" s="1235">
        <v>18</v>
      </c>
      <c r="U73" s="1235">
        <v>19</v>
      </c>
      <c r="V73" s="1213">
        <v>20</v>
      </c>
      <c r="W73" s="1213">
        <v>21</v>
      </c>
      <c r="X73" s="1213">
        <v>22</v>
      </c>
      <c r="Y73" s="1234">
        <v>23</v>
      </c>
      <c r="Z73" s="1234">
        <v>24</v>
      </c>
      <c r="AA73" s="1235">
        <v>25</v>
      </c>
      <c r="AB73" s="1235">
        <v>26</v>
      </c>
      <c r="AC73" s="1234">
        <v>27</v>
      </c>
      <c r="AD73" s="1213">
        <v>28</v>
      </c>
      <c r="AE73" s="1213">
        <v>29</v>
      </c>
      <c r="AF73" s="1234">
        <v>30</v>
      </c>
      <c r="AG73" s="1234">
        <v>31</v>
      </c>
      <c r="AH73" s="498" t="s">
        <v>481</v>
      </c>
      <c r="AI73" s="499" t="s">
        <v>482</v>
      </c>
    </row>
    <row r="74" spans="1:35" ht="21.95" customHeight="1" thickBot="1">
      <c r="A74" s="579">
        <v>1</v>
      </c>
      <c r="B74" s="153" t="s">
        <v>483</v>
      </c>
      <c r="C74" s="557" t="s">
        <v>682</v>
      </c>
      <c r="D74" s="1365" t="s">
        <v>682</v>
      </c>
      <c r="E74" s="557" t="s">
        <v>682</v>
      </c>
      <c r="F74" s="557"/>
      <c r="G74" s="557"/>
      <c r="H74" s="557" t="s">
        <v>484</v>
      </c>
      <c r="I74" s="557" t="s">
        <v>484</v>
      </c>
      <c r="J74" s="557" t="s">
        <v>484</v>
      </c>
      <c r="K74" s="557" t="s">
        <v>485</v>
      </c>
      <c r="L74" s="1511" t="s">
        <v>485</v>
      </c>
      <c r="M74" s="557" t="s">
        <v>486</v>
      </c>
      <c r="N74" s="557" t="s">
        <v>486</v>
      </c>
      <c r="O74" s="557" t="s">
        <v>487</v>
      </c>
      <c r="P74" s="557" t="s">
        <v>487</v>
      </c>
      <c r="Q74" s="557" t="s">
        <v>487</v>
      </c>
      <c r="R74" s="557" t="s">
        <v>538</v>
      </c>
      <c r="S74" s="557" t="s">
        <v>538</v>
      </c>
      <c r="T74" s="557"/>
      <c r="U74" s="557"/>
      <c r="V74" s="557" t="s">
        <v>682</v>
      </c>
      <c r="W74" s="557" t="s">
        <v>682</v>
      </c>
      <c r="X74" s="557" t="s">
        <v>682</v>
      </c>
      <c r="Y74" s="1511" t="s">
        <v>682</v>
      </c>
      <c r="Z74" s="557" t="s">
        <v>682</v>
      </c>
      <c r="AA74" s="557"/>
      <c r="AB74" s="557"/>
      <c r="AC74" s="557" t="s">
        <v>484</v>
      </c>
      <c r="AD74" s="557" t="s">
        <v>484</v>
      </c>
      <c r="AE74" s="557" t="s">
        <v>484</v>
      </c>
      <c r="AF74" s="1511" t="s">
        <v>485</v>
      </c>
      <c r="AG74" s="557" t="s">
        <v>485</v>
      </c>
      <c r="AH74" s="504">
        <v>50</v>
      </c>
      <c r="AI74" s="505">
        <v>37</v>
      </c>
    </row>
    <row r="75" spans="1:35" ht="21.95" customHeight="1">
      <c r="A75" s="579">
        <v>2</v>
      </c>
      <c r="B75" s="45" t="s">
        <v>489</v>
      </c>
      <c r="C75" s="1347" t="s">
        <v>486</v>
      </c>
      <c r="D75" s="1347" t="s">
        <v>484</v>
      </c>
      <c r="E75" s="1347" t="s">
        <v>484</v>
      </c>
      <c r="F75" s="1347" t="s">
        <v>486</v>
      </c>
      <c r="G75" s="1347" t="s">
        <v>486</v>
      </c>
      <c r="H75" s="1208" t="s">
        <v>487</v>
      </c>
      <c r="I75" s="1208" t="s">
        <v>487</v>
      </c>
      <c r="J75" s="1208" t="s">
        <v>487</v>
      </c>
      <c r="K75" s="1551" t="s">
        <v>708</v>
      </c>
      <c r="L75" s="1551" t="s">
        <v>685</v>
      </c>
      <c r="M75" s="1584"/>
      <c r="N75" s="1584"/>
      <c r="O75" s="557" t="s">
        <v>682</v>
      </c>
      <c r="P75" s="557" t="s">
        <v>682</v>
      </c>
      <c r="Q75" s="557" t="s">
        <v>682</v>
      </c>
      <c r="R75" s="557" t="s">
        <v>682</v>
      </c>
      <c r="S75" s="557" t="s">
        <v>682</v>
      </c>
      <c r="T75" s="557"/>
      <c r="U75" s="557"/>
      <c r="V75" s="557" t="s">
        <v>484</v>
      </c>
      <c r="W75" s="557" t="s">
        <v>484</v>
      </c>
      <c r="X75" s="557" t="s">
        <v>484</v>
      </c>
      <c r="Y75" s="1511" t="s">
        <v>485</v>
      </c>
      <c r="Z75" s="557" t="s">
        <v>485</v>
      </c>
      <c r="AA75" s="1368" t="s">
        <v>486</v>
      </c>
      <c r="AB75" s="1368" t="s">
        <v>486</v>
      </c>
      <c r="AC75" s="1511" t="s">
        <v>487</v>
      </c>
      <c r="AD75" s="1208" t="s">
        <v>487</v>
      </c>
      <c r="AE75" s="1208" t="s">
        <v>487</v>
      </c>
      <c r="AF75" s="1208" t="s">
        <v>487</v>
      </c>
      <c r="AG75" s="1208" t="s">
        <v>487</v>
      </c>
      <c r="AH75" s="504">
        <v>185</v>
      </c>
      <c r="AI75" s="505">
        <v>37</v>
      </c>
    </row>
    <row r="76" spans="1:35" ht="21.95" customHeight="1">
      <c r="A76" s="579">
        <v>3</v>
      </c>
      <c r="B76" s="545" t="s">
        <v>721</v>
      </c>
      <c r="C76" s="557" t="s">
        <v>487</v>
      </c>
      <c r="D76" s="557" t="s">
        <v>487</v>
      </c>
      <c r="E76" s="557" t="s">
        <v>487</v>
      </c>
      <c r="F76" s="557"/>
      <c r="G76" s="557"/>
      <c r="H76" s="557" t="s">
        <v>682</v>
      </c>
      <c r="I76" s="557" t="s">
        <v>682</v>
      </c>
      <c r="J76" s="1591" t="s">
        <v>682</v>
      </c>
      <c r="K76" s="1611" t="s">
        <v>682</v>
      </c>
      <c r="L76" s="1511" t="s">
        <v>682</v>
      </c>
      <c r="M76" s="557"/>
      <c r="N76" s="557"/>
      <c r="O76" s="1347" t="s">
        <v>484</v>
      </c>
      <c r="P76" s="1347" t="s">
        <v>484</v>
      </c>
      <c r="Q76" s="557" t="s">
        <v>484</v>
      </c>
      <c r="R76" s="557" t="s">
        <v>485</v>
      </c>
      <c r="S76" s="557" t="s">
        <v>485</v>
      </c>
      <c r="T76" s="557" t="s">
        <v>486</v>
      </c>
      <c r="U76" s="557" t="s">
        <v>486</v>
      </c>
      <c r="V76" s="557" t="s">
        <v>487</v>
      </c>
      <c r="W76" s="557" t="s">
        <v>487</v>
      </c>
      <c r="X76" s="557" t="s">
        <v>487</v>
      </c>
      <c r="Y76" s="557" t="s">
        <v>487</v>
      </c>
      <c r="Z76" s="557" t="s">
        <v>487</v>
      </c>
      <c r="AA76" s="557"/>
      <c r="AB76" s="557"/>
      <c r="AC76" s="557" t="s">
        <v>682</v>
      </c>
      <c r="AD76" s="557" t="s">
        <v>682</v>
      </c>
      <c r="AE76" s="557" t="s">
        <v>682</v>
      </c>
      <c r="AF76" s="557" t="s">
        <v>682</v>
      </c>
      <c r="AG76" s="557" t="s">
        <v>682</v>
      </c>
      <c r="AH76" s="504">
        <v>185</v>
      </c>
      <c r="AI76" s="505">
        <v>37</v>
      </c>
    </row>
    <row r="77" spans="1:35" ht="21" customHeight="1"/>
    <row r="78" spans="1:35" ht="21.95" customHeight="1" thickBot="1">
      <c r="A78" s="312" t="s">
        <v>491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  <c r="O78" s="559"/>
      <c r="P78" s="559"/>
      <c r="Q78" s="559"/>
      <c r="R78" s="559"/>
      <c r="S78" s="559"/>
      <c r="T78" s="559"/>
      <c r="U78" s="559"/>
      <c r="V78" s="559"/>
      <c r="W78" s="559"/>
      <c r="X78" s="559"/>
      <c r="Y78" s="559"/>
      <c r="Z78" s="559"/>
      <c r="AA78" s="559"/>
      <c r="AB78" s="559"/>
      <c r="AC78" s="559"/>
      <c r="AD78" s="559"/>
      <c r="AE78" s="559"/>
      <c r="AF78" s="559"/>
      <c r="AH78" s="560"/>
      <c r="AI78" s="560"/>
    </row>
    <row r="79" spans="1:35" ht="21.95" customHeight="1">
      <c r="A79" s="580"/>
      <c r="B79" s="23" t="s">
        <v>726</v>
      </c>
      <c r="C79" s="7"/>
      <c r="D79" s="525" t="s">
        <v>2</v>
      </c>
      <c r="E79" s="51"/>
      <c r="F79" s="551"/>
      <c r="G79" s="7"/>
      <c r="H79" s="525" t="s">
        <v>3</v>
      </c>
      <c r="I79" s="51"/>
      <c r="J79" s="551"/>
      <c r="K79" s="7"/>
      <c r="L79" s="525" t="s">
        <v>4</v>
      </c>
      <c r="M79" s="51"/>
      <c r="N79" s="551"/>
      <c r="O79" s="7"/>
      <c r="P79" s="525" t="s">
        <v>5</v>
      </c>
      <c r="Q79" s="51"/>
      <c r="R79" s="551"/>
      <c r="S79" s="7"/>
      <c r="T79" s="525" t="s">
        <v>6</v>
      </c>
      <c r="U79" s="51"/>
      <c r="V79" s="551"/>
      <c r="W79" s="27"/>
      <c r="X79" s="898" t="s">
        <v>7</v>
      </c>
      <c r="Y79" s="522"/>
      <c r="Z79" s="238"/>
      <c r="AA79" s="7"/>
      <c r="AB79" s="525" t="s">
        <v>8</v>
      </c>
      <c r="AC79" s="51"/>
      <c r="AD79" s="51"/>
      <c r="AE79" s="349" t="s">
        <v>9</v>
      </c>
      <c r="AF79" s="51"/>
      <c r="AG79" s="51"/>
      <c r="AH79" s="51"/>
      <c r="AI79" s="526"/>
    </row>
    <row r="80" spans="1:35" ht="21.95" customHeight="1">
      <c r="B80" s="129" t="s">
        <v>164</v>
      </c>
      <c r="C80" s="593" t="s">
        <v>492</v>
      </c>
      <c r="E80" s="157"/>
      <c r="F80" s="568"/>
      <c r="G80" s="567" t="s">
        <v>488</v>
      </c>
      <c r="H80" s="483" t="s">
        <v>493</v>
      </c>
      <c r="I80" s="157"/>
      <c r="J80" s="568"/>
      <c r="K80" s="593" t="s">
        <v>492</v>
      </c>
      <c r="L80" s="483"/>
      <c r="M80" s="483"/>
      <c r="N80" s="592"/>
      <c r="O80" s="593" t="s">
        <v>494</v>
      </c>
      <c r="P80" s="483"/>
      <c r="Q80" s="483"/>
      <c r="R80" s="592"/>
      <c r="S80" s="593" t="s">
        <v>495</v>
      </c>
      <c r="T80" s="483"/>
      <c r="U80" s="483"/>
      <c r="V80" s="477"/>
      <c r="W80" s="899"/>
      <c r="X80" s="900"/>
      <c r="Y80" s="900"/>
      <c r="Z80" s="901"/>
      <c r="AA80" s="569"/>
      <c r="AB80" s="157"/>
      <c r="AC80" s="157"/>
      <c r="AD80" s="569"/>
      <c r="AE80" s="121">
        <v>37</v>
      </c>
      <c r="AG80" s="157"/>
      <c r="AH80" s="569"/>
      <c r="AI80" s="490"/>
    </row>
    <row r="81" spans="1:35" ht="21.95" customHeight="1">
      <c r="B81" s="129" t="s">
        <v>167</v>
      </c>
      <c r="C81" s="593" t="s">
        <v>496</v>
      </c>
      <c r="E81" s="157"/>
      <c r="F81" s="568"/>
      <c r="G81" s="593" t="s">
        <v>496</v>
      </c>
      <c r="I81" s="157"/>
      <c r="J81" s="568"/>
      <c r="K81" s="593" t="s">
        <v>496</v>
      </c>
      <c r="L81" s="157"/>
      <c r="M81" s="157"/>
      <c r="N81" s="568"/>
      <c r="O81" s="593" t="s">
        <v>497</v>
      </c>
      <c r="P81" s="157"/>
      <c r="Q81" s="157"/>
      <c r="R81" s="568"/>
      <c r="S81" s="567" t="s">
        <v>498</v>
      </c>
      <c r="T81" s="157"/>
      <c r="U81" s="157"/>
      <c r="V81" s="568"/>
      <c r="W81" s="610" t="s">
        <v>414</v>
      </c>
      <c r="X81" s="55"/>
      <c r="Y81" s="55"/>
      <c r="Z81" s="55"/>
      <c r="AA81" s="567" t="s">
        <v>28</v>
      </c>
      <c r="AB81" s="567"/>
      <c r="AC81" s="567"/>
      <c r="AD81" s="567"/>
      <c r="AE81" s="155">
        <v>37</v>
      </c>
      <c r="AF81" s="157"/>
      <c r="AG81" s="571"/>
      <c r="AH81" s="572"/>
      <c r="AI81" s="573"/>
    </row>
    <row r="82" spans="1:35" ht="21.95" customHeight="1">
      <c r="B82" s="129" t="s">
        <v>170</v>
      </c>
      <c r="C82" s="1336" t="s">
        <v>499</v>
      </c>
      <c r="D82" s="157"/>
      <c r="E82" s="157"/>
      <c r="F82" s="568"/>
      <c r="G82" s="157" t="s">
        <v>500</v>
      </c>
      <c r="H82" s="157"/>
      <c r="I82" s="157"/>
      <c r="J82" s="568"/>
      <c r="K82" s="1337" t="s">
        <v>501</v>
      </c>
      <c r="L82" s="157"/>
      <c r="M82" s="157"/>
      <c r="N82" s="568"/>
      <c r="O82" s="581" t="s">
        <v>502</v>
      </c>
      <c r="P82" s="157"/>
      <c r="Q82" s="157"/>
      <c r="R82" s="568"/>
      <c r="S82" s="581" t="s">
        <v>504</v>
      </c>
      <c r="T82" s="157"/>
      <c r="U82" s="157"/>
      <c r="V82" s="568"/>
      <c r="W82" s="567"/>
      <c r="X82" s="157"/>
      <c r="Y82" s="157"/>
      <c r="Z82" s="568"/>
      <c r="AA82" s="567"/>
      <c r="AB82" s="157"/>
      <c r="AC82" s="157"/>
      <c r="AD82" s="569"/>
      <c r="AE82" s="570">
        <v>36</v>
      </c>
      <c r="AF82" s="571"/>
      <c r="AG82" s="157"/>
      <c r="AH82" s="569"/>
      <c r="AI82" s="490"/>
    </row>
    <row r="83" spans="1:35" ht="21.95" customHeight="1" thickBot="1">
      <c r="B83" s="47"/>
      <c r="C83" s="574"/>
      <c r="D83" s="53"/>
      <c r="E83" s="53"/>
      <c r="F83" s="575"/>
      <c r="G83" s="574"/>
      <c r="H83" s="53"/>
      <c r="I83" s="53"/>
      <c r="J83" s="575"/>
      <c r="K83" s="574"/>
      <c r="L83" s="53"/>
      <c r="M83" s="53"/>
      <c r="N83" s="575"/>
      <c r="O83" s="574"/>
      <c r="P83" s="53"/>
      <c r="Q83" s="53"/>
      <c r="R83" s="575"/>
      <c r="S83" s="574"/>
      <c r="T83" s="53"/>
      <c r="U83" s="53"/>
      <c r="V83" s="575"/>
      <c r="W83" s="53"/>
      <c r="X83" s="53"/>
      <c r="Y83" s="53"/>
      <c r="Z83" s="53"/>
      <c r="AA83" s="53"/>
      <c r="AB83" s="53"/>
      <c r="AC83" s="53"/>
      <c r="AD83" s="53"/>
      <c r="AE83" s="576"/>
      <c r="AF83" s="53"/>
      <c r="AG83" s="53"/>
      <c r="AH83" s="577"/>
      <c r="AI83" s="539"/>
    </row>
    <row r="84" spans="1:35" ht="21.95" customHeight="1" thickBot="1"/>
    <row r="85" spans="1:35" ht="21.95" customHeight="1">
      <c r="A85" s="556"/>
      <c r="B85" s="297" t="s">
        <v>480</v>
      </c>
      <c r="C85" s="1235">
        <v>1</v>
      </c>
      <c r="D85" s="1234">
        <v>2</v>
      </c>
      <c r="E85" s="1234">
        <v>3</v>
      </c>
      <c r="F85" s="1235">
        <v>4</v>
      </c>
      <c r="G85" s="1235">
        <v>5</v>
      </c>
      <c r="H85" s="1234">
        <v>6</v>
      </c>
      <c r="I85" s="1213">
        <v>7</v>
      </c>
      <c r="J85" s="1213">
        <v>8</v>
      </c>
      <c r="K85" s="1234">
        <v>9</v>
      </c>
      <c r="L85" s="1234">
        <v>10</v>
      </c>
      <c r="M85" s="1235">
        <v>11</v>
      </c>
      <c r="N85" s="1235">
        <v>12</v>
      </c>
      <c r="O85" s="1234">
        <v>13</v>
      </c>
      <c r="P85" s="1213">
        <v>14</v>
      </c>
      <c r="Q85" s="1213">
        <v>15</v>
      </c>
      <c r="R85" s="1234">
        <v>16</v>
      </c>
      <c r="S85" s="1234">
        <v>17</v>
      </c>
      <c r="T85" s="1235">
        <v>18</v>
      </c>
      <c r="U85" s="1235">
        <v>19</v>
      </c>
      <c r="V85" s="1213">
        <v>20</v>
      </c>
      <c r="W85" s="1213">
        <v>21</v>
      </c>
      <c r="X85" s="1213">
        <v>22</v>
      </c>
      <c r="Y85" s="1234">
        <v>23</v>
      </c>
      <c r="Z85" s="1234">
        <v>24</v>
      </c>
      <c r="AA85" s="1235">
        <v>25</v>
      </c>
      <c r="AB85" s="1235">
        <v>26</v>
      </c>
      <c r="AC85" s="1234">
        <v>27</v>
      </c>
      <c r="AD85" s="1213">
        <v>28</v>
      </c>
      <c r="AE85" s="1213">
        <v>29</v>
      </c>
      <c r="AF85" s="1234">
        <v>30</v>
      </c>
      <c r="AG85" s="1234">
        <v>31</v>
      </c>
      <c r="AH85" s="498" t="s">
        <v>481</v>
      </c>
      <c r="AI85" s="499" t="s">
        <v>482</v>
      </c>
    </row>
    <row r="86" spans="1:35" ht="21.95" customHeight="1">
      <c r="A86" s="579">
        <v>1</v>
      </c>
      <c r="B86" s="153" t="s">
        <v>508</v>
      </c>
      <c r="C86" s="557" t="s">
        <v>488</v>
      </c>
      <c r="D86" s="1634" t="s">
        <v>488</v>
      </c>
      <c r="E86" s="1344" t="s">
        <v>488</v>
      </c>
      <c r="F86" s="557"/>
      <c r="G86" s="557"/>
      <c r="H86" s="557" t="s">
        <v>506</v>
      </c>
      <c r="I86" s="557" t="s">
        <v>506</v>
      </c>
      <c r="J86" s="557" t="s">
        <v>506</v>
      </c>
      <c r="K86" s="557" t="s">
        <v>506</v>
      </c>
      <c r="L86" s="1511" t="s">
        <v>506</v>
      </c>
      <c r="M86" s="557"/>
      <c r="N86" s="557"/>
      <c r="O86" s="557" t="s">
        <v>485</v>
      </c>
      <c r="P86" s="557" t="s">
        <v>485</v>
      </c>
      <c r="Q86" s="557" t="s">
        <v>485</v>
      </c>
      <c r="R86" s="557" t="s">
        <v>484</v>
      </c>
      <c r="S86" s="557" t="s">
        <v>484</v>
      </c>
      <c r="T86" s="557"/>
      <c r="U86" s="557"/>
      <c r="V86" s="557" t="s">
        <v>488</v>
      </c>
      <c r="W86" s="557" t="s">
        <v>488</v>
      </c>
      <c r="X86" s="557" t="s">
        <v>488</v>
      </c>
      <c r="Y86" s="1511" t="s">
        <v>488</v>
      </c>
      <c r="Z86" s="557" t="s">
        <v>488</v>
      </c>
      <c r="AA86" s="557"/>
      <c r="AB86" s="557"/>
      <c r="AC86" s="557" t="s">
        <v>506</v>
      </c>
      <c r="AD86" s="557" t="s">
        <v>506</v>
      </c>
      <c r="AE86" s="557" t="s">
        <v>506</v>
      </c>
      <c r="AF86" s="557" t="s">
        <v>484</v>
      </c>
      <c r="AG86" s="557" t="s">
        <v>506</v>
      </c>
      <c r="AH86" s="504" t="s">
        <v>28</v>
      </c>
      <c r="AI86" s="505" t="s">
        <v>28</v>
      </c>
    </row>
    <row r="87" spans="1:35" ht="21.95" customHeight="1">
      <c r="A87" s="579">
        <v>2</v>
      </c>
      <c r="B87" s="1603" t="s">
        <v>507</v>
      </c>
      <c r="C87" s="1563" t="s">
        <v>506</v>
      </c>
      <c r="D87" s="1458" t="s">
        <v>506</v>
      </c>
      <c r="E87" s="1572" t="s">
        <v>506</v>
      </c>
      <c r="F87" s="1563"/>
      <c r="G87" s="1563"/>
      <c r="H87" s="1439" t="s">
        <v>485</v>
      </c>
      <c r="I87" s="1439" t="s">
        <v>485</v>
      </c>
      <c r="J87" s="1439" t="s">
        <v>485</v>
      </c>
      <c r="K87" s="1439" t="s">
        <v>484</v>
      </c>
      <c r="L87" s="1439" t="s">
        <v>770</v>
      </c>
      <c r="M87" s="557"/>
      <c r="N87" s="557"/>
      <c r="O87" s="557" t="s">
        <v>488</v>
      </c>
      <c r="P87" s="557" t="s">
        <v>488</v>
      </c>
      <c r="Q87" s="557" t="s">
        <v>488</v>
      </c>
      <c r="R87" s="557" t="s">
        <v>488</v>
      </c>
      <c r="S87" s="557" t="s">
        <v>488</v>
      </c>
      <c r="T87" s="557"/>
      <c r="U87" s="557"/>
      <c r="V87" s="557" t="s">
        <v>506</v>
      </c>
      <c r="W87" s="557" t="s">
        <v>506</v>
      </c>
      <c r="X87" s="557" t="s">
        <v>506</v>
      </c>
      <c r="Y87" s="557" t="s">
        <v>506</v>
      </c>
      <c r="Z87" s="557" t="s">
        <v>506</v>
      </c>
      <c r="AA87" s="557"/>
      <c r="AB87" s="557"/>
      <c r="AC87" s="557" t="s">
        <v>485</v>
      </c>
      <c r="AD87" s="557" t="s">
        <v>485</v>
      </c>
      <c r="AE87" s="557" t="s">
        <v>485</v>
      </c>
      <c r="AF87" s="557" t="s">
        <v>484</v>
      </c>
      <c r="AG87" s="557" t="s">
        <v>484</v>
      </c>
      <c r="AH87" s="504" t="s">
        <v>28</v>
      </c>
      <c r="AI87" s="505" t="s">
        <v>28</v>
      </c>
    </row>
    <row r="88" spans="1:35" ht="21.95" customHeight="1">
      <c r="A88" s="1602">
        <v>3</v>
      </c>
      <c r="B88" s="1604" t="s">
        <v>505</v>
      </c>
      <c r="C88" s="1605" t="s">
        <v>485</v>
      </c>
      <c r="D88" s="1635" t="s">
        <v>484</v>
      </c>
      <c r="E88" s="1605" t="s">
        <v>484</v>
      </c>
      <c r="F88" s="1605"/>
      <c r="G88" s="1605"/>
      <c r="H88" s="557" t="s">
        <v>488</v>
      </c>
      <c r="I88" s="557" t="s">
        <v>488</v>
      </c>
      <c r="J88" s="1500" t="s">
        <v>488</v>
      </c>
      <c r="K88" s="557" t="s">
        <v>488</v>
      </c>
      <c r="L88" s="1511" t="s">
        <v>488</v>
      </c>
      <c r="M88" s="557"/>
      <c r="N88" s="557"/>
      <c r="O88" s="1208" t="s">
        <v>484</v>
      </c>
      <c r="P88" s="1208" t="s">
        <v>484</v>
      </c>
      <c r="Q88" s="1584" t="s">
        <v>506</v>
      </c>
      <c r="R88" s="1584" t="s">
        <v>506</v>
      </c>
      <c r="S88" s="1584" t="s">
        <v>506</v>
      </c>
      <c r="T88" s="557"/>
      <c r="U88" s="557"/>
      <c r="V88" s="557" t="s">
        <v>485</v>
      </c>
      <c r="W88" s="557" t="s">
        <v>485</v>
      </c>
      <c r="X88" s="557" t="s">
        <v>485</v>
      </c>
      <c r="Y88" s="557" t="s">
        <v>484</v>
      </c>
      <c r="Z88" s="557" t="s">
        <v>484</v>
      </c>
      <c r="AA88" s="557"/>
      <c r="AB88" s="557"/>
      <c r="AC88" s="1368" t="s">
        <v>488</v>
      </c>
      <c r="AD88" s="1368" t="s">
        <v>488</v>
      </c>
      <c r="AE88" s="1396" t="s">
        <v>488</v>
      </c>
      <c r="AF88" s="1396" t="s">
        <v>488</v>
      </c>
      <c r="AG88" s="1344">
        <v>1</v>
      </c>
      <c r="AH88" s="504" t="s">
        <v>28</v>
      </c>
      <c r="AI88" s="505" t="s">
        <v>28</v>
      </c>
    </row>
    <row r="89" spans="1:35" ht="21.95" customHeight="1">
      <c r="A89" s="580"/>
      <c r="B89" s="587"/>
      <c r="C89" s="587"/>
      <c r="D89" s="587"/>
      <c r="E89" s="587"/>
      <c r="F89" s="587"/>
      <c r="G89" s="587"/>
      <c r="H89" s="587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H89" s="560"/>
      <c r="AI89" s="560"/>
    </row>
    <row r="90" spans="1:35" ht="21.95" customHeight="1">
      <c r="A90" s="580"/>
      <c r="B90" s="587"/>
      <c r="C90" s="559"/>
      <c r="D90" s="559"/>
      <c r="E90" s="559"/>
      <c r="F90" s="559"/>
      <c r="G90" s="559"/>
      <c r="H90" s="559"/>
      <c r="I90" s="559"/>
      <c r="J90" s="559"/>
      <c r="K90" s="559"/>
      <c r="L90" s="559"/>
      <c r="M90" s="559"/>
      <c r="N90" s="559"/>
      <c r="O90" s="559"/>
      <c r="P90" s="559"/>
      <c r="Q90" s="559"/>
      <c r="R90" s="559"/>
      <c r="S90" s="559"/>
      <c r="T90" s="559"/>
      <c r="U90" s="559"/>
      <c r="V90" s="559"/>
      <c r="W90" s="559"/>
      <c r="X90" s="559"/>
      <c r="Y90" s="559"/>
      <c r="Z90" s="559"/>
      <c r="AA90" s="559"/>
      <c r="AB90" s="559"/>
      <c r="AC90" s="559"/>
      <c r="AD90" s="559"/>
      <c r="AE90" s="559"/>
      <c r="AF90" s="559"/>
      <c r="AG90" s="559"/>
      <c r="AH90" s="560"/>
      <c r="AI90" s="560"/>
    </row>
    <row r="91" spans="1:35" ht="21.95" customHeight="1" thickBot="1">
      <c r="A91" s="1" t="s">
        <v>804</v>
      </c>
      <c r="D91" s="361"/>
      <c r="E91" s="361"/>
      <c r="F91" s="361"/>
      <c r="G91" s="549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687</v>
      </c>
      <c r="C92" s="7"/>
      <c r="D92" s="525" t="s">
        <v>2</v>
      </c>
      <c r="E92" s="51"/>
      <c r="F92" s="551"/>
      <c r="G92" s="7"/>
      <c r="H92" s="525" t="s">
        <v>3</v>
      </c>
      <c r="I92" s="51"/>
      <c r="J92" s="551"/>
      <c r="K92" s="7"/>
      <c r="L92" s="525" t="s">
        <v>4</v>
      </c>
      <c r="M92" s="51"/>
      <c r="N92" s="551"/>
      <c r="O92" s="7"/>
      <c r="P92" s="525" t="s">
        <v>5</v>
      </c>
      <c r="Q92" s="51"/>
      <c r="R92" s="551"/>
      <c r="S92" s="7"/>
      <c r="T92" s="525" t="s">
        <v>6</v>
      </c>
      <c r="U92" s="51"/>
      <c r="V92" s="551"/>
      <c r="W92" s="7"/>
      <c r="X92" s="525" t="s">
        <v>7</v>
      </c>
      <c r="Y92" s="51"/>
      <c r="Z92" s="551"/>
      <c r="AA92" s="7"/>
      <c r="AB92" s="525" t="s">
        <v>8</v>
      </c>
      <c r="AC92" s="51"/>
      <c r="AD92" s="51"/>
      <c r="AE92" s="425" t="s">
        <v>10</v>
      </c>
      <c r="AF92" s="51"/>
      <c r="AG92" s="51"/>
      <c r="AH92" s="51"/>
      <c r="AI92" s="526"/>
    </row>
    <row r="93" spans="1:35" ht="21.95" customHeight="1">
      <c r="A93" s="1"/>
      <c r="B93" s="129" t="s">
        <v>164</v>
      </c>
      <c r="C93" s="121" t="s">
        <v>691</v>
      </c>
      <c r="D93" s="157"/>
      <c r="E93" s="157"/>
      <c r="F93" s="568"/>
      <c r="G93" s="121" t="s">
        <v>691</v>
      </c>
      <c r="H93" s="157"/>
      <c r="I93" s="157"/>
      <c r="J93" s="568"/>
      <c r="K93" s="121" t="s">
        <v>691</v>
      </c>
      <c r="L93" s="157"/>
      <c r="M93" s="157"/>
      <c r="N93" s="568"/>
      <c r="O93" s="121" t="s">
        <v>805</v>
      </c>
      <c r="P93" s="157"/>
      <c r="Q93" s="157"/>
      <c r="R93" s="568"/>
      <c r="S93" s="121" t="s">
        <v>162</v>
      </c>
      <c r="T93" s="157"/>
      <c r="U93" s="157"/>
      <c r="V93" s="568"/>
      <c r="W93" s="1243"/>
      <c r="X93" s="581"/>
      <c r="Y93" s="581"/>
      <c r="Z93" s="582"/>
      <c r="AA93" s="567"/>
      <c r="AB93" s="157"/>
      <c r="AC93" s="157"/>
      <c r="AD93" s="569"/>
      <c r="AE93" s="128">
        <v>27</v>
      </c>
      <c r="AF93" s="157"/>
      <c r="AG93" s="157" t="s">
        <v>28</v>
      </c>
      <c r="AH93" s="569"/>
      <c r="AI93" s="490"/>
    </row>
    <row r="94" spans="1:35" ht="21.95" customHeight="1">
      <c r="A94" s="1"/>
      <c r="B94" s="129" t="s">
        <v>167</v>
      </c>
      <c r="C94" s="121" t="s">
        <v>688</v>
      </c>
      <c r="D94" s="157"/>
      <c r="E94" s="157"/>
      <c r="F94" s="568"/>
      <c r="G94" s="121" t="s">
        <v>688</v>
      </c>
      <c r="H94" s="157"/>
      <c r="I94" s="157"/>
      <c r="J94" s="568"/>
      <c r="K94" s="121" t="s">
        <v>688</v>
      </c>
      <c r="L94" s="157"/>
      <c r="M94" s="157"/>
      <c r="N94" s="568"/>
      <c r="O94" s="121" t="s">
        <v>688</v>
      </c>
      <c r="P94" s="157"/>
      <c r="Q94" s="157"/>
      <c r="R94" s="568"/>
      <c r="S94" s="121" t="s">
        <v>691</v>
      </c>
      <c r="T94" s="157"/>
      <c r="U94" s="157"/>
      <c r="V94" s="568"/>
      <c r="W94" s="121"/>
      <c r="X94" s="157"/>
      <c r="Y94" s="157"/>
      <c r="Z94" s="568"/>
      <c r="AA94" s="157"/>
      <c r="AB94" s="157"/>
      <c r="AC94" s="157"/>
      <c r="AD94" s="569"/>
      <c r="AE94" s="128">
        <v>39</v>
      </c>
      <c r="AF94" s="157"/>
      <c r="AG94" s="157"/>
      <c r="AH94" s="569"/>
      <c r="AI94" s="490"/>
    </row>
    <row r="95" spans="1:35" ht="21.95" customHeight="1">
      <c r="A95" s="1"/>
      <c r="B95" s="129" t="s">
        <v>170</v>
      </c>
      <c r="C95" s="121" t="s">
        <v>688</v>
      </c>
      <c r="D95" s="157"/>
      <c r="E95" s="157"/>
      <c r="F95" s="568"/>
      <c r="G95" s="121" t="s">
        <v>688</v>
      </c>
      <c r="H95" s="157"/>
      <c r="I95" s="157"/>
      <c r="J95" s="568"/>
      <c r="K95" s="121" t="s">
        <v>688</v>
      </c>
      <c r="L95" s="157"/>
      <c r="M95" s="157"/>
      <c r="N95" s="568"/>
      <c r="O95" s="121" t="s">
        <v>688</v>
      </c>
      <c r="P95" s="157"/>
      <c r="Q95" s="157"/>
      <c r="R95" s="568"/>
      <c r="S95" s="121" t="s">
        <v>688</v>
      </c>
      <c r="T95" s="157"/>
      <c r="U95" s="157"/>
      <c r="V95" s="568"/>
      <c r="W95" s="588" t="s">
        <v>689</v>
      </c>
      <c r="X95" s="135"/>
      <c r="Y95" s="135"/>
      <c r="Z95" s="584"/>
      <c r="AA95" s="583"/>
      <c r="AB95" s="135"/>
      <c r="AC95" s="135"/>
      <c r="AD95" s="585"/>
      <c r="AE95" s="128">
        <v>45</v>
      </c>
      <c r="AF95" s="157"/>
      <c r="AG95" s="157"/>
      <c r="AH95" s="569"/>
      <c r="AI95" s="490"/>
    </row>
    <row r="96" spans="1:35" ht="21.95" customHeight="1" thickBot="1">
      <c r="A96" s="1"/>
      <c r="B96" s="16" t="s">
        <v>173</v>
      </c>
      <c r="C96" s="57"/>
      <c r="D96" s="53"/>
      <c r="E96" s="53"/>
      <c r="F96" s="575"/>
      <c r="G96" s="57"/>
      <c r="H96" s="53"/>
      <c r="I96" s="53"/>
      <c r="J96" s="575"/>
      <c r="K96" s="57"/>
      <c r="L96" s="53"/>
      <c r="M96" s="53"/>
      <c r="N96" s="575"/>
      <c r="O96" s="57"/>
      <c r="P96" s="53"/>
      <c r="Q96" s="53"/>
      <c r="R96" s="575"/>
      <c r="S96" s="57"/>
      <c r="T96" s="53"/>
      <c r="U96" s="53"/>
      <c r="V96" s="577"/>
      <c r="W96" s="57"/>
      <c r="X96" s="577"/>
      <c r="Y96" s="53"/>
      <c r="Z96" s="575"/>
      <c r="AA96" s="57"/>
      <c r="AB96" s="577"/>
      <c r="AC96" s="53"/>
      <c r="AD96" s="575"/>
      <c r="AE96" s="586"/>
      <c r="AF96" s="53"/>
      <c r="AG96" s="53"/>
      <c r="AH96" s="577"/>
      <c r="AI96" s="539"/>
    </row>
    <row r="97" spans="1:35" ht="21.95" customHeight="1" thickBot="1">
      <c r="A97" s="578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>
      <c r="A98" s="556"/>
      <c r="B98" s="297" t="s">
        <v>480</v>
      </c>
      <c r="C98" s="1235">
        <v>1</v>
      </c>
      <c r="D98" s="1234">
        <v>2</v>
      </c>
      <c r="E98" s="1234">
        <v>3</v>
      </c>
      <c r="F98" s="1235">
        <v>4</v>
      </c>
      <c r="G98" s="1235">
        <v>5</v>
      </c>
      <c r="H98" s="1234">
        <v>6</v>
      </c>
      <c r="I98" s="1213">
        <v>7</v>
      </c>
      <c r="J98" s="1213">
        <v>8</v>
      </c>
      <c r="K98" s="1234">
        <v>9</v>
      </c>
      <c r="L98" s="1234">
        <v>10</v>
      </c>
      <c r="M98" s="1235">
        <v>11</v>
      </c>
      <c r="N98" s="1235">
        <v>12</v>
      </c>
      <c r="O98" s="1234">
        <v>13</v>
      </c>
      <c r="P98" s="1213">
        <v>14</v>
      </c>
      <c r="Q98" s="1213">
        <v>15</v>
      </c>
      <c r="R98" s="1234">
        <v>16</v>
      </c>
      <c r="S98" s="1234">
        <v>17</v>
      </c>
      <c r="T98" s="1235">
        <v>18</v>
      </c>
      <c r="U98" s="1235">
        <v>19</v>
      </c>
      <c r="V98" s="1213">
        <v>20</v>
      </c>
      <c r="W98" s="1213">
        <v>21</v>
      </c>
      <c r="X98" s="1213">
        <v>22</v>
      </c>
      <c r="Y98" s="1234">
        <v>23</v>
      </c>
      <c r="Z98" s="1234">
        <v>24</v>
      </c>
      <c r="AA98" s="1235">
        <v>25</v>
      </c>
      <c r="AB98" s="1235">
        <v>26</v>
      </c>
      <c r="AC98" s="1234">
        <v>27</v>
      </c>
      <c r="AD98" s="1213">
        <v>28</v>
      </c>
      <c r="AE98" s="1213">
        <v>29</v>
      </c>
      <c r="AF98" s="1234">
        <v>30</v>
      </c>
      <c r="AG98" s="1234">
        <v>31</v>
      </c>
      <c r="AH98" s="498" t="s">
        <v>481</v>
      </c>
      <c r="AI98" s="499" t="s">
        <v>482</v>
      </c>
    </row>
    <row r="99" spans="1:35" ht="21.95" customHeight="1">
      <c r="A99" s="579">
        <v>1</v>
      </c>
      <c r="B99" s="545" t="s">
        <v>692</v>
      </c>
      <c r="C99" s="1208"/>
      <c r="D99" s="1335" t="s">
        <v>806</v>
      </c>
      <c r="E99" s="1215" t="s">
        <v>487</v>
      </c>
      <c r="F99" s="1215"/>
      <c r="G99" s="1215"/>
      <c r="H99" s="1215" t="s">
        <v>807</v>
      </c>
      <c r="I99" s="1215" t="s">
        <v>807</v>
      </c>
      <c r="J99" s="1215" t="s">
        <v>807</v>
      </c>
      <c r="K99" s="1215" t="s">
        <v>807</v>
      </c>
      <c r="L99" s="1215" t="s">
        <v>807</v>
      </c>
      <c r="M99" s="1215"/>
      <c r="N99" s="1215"/>
      <c r="O99" s="1215" t="s">
        <v>808</v>
      </c>
      <c r="P99" s="1215" t="s">
        <v>808</v>
      </c>
      <c r="Q99" s="1215" t="s">
        <v>808</v>
      </c>
      <c r="R99" s="1215" t="s">
        <v>808</v>
      </c>
      <c r="S99" s="1215" t="s">
        <v>808</v>
      </c>
      <c r="T99" s="1215" t="s">
        <v>808</v>
      </c>
      <c r="U99" s="1215"/>
      <c r="V99" s="1215" t="s">
        <v>806</v>
      </c>
      <c r="W99" s="1354" t="s">
        <v>694</v>
      </c>
      <c r="X99" s="1215" t="s">
        <v>806</v>
      </c>
      <c r="Y99" s="1215" t="s">
        <v>806</v>
      </c>
      <c r="Z99" s="1215" t="s">
        <v>487</v>
      </c>
      <c r="AA99" s="1215"/>
      <c r="AB99" s="1215"/>
      <c r="AC99" s="1215" t="s">
        <v>807</v>
      </c>
      <c r="AD99" s="1215" t="s">
        <v>807</v>
      </c>
      <c r="AE99" s="1215" t="s">
        <v>807</v>
      </c>
      <c r="AF99" s="1215" t="s">
        <v>807</v>
      </c>
      <c r="AG99" s="1335" t="s">
        <v>807</v>
      </c>
      <c r="AH99" s="504">
        <v>185</v>
      </c>
      <c r="AI99" s="505">
        <v>37</v>
      </c>
    </row>
    <row r="100" spans="1:35" ht="21.95" customHeight="1">
      <c r="A100" s="579">
        <v>2</v>
      </c>
      <c r="B100" s="545" t="s">
        <v>681</v>
      </c>
      <c r="C100" s="1208"/>
      <c r="D100" s="1215" t="s">
        <v>807</v>
      </c>
      <c r="E100" s="1215" t="s">
        <v>807</v>
      </c>
      <c r="F100" s="1215"/>
      <c r="G100" s="1215"/>
      <c r="H100" s="1215" t="s">
        <v>808</v>
      </c>
      <c r="I100" s="1215" t="s">
        <v>808</v>
      </c>
      <c r="J100" s="1500" t="s">
        <v>514</v>
      </c>
      <c r="K100" s="1215" t="s">
        <v>808</v>
      </c>
      <c r="L100" s="1215" t="s">
        <v>808</v>
      </c>
      <c r="M100" s="1215" t="s">
        <v>808</v>
      </c>
      <c r="N100" s="1215"/>
      <c r="O100" s="1215" t="s">
        <v>806</v>
      </c>
      <c r="P100" s="1215" t="s">
        <v>806</v>
      </c>
      <c r="Q100" s="1215" t="s">
        <v>806</v>
      </c>
      <c r="R100" s="1215" t="s">
        <v>806</v>
      </c>
      <c r="S100" s="1215" t="s">
        <v>487</v>
      </c>
      <c r="T100" s="1215"/>
      <c r="U100" s="1215"/>
      <c r="V100" s="1215" t="s">
        <v>807</v>
      </c>
      <c r="W100" s="1215" t="s">
        <v>807</v>
      </c>
      <c r="X100" s="1215" t="s">
        <v>807</v>
      </c>
      <c r="Y100" s="1215" t="s">
        <v>807</v>
      </c>
      <c r="Z100" s="1215" t="s">
        <v>807</v>
      </c>
      <c r="AA100" s="1215"/>
      <c r="AB100" s="1215"/>
      <c r="AC100" s="1215" t="s">
        <v>808</v>
      </c>
      <c r="AD100" s="1215" t="s">
        <v>808</v>
      </c>
      <c r="AE100" s="1215" t="s">
        <v>808</v>
      </c>
      <c r="AF100" s="1215" t="s">
        <v>808</v>
      </c>
      <c r="AG100" s="1215" t="s">
        <v>808</v>
      </c>
      <c r="AH100" s="504">
        <v>185</v>
      </c>
      <c r="AI100" s="505">
        <v>37</v>
      </c>
    </row>
    <row r="101" spans="1:35" ht="21.95" customHeight="1">
      <c r="A101" s="579">
        <v>3</v>
      </c>
      <c r="B101" s="545" t="s">
        <v>412</v>
      </c>
      <c r="C101" s="1208"/>
      <c r="D101" s="1215" t="s">
        <v>808</v>
      </c>
      <c r="E101" s="1215" t="s">
        <v>808</v>
      </c>
      <c r="F101" s="1215" t="s">
        <v>808</v>
      </c>
      <c r="G101" s="1215"/>
      <c r="H101" s="1338" t="s">
        <v>806</v>
      </c>
      <c r="I101" s="1338" t="s">
        <v>806</v>
      </c>
      <c r="J101" s="1338" t="s">
        <v>806</v>
      </c>
      <c r="K101" s="1338" t="s">
        <v>806</v>
      </c>
      <c r="L101" s="1338" t="s">
        <v>487</v>
      </c>
      <c r="M101" s="1338"/>
      <c r="N101" s="1338"/>
      <c r="O101" s="1215" t="s">
        <v>807</v>
      </c>
      <c r="P101" s="1215" t="s">
        <v>807</v>
      </c>
      <c r="Q101" s="1215" t="s">
        <v>807</v>
      </c>
      <c r="R101" s="1215" t="s">
        <v>807</v>
      </c>
      <c r="S101" s="1215" t="s">
        <v>807</v>
      </c>
      <c r="T101" s="1215"/>
      <c r="U101" s="1215"/>
      <c r="V101" s="1215" t="s">
        <v>808</v>
      </c>
      <c r="W101" s="1215" t="s">
        <v>808</v>
      </c>
      <c r="X101" s="1215" t="s">
        <v>808</v>
      </c>
      <c r="Y101" s="1215" t="s">
        <v>808</v>
      </c>
      <c r="Z101" s="1215" t="s">
        <v>808</v>
      </c>
      <c r="AA101" s="1215" t="s">
        <v>808</v>
      </c>
      <c r="AB101" s="1215"/>
      <c r="AC101" s="1215" t="s">
        <v>806</v>
      </c>
      <c r="AD101" s="1392" t="s">
        <v>806</v>
      </c>
      <c r="AE101" s="1392" t="s">
        <v>806</v>
      </c>
      <c r="AF101" s="1392" t="s">
        <v>806</v>
      </c>
      <c r="AG101" s="1215" t="s">
        <v>809</v>
      </c>
      <c r="AH101" s="504">
        <v>185</v>
      </c>
      <c r="AI101" s="505">
        <v>37</v>
      </c>
    </row>
    <row r="102" spans="1:35" ht="21.95" customHeight="1">
      <c r="A102" s="579">
        <v>4</v>
      </c>
      <c r="B102" s="545"/>
      <c r="C102" s="1208"/>
      <c r="D102" s="1215"/>
      <c r="E102" s="1215"/>
      <c r="F102" s="1215"/>
      <c r="G102" s="1215"/>
      <c r="H102" s="1215"/>
      <c r="I102" s="1215"/>
      <c r="J102" s="1208"/>
      <c r="K102" s="1215"/>
      <c r="L102" s="1215"/>
      <c r="M102" s="1215"/>
      <c r="N102" s="1215"/>
      <c r="O102" s="1215"/>
      <c r="P102" s="1208"/>
      <c r="Q102" s="1208"/>
      <c r="R102" s="1215"/>
      <c r="S102" s="1215"/>
      <c r="T102" s="1215"/>
      <c r="U102" s="1215"/>
      <c r="V102" s="1215"/>
      <c r="W102" s="1208"/>
      <c r="X102" s="1208"/>
      <c r="Y102" s="1208"/>
      <c r="Z102" s="1208"/>
      <c r="AA102" s="1208"/>
      <c r="AB102" s="1208"/>
      <c r="AC102" s="1208"/>
      <c r="AD102" s="1215"/>
      <c r="AE102" s="1208"/>
      <c r="AF102" s="1215"/>
      <c r="AG102" s="1215"/>
      <c r="AH102" s="504">
        <v>185</v>
      </c>
      <c r="AI102" s="505">
        <v>37</v>
      </c>
    </row>
    <row r="103" spans="1:35" ht="21.95" customHeight="1">
      <c r="A103" s="580"/>
      <c r="B103" s="587"/>
      <c r="C103" s="559"/>
      <c r="D103" s="541"/>
      <c r="E103" s="541"/>
      <c r="F103" s="541"/>
      <c r="G103" s="541"/>
      <c r="H103" s="541"/>
      <c r="I103" s="559"/>
      <c r="J103" s="559"/>
      <c r="K103" s="541"/>
      <c r="L103" s="541"/>
      <c r="M103" s="541"/>
      <c r="N103" s="541"/>
      <c r="O103" s="541"/>
      <c r="P103" s="541"/>
      <c r="Q103" s="559"/>
      <c r="R103" s="541"/>
      <c r="S103" s="1315"/>
      <c r="T103" s="1315"/>
      <c r="U103" s="1315"/>
      <c r="V103" s="1315"/>
      <c r="W103" s="559"/>
      <c r="X103" s="559"/>
      <c r="Y103" s="541"/>
      <c r="Z103" s="541"/>
      <c r="AA103" s="541"/>
      <c r="AB103" s="541"/>
      <c r="AC103" s="541"/>
      <c r="AD103" s="541"/>
      <c r="AE103" s="559"/>
      <c r="AF103" s="541"/>
      <c r="AG103" s="541"/>
      <c r="AH103" s="560"/>
      <c r="AI103" s="560"/>
    </row>
    <row r="104" spans="1:35" ht="21.95" customHeight="1" thickBot="1">
      <c r="A104" s="1303" t="s">
        <v>695</v>
      </c>
      <c r="B104" s="541"/>
      <c r="C104" s="559"/>
      <c r="D104" s="541"/>
      <c r="E104" s="541"/>
      <c r="F104" s="541"/>
      <c r="G104" s="541"/>
      <c r="H104" s="541"/>
      <c r="I104" s="559"/>
      <c r="J104" s="559"/>
      <c r="K104" s="541"/>
      <c r="L104" s="541"/>
      <c r="M104" s="541"/>
      <c r="N104" s="541"/>
      <c r="O104" s="541"/>
      <c r="P104" s="541"/>
      <c r="Q104" s="559"/>
      <c r="R104" s="541"/>
      <c r="S104" s="541"/>
      <c r="T104" s="541"/>
      <c r="U104" s="541"/>
      <c r="V104" s="541"/>
      <c r="W104" s="559"/>
      <c r="X104" s="559"/>
      <c r="Y104" s="541"/>
      <c r="Z104" s="541"/>
      <c r="AA104" s="541"/>
      <c r="AB104" s="541"/>
      <c r="AC104" s="541"/>
      <c r="AD104" s="541"/>
      <c r="AE104" s="559"/>
      <c r="AF104" s="541"/>
      <c r="AG104" s="541"/>
      <c r="AH104" s="560"/>
      <c r="AI104" s="560"/>
    </row>
    <row r="105" spans="1:35" ht="21.95" customHeight="1">
      <c r="A105" s="580"/>
      <c r="B105" s="1304" t="s">
        <v>696</v>
      </c>
      <c r="C105" s="1312"/>
      <c r="D105" s="1305" t="s">
        <v>2</v>
      </c>
      <c r="E105" s="1306"/>
      <c r="F105" s="1307"/>
      <c r="G105" s="1308"/>
      <c r="H105" s="1305" t="s">
        <v>3</v>
      </c>
      <c r="I105" s="1306"/>
      <c r="J105" s="1307"/>
      <c r="K105" s="1308"/>
      <c r="L105" s="1305" t="s">
        <v>4</v>
      </c>
      <c r="M105" s="1306"/>
      <c r="N105" s="1307"/>
      <c r="O105" s="1308"/>
      <c r="P105" s="1305" t="s">
        <v>5</v>
      </c>
      <c r="Q105" s="1306"/>
      <c r="R105" s="1307"/>
      <c r="S105" s="1308"/>
      <c r="T105" s="1305" t="s">
        <v>6</v>
      </c>
      <c r="U105" s="1306"/>
      <c r="V105" s="1307"/>
      <c r="W105" s="1308"/>
      <c r="X105" s="1305" t="s">
        <v>7</v>
      </c>
      <c r="Y105" s="1306"/>
      <c r="Z105" s="1307"/>
      <c r="AA105" s="1308"/>
      <c r="AB105" s="1305" t="s">
        <v>8</v>
      </c>
      <c r="AC105" s="1306"/>
      <c r="AD105" s="1306"/>
      <c r="AE105" s="1309" t="s">
        <v>10</v>
      </c>
      <c r="AF105" s="1306"/>
      <c r="AG105" s="1306"/>
      <c r="AH105" s="1306"/>
      <c r="AI105" s="1310"/>
    </row>
    <row r="106" spans="1:35" ht="21.95" customHeight="1">
      <c r="A106" s="580"/>
      <c r="B106" s="1332" t="s">
        <v>697</v>
      </c>
      <c r="C106" s="1313" t="s">
        <v>698</v>
      </c>
      <c r="D106" s="1331" t="s">
        <v>699</v>
      </c>
      <c r="E106" s="1314"/>
      <c r="F106" s="1311"/>
      <c r="G106" s="1313"/>
      <c r="H106" s="1331" t="s">
        <v>699</v>
      </c>
      <c r="I106" s="1314"/>
      <c r="J106" s="1311"/>
      <c r="K106" s="1313"/>
      <c r="L106" s="1331" t="s">
        <v>699</v>
      </c>
      <c r="M106" s="1314"/>
      <c r="N106" s="1311"/>
      <c r="O106" s="1313"/>
      <c r="P106" s="1331" t="s">
        <v>700</v>
      </c>
      <c r="Q106" s="1314"/>
      <c r="R106" s="1311"/>
      <c r="S106" s="1313"/>
      <c r="T106" s="1331" t="s">
        <v>701</v>
      </c>
      <c r="U106" s="1314"/>
      <c r="V106" s="1311"/>
      <c r="W106" s="1313"/>
      <c r="X106" s="1314"/>
      <c r="Y106" s="1314"/>
      <c r="Z106" s="1311"/>
      <c r="AA106" s="1313"/>
      <c r="AB106" s="1314"/>
      <c r="AC106" s="1314"/>
      <c r="AD106" s="1314"/>
      <c r="AE106" s="1313"/>
      <c r="AF106" s="1314"/>
      <c r="AG106" s="1314"/>
      <c r="AH106" s="1316"/>
      <c r="AI106" s="1317"/>
    </row>
    <row r="107" spans="1:35" ht="21.95" customHeight="1">
      <c r="A107" s="580"/>
      <c r="B107" s="1333" t="s">
        <v>702</v>
      </c>
      <c r="C107" s="1313" t="s">
        <v>683</v>
      </c>
      <c r="D107" s="1331" t="s">
        <v>699</v>
      </c>
      <c r="E107" s="1314"/>
      <c r="F107" s="1311"/>
      <c r="G107" s="1313"/>
      <c r="H107" s="1331" t="s">
        <v>699</v>
      </c>
      <c r="I107" s="1314"/>
      <c r="J107" s="1311"/>
      <c r="K107" s="1313"/>
      <c r="L107" s="1331" t="s">
        <v>699</v>
      </c>
      <c r="M107" s="1314"/>
      <c r="N107" s="1311"/>
      <c r="O107" s="1313"/>
      <c r="P107" s="1331" t="s">
        <v>700</v>
      </c>
      <c r="Q107" s="1314"/>
      <c r="R107" s="1311"/>
      <c r="S107" s="1313"/>
      <c r="T107" s="1331" t="s">
        <v>701</v>
      </c>
      <c r="U107" s="1314"/>
      <c r="V107" s="1311"/>
      <c r="W107" s="1313"/>
      <c r="X107" s="1314"/>
      <c r="Y107" s="1314"/>
      <c r="Z107" s="1311"/>
      <c r="AA107" s="1313"/>
      <c r="AB107" s="1314"/>
      <c r="AC107" s="1314"/>
      <c r="AD107" s="1314"/>
      <c r="AE107" s="1313"/>
      <c r="AF107" s="1314"/>
      <c r="AG107" s="1314"/>
      <c r="AH107" s="1316"/>
      <c r="AI107" s="1317"/>
    </row>
    <row r="108" spans="1:35" ht="21.95" customHeight="1">
      <c r="A108" s="580"/>
      <c r="B108" s="1333" t="s">
        <v>703</v>
      </c>
      <c r="C108" s="1313" t="s">
        <v>547</v>
      </c>
      <c r="D108" s="1331" t="s">
        <v>699</v>
      </c>
      <c r="E108" s="1314"/>
      <c r="F108" s="1311"/>
      <c r="G108" s="1313"/>
      <c r="H108" s="1331" t="s">
        <v>699</v>
      </c>
      <c r="I108" s="1314"/>
      <c r="J108" s="1311"/>
      <c r="K108" s="1313"/>
      <c r="L108" s="1331" t="s">
        <v>699</v>
      </c>
      <c r="M108" s="1314"/>
      <c r="N108" s="1311"/>
      <c r="O108" s="1313"/>
      <c r="P108" s="1331" t="s">
        <v>700</v>
      </c>
      <c r="Q108" s="1314"/>
      <c r="R108" s="1311"/>
      <c r="S108" s="1313"/>
      <c r="T108" s="1331" t="s">
        <v>701</v>
      </c>
      <c r="U108" s="1314"/>
      <c r="V108" s="1311"/>
      <c r="W108" s="1313"/>
      <c r="X108" s="1314"/>
      <c r="Y108" s="1314"/>
      <c r="Z108" s="1311"/>
      <c r="AA108" s="1313"/>
      <c r="AB108" s="1314"/>
      <c r="AC108" s="1314"/>
      <c r="AD108" s="1314"/>
      <c r="AE108" s="1313"/>
      <c r="AF108" s="1314"/>
      <c r="AG108" s="1314"/>
      <c r="AH108" s="1316"/>
      <c r="AI108" s="1317"/>
    </row>
    <row r="109" spans="1:35" ht="21.95" customHeight="1">
      <c r="A109" s="580"/>
      <c r="B109" s="1333" t="s">
        <v>704</v>
      </c>
      <c r="C109" s="1313" t="s">
        <v>685</v>
      </c>
      <c r="D109" s="1331" t="s">
        <v>699</v>
      </c>
      <c r="E109" s="1314"/>
      <c r="F109" s="1311"/>
      <c r="G109" s="1313"/>
      <c r="H109" s="1331" t="s">
        <v>699</v>
      </c>
      <c r="I109" s="1314"/>
      <c r="J109" s="1311"/>
      <c r="K109" s="1313"/>
      <c r="L109" s="1331" t="s">
        <v>699</v>
      </c>
      <c r="M109" s="1314"/>
      <c r="N109" s="1311"/>
      <c r="O109" s="1313"/>
      <c r="P109" s="1331" t="s">
        <v>700</v>
      </c>
      <c r="Q109" s="1314"/>
      <c r="R109" s="1311"/>
      <c r="S109" s="1313"/>
      <c r="T109" s="1331" t="s">
        <v>701</v>
      </c>
      <c r="U109" s="1314"/>
      <c r="V109" s="1311"/>
      <c r="W109" s="1313"/>
      <c r="X109" s="1314"/>
      <c r="Y109" s="1314"/>
      <c r="Z109" s="1311"/>
      <c r="AA109" s="1313"/>
      <c r="AB109" s="1314"/>
      <c r="AC109" s="1314"/>
      <c r="AD109" s="1314"/>
      <c r="AE109" s="1313"/>
      <c r="AF109" s="1314"/>
      <c r="AG109" s="1314"/>
      <c r="AH109" s="1316"/>
      <c r="AI109" s="1317"/>
    </row>
    <row r="110" spans="1:35" ht="21.95" customHeight="1">
      <c r="A110" s="580"/>
      <c r="B110" s="1333" t="s">
        <v>705</v>
      </c>
      <c r="C110" s="1313" t="s">
        <v>684</v>
      </c>
      <c r="D110" s="1331" t="s">
        <v>699</v>
      </c>
      <c r="E110" s="1314"/>
      <c r="F110" s="1311"/>
      <c r="G110" s="1313"/>
      <c r="H110" s="1331" t="s">
        <v>699</v>
      </c>
      <c r="I110" s="1314"/>
      <c r="J110" s="1311"/>
      <c r="K110" s="1313"/>
      <c r="L110" s="1331" t="s">
        <v>699</v>
      </c>
      <c r="M110" s="1314"/>
      <c r="N110" s="1311"/>
      <c r="O110" s="1313"/>
      <c r="P110" s="1331" t="s">
        <v>700</v>
      </c>
      <c r="Q110" s="1314"/>
      <c r="R110" s="1311"/>
      <c r="S110" s="1313"/>
      <c r="T110" s="1331" t="s">
        <v>701</v>
      </c>
      <c r="U110" s="1314"/>
      <c r="V110" s="1311"/>
      <c r="W110" s="1313"/>
      <c r="X110" s="1314"/>
      <c r="Y110" s="1314"/>
      <c r="Z110" s="1311"/>
      <c r="AA110" s="1313"/>
      <c r="AB110" s="1314"/>
      <c r="AC110" s="1314"/>
      <c r="AD110" s="1314"/>
      <c r="AE110" s="1313"/>
      <c r="AF110" s="1314"/>
      <c r="AG110" s="1314"/>
      <c r="AH110" s="1316"/>
      <c r="AI110" s="1317"/>
    </row>
    <row r="111" spans="1:35" ht="21.95" customHeight="1">
      <c r="A111" s="580"/>
      <c r="B111" s="1333" t="s">
        <v>706</v>
      </c>
      <c r="C111" s="1313" t="s">
        <v>539</v>
      </c>
      <c r="D111" s="1331" t="s">
        <v>699</v>
      </c>
      <c r="E111" s="1314"/>
      <c r="F111" s="1311"/>
      <c r="G111" s="1313"/>
      <c r="H111" s="1331" t="s">
        <v>699</v>
      </c>
      <c r="I111" s="1314"/>
      <c r="J111" s="1311"/>
      <c r="K111" s="1313"/>
      <c r="L111" s="1331" t="s">
        <v>699</v>
      </c>
      <c r="M111" s="1314"/>
      <c r="N111" s="1311"/>
      <c r="O111" s="1313"/>
      <c r="P111" s="1331" t="s">
        <v>700</v>
      </c>
      <c r="Q111" s="1314"/>
      <c r="R111" s="1311"/>
      <c r="S111" s="1313"/>
      <c r="T111" s="1331" t="s">
        <v>701</v>
      </c>
      <c r="U111" s="1314"/>
      <c r="V111" s="1311"/>
      <c r="W111" s="1313"/>
      <c r="X111" s="1314"/>
      <c r="Y111" s="1314"/>
      <c r="Z111" s="1311"/>
      <c r="AA111" s="1313"/>
      <c r="AB111" s="1314"/>
      <c r="AC111" s="1314"/>
      <c r="AD111" s="1314"/>
      <c r="AE111" s="1313"/>
      <c r="AF111" s="1314"/>
      <c r="AG111" s="1314"/>
      <c r="AH111" s="1316"/>
      <c r="AI111" s="1317"/>
    </row>
    <row r="112" spans="1:35" ht="21.95" customHeight="1">
      <c r="A112" s="580"/>
      <c r="B112" s="1333" t="s">
        <v>707</v>
      </c>
      <c r="C112" s="1313" t="s">
        <v>540</v>
      </c>
      <c r="D112" s="1331" t="s">
        <v>699</v>
      </c>
      <c r="E112" s="1314"/>
      <c r="F112" s="1311"/>
      <c r="G112" s="1313"/>
      <c r="H112" s="1331" t="s">
        <v>699</v>
      </c>
      <c r="I112" s="1314"/>
      <c r="J112" s="1311"/>
      <c r="K112" s="1313"/>
      <c r="L112" s="1331" t="s">
        <v>699</v>
      </c>
      <c r="M112" s="1314"/>
      <c r="N112" s="1311"/>
      <c r="O112" s="1313"/>
      <c r="P112" s="1331" t="s">
        <v>700</v>
      </c>
      <c r="Q112" s="1314"/>
      <c r="R112" s="1311"/>
      <c r="S112" s="1313"/>
      <c r="T112" s="1331" t="s">
        <v>701</v>
      </c>
      <c r="U112" s="1314"/>
      <c r="V112" s="1311"/>
      <c r="W112" s="1313"/>
      <c r="X112" s="1314"/>
      <c r="Y112" s="1314"/>
      <c r="Z112" s="1311"/>
      <c r="AA112" s="1313"/>
      <c r="AB112" s="1314"/>
      <c r="AC112" s="1314"/>
      <c r="AD112" s="1314"/>
      <c r="AE112" s="1313"/>
      <c r="AF112" s="1314"/>
      <c r="AG112" s="1314"/>
      <c r="AH112" s="1316"/>
      <c r="AI112" s="1317"/>
    </row>
    <row r="113" spans="1:35" ht="21.95" customHeight="1">
      <c r="A113" s="580"/>
      <c r="B113" s="1333" t="s">
        <v>707</v>
      </c>
      <c r="C113" s="1313" t="s">
        <v>708</v>
      </c>
      <c r="D113" s="1331" t="s">
        <v>699</v>
      </c>
      <c r="E113" s="1314"/>
      <c r="F113" s="1311"/>
      <c r="G113" s="1313"/>
      <c r="H113" s="1331" t="s">
        <v>699</v>
      </c>
      <c r="I113" s="1314"/>
      <c r="J113" s="1311"/>
      <c r="K113" s="1313"/>
      <c r="L113" s="1331" t="s">
        <v>699</v>
      </c>
      <c r="M113" s="1314"/>
      <c r="N113" s="1311"/>
      <c r="O113" s="1313"/>
      <c r="P113" s="1331" t="s">
        <v>700</v>
      </c>
      <c r="Q113" s="1314"/>
      <c r="R113" s="1311"/>
      <c r="S113" s="1313"/>
      <c r="T113" s="1331" t="s">
        <v>701</v>
      </c>
      <c r="U113" s="1314"/>
      <c r="V113" s="1311"/>
      <c r="W113" s="1313"/>
      <c r="X113" s="1314"/>
      <c r="Y113" s="1314"/>
      <c r="Z113" s="1311"/>
      <c r="AA113" s="1313"/>
      <c r="AB113" s="1314"/>
      <c r="AC113" s="1314"/>
      <c r="AD113" s="1314"/>
      <c r="AE113" s="1313"/>
      <c r="AF113" s="1314"/>
      <c r="AG113" s="1314"/>
      <c r="AH113" s="1316"/>
      <c r="AI113" s="1317"/>
    </row>
    <row r="114" spans="1:35" ht="21.95" customHeight="1">
      <c r="A114" s="580"/>
      <c r="B114" s="1333" t="s">
        <v>709</v>
      </c>
      <c r="C114" s="1313" t="s">
        <v>538</v>
      </c>
      <c r="D114" s="1331" t="s">
        <v>699</v>
      </c>
      <c r="E114" s="1314"/>
      <c r="F114" s="1311"/>
      <c r="G114" s="1313"/>
      <c r="H114" s="1331" t="s">
        <v>699</v>
      </c>
      <c r="I114" s="1314"/>
      <c r="J114" s="1311"/>
      <c r="K114" s="1313"/>
      <c r="L114" s="1331" t="s">
        <v>699</v>
      </c>
      <c r="M114" s="1314"/>
      <c r="N114" s="1311"/>
      <c r="O114" s="1313"/>
      <c r="P114" s="1331" t="s">
        <v>700</v>
      </c>
      <c r="Q114" s="1314"/>
      <c r="R114" s="1311"/>
      <c r="S114" s="1313"/>
      <c r="T114" s="1331" t="s">
        <v>701</v>
      </c>
      <c r="U114" s="1314"/>
      <c r="V114" s="1311"/>
      <c r="W114" s="1313"/>
      <c r="X114" s="1314"/>
      <c r="Y114" s="1314"/>
      <c r="Z114" s="1311"/>
      <c r="AA114" s="1313"/>
      <c r="AB114" s="1314"/>
      <c r="AC114" s="1314"/>
      <c r="AD114" s="1314"/>
      <c r="AE114" s="1313"/>
      <c r="AF114" s="1314"/>
      <c r="AG114" s="1314"/>
      <c r="AH114" s="1316"/>
      <c r="AI114" s="1317"/>
    </row>
    <row r="115" spans="1:35" ht="21.95" customHeight="1">
      <c r="A115" s="580"/>
      <c r="B115" s="1333" t="s">
        <v>710</v>
      </c>
      <c r="C115" s="1313" t="s">
        <v>711</v>
      </c>
      <c r="D115" s="1331" t="s">
        <v>699</v>
      </c>
      <c r="E115" s="1314"/>
      <c r="F115" s="1311"/>
      <c r="G115" s="1313"/>
      <c r="H115" s="1331" t="s">
        <v>699</v>
      </c>
      <c r="I115" s="1314"/>
      <c r="J115" s="1311"/>
      <c r="K115" s="1313"/>
      <c r="L115" s="1331" t="s">
        <v>699</v>
      </c>
      <c r="M115" s="1314"/>
      <c r="N115" s="1311"/>
      <c r="O115" s="1313"/>
      <c r="P115" s="1331" t="s">
        <v>700</v>
      </c>
      <c r="Q115" s="1314"/>
      <c r="R115" s="1311"/>
      <c r="S115" s="1313"/>
      <c r="T115" s="1331" t="s">
        <v>701</v>
      </c>
      <c r="U115" s="1314"/>
      <c r="V115" s="1311"/>
      <c r="W115" s="1313"/>
      <c r="X115" s="1314"/>
      <c r="Y115" s="1314"/>
      <c r="Z115" s="1311"/>
      <c r="AA115" s="1313"/>
      <c r="AB115" s="1314"/>
      <c r="AC115" s="1314"/>
      <c r="AD115" s="1314"/>
      <c r="AE115" s="1313"/>
      <c r="AF115" s="1314"/>
      <c r="AG115" s="1314"/>
      <c r="AH115" s="1316"/>
      <c r="AI115" s="1317"/>
    </row>
    <row r="116" spans="1:35" ht="21.95" customHeight="1">
      <c r="A116" s="580"/>
      <c r="B116" s="1333" t="s">
        <v>712</v>
      </c>
      <c r="C116" s="1313" t="s">
        <v>544</v>
      </c>
      <c r="D116" s="1331" t="s">
        <v>699</v>
      </c>
      <c r="E116" s="1314"/>
      <c r="F116" s="1311"/>
      <c r="G116" s="1313"/>
      <c r="H116" s="1331" t="s">
        <v>699</v>
      </c>
      <c r="I116" s="1314"/>
      <c r="J116" s="1311"/>
      <c r="K116" s="1313"/>
      <c r="L116" s="1331" t="s">
        <v>699</v>
      </c>
      <c r="M116" s="1314"/>
      <c r="N116" s="1311"/>
      <c r="O116" s="1313"/>
      <c r="P116" s="1331" t="s">
        <v>700</v>
      </c>
      <c r="Q116" s="1314"/>
      <c r="R116" s="1311"/>
      <c r="S116" s="1313"/>
      <c r="T116" s="1331" t="s">
        <v>701</v>
      </c>
      <c r="U116" s="1314"/>
      <c r="V116" s="1311"/>
      <c r="W116" s="1313"/>
      <c r="X116" s="1314"/>
      <c r="Y116" s="1314"/>
      <c r="Z116" s="1311"/>
      <c r="AA116" s="1313"/>
      <c r="AB116" s="1314"/>
      <c r="AC116" s="1314"/>
      <c r="AD116" s="1314"/>
      <c r="AE116" s="1313"/>
      <c r="AF116" s="1314"/>
      <c r="AG116" s="1314"/>
      <c r="AH116" s="1316"/>
      <c r="AI116" s="1317"/>
    </row>
    <row r="117" spans="1:35" ht="21.95" customHeight="1" thickBot="1">
      <c r="A117" s="580"/>
      <c r="B117" s="587"/>
      <c r="C117" s="559"/>
      <c r="D117" s="541"/>
      <c r="E117" s="541"/>
      <c r="F117" s="541"/>
      <c r="G117" s="541"/>
      <c r="H117" s="541"/>
      <c r="I117" s="559"/>
      <c r="J117" s="559"/>
      <c r="K117" s="541"/>
      <c r="L117" s="541"/>
      <c r="M117" s="541"/>
      <c r="N117" s="541"/>
      <c r="O117" s="541"/>
      <c r="P117" s="541"/>
      <c r="Q117" s="559"/>
      <c r="R117" s="541"/>
      <c r="S117" s="541"/>
      <c r="T117" s="541"/>
      <c r="U117" s="541"/>
      <c r="V117" s="541"/>
      <c r="W117" s="559"/>
      <c r="X117" s="559"/>
      <c r="Y117" s="541"/>
      <c r="Z117" s="541"/>
      <c r="AA117" s="541"/>
      <c r="AB117" s="541"/>
      <c r="AC117" s="541"/>
      <c r="AD117" s="541"/>
      <c r="AE117" s="559"/>
      <c r="AF117" s="541"/>
      <c r="AG117" s="541"/>
      <c r="AH117" s="560"/>
      <c r="AI117" s="560"/>
    </row>
    <row r="118" spans="1:35" ht="21.95" customHeight="1">
      <c r="A118" s="1232"/>
      <c r="B118" s="1298" t="s">
        <v>480</v>
      </c>
      <c r="C118" s="1235">
        <v>1</v>
      </c>
      <c r="D118" s="1234">
        <v>2</v>
      </c>
      <c r="E118" s="1234">
        <v>3</v>
      </c>
      <c r="F118" s="1235">
        <v>4</v>
      </c>
      <c r="G118" s="1235">
        <v>5</v>
      </c>
      <c r="H118" s="1234">
        <v>6</v>
      </c>
      <c r="I118" s="1213">
        <v>7</v>
      </c>
      <c r="J118" s="1213">
        <v>8</v>
      </c>
      <c r="K118" s="1234">
        <v>9</v>
      </c>
      <c r="L118" s="1234">
        <v>10</v>
      </c>
      <c r="M118" s="1235">
        <v>11</v>
      </c>
      <c r="N118" s="1235">
        <v>12</v>
      </c>
      <c r="O118" s="1234">
        <v>13</v>
      </c>
      <c r="P118" s="1213">
        <v>14</v>
      </c>
      <c r="Q118" s="1213">
        <v>15</v>
      </c>
      <c r="R118" s="1234">
        <v>16</v>
      </c>
      <c r="S118" s="1234">
        <v>17</v>
      </c>
      <c r="T118" s="1235">
        <v>18</v>
      </c>
      <c r="U118" s="1235">
        <v>19</v>
      </c>
      <c r="V118" s="1213">
        <v>20</v>
      </c>
      <c r="W118" s="1213">
        <v>21</v>
      </c>
      <c r="X118" s="1213">
        <v>22</v>
      </c>
      <c r="Y118" s="1234">
        <v>23</v>
      </c>
      <c r="Z118" s="1234">
        <v>24</v>
      </c>
      <c r="AA118" s="1235">
        <v>25</v>
      </c>
      <c r="AB118" s="1235">
        <v>26</v>
      </c>
      <c r="AC118" s="1234">
        <v>27</v>
      </c>
      <c r="AD118" s="1213">
        <v>28</v>
      </c>
      <c r="AE118" s="1213">
        <v>29</v>
      </c>
      <c r="AF118" s="1234">
        <v>30</v>
      </c>
      <c r="AG118" s="1234">
        <v>31</v>
      </c>
      <c r="AH118" s="1301" t="s">
        <v>481</v>
      </c>
      <c r="AI118" s="1302" t="s">
        <v>482</v>
      </c>
    </row>
    <row r="119" spans="1:35" ht="21.95" customHeight="1">
      <c r="A119" s="580"/>
      <c r="B119" s="1299" t="s">
        <v>713</v>
      </c>
      <c r="C119" s="1299"/>
      <c r="D119" s="1363" t="s">
        <v>698</v>
      </c>
      <c r="E119" s="1363" t="s">
        <v>698</v>
      </c>
      <c r="F119" s="1313"/>
      <c r="G119" s="1313"/>
      <c r="H119" s="1313" t="s">
        <v>698</v>
      </c>
      <c r="I119" s="1313" t="s">
        <v>698</v>
      </c>
      <c r="J119" s="1313" t="s">
        <v>698</v>
      </c>
      <c r="K119" s="1313" t="s">
        <v>698</v>
      </c>
      <c r="L119" s="1313" t="s">
        <v>698</v>
      </c>
      <c r="M119" s="1313"/>
      <c r="N119" s="1313"/>
      <c r="O119" s="1313" t="s">
        <v>698</v>
      </c>
      <c r="P119" s="1313" t="s">
        <v>698</v>
      </c>
      <c r="Q119" s="1313" t="s">
        <v>698</v>
      </c>
      <c r="R119" s="1313" t="s">
        <v>698</v>
      </c>
      <c r="S119" s="1313" t="s">
        <v>698</v>
      </c>
      <c r="T119" s="1313"/>
      <c r="U119" s="1313"/>
      <c r="V119" s="1313" t="s">
        <v>698</v>
      </c>
      <c r="W119" s="1313" t="s">
        <v>698</v>
      </c>
      <c r="X119" s="1313" t="s">
        <v>698</v>
      </c>
      <c r="Y119" s="1384" t="s">
        <v>698</v>
      </c>
      <c r="Z119" s="1313" t="s">
        <v>698</v>
      </c>
      <c r="AA119" s="1313"/>
      <c r="AB119" s="1313"/>
      <c r="AC119" s="1313" t="s">
        <v>698</v>
      </c>
      <c r="AD119" s="1313" t="s">
        <v>698</v>
      </c>
      <c r="AE119" s="1313" t="s">
        <v>698</v>
      </c>
      <c r="AF119" s="1384" t="s">
        <v>698</v>
      </c>
      <c r="AG119" s="1363" t="s">
        <v>698</v>
      </c>
      <c r="AH119" s="504">
        <v>185</v>
      </c>
      <c r="AI119" s="505">
        <v>37</v>
      </c>
    </row>
    <row r="120" spans="1:35" ht="21.95" customHeight="1">
      <c r="A120" s="580"/>
      <c r="B120" s="1299" t="s">
        <v>714</v>
      </c>
      <c r="C120" s="1299"/>
      <c r="D120" s="1313" t="s">
        <v>698</v>
      </c>
      <c r="E120" s="1313" t="s">
        <v>698</v>
      </c>
      <c r="F120" s="1313"/>
      <c r="G120" s="1313"/>
      <c r="H120" s="1313" t="s">
        <v>698</v>
      </c>
      <c r="I120" s="1313" t="s">
        <v>698</v>
      </c>
      <c r="J120" s="1313" t="s">
        <v>698</v>
      </c>
      <c r="K120" s="1313" t="s">
        <v>698</v>
      </c>
      <c r="L120" s="1313" t="s">
        <v>698</v>
      </c>
      <c r="M120" s="1313"/>
      <c r="N120" s="1313"/>
      <c r="O120" s="1313" t="s">
        <v>698</v>
      </c>
      <c r="P120" s="1313" t="s">
        <v>698</v>
      </c>
      <c r="Q120" s="1313" t="s">
        <v>698</v>
      </c>
      <c r="R120" s="1313" t="s">
        <v>698</v>
      </c>
      <c r="S120" s="1313" t="s">
        <v>698</v>
      </c>
      <c r="T120" s="1313"/>
      <c r="U120" s="1313"/>
      <c r="V120" s="1313" t="s">
        <v>698</v>
      </c>
      <c r="W120" s="1313" t="s">
        <v>698</v>
      </c>
      <c r="X120" s="1313" t="s">
        <v>698</v>
      </c>
      <c r="Y120" s="1385" t="s">
        <v>698</v>
      </c>
      <c r="Z120" s="1313" t="s">
        <v>698</v>
      </c>
      <c r="AA120" s="1313"/>
      <c r="AB120" s="1313"/>
      <c r="AC120" s="1313" t="s">
        <v>698</v>
      </c>
      <c r="AD120" s="1313" t="s">
        <v>698</v>
      </c>
      <c r="AE120" s="1313" t="s">
        <v>698</v>
      </c>
      <c r="AF120" s="1385" t="s">
        <v>698</v>
      </c>
      <c r="AG120" s="1313" t="s">
        <v>698</v>
      </c>
      <c r="AH120" s="504">
        <v>185</v>
      </c>
      <c r="AI120" s="505">
        <v>37</v>
      </c>
    </row>
    <row r="121" spans="1:35" ht="21.95" customHeight="1">
      <c r="A121" s="580"/>
      <c r="B121" s="1299" t="s">
        <v>715</v>
      </c>
      <c r="C121" s="1299"/>
      <c r="D121" s="1313" t="s">
        <v>683</v>
      </c>
      <c r="E121" s="1313" t="s">
        <v>683</v>
      </c>
      <c r="F121" s="1313"/>
      <c r="G121" s="1313"/>
      <c r="H121" s="1313" t="s">
        <v>683</v>
      </c>
      <c r="I121" s="1313" t="s">
        <v>683</v>
      </c>
      <c r="J121" s="1313" t="s">
        <v>683</v>
      </c>
      <c r="K121" s="1313" t="s">
        <v>683</v>
      </c>
      <c r="L121" s="1313" t="s">
        <v>683</v>
      </c>
      <c r="M121" s="1313"/>
      <c r="N121" s="1313"/>
      <c r="O121" s="1313" t="s">
        <v>683</v>
      </c>
      <c r="P121" s="1313" t="s">
        <v>683</v>
      </c>
      <c r="Q121" s="1313" t="s">
        <v>683</v>
      </c>
      <c r="R121" s="1313" t="s">
        <v>683</v>
      </c>
      <c r="S121" s="1313" t="s">
        <v>683</v>
      </c>
      <c r="T121" s="1313"/>
      <c r="U121" s="1313"/>
      <c r="V121" s="1313" t="s">
        <v>683</v>
      </c>
      <c r="W121" s="1313" t="s">
        <v>683</v>
      </c>
      <c r="X121" s="1313" t="s">
        <v>683</v>
      </c>
      <c r="Y121" s="1384" t="s">
        <v>683</v>
      </c>
      <c r="Z121" s="1313" t="s">
        <v>683</v>
      </c>
      <c r="AA121" s="1313"/>
      <c r="AB121" s="1313"/>
      <c r="AC121" s="1313" t="s">
        <v>683</v>
      </c>
      <c r="AD121" s="1313" t="s">
        <v>683</v>
      </c>
      <c r="AE121" s="1313" t="s">
        <v>683</v>
      </c>
      <c r="AF121" s="1384" t="s">
        <v>683</v>
      </c>
      <c r="AG121" s="1313" t="s">
        <v>683</v>
      </c>
      <c r="AH121" s="504">
        <v>185</v>
      </c>
      <c r="AI121" s="505">
        <v>37</v>
      </c>
    </row>
    <row r="122" spans="1:35" ht="21.95" customHeight="1">
      <c r="A122" s="580"/>
      <c r="B122" s="1299" t="s">
        <v>730</v>
      </c>
      <c r="C122" s="1556"/>
      <c r="D122" s="1555" t="s">
        <v>547</v>
      </c>
      <c r="E122" s="1555" t="s">
        <v>547</v>
      </c>
      <c r="F122" s="1555"/>
      <c r="G122" s="1555"/>
      <c r="H122" s="1555" t="s">
        <v>547</v>
      </c>
      <c r="I122" s="1555" t="s">
        <v>547</v>
      </c>
      <c r="J122" s="1555" t="s">
        <v>547</v>
      </c>
      <c r="K122" s="1555" t="s">
        <v>547</v>
      </c>
      <c r="L122" s="1555" t="s">
        <v>547</v>
      </c>
      <c r="M122" s="1555"/>
      <c r="N122" s="1555"/>
      <c r="O122" s="1555" t="s">
        <v>547</v>
      </c>
      <c r="P122" s="1555" t="s">
        <v>547</v>
      </c>
      <c r="Q122" s="1555" t="s">
        <v>547</v>
      </c>
      <c r="R122" s="1555" t="s">
        <v>547</v>
      </c>
      <c r="S122" s="1555" t="s">
        <v>547</v>
      </c>
      <c r="T122" s="1555"/>
      <c r="U122" s="1555"/>
      <c r="V122" s="1555" t="s">
        <v>547</v>
      </c>
      <c r="W122" s="1555" t="s">
        <v>547</v>
      </c>
      <c r="X122" s="1555" t="s">
        <v>547</v>
      </c>
      <c r="Y122" s="1555" t="s">
        <v>547</v>
      </c>
      <c r="Z122" s="1555" t="s">
        <v>547</v>
      </c>
      <c r="AA122" s="1555"/>
      <c r="AB122" s="1555"/>
      <c r="AC122" s="1555" t="s">
        <v>547</v>
      </c>
      <c r="AD122" s="1555" t="s">
        <v>547</v>
      </c>
      <c r="AE122" s="1555" t="s">
        <v>547</v>
      </c>
      <c r="AF122" s="1555" t="s">
        <v>547</v>
      </c>
      <c r="AG122" s="1555" t="s">
        <v>547</v>
      </c>
      <c r="AH122" s="504">
        <v>185</v>
      </c>
      <c r="AI122" s="505">
        <v>37</v>
      </c>
    </row>
    <row r="123" spans="1:35" ht="21.95" customHeight="1">
      <c r="A123" s="580"/>
      <c r="B123" s="1300" t="s">
        <v>717</v>
      </c>
      <c r="C123" s="1300"/>
      <c r="D123" s="1446" t="s">
        <v>685</v>
      </c>
      <c r="E123" s="1446" t="s">
        <v>685</v>
      </c>
      <c r="F123" s="1446"/>
      <c r="G123" s="1446"/>
      <c r="H123" s="1446" t="s">
        <v>685</v>
      </c>
      <c r="I123" s="1446" t="s">
        <v>685</v>
      </c>
      <c r="J123" s="1446" t="s">
        <v>685</v>
      </c>
      <c r="K123" s="1446" t="s">
        <v>685</v>
      </c>
      <c r="L123" s="1446" t="s">
        <v>685</v>
      </c>
      <c r="M123" s="1446"/>
      <c r="N123" s="1446"/>
      <c r="O123" s="1446" t="s">
        <v>685</v>
      </c>
      <c r="P123" s="1446" t="s">
        <v>685</v>
      </c>
      <c r="Q123" s="1446" t="s">
        <v>685</v>
      </c>
      <c r="R123" s="1446" t="s">
        <v>685</v>
      </c>
      <c r="S123" s="1446" t="s">
        <v>685</v>
      </c>
      <c r="T123" s="1446"/>
      <c r="U123" s="1446"/>
      <c r="V123" s="1446" t="s">
        <v>685</v>
      </c>
      <c r="W123" s="1446" t="s">
        <v>685</v>
      </c>
      <c r="X123" s="1446" t="s">
        <v>685</v>
      </c>
      <c r="Y123" s="1446" t="s">
        <v>685</v>
      </c>
      <c r="Z123" s="1446" t="s">
        <v>685</v>
      </c>
      <c r="AA123" s="1446"/>
      <c r="AB123" s="1446"/>
      <c r="AC123" s="1446" t="s">
        <v>685</v>
      </c>
      <c r="AD123" s="1446" t="s">
        <v>685</v>
      </c>
      <c r="AE123" s="1446" t="s">
        <v>685</v>
      </c>
      <c r="AF123" s="1446" t="s">
        <v>685</v>
      </c>
      <c r="AG123" s="1446" t="s">
        <v>743</v>
      </c>
      <c r="AH123" s="504">
        <v>185</v>
      </c>
      <c r="AI123" s="505">
        <v>37</v>
      </c>
    </row>
    <row r="124" spans="1:35" ht="21.95" customHeight="1">
      <c r="A124" s="580"/>
      <c r="B124" s="1299" t="s">
        <v>718</v>
      </c>
      <c r="C124" s="1300"/>
      <c r="D124" s="1446" t="s">
        <v>684</v>
      </c>
      <c r="E124" s="1446" t="s">
        <v>684</v>
      </c>
      <c r="F124" s="1446"/>
      <c r="G124" s="1446"/>
      <c r="H124" s="1446" t="s">
        <v>684</v>
      </c>
      <c r="I124" s="1446" t="s">
        <v>684</v>
      </c>
      <c r="J124" s="1446" t="s">
        <v>810</v>
      </c>
      <c r="K124" s="1313" t="s">
        <v>684</v>
      </c>
      <c r="L124" s="1313" t="s">
        <v>684</v>
      </c>
      <c r="M124" s="1313"/>
      <c r="N124" s="1313"/>
      <c r="O124" s="1313" t="s">
        <v>684</v>
      </c>
      <c r="P124" s="1313" t="s">
        <v>684</v>
      </c>
      <c r="Q124" s="1446" t="s">
        <v>810</v>
      </c>
      <c r="R124" s="1313" t="s">
        <v>684</v>
      </c>
      <c r="S124" s="1313" t="s">
        <v>684</v>
      </c>
      <c r="T124" s="1313"/>
      <c r="U124" s="1313"/>
      <c r="V124" s="1313" t="s">
        <v>684</v>
      </c>
      <c r="W124" s="1313" t="s">
        <v>684</v>
      </c>
      <c r="X124" s="1313" t="s">
        <v>684</v>
      </c>
      <c r="Y124" s="1384" t="s">
        <v>684</v>
      </c>
      <c r="Z124" s="1313" t="s">
        <v>684</v>
      </c>
      <c r="AA124" s="1313"/>
      <c r="AB124" s="1313"/>
      <c r="AC124" s="1313" t="s">
        <v>684</v>
      </c>
      <c r="AD124" s="1313" t="s">
        <v>684</v>
      </c>
      <c r="AE124" s="1313" t="s">
        <v>684</v>
      </c>
      <c r="AF124" s="1384" t="s">
        <v>684</v>
      </c>
      <c r="AG124" s="1313" t="s">
        <v>684</v>
      </c>
      <c r="AH124" s="504">
        <v>185</v>
      </c>
      <c r="AI124" s="505">
        <v>37</v>
      </c>
    </row>
    <row r="125" spans="1:35" ht="21.95" customHeight="1">
      <c r="A125" s="580"/>
      <c r="B125" s="1300" t="s">
        <v>719</v>
      </c>
      <c r="C125" s="1300"/>
      <c r="D125" s="1593" t="s">
        <v>539</v>
      </c>
      <c r="E125" s="1593" t="s">
        <v>539</v>
      </c>
      <c r="F125" s="1313"/>
      <c r="G125" s="1313"/>
      <c r="H125" s="1313" t="s">
        <v>539</v>
      </c>
      <c r="I125" s="1313" t="s">
        <v>539</v>
      </c>
      <c r="J125" s="1313" t="s">
        <v>539</v>
      </c>
      <c r="K125" s="1313" t="s">
        <v>539</v>
      </c>
      <c r="L125" s="1313" t="s">
        <v>539</v>
      </c>
      <c r="M125" s="1313"/>
      <c r="N125" s="1313"/>
      <c r="O125" s="1313" t="s">
        <v>539</v>
      </c>
      <c r="P125" s="1313" t="s">
        <v>539</v>
      </c>
      <c r="Q125" s="1313" t="s">
        <v>539</v>
      </c>
      <c r="R125" s="1313" t="s">
        <v>539</v>
      </c>
      <c r="S125" s="1313" t="s">
        <v>539</v>
      </c>
      <c r="T125" s="1313"/>
      <c r="U125" s="1313"/>
      <c r="V125" s="1313" t="s">
        <v>539</v>
      </c>
      <c r="W125" s="1313" t="s">
        <v>539</v>
      </c>
      <c r="X125" s="1313" t="s">
        <v>539</v>
      </c>
      <c r="Y125" s="1385" t="s">
        <v>539</v>
      </c>
      <c r="Z125" s="1313" t="s">
        <v>539</v>
      </c>
      <c r="AA125" s="1313"/>
      <c r="AB125" s="1313"/>
      <c r="AC125" s="1313" t="s">
        <v>539</v>
      </c>
      <c r="AD125" s="1313" t="s">
        <v>539</v>
      </c>
      <c r="AE125" s="1313" t="s">
        <v>539</v>
      </c>
      <c r="AF125" s="1385" t="s">
        <v>539</v>
      </c>
      <c r="AG125" s="1313" t="s">
        <v>539</v>
      </c>
      <c r="AH125" s="504">
        <v>185</v>
      </c>
      <c r="AI125" s="505">
        <v>37</v>
      </c>
    </row>
    <row r="126" spans="1:35" ht="21.95" customHeight="1">
      <c r="A126" s="580"/>
      <c r="B126" s="1299" t="s">
        <v>720</v>
      </c>
      <c r="C126" s="1299"/>
      <c r="D126" s="1313" t="s">
        <v>540</v>
      </c>
      <c r="E126" s="1313" t="s">
        <v>540</v>
      </c>
      <c r="F126" s="1313"/>
      <c r="G126" s="1313"/>
      <c r="H126" s="1313" t="s">
        <v>540</v>
      </c>
      <c r="I126" s="1313" t="s">
        <v>540</v>
      </c>
      <c r="J126" s="1313" t="s">
        <v>540</v>
      </c>
      <c r="K126" s="1313" t="s">
        <v>540</v>
      </c>
      <c r="L126" s="1313" t="s">
        <v>540</v>
      </c>
      <c r="M126" s="1313"/>
      <c r="N126" s="1313"/>
      <c r="O126" s="1313" t="s">
        <v>540</v>
      </c>
      <c r="P126" s="1313" t="s">
        <v>540</v>
      </c>
      <c r="Q126" s="1313" t="s">
        <v>540</v>
      </c>
      <c r="R126" s="1313" t="s">
        <v>540</v>
      </c>
      <c r="S126" s="1313" t="s">
        <v>540</v>
      </c>
      <c r="T126" s="1313"/>
      <c r="U126" s="1313"/>
      <c r="V126" s="1313" t="s">
        <v>540</v>
      </c>
      <c r="W126" s="1313" t="s">
        <v>540</v>
      </c>
      <c r="X126" s="1313" t="s">
        <v>540</v>
      </c>
      <c r="Y126" s="1385" t="s">
        <v>540</v>
      </c>
      <c r="Z126" s="1313" t="s">
        <v>540</v>
      </c>
      <c r="AA126" s="1313"/>
      <c r="AB126" s="1313"/>
      <c r="AC126" s="1313" t="s">
        <v>540</v>
      </c>
      <c r="AD126" s="1313" t="s">
        <v>540</v>
      </c>
      <c r="AE126" s="1313" t="s">
        <v>540</v>
      </c>
      <c r="AF126" s="1385" t="s">
        <v>540</v>
      </c>
      <c r="AG126" s="1313" t="s">
        <v>540</v>
      </c>
      <c r="AH126" s="504">
        <v>185</v>
      </c>
      <c r="AI126" s="505">
        <v>37</v>
      </c>
    </row>
    <row r="127" spans="1:35" ht="21.95" customHeight="1">
      <c r="A127" s="580"/>
      <c r="B127" s="1299" t="s">
        <v>572</v>
      </c>
      <c r="C127" s="1299"/>
      <c r="D127" s="1313" t="s">
        <v>708</v>
      </c>
      <c r="E127" s="1313" t="s">
        <v>708</v>
      </c>
      <c r="F127" s="1313"/>
      <c r="G127" s="1313"/>
      <c r="H127" s="1313" t="s">
        <v>708</v>
      </c>
      <c r="I127" s="1313" t="s">
        <v>708</v>
      </c>
      <c r="J127" s="1446" t="s">
        <v>708</v>
      </c>
      <c r="K127" s="1446" t="s">
        <v>762</v>
      </c>
      <c r="L127" s="1385" t="s">
        <v>708</v>
      </c>
      <c r="M127" s="1313"/>
      <c r="N127" s="1313"/>
      <c r="O127" s="1313" t="s">
        <v>708</v>
      </c>
      <c r="P127" s="1313" t="s">
        <v>708</v>
      </c>
      <c r="Q127" s="1313" t="s">
        <v>708</v>
      </c>
      <c r="R127" s="1313" t="s">
        <v>708</v>
      </c>
      <c r="S127" s="1313" t="s">
        <v>708</v>
      </c>
      <c r="T127" s="1313"/>
      <c r="U127" s="1313"/>
      <c r="V127" s="1313" t="s">
        <v>708</v>
      </c>
      <c r="W127" s="1313" t="s">
        <v>708</v>
      </c>
      <c r="X127" s="1313" t="s">
        <v>708</v>
      </c>
      <c r="Y127" s="1446" t="s">
        <v>708</v>
      </c>
      <c r="Z127" s="1446" t="s">
        <v>708</v>
      </c>
      <c r="AA127" s="1446"/>
      <c r="AB127" s="1446"/>
      <c r="AC127" s="1446" t="s">
        <v>708</v>
      </c>
      <c r="AD127" s="1446" t="s">
        <v>708</v>
      </c>
      <c r="AE127" s="1446" t="s">
        <v>708</v>
      </c>
      <c r="AF127" s="1446" t="s">
        <v>708</v>
      </c>
      <c r="AG127" s="1446" t="s">
        <v>762</v>
      </c>
      <c r="AH127" s="504">
        <v>185</v>
      </c>
      <c r="AI127" s="505">
        <v>37</v>
      </c>
    </row>
    <row r="128" spans="1:35" ht="21.95" customHeight="1">
      <c r="A128" s="580"/>
      <c r="B128" s="1299" t="s">
        <v>722</v>
      </c>
      <c r="C128" s="1299"/>
      <c r="D128" s="1313" t="s">
        <v>538</v>
      </c>
      <c r="E128" s="1313" t="s">
        <v>538</v>
      </c>
      <c r="F128" s="1313"/>
      <c r="G128" s="1313"/>
      <c r="H128" s="1313" t="s">
        <v>538</v>
      </c>
      <c r="I128" s="1313" t="s">
        <v>538</v>
      </c>
      <c r="J128" s="1313" t="s">
        <v>538</v>
      </c>
      <c r="K128" s="1313" t="s">
        <v>538</v>
      </c>
      <c r="L128" s="1313" t="s">
        <v>538</v>
      </c>
      <c r="M128" s="1313"/>
      <c r="N128" s="1313"/>
      <c r="O128" s="1313" t="s">
        <v>538</v>
      </c>
      <c r="P128" s="1313" t="s">
        <v>538</v>
      </c>
      <c r="Q128" s="1313" t="s">
        <v>538</v>
      </c>
      <c r="R128" s="1379" t="s">
        <v>538</v>
      </c>
      <c r="S128" s="1379" t="s">
        <v>538</v>
      </c>
      <c r="T128" s="1313"/>
      <c r="U128" s="1313"/>
      <c r="V128" s="1313" t="s">
        <v>538</v>
      </c>
      <c r="W128" s="1313" t="s">
        <v>538</v>
      </c>
      <c r="X128" s="1313" t="s">
        <v>538</v>
      </c>
      <c r="Y128" s="1385" t="s">
        <v>538</v>
      </c>
      <c r="Z128" s="1313" t="s">
        <v>538</v>
      </c>
      <c r="AA128" s="1313"/>
      <c r="AB128" s="1313"/>
      <c r="AC128" s="1313" t="s">
        <v>538</v>
      </c>
      <c r="AD128" s="1313" t="s">
        <v>538</v>
      </c>
      <c r="AE128" s="1313" t="s">
        <v>538</v>
      </c>
      <c r="AF128" s="1385" t="s">
        <v>538</v>
      </c>
      <c r="AG128" s="1313" t="s">
        <v>538</v>
      </c>
      <c r="AH128" s="504">
        <v>185</v>
      </c>
      <c r="AI128" s="505">
        <v>37</v>
      </c>
    </row>
    <row r="129" spans="1:35" ht="21.95" customHeight="1">
      <c r="A129" s="580"/>
      <c r="B129" s="1299" t="s">
        <v>723</v>
      </c>
      <c r="C129" s="1299"/>
      <c r="D129" s="1379" t="s">
        <v>711</v>
      </c>
      <c r="E129" s="1379" t="s">
        <v>711</v>
      </c>
      <c r="F129" s="1313"/>
      <c r="G129" s="1313"/>
      <c r="H129" s="1313" t="s">
        <v>711</v>
      </c>
      <c r="I129" s="1313" t="s">
        <v>711</v>
      </c>
      <c r="J129" s="1500" t="s">
        <v>514</v>
      </c>
      <c r="K129" s="1313" t="s">
        <v>711</v>
      </c>
      <c r="L129" s="1313" t="s">
        <v>711</v>
      </c>
      <c r="M129" s="1313"/>
      <c r="N129" s="1313"/>
      <c r="O129" s="1313" t="s">
        <v>711</v>
      </c>
      <c r="P129" s="1313" t="s">
        <v>711</v>
      </c>
      <c r="Q129" s="1313" t="s">
        <v>711</v>
      </c>
      <c r="R129" s="1313" t="s">
        <v>711</v>
      </c>
      <c r="S129" s="1313" t="s">
        <v>711</v>
      </c>
      <c r="T129" s="1313"/>
      <c r="U129" s="1313"/>
      <c r="V129" s="1313" t="s">
        <v>711</v>
      </c>
      <c r="W129" s="1313" t="s">
        <v>711</v>
      </c>
      <c r="X129" s="1313" t="s">
        <v>711</v>
      </c>
      <c r="Y129" s="1385" t="s">
        <v>711</v>
      </c>
      <c r="Z129" s="1313" t="s">
        <v>711</v>
      </c>
      <c r="AA129" s="1313"/>
      <c r="AB129" s="1313"/>
      <c r="AC129" s="1446" t="s">
        <v>732</v>
      </c>
      <c r="AD129" s="1313" t="s">
        <v>711</v>
      </c>
      <c r="AE129" s="1313" t="s">
        <v>711</v>
      </c>
      <c r="AF129" s="1385" t="s">
        <v>711</v>
      </c>
      <c r="AG129" s="1313" t="s">
        <v>711</v>
      </c>
      <c r="AH129" s="504">
        <v>185</v>
      </c>
      <c r="AI129" s="505">
        <v>37</v>
      </c>
    </row>
    <row r="130" spans="1:35" ht="21.95" customHeight="1">
      <c r="A130" s="580"/>
      <c r="B130" s="1299" t="s">
        <v>724</v>
      </c>
      <c r="C130" s="1299"/>
      <c r="D130" s="1313" t="s">
        <v>544</v>
      </c>
      <c r="E130" s="1313" t="s">
        <v>544</v>
      </c>
      <c r="F130" s="1313"/>
      <c r="G130" s="1313"/>
      <c r="H130" s="1313" t="s">
        <v>544</v>
      </c>
      <c r="I130" s="1313" t="s">
        <v>544</v>
      </c>
      <c r="J130" s="1313" t="s">
        <v>544</v>
      </c>
      <c r="K130" s="1313" t="s">
        <v>544</v>
      </c>
      <c r="L130" s="1313" t="s">
        <v>544</v>
      </c>
      <c r="M130" s="1313"/>
      <c r="N130" s="1313"/>
      <c r="O130" s="1313" t="s">
        <v>544</v>
      </c>
      <c r="P130" s="1313" t="s">
        <v>544</v>
      </c>
      <c r="Q130" s="1446" t="s">
        <v>544</v>
      </c>
      <c r="R130" s="1446" t="s">
        <v>544</v>
      </c>
      <c r="S130" s="1446" t="s">
        <v>811</v>
      </c>
      <c r="T130" s="1313"/>
      <c r="U130" s="1313"/>
      <c r="V130" s="1313" t="s">
        <v>544</v>
      </c>
      <c r="W130" s="1313" t="s">
        <v>544</v>
      </c>
      <c r="X130" s="1313" t="s">
        <v>544</v>
      </c>
      <c r="Y130" s="1385" t="s">
        <v>544</v>
      </c>
      <c r="Z130" s="1313" t="s">
        <v>544</v>
      </c>
      <c r="AA130" s="1313"/>
      <c r="AB130" s="1313"/>
      <c r="AC130" s="1313" t="s">
        <v>544</v>
      </c>
      <c r="AD130" s="1313" t="s">
        <v>544</v>
      </c>
      <c r="AE130" s="1313" t="s">
        <v>544</v>
      </c>
      <c r="AF130" s="1385" t="s">
        <v>544</v>
      </c>
      <c r="AG130" s="1313" t="s">
        <v>544</v>
      </c>
      <c r="AH130" s="504">
        <v>185</v>
      </c>
      <c r="AI130" s="505">
        <v>37</v>
      </c>
    </row>
    <row r="131" spans="1:35" ht="21.95" customHeight="1">
      <c r="A131" s="580"/>
      <c r="B131" s="1502"/>
      <c r="C131" s="1502"/>
      <c r="D131" s="559"/>
      <c r="E131" s="559"/>
      <c r="F131" s="559"/>
      <c r="G131" s="559"/>
      <c r="H131" s="559"/>
      <c r="I131" s="559"/>
      <c r="J131" s="559"/>
      <c r="K131" s="559"/>
      <c r="L131" s="559"/>
      <c r="M131" s="559"/>
      <c r="N131" s="559"/>
      <c r="O131" s="559"/>
      <c r="P131" s="559"/>
      <c r="Q131" s="559"/>
      <c r="R131" s="559"/>
      <c r="S131" s="559"/>
      <c r="T131" s="559"/>
      <c r="U131" s="559"/>
      <c r="V131" s="559"/>
      <c r="W131" s="559"/>
      <c r="X131" s="559"/>
      <c r="Y131" s="559"/>
      <c r="Z131" s="559"/>
      <c r="AA131" s="559"/>
      <c r="AB131" s="559"/>
      <c r="AC131" s="559"/>
      <c r="AD131" s="559"/>
      <c r="AE131" s="559"/>
      <c r="AF131" s="559"/>
      <c r="AG131" s="559"/>
      <c r="AH131" s="560"/>
      <c r="AI131" s="560"/>
    </row>
    <row r="132" spans="1:35" ht="21.95" customHeight="1" thickBot="1">
      <c r="A132" s="1303" t="s">
        <v>744</v>
      </c>
      <c r="B132" s="541" t="s">
        <v>763</v>
      </c>
      <c r="C132" s="559"/>
      <c r="D132" s="541"/>
      <c r="E132" s="541"/>
      <c r="F132" s="541"/>
      <c r="G132" s="541"/>
      <c r="H132" s="541"/>
      <c r="I132" s="559"/>
      <c r="J132" s="559"/>
      <c r="K132" s="541"/>
      <c r="L132" s="541"/>
      <c r="M132" s="541"/>
      <c r="N132" s="541"/>
      <c r="O132" s="541"/>
      <c r="P132" s="541"/>
      <c r="Q132" s="559"/>
      <c r="R132" s="541"/>
      <c r="S132" s="541"/>
      <c r="T132" s="541"/>
      <c r="U132" s="541"/>
      <c r="V132" s="541"/>
      <c r="W132" s="559"/>
      <c r="X132" s="559"/>
      <c r="Y132" s="541"/>
      <c r="Z132" s="541"/>
      <c r="AA132" s="541"/>
      <c r="AB132" s="541"/>
      <c r="AC132" s="541"/>
      <c r="AD132" s="541"/>
      <c r="AE132" s="559"/>
      <c r="AF132" s="541"/>
      <c r="AG132" s="541"/>
      <c r="AH132" s="560"/>
      <c r="AI132" s="560"/>
    </row>
    <row r="133" spans="1:35" ht="21.95" customHeight="1">
      <c r="A133" s="580"/>
      <c r="B133" s="1304" t="s">
        <v>696</v>
      </c>
      <c r="C133" s="1312"/>
      <c r="D133" s="1305" t="s">
        <v>2</v>
      </c>
      <c r="E133" s="1306"/>
      <c r="F133" s="1307"/>
      <c r="G133" s="1308"/>
      <c r="H133" s="1305" t="s">
        <v>3</v>
      </c>
      <c r="I133" s="1306"/>
      <c r="J133" s="1307"/>
      <c r="K133" s="1308"/>
      <c r="L133" s="1305" t="s">
        <v>4</v>
      </c>
      <c r="M133" s="1306"/>
      <c r="N133" s="1307"/>
      <c r="O133" s="1308"/>
      <c r="P133" s="1305" t="s">
        <v>5</v>
      </c>
      <c r="Q133" s="1306"/>
      <c r="R133" s="1307"/>
      <c r="S133" s="1308"/>
      <c r="T133" s="1305" t="s">
        <v>6</v>
      </c>
      <c r="U133" s="1306"/>
      <c r="V133" s="1307"/>
      <c r="W133" s="1308"/>
      <c r="X133" s="1305" t="s">
        <v>7</v>
      </c>
      <c r="Y133" s="1306"/>
      <c r="Z133" s="1307"/>
      <c r="AA133" s="1308"/>
      <c r="AB133" s="1305" t="s">
        <v>8</v>
      </c>
      <c r="AC133" s="1306"/>
      <c r="AD133" s="1306"/>
      <c r="AE133" s="1309" t="s">
        <v>10</v>
      </c>
      <c r="AF133" s="1306"/>
      <c r="AG133" s="1306"/>
      <c r="AH133" s="1306"/>
      <c r="AI133" s="1310"/>
    </row>
    <row r="134" spans="1:35" ht="21.95" customHeight="1">
      <c r="A134" s="580"/>
      <c r="B134" s="1332"/>
      <c r="C134" s="1313"/>
      <c r="D134" s="1331"/>
      <c r="E134" s="1314"/>
      <c r="F134" s="1311"/>
      <c r="G134" s="1313"/>
      <c r="H134" s="1331"/>
      <c r="I134" s="1314"/>
      <c r="J134" s="1311"/>
      <c r="K134" s="1313"/>
      <c r="L134" s="1331"/>
      <c r="M134" s="1314"/>
      <c r="N134" s="1311"/>
      <c r="O134" s="1313"/>
      <c r="P134" s="1331"/>
      <c r="Q134" s="1314"/>
      <c r="R134" s="1311"/>
      <c r="S134" s="1313"/>
      <c r="T134" s="1331"/>
      <c r="U134" s="1314"/>
      <c r="V134" s="1311"/>
      <c r="W134" s="1313"/>
      <c r="X134" s="1314"/>
      <c r="Y134" s="1314"/>
      <c r="Z134" s="1311"/>
      <c r="AA134" s="1313"/>
      <c r="AB134" s="1314"/>
      <c r="AC134" s="1314"/>
      <c r="AD134" s="1314"/>
      <c r="AE134" s="1313"/>
      <c r="AF134" s="1314"/>
      <c r="AG134" s="1314"/>
      <c r="AH134" s="1316"/>
      <c r="AI134" s="1317"/>
    </row>
    <row r="135" spans="1:35" ht="21.95" customHeight="1">
      <c r="A135" s="580"/>
      <c r="B135" s="1333"/>
      <c r="C135" s="1313"/>
      <c r="D135" s="1331"/>
      <c r="E135" s="1314"/>
      <c r="F135" s="1311"/>
      <c r="G135" s="1313"/>
      <c r="H135" s="1331"/>
      <c r="I135" s="1314"/>
      <c r="J135" s="1311"/>
      <c r="K135" s="1313"/>
      <c r="L135" s="1331"/>
      <c r="M135" s="1314"/>
      <c r="N135" s="1311"/>
      <c r="O135" s="1313"/>
      <c r="P135" s="1331"/>
      <c r="Q135" s="1314"/>
      <c r="R135" s="1311"/>
      <c r="S135" s="1313"/>
      <c r="T135" s="1331"/>
      <c r="U135" s="1314"/>
      <c r="V135" s="1311"/>
      <c r="W135" s="1313"/>
      <c r="X135" s="1314"/>
      <c r="Y135" s="1314"/>
      <c r="Z135" s="1311"/>
      <c r="AA135" s="1313"/>
      <c r="AB135" s="1314"/>
      <c r="AC135" s="1314"/>
      <c r="AD135" s="1314"/>
      <c r="AE135" s="1313"/>
      <c r="AF135" s="1314"/>
      <c r="AG135" s="1314"/>
      <c r="AH135" s="1316"/>
      <c r="AI135" s="1317"/>
    </row>
    <row r="136" spans="1:35" ht="21.95" customHeight="1">
      <c r="A136" s="580"/>
      <c r="B136" s="1333"/>
      <c r="C136" s="1313"/>
      <c r="D136" s="1331"/>
      <c r="E136" s="1314"/>
      <c r="F136" s="1311"/>
      <c r="G136" s="1313"/>
      <c r="H136" s="1331"/>
      <c r="I136" s="1314"/>
      <c r="J136" s="1311"/>
      <c r="K136" s="1313"/>
      <c r="L136" s="1331"/>
      <c r="M136" s="1314"/>
      <c r="N136" s="1311"/>
      <c r="O136" s="1313"/>
      <c r="P136" s="1331"/>
      <c r="Q136" s="1314"/>
      <c r="R136" s="1311"/>
      <c r="S136" s="1313"/>
      <c r="T136" s="1331"/>
      <c r="U136" s="1314"/>
      <c r="V136" s="1311"/>
      <c r="W136" s="1313"/>
      <c r="X136" s="1314"/>
      <c r="Y136" s="1314"/>
      <c r="Z136" s="1311"/>
      <c r="AA136" s="1313"/>
      <c r="AB136" s="1314"/>
      <c r="AC136" s="1314"/>
      <c r="AD136" s="1314"/>
      <c r="AE136" s="1313"/>
      <c r="AF136" s="1314"/>
      <c r="AG136" s="1314"/>
      <c r="AH136" s="1316"/>
      <c r="AI136" s="1317"/>
    </row>
    <row r="137" spans="1:35" ht="21.95" customHeight="1" thickBot="1">
      <c r="A137" s="580"/>
      <c r="B137" s="1502"/>
      <c r="C137" s="1502"/>
      <c r="D137" s="559"/>
      <c r="E137" s="559"/>
      <c r="F137" s="559"/>
      <c r="G137" s="559"/>
      <c r="H137" s="559"/>
      <c r="I137" s="559"/>
      <c r="J137" s="559"/>
      <c r="K137" s="559"/>
      <c r="L137" s="559"/>
      <c r="M137" s="559"/>
      <c r="N137" s="559"/>
      <c r="O137" s="559"/>
      <c r="P137" s="559"/>
      <c r="Q137" s="559"/>
      <c r="R137" s="559"/>
      <c r="S137" s="559"/>
      <c r="T137" s="559"/>
      <c r="U137" s="559"/>
      <c r="V137" s="559"/>
      <c r="W137" s="559"/>
      <c r="X137" s="559"/>
      <c r="Y137" s="559"/>
      <c r="Z137" s="559"/>
      <c r="AA137" s="559"/>
      <c r="AB137" s="559"/>
      <c r="AC137" s="559"/>
      <c r="AD137" s="559"/>
      <c r="AE137" s="559"/>
      <c r="AF137" s="559"/>
      <c r="AG137" s="559"/>
      <c r="AH137" s="560"/>
      <c r="AI137" s="560"/>
    </row>
    <row r="138" spans="1:35" ht="21.95" customHeight="1">
      <c r="A138" s="1232"/>
      <c r="B138" s="1298" t="s">
        <v>480</v>
      </c>
      <c r="C138" s="1235">
        <v>1</v>
      </c>
      <c r="D138" s="1234">
        <v>2</v>
      </c>
      <c r="E138" s="1234">
        <v>3</v>
      </c>
      <c r="F138" s="1235">
        <v>4</v>
      </c>
      <c r="G138" s="1235">
        <v>5</v>
      </c>
      <c r="H138" s="1234">
        <v>6</v>
      </c>
      <c r="I138" s="1213">
        <v>7</v>
      </c>
      <c r="J138" s="1213">
        <v>8</v>
      </c>
      <c r="K138" s="1234">
        <v>9</v>
      </c>
      <c r="L138" s="1234">
        <v>10</v>
      </c>
      <c r="M138" s="1235">
        <v>11</v>
      </c>
      <c r="N138" s="1235">
        <v>12</v>
      </c>
      <c r="O138" s="1234">
        <v>13</v>
      </c>
      <c r="P138" s="1213">
        <v>14</v>
      </c>
      <c r="Q138" s="1213">
        <v>15</v>
      </c>
      <c r="R138" s="1234">
        <v>16</v>
      </c>
      <c r="S138" s="1234">
        <v>17</v>
      </c>
      <c r="T138" s="1235">
        <v>18</v>
      </c>
      <c r="U138" s="1235">
        <v>19</v>
      </c>
      <c r="V138" s="1213">
        <v>20</v>
      </c>
      <c r="W138" s="1213">
        <v>21</v>
      </c>
      <c r="X138" s="1213">
        <v>22</v>
      </c>
      <c r="Y138" s="1234">
        <v>23</v>
      </c>
      <c r="Z138" s="1234">
        <v>24</v>
      </c>
      <c r="AA138" s="1235">
        <v>25</v>
      </c>
      <c r="AB138" s="1235">
        <v>26</v>
      </c>
      <c r="AC138" s="1234">
        <v>27</v>
      </c>
      <c r="AD138" s="1213">
        <v>28</v>
      </c>
      <c r="AE138" s="1213">
        <v>29</v>
      </c>
      <c r="AF138" s="1234">
        <v>30</v>
      </c>
      <c r="AG138" s="1234">
        <v>31</v>
      </c>
      <c r="AH138" s="1301" t="s">
        <v>481</v>
      </c>
      <c r="AI138" s="1302" t="s">
        <v>482</v>
      </c>
    </row>
    <row r="139" spans="1:35" ht="21.95" customHeight="1">
      <c r="A139" s="580"/>
      <c r="B139" s="1300" t="s">
        <v>746</v>
      </c>
      <c r="C139" s="1215"/>
      <c r="D139" s="1215" t="s">
        <v>535</v>
      </c>
      <c r="E139" s="1215" t="s">
        <v>535</v>
      </c>
      <c r="F139" s="1215"/>
      <c r="G139" s="1215"/>
      <c r="H139" s="1215" t="s">
        <v>535</v>
      </c>
      <c r="I139" s="1215" t="s">
        <v>535</v>
      </c>
      <c r="J139" s="1500" t="s">
        <v>514</v>
      </c>
      <c r="K139" s="1215" t="s">
        <v>535</v>
      </c>
      <c r="L139" s="1215" t="s">
        <v>535</v>
      </c>
      <c r="M139" s="1215"/>
      <c r="N139" s="1215"/>
      <c r="O139" s="1215" t="s">
        <v>535</v>
      </c>
      <c r="P139" s="1215" t="s">
        <v>535</v>
      </c>
      <c r="Q139" s="1215" t="s">
        <v>535</v>
      </c>
      <c r="R139" s="1215" t="s">
        <v>535</v>
      </c>
      <c r="S139" s="1215" t="s">
        <v>535</v>
      </c>
      <c r="T139" s="1215"/>
      <c r="U139" s="1215"/>
      <c r="V139" s="1215" t="s">
        <v>535</v>
      </c>
      <c r="W139" s="1215" t="s">
        <v>535</v>
      </c>
      <c r="X139" s="1215" t="s">
        <v>535</v>
      </c>
      <c r="Y139" s="1215" t="s">
        <v>535</v>
      </c>
      <c r="Z139" s="1215" t="s">
        <v>535</v>
      </c>
      <c r="AA139" s="1215"/>
      <c r="AB139" s="1215"/>
      <c r="AC139" s="1215" t="s">
        <v>535</v>
      </c>
      <c r="AD139" s="1215" t="s">
        <v>535</v>
      </c>
      <c r="AE139" s="1215" t="s">
        <v>535</v>
      </c>
      <c r="AF139" s="1215" t="s">
        <v>535</v>
      </c>
      <c r="AG139" s="1215" t="s">
        <v>535</v>
      </c>
      <c r="AH139" s="504">
        <v>185</v>
      </c>
      <c r="AI139" s="505">
        <v>37</v>
      </c>
    </row>
    <row r="140" spans="1:35" ht="21.95" customHeight="1">
      <c r="A140" s="580"/>
      <c r="B140" s="1300" t="s">
        <v>764</v>
      </c>
      <c r="C140" s="1215"/>
      <c r="D140" s="1215" t="s">
        <v>535</v>
      </c>
      <c r="E140" s="1215" t="s">
        <v>535</v>
      </c>
      <c r="F140" s="1215"/>
      <c r="G140" s="1215"/>
      <c r="H140" s="1215" t="s">
        <v>535</v>
      </c>
      <c r="I140" s="1215" t="s">
        <v>535</v>
      </c>
      <c r="J140" s="1215" t="s">
        <v>535</v>
      </c>
      <c r="K140" s="1215" t="s">
        <v>535</v>
      </c>
      <c r="L140" s="1215" t="s">
        <v>535</v>
      </c>
      <c r="M140" s="1215"/>
      <c r="N140" s="1215"/>
      <c r="O140" s="1215" t="s">
        <v>535</v>
      </c>
      <c r="P140" s="1215" t="s">
        <v>535</v>
      </c>
      <c r="Q140" s="1215" t="s">
        <v>535</v>
      </c>
      <c r="R140" s="1215" t="s">
        <v>535</v>
      </c>
      <c r="S140" s="1215" t="s">
        <v>535</v>
      </c>
      <c r="T140" s="1215"/>
      <c r="U140" s="1215"/>
      <c r="V140" s="1215" t="s">
        <v>535</v>
      </c>
      <c r="W140" s="1215" t="s">
        <v>535</v>
      </c>
      <c r="X140" s="1215" t="s">
        <v>535</v>
      </c>
      <c r="Y140" s="1215" t="s">
        <v>535</v>
      </c>
      <c r="Z140" s="1215" t="s">
        <v>535</v>
      </c>
      <c r="AA140" s="1215"/>
      <c r="AB140" s="1215"/>
      <c r="AC140" s="1338" t="s">
        <v>535</v>
      </c>
      <c r="AD140" s="1338" t="s">
        <v>535</v>
      </c>
      <c r="AE140" s="1338" t="s">
        <v>535</v>
      </c>
      <c r="AF140" s="1338" t="s">
        <v>535</v>
      </c>
      <c r="AG140" s="1338" t="s">
        <v>535</v>
      </c>
      <c r="AH140" s="504">
        <v>185</v>
      </c>
      <c r="AI140" s="505">
        <v>37</v>
      </c>
    </row>
    <row r="141" spans="1:35" ht="21.95" customHeight="1">
      <c r="A141" s="580"/>
      <c r="B141" s="1300" t="s">
        <v>748</v>
      </c>
      <c r="C141" s="1215"/>
      <c r="D141" s="1215" t="s">
        <v>535</v>
      </c>
      <c r="E141" s="1215" t="s">
        <v>535</v>
      </c>
      <c r="F141" s="1215"/>
      <c r="G141" s="1215"/>
      <c r="H141" s="1215" t="s">
        <v>535</v>
      </c>
      <c r="I141" s="1215" t="s">
        <v>535</v>
      </c>
      <c r="J141" s="1500" t="s">
        <v>514</v>
      </c>
      <c r="K141" s="1215" t="s">
        <v>535</v>
      </c>
      <c r="L141" s="1215" t="s">
        <v>535</v>
      </c>
      <c r="M141" s="1215"/>
      <c r="N141" s="1215"/>
      <c r="O141" s="1215" t="s">
        <v>535</v>
      </c>
      <c r="P141" s="1215" t="s">
        <v>535</v>
      </c>
      <c r="Q141" s="1215" t="s">
        <v>535</v>
      </c>
      <c r="R141" s="1215" t="s">
        <v>535</v>
      </c>
      <c r="S141" s="1215" t="s">
        <v>535</v>
      </c>
      <c r="T141" s="1215"/>
      <c r="U141" s="1215"/>
      <c r="V141" s="1215" t="s">
        <v>535</v>
      </c>
      <c r="W141" s="1215" t="s">
        <v>535</v>
      </c>
      <c r="X141" s="1215" t="s">
        <v>535</v>
      </c>
      <c r="Y141" s="1215" t="s">
        <v>535</v>
      </c>
      <c r="Z141" s="1215" t="s">
        <v>535</v>
      </c>
      <c r="AA141" s="1215"/>
      <c r="AB141" s="1215"/>
      <c r="AC141" s="1215" t="s">
        <v>535</v>
      </c>
      <c r="AD141" s="1215" t="s">
        <v>535</v>
      </c>
      <c r="AE141" s="1215" t="s">
        <v>535</v>
      </c>
      <c r="AF141" s="1215" t="s">
        <v>535</v>
      </c>
      <c r="AG141" s="1215" t="s">
        <v>535</v>
      </c>
      <c r="AH141" s="504">
        <v>185</v>
      </c>
      <c r="AI141" s="505">
        <v>37</v>
      </c>
    </row>
    <row r="142" spans="1:35" ht="21.95" customHeight="1">
      <c r="A142" s="580"/>
      <c r="B142" s="1509" t="s">
        <v>750</v>
      </c>
      <c r="C142" s="1215"/>
      <c r="D142" s="1215" t="s">
        <v>535</v>
      </c>
      <c r="E142" s="1215" t="s">
        <v>535</v>
      </c>
      <c r="F142" s="1215"/>
      <c r="G142" s="1215"/>
      <c r="H142" s="1215" t="s">
        <v>535</v>
      </c>
      <c r="I142" s="1215" t="s">
        <v>535</v>
      </c>
      <c r="J142" s="1215" t="s">
        <v>535</v>
      </c>
      <c r="K142" s="1215" t="s">
        <v>535</v>
      </c>
      <c r="L142" s="1215" t="s">
        <v>535</v>
      </c>
      <c r="M142" s="1215"/>
      <c r="N142" s="1215"/>
      <c r="O142" s="1215" t="s">
        <v>535</v>
      </c>
      <c r="P142" s="1215" t="s">
        <v>535</v>
      </c>
      <c r="Q142" s="1215" t="s">
        <v>535</v>
      </c>
      <c r="R142" s="1215" t="s">
        <v>535</v>
      </c>
      <c r="S142" s="1215" t="s">
        <v>535</v>
      </c>
      <c r="T142" s="1215"/>
      <c r="U142" s="1215"/>
      <c r="V142" s="1215" t="s">
        <v>535</v>
      </c>
      <c r="W142" s="1215" t="s">
        <v>535</v>
      </c>
      <c r="X142" s="1215" t="s">
        <v>535</v>
      </c>
      <c r="Y142" s="1215" t="s">
        <v>535</v>
      </c>
      <c r="Z142" s="1215" t="s">
        <v>535</v>
      </c>
      <c r="AA142" s="1215"/>
      <c r="AB142" s="1215"/>
      <c r="AC142" s="1215" t="s">
        <v>535</v>
      </c>
      <c r="AD142" s="1215" t="s">
        <v>535</v>
      </c>
      <c r="AE142" s="1215" t="s">
        <v>535</v>
      </c>
      <c r="AF142" s="1215" t="s">
        <v>535</v>
      </c>
      <c r="AG142" s="1215" t="s">
        <v>535</v>
      </c>
      <c r="AH142" s="504">
        <v>185</v>
      </c>
      <c r="AI142" s="505">
        <v>37</v>
      </c>
    </row>
    <row r="143" spans="1:35" ht="21.95" customHeight="1">
      <c r="A143" s="580"/>
      <c r="B143" s="1300" t="s">
        <v>786</v>
      </c>
      <c r="C143" s="1215"/>
      <c r="D143" s="1215" t="s">
        <v>535</v>
      </c>
      <c r="E143" s="1215" t="s">
        <v>535</v>
      </c>
      <c r="F143" s="1215"/>
      <c r="G143" s="1215"/>
      <c r="H143" s="1215" t="s">
        <v>535</v>
      </c>
      <c r="I143" s="1215" t="s">
        <v>535</v>
      </c>
      <c r="J143" s="1215" t="s">
        <v>535</v>
      </c>
      <c r="K143" s="1215" t="s">
        <v>535</v>
      </c>
      <c r="L143" s="1215" t="s">
        <v>535</v>
      </c>
      <c r="M143" s="1215"/>
      <c r="N143" s="1215"/>
      <c r="O143" s="1215" t="s">
        <v>535</v>
      </c>
      <c r="P143" s="1215" t="s">
        <v>535</v>
      </c>
      <c r="Q143" s="1215" t="s">
        <v>535</v>
      </c>
      <c r="R143" s="1215" t="s">
        <v>535</v>
      </c>
      <c r="S143" s="1215" t="s">
        <v>535</v>
      </c>
      <c r="T143" s="1215"/>
      <c r="U143" s="1215"/>
      <c r="V143" s="1215" t="s">
        <v>535</v>
      </c>
      <c r="W143" s="1215" t="s">
        <v>535</v>
      </c>
      <c r="X143" s="1392" t="s">
        <v>535</v>
      </c>
      <c r="Y143" s="1392" t="s">
        <v>535</v>
      </c>
      <c r="Z143" s="1392" t="s">
        <v>570</v>
      </c>
      <c r="AA143" s="1344"/>
      <c r="AB143" s="1344"/>
      <c r="AC143" s="1344" t="s">
        <v>535</v>
      </c>
      <c r="AD143" s="1344" t="s">
        <v>535</v>
      </c>
      <c r="AE143" s="1215" t="s">
        <v>535</v>
      </c>
      <c r="AF143" s="1215" t="s">
        <v>535</v>
      </c>
      <c r="AG143" s="1215" t="s">
        <v>535</v>
      </c>
      <c r="AH143" s="504">
        <v>185</v>
      </c>
      <c r="AI143" s="505">
        <v>37</v>
      </c>
    </row>
    <row r="144" spans="1:35" ht="21.95" customHeight="1">
      <c r="A144" s="580"/>
      <c r="B144" s="1299"/>
      <c r="C144" s="1215"/>
      <c r="D144" s="1215" t="s">
        <v>535</v>
      </c>
      <c r="E144" s="1215" t="s">
        <v>535</v>
      </c>
      <c r="F144" s="1215"/>
      <c r="G144" s="1215"/>
      <c r="H144" s="1215" t="s">
        <v>535</v>
      </c>
      <c r="I144" s="1215" t="s">
        <v>535</v>
      </c>
      <c r="J144" s="1215" t="s">
        <v>535</v>
      </c>
      <c r="K144" s="1215" t="s">
        <v>535</v>
      </c>
      <c r="L144" s="1215" t="s">
        <v>535</v>
      </c>
      <c r="M144" s="1215"/>
      <c r="N144" s="1215"/>
      <c r="O144" s="1215" t="s">
        <v>535</v>
      </c>
      <c r="P144" s="1215" t="s">
        <v>535</v>
      </c>
      <c r="Q144" s="1215" t="s">
        <v>535</v>
      </c>
      <c r="R144" s="1215" t="s">
        <v>535</v>
      </c>
      <c r="S144" s="1215" t="s">
        <v>535</v>
      </c>
      <c r="T144" s="1215"/>
      <c r="U144" s="1215"/>
      <c r="V144" s="1215" t="s">
        <v>535</v>
      </c>
      <c r="W144" s="1215" t="s">
        <v>535</v>
      </c>
      <c r="X144" s="1215" t="s">
        <v>535</v>
      </c>
      <c r="Y144" s="1215" t="s">
        <v>535</v>
      </c>
      <c r="Z144" s="1215" t="s">
        <v>535</v>
      </c>
      <c r="AA144" s="1215"/>
      <c r="AB144" s="1215"/>
      <c r="AC144" s="1215" t="s">
        <v>535</v>
      </c>
      <c r="AD144" s="1215" t="s">
        <v>535</v>
      </c>
      <c r="AE144" s="1215" t="s">
        <v>535</v>
      </c>
      <c r="AF144" s="1215" t="s">
        <v>535</v>
      </c>
      <c r="AG144" s="1215" t="s">
        <v>535</v>
      </c>
      <c r="AH144" s="504">
        <v>185</v>
      </c>
      <c r="AI144" s="505">
        <v>37</v>
      </c>
    </row>
    <row r="145" spans="1:36" ht="21.95" customHeight="1">
      <c r="A145" s="580"/>
      <c r="B145" s="1502"/>
      <c r="C145" s="1502"/>
      <c r="D145" s="559"/>
      <c r="E145" s="559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59"/>
      <c r="AE145" s="559"/>
      <c r="AF145" s="559"/>
      <c r="AG145" s="559"/>
      <c r="AH145" s="560"/>
      <c r="AI145" s="560"/>
    </row>
    <row r="146" spans="1:36" ht="21.95" customHeight="1" thickBot="1">
      <c r="A146" s="1303" t="s">
        <v>751</v>
      </c>
      <c r="B146" s="541"/>
      <c r="C146" s="559"/>
      <c r="D146" s="541"/>
      <c r="E146" s="541"/>
      <c r="F146" s="541"/>
      <c r="G146" s="541"/>
      <c r="H146" s="541"/>
      <c r="I146" s="559"/>
      <c r="J146" s="559"/>
      <c r="K146" s="541"/>
      <c r="L146" s="541"/>
      <c r="M146" s="541"/>
      <c r="N146" s="541"/>
      <c r="O146" s="541"/>
      <c r="P146" s="541"/>
      <c r="Q146" s="559"/>
      <c r="R146" s="541"/>
      <c r="S146" s="541"/>
      <c r="T146" s="541"/>
      <c r="U146" s="541"/>
      <c r="V146" s="541"/>
      <c r="W146" s="559"/>
      <c r="X146" s="559"/>
      <c r="Y146" s="541"/>
      <c r="Z146" s="541"/>
      <c r="AA146" s="541"/>
      <c r="AB146" s="541"/>
      <c r="AC146" s="541"/>
      <c r="AD146" s="541"/>
      <c r="AE146" s="559"/>
      <c r="AF146" s="541"/>
      <c r="AG146" s="541"/>
      <c r="AH146" s="560"/>
      <c r="AI146" s="560"/>
    </row>
    <row r="147" spans="1:36" ht="21.95" customHeight="1">
      <c r="A147" s="580"/>
      <c r="B147" s="1304" t="s">
        <v>696</v>
      </c>
      <c r="C147" s="1312"/>
      <c r="D147" s="1305" t="s">
        <v>2</v>
      </c>
      <c r="E147" s="1306"/>
      <c r="F147" s="1307"/>
      <c r="G147" s="1308"/>
      <c r="H147" s="1305" t="s">
        <v>3</v>
      </c>
      <c r="I147" s="1306"/>
      <c r="J147" s="1307"/>
      <c r="K147" s="1308"/>
      <c r="L147" s="1305" t="s">
        <v>4</v>
      </c>
      <c r="M147" s="1306"/>
      <c r="N147" s="1307"/>
      <c r="O147" s="1308"/>
      <c r="P147" s="1305" t="s">
        <v>5</v>
      </c>
      <c r="Q147" s="1306"/>
      <c r="R147" s="1307"/>
      <c r="S147" s="1308"/>
      <c r="T147" s="1305" t="s">
        <v>6</v>
      </c>
      <c r="U147" s="1306"/>
      <c r="V147" s="1307"/>
      <c r="W147" s="1308"/>
      <c r="X147" s="1305" t="s">
        <v>7</v>
      </c>
      <c r="Y147" s="1306"/>
      <c r="Z147" s="1307"/>
      <c r="AA147" s="1308"/>
      <c r="AB147" s="1305" t="s">
        <v>8</v>
      </c>
      <c r="AC147" s="1306"/>
      <c r="AD147" s="1306"/>
      <c r="AE147" s="1309" t="s">
        <v>10</v>
      </c>
      <c r="AF147" s="1306"/>
      <c r="AG147" s="1306"/>
      <c r="AH147" s="1306"/>
      <c r="AI147" s="1310"/>
    </row>
    <row r="148" spans="1:36" ht="21.95" customHeight="1">
      <c r="A148" s="580"/>
      <c r="B148" s="1332"/>
      <c r="C148" s="1313"/>
      <c r="D148" s="1331"/>
      <c r="E148" s="1314"/>
      <c r="F148" s="1311"/>
      <c r="G148" s="1313"/>
      <c r="H148" s="1331"/>
      <c r="I148" s="1314"/>
      <c r="J148" s="1311"/>
      <c r="K148" s="1313"/>
      <c r="L148" s="1331"/>
      <c r="M148" s="1314"/>
      <c r="N148" s="1311"/>
      <c r="O148" s="1313"/>
      <c r="P148" s="1331"/>
      <c r="Q148" s="1314"/>
      <c r="R148" s="1311"/>
      <c r="S148" s="1313"/>
      <c r="T148" s="1331"/>
      <c r="U148" s="1314"/>
      <c r="V148" s="1311"/>
      <c r="W148" s="1313"/>
      <c r="X148" s="1314"/>
      <c r="Y148" s="1314"/>
      <c r="Z148" s="1311"/>
      <c r="AA148" s="1313"/>
      <c r="AB148" s="1314"/>
      <c r="AC148" s="1314"/>
      <c r="AD148" s="1314"/>
      <c r="AE148" s="1313"/>
      <c r="AF148" s="1314"/>
      <c r="AG148" s="1314"/>
      <c r="AH148" s="1316"/>
      <c r="AI148" s="1317"/>
    </row>
    <row r="149" spans="1:36" ht="21.95" customHeight="1">
      <c r="A149" s="580"/>
      <c r="B149" s="1333"/>
      <c r="C149" s="1313"/>
      <c r="D149" s="1331"/>
      <c r="E149" s="1314"/>
      <c r="F149" s="1311"/>
      <c r="G149" s="1313"/>
      <c r="H149" s="1331"/>
      <c r="I149" s="1314"/>
      <c r="J149" s="1311"/>
      <c r="K149" s="1313"/>
      <c r="L149" s="1331"/>
      <c r="M149" s="1314"/>
      <c r="N149" s="1311"/>
      <c r="O149" s="1313"/>
      <c r="P149" s="1331"/>
      <c r="Q149" s="1314"/>
      <c r="R149" s="1311"/>
      <c r="S149" s="1313"/>
      <c r="T149" s="1331"/>
      <c r="U149" s="1314"/>
      <c r="V149" s="1311"/>
      <c r="W149" s="1313"/>
      <c r="X149" s="1314"/>
      <c r="Y149" s="1314"/>
      <c r="Z149" s="1311"/>
      <c r="AA149" s="1313"/>
      <c r="AB149" s="1314"/>
      <c r="AC149" s="1314"/>
      <c r="AD149" s="1314"/>
      <c r="AE149" s="1313"/>
      <c r="AF149" s="1314"/>
      <c r="AG149" s="1314"/>
      <c r="AH149" s="1316"/>
      <c r="AI149" s="1317"/>
    </row>
    <row r="150" spans="1:36" ht="21.95" customHeight="1">
      <c r="A150" s="580"/>
      <c r="B150" s="1333"/>
      <c r="C150" s="1313"/>
      <c r="D150" s="1331"/>
      <c r="E150" s="1314"/>
      <c r="F150" s="1311"/>
      <c r="G150" s="1313"/>
      <c r="H150" s="1331"/>
      <c r="I150" s="1314"/>
      <c r="J150" s="1311"/>
      <c r="K150" s="1313"/>
      <c r="L150" s="1331"/>
      <c r="M150" s="1314"/>
      <c r="N150" s="1311"/>
      <c r="O150" s="1313"/>
      <c r="P150" s="1331"/>
      <c r="Q150" s="1314"/>
      <c r="R150" s="1311"/>
      <c r="S150" s="1313"/>
      <c r="T150" s="1331"/>
      <c r="U150" s="1314"/>
      <c r="V150" s="1311"/>
      <c r="W150" s="1313"/>
      <c r="X150" s="1314"/>
      <c r="Y150" s="1314"/>
      <c r="Z150" s="1311"/>
      <c r="AA150" s="1313"/>
      <c r="AB150" s="1314"/>
      <c r="AC150" s="1314"/>
      <c r="AD150" s="1314"/>
      <c r="AE150" s="1313"/>
      <c r="AF150" s="1314"/>
      <c r="AG150" s="1314"/>
      <c r="AH150" s="1316"/>
      <c r="AI150" s="1317"/>
    </row>
    <row r="151" spans="1:36" ht="21.95" customHeight="1" thickBot="1">
      <c r="A151" s="580"/>
      <c r="B151" s="1502"/>
      <c r="C151" s="1502"/>
      <c r="D151" s="559"/>
      <c r="E151" s="559"/>
      <c r="F151" s="559"/>
      <c r="G151" s="559"/>
      <c r="H151" s="559"/>
      <c r="I151" s="559"/>
      <c r="J151" s="559"/>
      <c r="K151" s="559"/>
      <c r="L151" s="559"/>
      <c r="M151" s="559"/>
      <c r="N151" s="559"/>
      <c r="O151" s="559"/>
      <c r="P151" s="559"/>
      <c r="Q151" s="559"/>
      <c r="R151" s="559"/>
      <c r="S151" s="559"/>
      <c r="T151" s="559"/>
      <c r="U151" s="559"/>
      <c r="V151" s="559"/>
      <c r="W151" s="559"/>
      <c r="X151" s="559"/>
      <c r="Y151" s="559"/>
      <c r="Z151" s="559"/>
      <c r="AA151" s="559"/>
      <c r="AB151" s="559"/>
      <c r="AC151" s="559"/>
      <c r="AD151" s="559"/>
      <c r="AE151" s="559"/>
      <c r="AF151" s="559"/>
      <c r="AG151" s="559"/>
      <c r="AH151" s="560"/>
      <c r="AI151" s="560"/>
    </row>
    <row r="152" spans="1:36" ht="21.95" customHeight="1">
      <c r="A152" s="1232"/>
      <c r="B152" s="1298" t="s">
        <v>480</v>
      </c>
      <c r="C152" s="1235">
        <v>1</v>
      </c>
      <c r="D152" s="1234">
        <v>2</v>
      </c>
      <c r="E152" s="1234">
        <v>3</v>
      </c>
      <c r="F152" s="1235">
        <v>4</v>
      </c>
      <c r="G152" s="1235">
        <v>5</v>
      </c>
      <c r="H152" s="1234">
        <v>6</v>
      </c>
      <c r="I152" s="1213">
        <v>7</v>
      </c>
      <c r="J152" s="1213">
        <v>8</v>
      </c>
      <c r="K152" s="1234">
        <v>9</v>
      </c>
      <c r="L152" s="1234">
        <v>10</v>
      </c>
      <c r="M152" s="1235">
        <v>11</v>
      </c>
      <c r="N152" s="1235">
        <v>12</v>
      </c>
      <c r="O152" s="1234">
        <v>13</v>
      </c>
      <c r="P152" s="1213">
        <v>14</v>
      </c>
      <c r="Q152" s="1213">
        <v>15</v>
      </c>
      <c r="R152" s="1234">
        <v>16</v>
      </c>
      <c r="S152" s="1234">
        <v>17</v>
      </c>
      <c r="T152" s="1235">
        <v>18</v>
      </c>
      <c r="U152" s="1235">
        <v>19</v>
      </c>
      <c r="V152" s="1213">
        <v>20</v>
      </c>
      <c r="W152" s="1213">
        <v>21</v>
      </c>
      <c r="X152" s="1213">
        <v>22</v>
      </c>
      <c r="Y152" s="1234">
        <v>23</v>
      </c>
      <c r="Z152" s="1234">
        <v>24</v>
      </c>
      <c r="AA152" s="1235">
        <v>25</v>
      </c>
      <c r="AB152" s="1235">
        <v>26</v>
      </c>
      <c r="AC152" s="1234">
        <v>27</v>
      </c>
      <c r="AD152" s="1213">
        <v>28</v>
      </c>
      <c r="AE152" s="1213">
        <v>29</v>
      </c>
      <c r="AF152" s="1234">
        <v>30</v>
      </c>
      <c r="AG152" s="1234">
        <v>31</v>
      </c>
      <c r="AH152" s="1301" t="s">
        <v>481</v>
      </c>
      <c r="AI152" s="1302" t="s">
        <v>482</v>
      </c>
    </row>
    <row r="153" spans="1:36" ht="21.95" customHeight="1">
      <c r="A153" s="580"/>
      <c r="B153" s="1319" t="s">
        <v>752</v>
      </c>
      <c r="C153" s="1215"/>
      <c r="D153" s="1215" t="s">
        <v>535</v>
      </c>
      <c r="E153" s="1215" t="s">
        <v>535</v>
      </c>
      <c r="F153" s="1215"/>
      <c r="G153" s="1215"/>
      <c r="H153" s="1215" t="s">
        <v>535</v>
      </c>
      <c r="I153" s="1215" t="s">
        <v>535</v>
      </c>
      <c r="J153" s="1215" t="s">
        <v>535</v>
      </c>
      <c r="K153" s="1215" t="s">
        <v>535</v>
      </c>
      <c r="L153" s="1215" t="s">
        <v>535</v>
      </c>
      <c r="M153" s="1215"/>
      <c r="N153" s="1215"/>
      <c r="O153" s="1215" t="s">
        <v>535</v>
      </c>
      <c r="P153" s="1215" t="s">
        <v>535</v>
      </c>
      <c r="Q153" s="1215" t="s">
        <v>535</v>
      </c>
      <c r="R153" s="1215" t="s">
        <v>535</v>
      </c>
      <c r="S153" s="1215" t="s">
        <v>535</v>
      </c>
      <c r="T153" s="1215"/>
      <c r="U153" s="1215"/>
      <c r="V153" s="1215" t="s">
        <v>535</v>
      </c>
      <c r="W153" s="1215" t="s">
        <v>535</v>
      </c>
      <c r="X153" s="1215" t="s">
        <v>535</v>
      </c>
      <c r="Y153" s="1215" t="s">
        <v>535</v>
      </c>
      <c r="Z153" s="1215" t="s">
        <v>535</v>
      </c>
      <c r="AA153" s="1215"/>
      <c r="AB153" s="1215"/>
      <c r="AC153" s="1215" t="s">
        <v>535</v>
      </c>
      <c r="AD153" s="1215" t="s">
        <v>535</v>
      </c>
      <c r="AE153" s="1215" t="s">
        <v>535</v>
      </c>
      <c r="AF153" s="1215" t="s">
        <v>535</v>
      </c>
      <c r="AG153" s="1215" t="s">
        <v>535</v>
      </c>
      <c r="AH153" s="504">
        <v>185</v>
      </c>
      <c r="AI153" s="505">
        <v>37</v>
      </c>
    </row>
    <row r="154" spans="1:36" ht="21.95" customHeight="1">
      <c r="A154" s="580"/>
      <c r="B154" s="1319"/>
      <c r="C154" s="1215"/>
      <c r="D154" s="1215" t="s">
        <v>535</v>
      </c>
      <c r="E154" s="1215" t="s">
        <v>535</v>
      </c>
      <c r="F154" s="1215"/>
      <c r="G154" s="1215"/>
      <c r="H154" s="1215" t="s">
        <v>535</v>
      </c>
      <c r="I154" s="1215" t="s">
        <v>535</v>
      </c>
      <c r="J154" s="1215" t="s">
        <v>535</v>
      </c>
      <c r="K154" s="1215" t="s">
        <v>535</v>
      </c>
      <c r="L154" s="1215" t="s">
        <v>535</v>
      </c>
      <c r="M154" s="1215"/>
      <c r="N154" s="1215"/>
      <c r="O154" s="1215" t="s">
        <v>535</v>
      </c>
      <c r="P154" s="1215" t="s">
        <v>535</v>
      </c>
      <c r="Q154" s="1215" t="s">
        <v>535</v>
      </c>
      <c r="R154" s="1215" t="s">
        <v>535</v>
      </c>
      <c r="S154" s="1215" t="s">
        <v>535</v>
      </c>
      <c r="T154" s="1215"/>
      <c r="U154" s="1215"/>
      <c r="V154" s="1215" t="s">
        <v>535</v>
      </c>
      <c r="W154" s="1215" t="s">
        <v>535</v>
      </c>
      <c r="X154" s="1215" t="s">
        <v>535</v>
      </c>
      <c r="Y154" s="1215" t="s">
        <v>535</v>
      </c>
      <c r="Z154" s="1215" t="s">
        <v>535</v>
      </c>
      <c r="AA154" s="1215"/>
      <c r="AB154" s="1215"/>
      <c r="AC154" s="1215" t="s">
        <v>535</v>
      </c>
      <c r="AD154" s="1215" t="s">
        <v>535</v>
      </c>
      <c r="AE154" s="1215" t="s">
        <v>535</v>
      </c>
      <c r="AF154" s="1215" t="s">
        <v>535</v>
      </c>
      <c r="AG154" s="1215" t="s">
        <v>535</v>
      </c>
      <c r="AH154" s="504">
        <v>185</v>
      </c>
      <c r="AI154" s="505">
        <v>37</v>
      </c>
    </row>
    <row r="155" spans="1:36" ht="21.95" customHeight="1">
      <c r="A155" s="580"/>
      <c r="B155" s="1510" t="s">
        <v>754</v>
      </c>
      <c r="C155" s="1215"/>
      <c r="D155" s="1338" t="s">
        <v>535</v>
      </c>
      <c r="E155" s="1338" t="s">
        <v>535</v>
      </c>
      <c r="F155" s="1215"/>
      <c r="G155" s="1215"/>
      <c r="H155" s="1215" t="s">
        <v>535</v>
      </c>
      <c r="I155" s="1215" t="s">
        <v>535</v>
      </c>
      <c r="J155" s="1215" t="s">
        <v>535</v>
      </c>
      <c r="K155" s="1215" t="s">
        <v>535</v>
      </c>
      <c r="L155" s="1215" t="s">
        <v>535</v>
      </c>
      <c r="M155" s="1215"/>
      <c r="N155" s="1215"/>
      <c r="O155" s="1215" t="s">
        <v>535</v>
      </c>
      <c r="P155" s="1215" t="s">
        <v>535</v>
      </c>
      <c r="Q155" s="1215" t="s">
        <v>535</v>
      </c>
      <c r="R155" s="1215" t="s">
        <v>535</v>
      </c>
      <c r="S155" s="1215" t="s">
        <v>535</v>
      </c>
      <c r="T155" s="1215"/>
      <c r="U155" s="1215"/>
      <c r="V155" s="1215" t="s">
        <v>535</v>
      </c>
      <c r="W155" s="1215" t="s">
        <v>535</v>
      </c>
      <c r="X155" s="1345" t="s">
        <v>535</v>
      </c>
      <c r="Y155" s="1215" t="s">
        <v>535</v>
      </c>
      <c r="Z155" s="1215" t="s">
        <v>535</v>
      </c>
      <c r="AA155" s="1215"/>
      <c r="AB155" s="1215"/>
      <c r="AC155" s="1392" t="s">
        <v>535</v>
      </c>
      <c r="AD155" s="1392" t="s">
        <v>535</v>
      </c>
      <c r="AE155" s="1392" t="s">
        <v>535</v>
      </c>
      <c r="AF155" s="1392" t="s">
        <v>535</v>
      </c>
      <c r="AG155" s="1392" t="s">
        <v>535</v>
      </c>
      <c r="AH155" s="504">
        <v>185</v>
      </c>
      <c r="AI155" s="505">
        <v>37</v>
      </c>
    </row>
    <row r="156" spans="1:36" ht="21.95" customHeight="1">
      <c r="A156" s="580"/>
      <c r="B156" s="1299" t="s">
        <v>755</v>
      </c>
      <c r="C156" s="1392"/>
      <c r="D156" s="1392" t="s">
        <v>535</v>
      </c>
      <c r="E156" s="1392" t="s">
        <v>535</v>
      </c>
      <c r="F156" s="1392"/>
      <c r="G156" s="1392"/>
      <c r="H156" s="1392" t="s">
        <v>535</v>
      </c>
      <c r="I156" s="1392" t="s">
        <v>535</v>
      </c>
      <c r="J156" s="1392" t="s">
        <v>514</v>
      </c>
      <c r="K156" s="1392" t="s">
        <v>535</v>
      </c>
      <c r="L156" s="1392" t="s">
        <v>570</v>
      </c>
      <c r="M156" s="1215"/>
      <c r="N156" s="1215"/>
      <c r="O156" s="1338" t="s">
        <v>535</v>
      </c>
      <c r="P156" s="1215" t="s">
        <v>535</v>
      </c>
      <c r="Q156" s="1215" t="s">
        <v>535</v>
      </c>
      <c r="R156" s="1215" t="s">
        <v>535</v>
      </c>
      <c r="S156" s="1215" t="s">
        <v>535</v>
      </c>
      <c r="T156" s="1215"/>
      <c r="U156" s="1215"/>
      <c r="V156" s="1215" t="s">
        <v>535</v>
      </c>
      <c r="W156" s="1215" t="s">
        <v>535</v>
      </c>
      <c r="X156" s="1345" t="s">
        <v>535</v>
      </c>
      <c r="Y156" s="1215" t="s">
        <v>535</v>
      </c>
      <c r="Z156" s="1215" t="s">
        <v>535</v>
      </c>
      <c r="AA156" s="1215"/>
      <c r="AB156" s="1215"/>
      <c r="AC156" s="1215" t="s">
        <v>535</v>
      </c>
      <c r="AD156" s="1215" t="s">
        <v>535</v>
      </c>
      <c r="AE156" s="1215" t="s">
        <v>535</v>
      </c>
      <c r="AF156" s="1215" t="s">
        <v>535</v>
      </c>
      <c r="AG156" s="1215" t="s">
        <v>535</v>
      </c>
      <c r="AH156" s="504">
        <v>185</v>
      </c>
      <c r="AI156" s="505">
        <v>37</v>
      </c>
    </row>
    <row r="157" spans="1:36" ht="21.95" customHeight="1">
      <c r="A157" s="580"/>
      <c r="B157" s="1300" t="s">
        <v>756</v>
      </c>
      <c r="C157" s="1215"/>
      <c r="D157" s="1215" t="s">
        <v>535</v>
      </c>
      <c r="E157" s="1215" t="s">
        <v>535</v>
      </c>
      <c r="F157" s="1215"/>
      <c r="G157" s="1215"/>
      <c r="H157" s="1215" t="s">
        <v>535</v>
      </c>
      <c r="I157" s="1215" t="s">
        <v>535</v>
      </c>
      <c r="J157" s="1215" t="s">
        <v>535</v>
      </c>
      <c r="K157" s="1215" t="s">
        <v>535</v>
      </c>
      <c r="L157" s="1215" t="s">
        <v>535</v>
      </c>
      <c r="M157" s="1215"/>
      <c r="N157" s="1215"/>
      <c r="O157" s="1215" t="s">
        <v>535</v>
      </c>
      <c r="P157" s="1215" t="s">
        <v>535</v>
      </c>
      <c r="Q157" s="1215" t="s">
        <v>535</v>
      </c>
      <c r="R157" s="1215" t="s">
        <v>535</v>
      </c>
      <c r="S157" s="1215" t="s">
        <v>535</v>
      </c>
      <c r="T157" s="1215"/>
      <c r="U157" s="1215"/>
      <c r="V157" s="1215" t="s">
        <v>535</v>
      </c>
      <c r="W157" s="1215" t="s">
        <v>535</v>
      </c>
      <c r="X157" s="1215" t="s">
        <v>535</v>
      </c>
      <c r="Y157" s="1215" t="s">
        <v>535</v>
      </c>
      <c r="Z157" s="1215" t="s">
        <v>535</v>
      </c>
      <c r="AA157" s="1215"/>
      <c r="AB157" s="1215"/>
      <c r="AC157" s="1215" t="s">
        <v>535</v>
      </c>
      <c r="AD157" s="1215" t="s">
        <v>535</v>
      </c>
      <c r="AE157" s="1215" t="s">
        <v>535</v>
      </c>
      <c r="AF157" s="1215" t="s">
        <v>535</v>
      </c>
      <c r="AG157" s="1215" t="s">
        <v>535</v>
      </c>
      <c r="AH157" s="504">
        <v>185</v>
      </c>
      <c r="AI157" s="505">
        <v>37</v>
      </c>
    </row>
    <row r="158" spans="1:36" ht="21.95" customHeight="1">
      <c r="A158" s="580"/>
      <c r="B158" s="1299"/>
      <c r="C158" s="1215"/>
      <c r="D158" s="1215" t="s">
        <v>535</v>
      </c>
      <c r="E158" s="1215" t="s">
        <v>535</v>
      </c>
      <c r="F158" s="1215"/>
      <c r="G158" s="1215"/>
      <c r="H158" s="1215" t="s">
        <v>535</v>
      </c>
      <c r="I158" s="1215" t="s">
        <v>535</v>
      </c>
      <c r="J158" s="1215" t="s">
        <v>535</v>
      </c>
      <c r="K158" s="1215" t="s">
        <v>535</v>
      </c>
      <c r="L158" s="1215" t="s">
        <v>535</v>
      </c>
      <c r="M158" s="1215"/>
      <c r="N158" s="1215"/>
      <c r="O158" s="1215" t="s">
        <v>535</v>
      </c>
      <c r="P158" s="1215" t="s">
        <v>535</v>
      </c>
      <c r="Q158" s="1215" t="s">
        <v>535</v>
      </c>
      <c r="R158" s="1215" t="s">
        <v>535</v>
      </c>
      <c r="S158" s="1215" t="s">
        <v>535</v>
      </c>
      <c r="T158" s="1215"/>
      <c r="U158" s="1215"/>
      <c r="V158" s="1215" t="s">
        <v>535</v>
      </c>
      <c r="W158" s="1215" t="s">
        <v>535</v>
      </c>
      <c r="X158" s="1215" t="s">
        <v>535</v>
      </c>
      <c r="Y158" s="1215" t="s">
        <v>535</v>
      </c>
      <c r="Z158" s="1215" t="s">
        <v>535</v>
      </c>
      <c r="AA158" s="1215"/>
      <c r="AB158" s="1215"/>
      <c r="AC158" s="1215" t="s">
        <v>535</v>
      </c>
      <c r="AD158" s="1215" t="s">
        <v>535</v>
      </c>
      <c r="AE158" s="1215" t="s">
        <v>535</v>
      </c>
      <c r="AF158" s="1215" t="s">
        <v>535</v>
      </c>
      <c r="AG158" s="1215" t="s">
        <v>535</v>
      </c>
      <c r="AH158" s="504">
        <v>185</v>
      </c>
      <c r="AI158" s="505">
        <v>37</v>
      </c>
    </row>
    <row r="159" spans="1:36" ht="21.95" customHeight="1">
      <c r="A159" s="580"/>
      <c r="B159" s="1502"/>
      <c r="C159" s="1503"/>
      <c r="D159" s="559"/>
      <c r="E159" s="559"/>
      <c r="F159" s="559"/>
      <c r="G159" s="559"/>
      <c r="H159" s="559"/>
      <c r="I159" s="559"/>
      <c r="J159" s="559"/>
      <c r="K159" s="559"/>
      <c r="L159" s="559"/>
      <c r="M159" s="559"/>
      <c r="N159" s="559"/>
      <c r="O159" s="559"/>
      <c r="P159" s="559"/>
      <c r="Q159" s="559"/>
      <c r="R159" s="559"/>
      <c r="S159" s="559"/>
      <c r="T159" s="559"/>
      <c r="U159" s="559"/>
      <c r="V159" s="559"/>
      <c r="W159" s="559"/>
      <c r="X159" s="559"/>
      <c r="Y159" s="559"/>
      <c r="Z159" s="559"/>
      <c r="AA159" s="559"/>
      <c r="AB159" s="559"/>
      <c r="AC159" s="559"/>
      <c r="AD159" s="559"/>
      <c r="AE159" s="559"/>
      <c r="AF159" s="559"/>
      <c r="AG159" s="559"/>
      <c r="AH159" s="560"/>
      <c r="AI159" s="560"/>
    </row>
    <row r="160" spans="1:36" ht="21.95" customHeight="1">
      <c r="A160" s="312" t="s">
        <v>527</v>
      </c>
      <c r="C160" s="559"/>
      <c r="D160" s="559"/>
      <c r="E160" s="559"/>
      <c r="F160" s="559"/>
      <c r="G160" s="559"/>
      <c r="H160" s="559"/>
      <c r="I160" s="559"/>
      <c r="J160" s="559"/>
      <c r="K160" s="559"/>
      <c r="L160" s="559"/>
      <c r="M160" s="559"/>
      <c r="N160" s="559"/>
      <c r="O160" s="559"/>
      <c r="P160" s="559"/>
      <c r="Q160" s="559"/>
      <c r="R160" s="559"/>
      <c r="S160" s="559"/>
      <c r="T160" s="559"/>
      <c r="U160" s="559"/>
      <c r="V160" s="559"/>
      <c r="W160" s="559"/>
      <c r="X160" s="559"/>
      <c r="Y160" s="559"/>
      <c r="Z160" s="559"/>
      <c r="AA160" s="559"/>
      <c r="AB160" s="559"/>
      <c r="AC160" s="559"/>
      <c r="AD160" s="559"/>
      <c r="AE160" s="559"/>
      <c r="AF160" s="559"/>
      <c r="AG160" s="559"/>
      <c r="AH160" s="560"/>
      <c r="AI160" s="560"/>
      <c r="AJ160" s="361"/>
    </row>
    <row r="161" spans="1:36" ht="21.95" customHeight="1">
      <c r="A161" s="299" t="s">
        <v>528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9" t="s">
        <v>10</v>
      </c>
      <c r="Y161" s="186"/>
      <c r="Z161" s="186"/>
      <c r="AA161" s="565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529</v>
      </c>
      <c r="C162" s="588" t="s">
        <v>124</v>
      </c>
      <c r="D162" s="585"/>
      <c r="E162" s="590"/>
      <c r="F162" s="588" t="s">
        <v>124</v>
      </c>
      <c r="G162" s="591"/>
      <c r="H162" s="590"/>
      <c r="I162" s="121" t="s">
        <v>124</v>
      </c>
      <c r="J162" s="569"/>
      <c r="K162" s="592"/>
      <c r="L162" s="121" t="s">
        <v>124</v>
      </c>
      <c r="M162" s="569"/>
      <c r="N162" s="592"/>
      <c r="O162" s="121" t="s">
        <v>125</v>
      </c>
      <c r="P162" s="569"/>
      <c r="Q162" s="477"/>
      <c r="R162" s="593" t="s">
        <v>28</v>
      </c>
      <c r="S162" s="569"/>
      <c r="T162" s="592"/>
      <c r="U162" s="569" t="s">
        <v>28</v>
      </c>
      <c r="V162" s="569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4"/>
      <c r="AH162" s="361"/>
      <c r="AI162" s="361"/>
      <c r="AJ162" s="361"/>
    </row>
    <row r="163" spans="1:36" ht="21.95" customHeight="1">
      <c r="A163" s="595">
        <v>8502</v>
      </c>
      <c r="B163" s="596" t="s">
        <v>530</v>
      </c>
      <c r="C163" s="121" t="s">
        <v>11</v>
      </c>
      <c r="D163" s="569"/>
      <c r="E163" s="477"/>
      <c r="F163" s="121" t="s">
        <v>11</v>
      </c>
      <c r="G163" s="569"/>
      <c r="H163" s="592"/>
      <c r="I163" s="121" t="s">
        <v>11</v>
      </c>
      <c r="J163" s="569"/>
      <c r="K163" s="592"/>
      <c r="L163" s="121" t="s">
        <v>11</v>
      </c>
      <c r="M163" s="569"/>
      <c r="N163" s="592"/>
      <c r="O163" s="121" t="s">
        <v>12</v>
      </c>
      <c r="P163" s="569"/>
      <c r="Q163" s="477"/>
      <c r="R163" s="597"/>
      <c r="S163" s="598"/>
      <c r="T163" s="592"/>
      <c r="U163" s="569"/>
      <c r="V163" s="569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9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9"/>
      <c r="B165" s="182" t="s">
        <v>480</v>
      </c>
      <c r="C165" s="1235">
        <v>1</v>
      </c>
      <c r="D165" s="1234">
        <v>2</v>
      </c>
      <c r="E165" s="1234">
        <v>3</v>
      </c>
      <c r="F165" s="1235">
        <v>4</v>
      </c>
      <c r="G165" s="1235">
        <v>5</v>
      </c>
      <c r="H165" s="1234">
        <v>6</v>
      </c>
      <c r="I165" s="1213">
        <v>7</v>
      </c>
      <c r="J165" s="1213">
        <v>8</v>
      </c>
      <c r="K165" s="1234">
        <v>9</v>
      </c>
      <c r="L165" s="1234">
        <v>10</v>
      </c>
      <c r="M165" s="1235">
        <v>11</v>
      </c>
      <c r="N165" s="1235">
        <v>12</v>
      </c>
      <c r="O165" s="1234">
        <v>13</v>
      </c>
      <c r="P165" s="1213">
        <v>14</v>
      </c>
      <c r="Q165" s="1213">
        <v>15</v>
      </c>
      <c r="R165" s="1234">
        <v>16</v>
      </c>
      <c r="S165" s="1234">
        <v>17</v>
      </c>
      <c r="T165" s="1235">
        <v>18</v>
      </c>
      <c r="U165" s="1235">
        <v>19</v>
      </c>
      <c r="V165" s="1213">
        <v>20</v>
      </c>
      <c r="W165" s="1213">
        <v>21</v>
      </c>
      <c r="X165" s="1213">
        <v>22</v>
      </c>
      <c r="Y165" s="1234">
        <v>23</v>
      </c>
      <c r="Z165" s="1234">
        <v>24</v>
      </c>
      <c r="AA165" s="1235">
        <v>25</v>
      </c>
      <c r="AB165" s="1235">
        <v>26</v>
      </c>
      <c r="AC165" s="1234">
        <v>27</v>
      </c>
      <c r="AD165" s="1213">
        <v>28</v>
      </c>
      <c r="AE165" s="1213">
        <v>29</v>
      </c>
      <c r="AF165" s="1234">
        <v>30</v>
      </c>
      <c r="AG165" s="1234">
        <v>31</v>
      </c>
      <c r="AH165" s="600" t="s">
        <v>481</v>
      </c>
      <c r="AI165" s="601" t="s">
        <v>482</v>
      </c>
    </row>
    <row r="166" spans="1:36" ht="21.95" customHeight="1">
      <c r="A166" s="602">
        <v>1</v>
      </c>
      <c r="B166" s="153" t="s">
        <v>531</v>
      </c>
      <c r="C166" s="1392"/>
      <c r="D166" s="1392" t="s">
        <v>535</v>
      </c>
      <c r="E166" s="1392" t="s">
        <v>535</v>
      </c>
      <c r="F166" s="1392"/>
      <c r="G166" s="1392"/>
      <c r="H166" s="1392" t="s">
        <v>535</v>
      </c>
      <c r="I166" s="1392" t="s">
        <v>535</v>
      </c>
      <c r="J166" s="1392" t="s">
        <v>535</v>
      </c>
      <c r="K166" s="1392" t="s">
        <v>535</v>
      </c>
      <c r="L166" s="1392" t="s">
        <v>535</v>
      </c>
      <c r="M166" s="1392"/>
      <c r="N166" s="1392"/>
      <c r="O166" s="1392" t="s">
        <v>535</v>
      </c>
      <c r="P166" s="1392" t="s">
        <v>535</v>
      </c>
      <c r="Q166" s="1392" t="s">
        <v>535</v>
      </c>
      <c r="R166" s="1392" t="s">
        <v>535</v>
      </c>
      <c r="S166" s="1392" t="s">
        <v>535</v>
      </c>
      <c r="T166" s="1392"/>
      <c r="U166" s="1392"/>
      <c r="V166" s="1392" t="s">
        <v>535</v>
      </c>
      <c r="W166" s="1392" t="s">
        <v>535</v>
      </c>
      <c r="X166" s="1392" t="s">
        <v>535</v>
      </c>
      <c r="Y166" s="1392" t="s">
        <v>535</v>
      </c>
      <c r="Z166" s="1392" t="s">
        <v>535</v>
      </c>
      <c r="AA166" s="1392"/>
      <c r="AB166" s="1392"/>
      <c r="AC166" s="1392" t="s">
        <v>535</v>
      </c>
      <c r="AD166" s="1392" t="s">
        <v>535</v>
      </c>
      <c r="AE166" s="1392" t="s">
        <v>535</v>
      </c>
      <c r="AF166" s="1392" t="s">
        <v>535</v>
      </c>
      <c r="AG166" s="1392" t="s">
        <v>535</v>
      </c>
      <c r="AH166" s="1320">
        <v>185</v>
      </c>
      <c r="AI166" s="1321">
        <v>37</v>
      </c>
    </row>
    <row r="167" spans="1:36" ht="21.95" customHeight="1">
      <c r="A167" s="602">
        <v>2</v>
      </c>
      <c r="B167" s="153" t="s">
        <v>534</v>
      </c>
      <c r="C167" s="1215"/>
      <c r="D167" s="1215" t="s">
        <v>685</v>
      </c>
      <c r="E167" s="1215" t="s">
        <v>537</v>
      </c>
      <c r="F167" s="1215"/>
      <c r="G167" s="1215"/>
      <c r="H167" s="1215" t="s">
        <v>806</v>
      </c>
      <c r="I167" s="1215" t="s">
        <v>806</v>
      </c>
      <c r="J167" s="1215" t="s">
        <v>806</v>
      </c>
      <c r="K167" s="1215" t="s">
        <v>806</v>
      </c>
      <c r="L167" s="1215">
        <v>4</v>
      </c>
      <c r="M167" s="1215"/>
      <c r="N167" s="1215"/>
      <c r="O167" s="1215">
        <v>3</v>
      </c>
      <c r="P167" s="1215">
        <v>3</v>
      </c>
      <c r="Q167" s="1392">
        <v>3</v>
      </c>
      <c r="R167" s="1392" t="s">
        <v>777</v>
      </c>
      <c r="S167" s="1344">
        <v>3</v>
      </c>
      <c r="T167" s="1215"/>
      <c r="U167" s="1215"/>
      <c r="V167" s="1215" t="s">
        <v>807</v>
      </c>
      <c r="W167" s="1215" t="s">
        <v>806</v>
      </c>
      <c r="X167" s="1215" t="s">
        <v>807</v>
      </c>
      <c r="Y167" s="1215" t="s">
        <v>807</v>
      </c>
      <c r="Z167" s="1215" t="s">
        <v>807</v>
      </c>
      <c r="AA167" s="1215"/>
      <c r="AB167" s="1215"/>
      <c r="AC167" s="1215" t="s">
        <v>807</v>
      </c>
      <c r="AD167" s="1215" t="s">
        <v>807</v>
      </c>
      <c r="AE167" s="1215" t="s">
        <v>807</v>
      </c>
      <c r="AF167" s="1215" t="s">
        <v>807</v>
      </c>
      <c r="AG167" s="1215" t="s">
        <v>807</v>
      </c>
      <c r="AH167" s="1322">
        <v>185</v>
      </c>
      <c r="AI167" s="1323">
        <v>37</v>
      </c>
    </row>
    <row r="168" spans="1:36" ht="21.95" customHeight="1">
      <c r="A168" s="602">
        <v>3</v>
      </c>
      <c r="B168" s="153" t="s">
        <v>536</v>
      </c>
      <c r="C168" s="1215">
        <v>10</v>
      </c>
      <c r="D168" s="1215">
        <v>10</v>
      </c>
      <c r="E168" s="1215">
        <v>10</v>
      </c>
      <c r="F168" s="1215" t="s">
        <v>555</v>
      </c>
      <c r="G168" s="1215" t="s">
        <v>555</v>
      </c>
      <c r="H168" s="1215" t="s">
        <v>487</v>
      </c>
      <c r="I168" s="1215" t="s">
        <v>487</v>
      </c>
      <c r="J168" s="1215" t="s">
        <v>487</v>
      </c>
      <c r="K168" s="1215" t="s">
        <v>487</v>
      </c>
      <c r="L168" s="1215" t="s">
        <v>487</v>
      </c>
      <c r="M168" s="1215" t="s">
        <v>660</v>
      </c>
      <c r="N168" s="1215" t="s">
        <v>660</v>
      </c>
      <c r="O168" s="1215">
        <v>7</v>
      </c>
      <c r="P168" s="1215">
        <v>7</v>
      </c>
      <c r="Q168" s="1215">
        <v>7</v>
      </c>
      <c r="R168" s="1637">
        <v>7</v>
      </c>
      <c r="S168" s="1215">
        <v>7</v>
      </c>
      <c r="T168" s="1215"/>
      <c r="U168" s="1215"/>
      <c r="V168" s="1215">
        <v>4</v>
      </c>
      <c r="W168" s="1215">
        <v>4</v>
      </c>
      <c r="X168" s="1215">
        <v>4</v>
      </c>
      <c r="Y168" s="1215">
        <v>4</v>
      </c>
      <c r="Z168" s="1215">
        <v>4</v>
      </c>
      <c r="AA168" s="1215"/>
      <c r="AB168" s="1215"/>
      <c r="AC168" s="1215">
        <v>3</v>
      </c>
      <c r="AD168" s="1215">
        <v>3</v>
      </c>
      <c r="AE168" s="1215">
        <v>3</v>
      </c>
      <c r="AF168" s="1215">
        <v>3</v>
      </c>
      <c r="AG168" s="1221" t="s">
        <v>708</v>
      </c>
      <c r="AH168" s="1322">
        <v>117</v>
      </c>
      <c r="AI168" s="1323">
        <v>37</v>
      </c>
    </row>
    <row r="169" spans="1:36" ht="21.95" customHeight="1">
      <c r="A169" s="602">
        <v>4</v>
      </c>
      <c r="B169" s="1241" t="s">
        <v>542</v>
      </c>
      <c r="C169" s="1215"/>
      <c r="D169" s="1335" t="s">
        <v>537</v>
      </c>
      <c r="E169" s="1335" t="s">
        <v>537</v>
      </c>
      <c r="F169" s="1215"/>
      <c r="G169" s="1215"/>
      <c r="H169" s="1215" t="s">
        <v>537</v>
      </c>
      <c r="I169" s="1215" t="s">
        <v>537</v>
      </c>
      <c r="J169" s="1215" t="s">
        <v>537</v>
      </c>
      <c r="K169" s="1215" t="s">
        <v>537</v>
      </c>
      <c r="L169" s="1215" t="s">
        <v>537</v>
      </c>
      <c r="M169" s="1215"/>
      <c r="N169" s="1215"/>
      <c r="O169" s="1215" t="s">
        <v>537</v>
      </c>
      <c r="P169" s="1215" t="s">
        <v>537</v>
      </c>
      <c r="Q169" s="1215" t="s">
        <v>537</v>
      </c>
      <c r="R169" s="1215" t="s">
        <v>537</v>
      </c>
      <c r="S169" s="1215" t="s">
        <v>537</v>
      </c>
      <c r="T169" s="1215"/>
      <c r="U169" s="1215"/>
      <c r="V169" s="1215" t="s">
        <v>537</v>
      </c>
      <c r="W169" s="1215" t="s">
        <v>537</v>
      </c>
      <c r="X169" s="1215" t="s">
        <v>537</v>
      </c>
      <c r="Y169" s="1215" t="s">
        <v>537</v>
      </c>
      <c r="Z169" s="1215" t="s">
        <v>537</v>
      </c>
      <c r="AA169" s="1215"/>
      <c r="AB169" s="1215"/>
      <c r="AC169" s="1335" t="s">
        <v>535</v>
      </c>
      <c r="AD169" s="1335" t="s">
        <v>535</v>
      </c>
      <c r="AE169" s="1335" t="s">
        <v>535</v>
      </c>
      <c r="AF169" s="1335" t="s">
        <v>535</v>
      </c>
      <c r="AG169" s="1335" t="s">
        <v>535</v>
      </c>
      <c r="AH169" s="1322">
        <v>185</v>
      </c>
      <c r="AI169" s="1323">
        <v>37</v>
      </c>
    </row>
    <row r="170" spans="1:36" ht="21.95" customHeight="1">
      <c r="A170" s="602">
        <v>5</v>
      </c>
      <c r="B170" s="319" t="s">
        <v>771</v>
      </c>
      <c r="C170" s="1215"/>
      <c r="D170" s="1215" t="s">
        <v>547</v>
      </c>
      <c r="E170" s="1215" t="s">
        <v>539</v>
      </c>
      <c r="F170" s="1215"/>
      <c r="G170" s="1215"/>
      <c r="H170" s="1215" t="s">
        <v>484</v>
      </c>
      <c r="I170" s="1215" t="s">
        <v>484</v>
      </c>
      <c r="J170" s="1215" t="s">
        <v>484</v>
      </c>
      <c r="K170" s="1215" t="s">
        <v>485</v>
      </c>
      <c r="L170" s="1215" t="s">
        <v>485</v>
      </c>
      <c r="M170" s="1215"/>
      <c r="N170" s="1215"/>
      <c r="O170" s="1215">
        <v>10</v>
      </c>
      <c r="P170" s="1215">
        <v>10</v>
      </c>
      <c r="Q170" s="1215">
        <v>10</v>
      </c>
      <c r="R170" s="1215">
        <v>10</v>
      </c>
      <c r="S170" s="1215">
        <v>10</v>
      </c>
      <c r="T170" s="1215" t="s">
        <v>555</v>
      </c>
      <c r="U170" s="1215" t="s">
        <v>555</v>
      </c>
      <c r="V170" s="1215" t="s">
        <v>487</v>
      </c>
      <c r="W170" s="1215" t="s">
        <v>487</v>
      </c>
      <c r="X170" s="1215" t="s">
        <v>487</v>
      </c>
      <c r="Y170" s="1215" t="s">
        <v>487</v>
      </c>
      <c r="Z170" s="1215" t="s">
        <v>487</v>
      </c>
      <c r="AA170" s="1215"/>
      <c r="AB170" s="1215"/>
      <c r="AC170" s="1215" t="s">
        <v>711</v>
      </c>
      <c r="AD170" s="1215" t="s">
        <v>550</v>
      </c>
      <c r="AE170" s="1215" t="s">
        <v>550</v>
      </c>
      <c r="AF170" s="1215" t="s">
        <v>550</v>
      </c>
      <c r="AG170" s="1215" t="s">
        <v>550</v>
      </c>
      <c r="AH170" s="1324">
        <v>185</v>
      </c>
      <c r="AI170" s="1325">
        <v>37</v>
      </c>
    </row>
    <row r="171" spans="1:36" ht="21.95" customHeight="1">
      <c r="A171" s="602">
        <v>6</v>
      </c>
      <c r="B171" s="153" t="s">
        <v>773</v>
      </c>
      <c r="C171" s="1215"/>
      <c r="D171" s="1215" t="s">
        <v>711</v>
      </c>
      <c r="E171" s="1215" t="s">
        <v>711</v>
      </c>
      <c r="F171" s="1215"/>
      <c r="G171" s="1215"/>
      <c r="H171" s="1215" t="s">
        <v>684</v>
      </c>
      <c r="I171" s="1215" t="s">
        <v>684</v>
      </c>
      <c r="J171" s="1215">
        <v>6</v>
      </c>
      <c r="K171" s="1215" t="s">
        <v>684</v>
      </c>
      <c r="L171" s="1215" t="s">
        <v>708</v>
      </c>
      <c r="M171" s="1215"/>
      <c r="N171" s="1215"/>
      <c r="O171" s="1215" t="s">
        <v>485</v>
      </c>
      <c r="P171" s="1215" t="s">
        <v>485</v>
      </c>
      <c r="Q171" s="1215" t="s">
        <v>485</v>
      </c>
      <c r="R171" s="1215" t="s">
        <v>484</v>
      </c>
      <c r="S171" s="1215" t="s">
        <v>484</v>
      </c>
      <c r="T171" s="1215"/>
      <c r="U171" s="1215"/>
      <c r="V171" s="1215">
        <v>3</v>
      </c>
      <c r="W171" s="1215">
        <v>3</v>
      </c>
      <c r="X171" s="1215">
        <v>3</v>
      </c>
      <c r="Y171" s="1215">
        <v>3</v>
      </c>
      <c r="Z171" s="1215">
        <v>3</v>
      </c>
      <c r="AA171" s="1215"/>
      <c r="AB171" s="1215"/>
      <c r="AC171" s="1215" t="s">
        <v>484</v>
      </c>
      <c r="AD171" s="1215" t="s">
        <v>812</v>
      </c>
      <c r="AE171" s="1215" t="s">
        <v>484</v>
      </c>
      <c r="AF171" s="1215" t="s">
        <v>485</v>
      </c>
      <c r="AG171" s="1215" t="s">
        <v>485</v>
      </c>
      <c r="AH171" s="1326">
        <v>185</v>
      </c>
      <c r="AI171" s="1327">
        <v>37</v>
      </c>
    </row>
    <row r="172" spans="1:36" ht="21.95" customHeight="1">
      <c r="A172" s="602">
        <v>7</v>
      </c>
      <c r="B172" s="902" t="s">
        <v>778</v>
      </c>
      <c r="C172" s="1215"/>
      <c r="D172" s="1215" t="s">
        <v>535</v>
      </c>
      <c r="E172" s="1215" t="s">
        <v>535</v>
      </c>
      <c r="F172" s="1215"/>
      <c r="G172" s="1215"/>
      <c r="H172" s="1215" t="s">
        <v>535</v>
      </c>
      <c r="I172" s="1215" t="s">
        <v>535</v>
      </c>
      <c r="J172" s="1215" t="s">
        <v>535</v>
      </c>
      <c r="K172" s="1215" t="s">
        <v>535</v>
      </c>
      <c r="L172" s="1215" t="s">
        <v>535</v>
      </c>
      <c r="M172" s="1215"/>
      <c r="N172" s="1215"/>
      <c r="O172" s="1215" t="s">
        <v>535</v>
      </c>
      <c r="P172" s="1215" t="s">
        <v>535</v>
      </c>
      <c r="Q172" s="1215" t="s">
        <v>535</v>
      </c>
      <c r="R172" s="1215" t="s">
        <v>535</v>
      </c>
      <c r="S172" s="1215" t="s">
        <v>535</v>
      </c>
      <c r="T172" s="1215"/>
      <c r="U172" s="1215"/>
      <c r="V172" s="1215" t="s">
        <v>535</v>
      </c>
      <c r="W172" s="1215" t="s">
        <v>535</v>
      </c>
      <c r="X172" s="1215" t="s">
        <v>535</v>
      </c>
      <c r="Y172" s="1215" t="s">
        <v>535</v>
      </c>
      <c r="Z172" s="1215" t="s">
        <v>535</v>
      </c>
      <c r="AA172" s="1215"/>
      <c r="AB172" s="1215"/>
      <c r="AC172" s="1215" t="s">
        <v>535</v>
      </c>
      <c r="AD172" s="1215" t="s">
        <v>535</v>
      </c>
      <c r="AE172" s="1215" t="s">
        <v>535</v>
      </c>
      <c r="AF172" s="1215" t="s">
        <v>535</v>
      </c>
      <c r="AG172" s="1215" t="s">
        <v>535</v>
      </c>
      <c r="AH172" s="1326">
        <v>148</v>
      </c>
      <c r="AI172" s="1327">
        <v>37</v>
      </c>
    </row>
    <row r="173" spans="1:36" ht="21.95" customHeight="1">
      <c r="A173" s="602">
        <v>8</v>
      </c>
      <c r="B173" s="902"/>
      <c r="C173" s="1215"/>
      <c r="D173" s="1215"/>
      <c r="E173" s="1215"/>
      <c r="F173" s="1215"/>
      <c r="G173" s="1215"/>
      <c r="H173" s="1215"/>
      <c r="I173" s="1215"/>
      <c r="J173" s="1215"/>
      <c r="K173" s="1215"/>
      <c r="L173" s="1215"/>
      <c r="M173" s="1215"/>
      <c r="N173" s="1215"/>
      <c r="O173" s="1215"/>
      <c r="P173" s="1215"/>
      <c r="Q173" s="1215"/>
      <c r="R173" s="1215"/>
      <c r="S173" s="1215"/>
      <c r="T173" s="1215"/>
      <c r="U173" s="1215"/>
      <c r="V173" s="1215"/>
      <c r="W173" s="1215"/>
      <c r="X173" s="1215"/>
      <c r="Y173" s="1215"/>
      <c r="Z173" s="1215"/>
      <c r="AA173" s="1215"/>
      <c r="AB173" s="1215"/>
      <c r="AC173" s="1215"/>
      <c r="AD173" s="1215"/>
      <c r="AE173" s="1215"/>
      <c r="AF173" s="1215"/>
      <c r="AG173" s="1215"/>
      <c r="AH173" s="1326">
        <v>185</v>
      </c>
      <c r="AI173" s="1327">
        <v>37</v>
      </c>
    </row>
    <row r="174" spans="1:36" ht="21.95" customHeight="1">
      <c r="A174" s="602">
        <v>9</v>
      </c>
      <c r="B174" s="153"/>
      <c r="C174" s="1215"/>
      <c r="D174" s="1215"/>
      <c r="E174" s="1215"/>
      <c r="F174" s="1215"/>
      <c r="G174" s="1215"/>
      <c r="H174" s="1215"/>
      <c r="I174" s="1215"/>
      <c r="J174" s="1215"/>
      <c r="K174" s="1215"/>
      <c r="L174" s="1215"/>
      <c r="M174" s="1215"/>
      <c r="N174" s="1215"/>
      <c r="O174" s="1215"/>
      <c r="P174" s="1215"/>
      <c r="Q174" s="1215"/>
      <c r="R174" s="1215"/>
      <c r="S174" s="1215"/>
      <c r="T174" s="1215"/>
      <c r="U174" s="1215"/>
      <c r="V174" s="1215"/>
      <c r="W174" s="1215"/>
      <c r="X174" s="1215"/>
      <c r="Y174" s="1215"/>
      <c r="Z174" s="1215"/>
      <c r="AA174" s="1215"/>
      <c r="AB174" s="1215"/>
      <c r="AC174" s="1215"/>
      <c r="AD174" s="1215"/>
      <c r="AE174" s="1215"/>
      <c r="AF174" s="1215"/>
      <c r="AG174" s="1215"/>
      <c r="AH174" s="1326">
        <v>185</v>
      </c>
      <c r="AI174" s="1327">
        <v>37</v>
      </c>
    </row>
    <row r="175" spans="1:36" ht="21.95" customHeight="1">
      <c r="A175" s="602">
        <v>10</v>
      </c>
      <c r="B175" s="153"/>
      <c r="C175" s="1213"/>
      <c r="D175" s="1213"/>
      <c r="E175" s="1213"/>
      <c r="F175" s="1213"/>
      <c r="G175" s="1213"/>
      <c r="H175" s="1213"/>
      <c r="I175" s="1213"/>
      <c r="J175" s="1213"/>
      <c r="K175" s="1213"/>
      <c r="L175" s="1213"/>
      <c r="M175" s="1213"/>
      <c r="N175" s="1213"/>
      <c r="O175" s="1213"/>
      <c r="P175" s="1213"/>
      <c r="Q175" s="1213"/>
      <c r="R175" s="1213"/>
      <c r="S175" s="1213"/>
      <c r="T175" s="1213"/>
      <c r="U175" s="1213"/>
      <c r="V175" s="1213"/>
      <c r="W175" s="1215"/>
      <c r="X175" s="1213"/>
      <c r="Y175" s="1213"/>
      <c r="Z175" s="1213"/>
      <c r="AA175" s="1213"/>
      <c r="AB175" s="1213"/>
      <c r="AC175" s="1213"/>
      <c r="AD175" s="1213"/>
      <c r="AE175" s="1213"/>
      <c r="AF175" s="1213"/>
      <c r="AG175" s="1230"/>
      <c r="AH175" s="1326">
        <v>185</v>
      </c>
      <c r="AI175" s="1327">
        <v>37</v>
      </c>
    </row>
    <row r="176" spans="1:36" ht="21.95" customHeight="1">
      <c r="A176" s="602">
        <v>11</v>
      </c>
      <c r="B176" s="153"/>
      <c r="C176" s="1213"/>
      <c r="D176" s="1213"/>
      <c r="E176" s="1213"/>
      <c r="F176" s="1213"/>
      <c r="G176" s="1213"/>
      <c r="H176" s="1213"/>
      <c r="I176" s="1213"/>
      <c r="J176" s="1213"/>
      <c r="K176" s="1213"/>
      <c r="L176" s="1213"/>
      <c r="M176" s="1213"/>
      <c r="N176" s="1213"/>
      <c r="O176" s="1213"/>
      <c r="P176" s="1213"/>
      <c r="Q176" s="1213"/>
      <c r="R176" s="1213"/>
      <c r="S176" s="1213"/>
      <c r="T176" s="1213"/>
      <c r="U176" s="1213"/>
      <c r="V176" s="1213"/>
      <c r="W176" s="1215"/>
      <c r="X176" s="1213"/>
      <c r="Y176" s="1213"/>
      <c r="Z176" s="1213"/>
      <c r="AA176" s="1213"/>
      <c r="AB176" s="1213"/>
      <c r="AC176" s="1213"/>
      <c r="AD176" s="1213"/>
      <c r="AE176" s="1213"/>
      <c r="AF176" s="1213"/>
      <c r="AG176" s="1230"/>
      <c r="AH176" s="1326">
        <v>185</v>
      </c>
      <c r="AI176" s="1327">
        <v>37</v>
      </c>
    </row>
    <row r="177" spans="1:35" ht="21.95" customHeight="1" thickBot="1">
      <c r="A177" s="602">
        <v>12</v>
      </c>
      <c r="B177" s="153"/>
      <c r="C177" s="1213"/>
      <c r="D177" s="1213"/>
      <c r="E177" s="1213"/>
      <c r="F177" s="1213"/>
      <c r="G177" s="1213"/>
      <c r="H177" s="1213"/>
      <c r="I177" s="1213"/>
      <c r="J177" s="1213"/>
      <c r="K177" s="1213"/>
      <c r="L177" s="1213"/>
      <c r="M177" s="1213"/>
      <c r="N177" s="1213"/>
      <c r="O177" s="1213"/>
      <c r="P177" s="1213"/>
      <c r="Q177" s="1213"/>
      <c r="R177" s="1213"/>
      <c r="S177" s="1213"/>
      <c r="T177" s="1213"/>
      <c r="U177" s="1213"/>
      <c r="V177" s="1213"/>
      <c r="W177" s="1215"/>
      <c r="X177" s="1213"/>
      <c r="Y177" s="1213"/>
      <c r="Z177" s="1213"/>
      <c r="AA177" s="1213"/>
      <c r="AB177" s="1213"/>
      <c r="AC177" s="1213"/>
      <c r="AD177" s="1213"/>
      <c r="AE177" s="1213"/>
      <c r="AF177" s="1213"/>
      <c r="AG177" s="1230"/>
      <c r="AH177" s="1328">
        <v>185</v>
      </c>
      <c r="AI177" s="1329">
        <v>37</v>
      </c>
    </row>
    <row r="178" spans="1:35" ht="21" customHeight="1">
      <c r="A178" s="312" t="s">
        <v>551</v>
      </c>
    </row>
    <row r="179" spans="1:35" ht="21" customHeight="1">
      <c r="A179" s="556"/>
      <c r="B179" s="297" t="s">
        <v>480</v>
      </c>
      <c r="C179" s="1235">
        <v>1</v>
      </c>
      <c r="D179" s="1234">
        <v>2</v>
      </c>
      <c r="E179" s="1234">
        <v>3</v>
      </c>
      <c r="F179" s="1235">
        <v>4</v>
      </c>
      <c r="G179" s="1235">
        <v>5</v>
      </c>
      <c r="H179" s="1234">
        <v>6</v>
      </c>
      <c r="I179" s="1213">
        <v>7</v>
      </c>
      <c r="J179" s="1213">
        <v>8</v>
      </c>
      <c r="K179" s="1234">
        <v>9</v>
      </c>
      <c r="L179" s="1234">
        <v>10</v>
      </c>
      <c r="M179" s="1235">
        <v>11</v>
      </c>
      <c r="N179" s="1235">
        <v>12</v>
      </c>
      <c r="O179" s="1234">
        <v>13</v>
      </c>
      <c r="P179" s="1213">
        <v>14</v>
      </c>
      <c r="Q179" s="1213">
        <v>15</v>
      </c>
      <c r="R179" s="1234">
        <v>16</v>
      </c>
      <c r="S179" s="1234">
        <v>17</v>
      </c>
      <c r="T179" s="1235">
        <v>18</v>
      </c>
      <c r="U179" s="1235">
        <v>19</v>
      </c>
      <c r="V179" s="1213">
        <v>20</v>
      </c>
      <c r="W179" s="1213">
        <v>21</v>
      </c>
      <c r="X179" s="1213">
        <v>22</v>
      </c>
      <c r="Y179" s="1234">
        <v>23</v>
      </c>
      <c r="Z179" s="1234">
        <v>24</v>
      </c>
      <c r="AA179" s="1235">
        <v>25</v>
      </c>
      <c r="AB179" s="1235">
        <v>26</v>
      </c>
      <c r="AC179" s="1234">
        <v>27</v>
      </c>
      <c r="AD179" s="1213">
        <v>28</v>
      </c>
      <c r="AE179" s="1213">
        <v>29</v>
      </c>
      <c r="AF179" s="1234">
        <v>30</v>
      </c>
      <c r="AG179" s="1234">
        <v>31</v>
      </c>
      <c r="AH179" s="606"/>
    </row>
    <row r="180" spans="1:35" ht="21" customHeight="1">
      <c r="A180" s="556">
        <v>1</v>
      </c>
      <c r="B180" s="319" t="s">
        <v>552</v>
      </c>
      <c r="C180" s="1213"/>
      <c r="D180" s="1213"/>
      <c r="E180" s="1213"/>
      <c r="F180" s="1213"/>
      <c r="G180" s="1213"/>
      <c r="H180" s="1213"/>
      <c r="I180" s="1213"/>
      <c r="J180" s="1213"/>
      <c r="K180" s="1213"/>
      <c r="L180" s="1213"/>
      <c r="M180" s="1213"/>
      <c r="N180" s="1213"/>
      <c r="O180" s="1213"/>
      <c r="P180" s="1213"/>
      <c r="Q180" s="1213" t="s">
        <v>514</v>
      </c>
      <c r="R180" s="1213" t="s">
        <v>514</v>
      </c>
      <c r="S180" s="1213" t="s">
        <v>514</v>
      </c>
      <c r="T180" s="1213"/>
      <c r="U180" s="1213"/>
      <c r="V180" s="1213" t="s">
        <v>514</v>
      </c>
      <c r="W180" s="1213" t="s">
        <v>514</v>
      </c>
      <c r="X180" s="1213" t="s">
        <v>514</v>
      </c>
      <c r="Y180" s="1213" t="s">
        <v>514</v>
      </c>
      <c r="Z180" s="1213" t="s">
        <v>514</v>
      </c>
      <c r="AA180" s="1213"/>
      <c r="AB180" s="1213"/>
      <c r="AC180" s="1213" t="s">
        <v>514</v>
      </c>
      <c r="AD180" s="1213" t="s">
        <v>514</v>
      </c>
      <c r="AE180" s="1213" t="s">
        <v>514</v>
      </c>
      <c r="AF180" s="1213" t="s">
        <v>514</v>
      </c>
      <c r="AG180" s="1213" t="s">
        <v>514</v>
      </c>
      <c r="AH180" s="606"/>
    </row>
    <row r="181" spans="1:35" ht="21" customHeight="1">
      <c r="A181" s="556">
        <v>2</v>
      </c>
      <c r="B181" s="545" t="s">
        <v>553</v>
      </c>
      <c r="C181" s="172" t="s">
        <v>486</v>
      </c>
      <c r="D181" s="172" t="s">
        <v>485</v>
      </c>
      <c r="E181" s="172" t="s">
        <v>485</v>
      </c>
      <c r="F181" s="172" t="s">
        <v>486</v>
      </c>
      <c r="G181" s="172" t="s">
        <v>486</v>
      </c>
      <c r="H181" s="172" t="s">
        <v>487</v>
      </c>
      <c r="I181" s="172" t="s">
        <v>487</v>
      </c>
      <c r="J181" s="1500" t="s">
        <v>514</v>
      </c>
      <c r="K181" s="172" t="s">
        <v>484</v>
      </c>
      <c r="L181" s="172" t="s">
        <v>685</v>
      </c>
      <c r="M181" s="172"/>
      <c r="N181" s="172"/>
      <c r="O181" s="1213" t="s">
        <v>487</v>
      </c>
      <c r="P181" s="1455" t="s">
        <v>683</v>
      </c>
      <c r="Q181" s="1455" t="s">
        <v>683</v>
      </c>
      <c r="R181" s="1455" t="s">
        <v>538</v>
      </c>
      <c r="S181" s="1455" t="s">
        <v>538</v>
      </c>
      <c r="T181" s="172"/>
      <c r="U181" s="172"/>
      <c r="V181" s="172" t="s">
        <v>487</v>
      </c>
      <c r="W181" s="172" t="s">
        <v>487</v>
      </c>
      <c r="X181" s="172" t="s">
        <v>487</v>
      </c>
      <c r="Y181" s="172" t="s">
        <v>685</v>
      </c>
      <c r="Z181" s="172" t="s">
        <v>487</v>
      </c>
      <c r="AA181" s="172" t="s">
        <v>486</v>
      </c>
      <c r="AB181" s="172" t="s">
        <v>486</v>
      </c>
      <c r="AC181" s="172" t="s">
        <v>684</v>
      </c>
      <c r="AD181" s="172" t="s">
        <v>684</v>
      </c>
      <c r="AE181" s="1455" t="s">
        <v>698</v>
      </c>
      <c r="AF181" s="172" t="s">
        <v>547</v>
      </c>
      <c r="AG181" s="172" t="s">
        <v>547</v>
      </c>
      <c r="AH181" s="606"/>
    </row>
    <row r="182" spans="1:35" ht="21" customHeight="1">
      <c r="A182" s="556">
        <v>3</v>
      </c>
      <c r="B182" s="545" t="s">
        <v>554</v>
      </c>
      <c r="C182" s="172"/>
      <c r="D182" s="1213" t="s">
        <v>537</v>
      </c>
      <c r="E182" s="1213" t="s">
        <v>537</v>
      </c>
      <c r="F182" s="172"/>
      <c r="G182" s="172"/>
      <c r="H182" s="1455" t="s">
        <v>547</v>
      </c>
      <c r="I182" s="1455" t="s">
        <v>547</v>
      </c>
      <c r="J182" s="172" t="s">
        <v>535</v>
      </c>
      <c r="K182" s="172" t="s">
        <v>535</v>
      </c>
      <c r="L182" s="172" t="s">
        <v>547</v>
      </c>
      <c r="M182" s="172"/>
      <c r="N182" s="607"/>
      <c r="O182" s="1455" t="s">
        <v>485</v>
      </c>
      <c r="P182" s="1455" t="s">
        <v>485</v>
      </c>
      <c r="Q182" s="1455" t="s">
        <v>485</v>
      </c>
      <c r="R182" s="172">
        <v>3</v>
      </c>
      <c r="S182" s="1455" t="s">
        <v>484</v>
      </c>
      <c r="T182" s="172"/>
      <c r="U182" s="172"/>
      <c r="V182" s="1633" t="s">
        <v>537</v>
      </c>
      <c r="W182" s="172" t="s">
        <v>685</v>
      </c>
      <c r="X182" s="1633" t="s">
        <v>537</v>
      </c>
      <c r="Y182" s="172" t="s">
        <v>487</v>
      </c>
      <c r="Z182" s="172" t="s">
        <v>487</v>
      </c>
      <c r="AA182" s="172" t="s">
        <v>660</v>
      </c>
      <c r="AB182" s="172" t="s">
        <v>660</v>
      </c>
      <c r="AC182" s="172">
        <v>7</v>
      </c>
      <c r="AD182" s="172">
        <v>7</v>
      </c>
      <c r="AE182" s="172">
        <v>7</v>
      </c>
      <c r="AF182" s="172">
        <v>7</v>
      </c>
      <c r="AG182" s="172">
        <v>7</v>
      </c>
      <c r="AH182" s="606"/>
    </row>
    <row r="183" spans="1:35" ht="21" customHeight="1">
      <c r="A183" s="556">
        <v>4</v>
      </c>
      <c r="B183" s="545" t="s">
        <v>788</v>
      </c>
      <c r="C183" s="172"/>
      <c r="D183" s="1455">
        <v>8</v>
      </c>
      <c r="E183" s="1455">
        <v>8</v>
      </c>
      <c r="F183" s="172"/>
      <c r="G183" s="172"/>
      <c r="H183" s="1455">
        <v>9</v>
      </c>
      <c r="I183" s="1455">
        <v>9</v>
      </c>
      <c r="J183" s="1455">
        <v>9</v>
      </c>
      <c r="K183" s="172">
        <v>9</v>
      </c>
      <c r="L183" s="172" t="s">
        <v>487</v>
      </c>
      <c r="M183" s="172"/>
      <c r="N183" s="172"/>
      <c r="O183" s="172">
        <v>4</v>
      </c>
      <c r="P183" s="172">
        <v>4</v>
      </c>
      <c r="Q183" s="172">
        <v>4</v>
      </c>
      <c r="R183" s="172">
        <v>4</v>
      </c>
      <c r="S183" s="172">
        <v>4</v>
      </c>
      <c r="T183" s="172"/>
      <c r="U183" s="172"/>
      <c r="V183" s="1633" t="s">
        <v>484</v>
      </c>
      <c r="W183" s="172">
        <v>6</v>
      </c>
      <c r="X183" s="1633" t="s">
        <v>484</v>
      </c>
      <c r="Y183" s="1633" t="s">
        <v>485</v>
      </c>
      <c r="Z183" s="1633" t="s">
        <v>813</v>
      </c>
      <c r="AA183" s="1633" t="s">
        <v>486</v>
      </c>
      <c r="AB183" s="1633" t="s">
        <v>486</v>
      </c>
      <c r="AC183" s="172" t="s">
        <v>487</v>
      </c>
      <c r="AD183" s="172" t="s">
        <v>487</v>
      </c>
      <c r="AE183" s="172" t="s">
        <v>487</v>
      </c>
      <c r="AF183" s="172" t="s">
        <v>487</v>
      </c>
      <c r="AG183" s="172" t="s">
        <v>487</v>
      </c>
      <c r="AH183" s="606"/>
    </row>
    <row r="184" spans="1:35" ht="21" customHeight="1">
      <c r="A184" s="556">
        <v>5</v>
      </c>
      <c r="B184" s="545" t="s">
        <v>814</v>
      </c>
      <c r="C184" s="172"/>
      <c r="D184" s="172"/>
      <c r="E184" s="172"/>
      <c r="F184" s="172"/>
      <c r="G184" s="172"/>
      <c r="H184" s="172"/>
      <c r="I184" s="172"/>
      <c r="J184" s="172"/>
      <c r="K184" s="172"/>
      <c r="L184" s="172"/>
      <c r="M184" s="172"/>
      <c r="N184" s="172"/>
      <c r="O184" s="172"/>
      <c r="P184" s="172"/>
      <c r="Q184" s="172"/>
      <c r="R184" s="172"/>
      <c r="S184" s="172"/>
      <c r="T184" s="172"/>
      <c r="U184" s="172"/>
      <c r="V184" s="1633" t="s">
        <v>514</v>
      </c>
      <c r="W184" s="1633" t="s">
        <v>807</v>
      </c>
      <c r="X184" s="1633" t="s">
        <v>807</v>
      </c>
      <c r="Y184" s="1633" t="s">
        <v>807</v>
      </c>
      <c r="Z184" s="1633" t="s">
        <v>807</v>
      </c>
      <c r="AA184" s="172"/>
      <c r="AB184" s="172"/>
      <c r="AC184" s="172"/>
      <c r="AD184" s="172"/>
      <c r="AE184" s="172"/>
      <c r="AF184" s="172"/>
      <c r="AG184" s="172"/>
      <c r="AH184" s="606"/>
    </row>
    <row r="185" spans="1:35" ht="21" customHeight="1">
      <c r="A185" s="1232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1233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6"/>
    </row>
    <row r="186" spans="1:35" ht="21.95" customHeight="1" thickBot="1">
      <c r="A186" s="1" t="s">
        <v>560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1290" t="s">
        <v>516</v>
      </c>
      <c r="C187" s="51" t="s">
        <v>2</v>
      </c>
      <c r="D187" s="51"/>
      <c r="E187" s="51"/>
      <c r="F187" s="51"/>
      <c r="G187" s="1292" t="s">
        <v>3</v>
      </c>
      <c r="H187" s="51"/>
      <c r="I187" s="51"/>
      <c r="J187" s="51"/>
      <c r="K187" s="1292" t="s">
        <v>4</v>
      </c>
      <c r="L187" s="51"/>
      <c r="M187" s="51"/>
      <c r="N187" s="51"/>
      <c r="O187" s="1292" t="s">
        <v>5</v>
      </c>
      <c r="P187" s="51"/>
      <c r="Q187" s="51"/>
      <c r="R187" s="51"/>
      <c r="S187" s="1292" t="s">
        <v>6</v>
      </c>
      <c r="T187" s="51"/>
      <c r="U187" s="51"/>
      <c r="V187" s="51"/>
      <c r="W187" s="51"/>
      <c r="X187" s="1296" t="s">
        <v>7</v>
      </c>
      <c r="Y187" s="51"/>
      <c r="Z187" s="551"/>
      <c r="AA187" s="7"/>
      <c r="AB187" s="525" t="s">
        <v>8</v>
      </c>
      <c r="AC187" s="51"/>
      <c r="AD187" s="51"/>
      <c r="AE187" s="425" t="s">
        <v>10</v>
      </c>
      <c r="AF187" s="51"/>
      <c r="AG187" s="51"/>
      <c r="AH187" s="51"/>
      <c r="AI187" s="526"/>
    </row>
    <row r="188" spans="1:35" ht="21.95" customHeight="1">
      <c r="A188" s="1"/>
      <c r="B188" s="1290">
        <v>3701</v>
      </c>
      <c r="C188" s="55" t="s">
        <v>561</v>
      </c>
      <c r="D188" s="55"/>
      <c r="E188" s="55"/>
      <c r="F188" s="55"/>
      <c r="G188" s="1293" t="s">
        <v>124</v>
      </c>
      <c r="H188" s="55"/>
      <c r="I188" s="55"/>
      <c r="J188" s="55"/>
      <c r="K188" s="1293" t="s">
        <v>124</v>
      </c>
      <c r="L188" s="55"/>
      <c r="M188" s="55"/>
      <c r="N188" s="55"/>
      <c r="O188" s="1293" t="s">
        <v>124</v>
      </c>
      <c r="P188" s="55"/>
      <c r="Q188" s="55"/>
      <c r="R188" s="55"/>
      <c r="S188" s="1293" t="s">
        <v>125</v>
      </c>
      <c r="T188" s="55"/>
      <c r="U188" s="55"/>
      <c r="V188" s="55"/>
      <c r="W188" s="55"/>
      <c r="X188" s="1297"/>
      <c r="Y188" s="55"/>
      <c r="Z188" s="608"/>
      <c r="AA188" s="14"/>
      <c r="AB188" s="609"/>
      <c r="AC188" s="55"/>
      <c r="AD188" s="55"/>
      <c r="AE188" s="610"/>
      <c r="AF188" s="55"/>
      <c r="AG188" s="55"/>
      <c r="AH188" s="55"/>
      <c r="AI188" s="611"/>
    </row>
    <row r="189" spans="1:35" ht="21.95" customHeight="1">
      <c r="B189" s="1290">
        <v>3700</v>
      </c>
      <c r="C189" s="157" t="s">
        <v>512</v>
      </c>
      <c r="D189" s="157"/>
      <c r="E189" s="157"/>
      <c r="F189" s="157"/>
      <c r="G189" s="897" t="s">
        <v>512</v>
      </c>
      <c r="H189" s="157"/>
      <c r="I189" s="157"/>
      <c r="J189" s="157"/>
      <c r="K189" s="897" t="s">
        <v>512</v>
      </c>
      <c r="L189" s="157"/>
      <c r="M189" s="157"/>
      <c r="N189" s="157"/>
      <c r="O189" s="897" t="s">
        <v>512</v>
      </c>
      <c r="P189" s="157"/>
      <c r="Q189" s="157"/>
      <c r="R189" s="157"/>
      <c r="S189" s="897" t="s">
        <v>116</v>
      </c>
      <c r="T189" s="157"/>
      <c r="U189" s="157"/>
      <c r="V189" s="157"/>
      <c r="W189" s="157"/>
      <c r="X189" s="897"/>
      <c r="Y189" s="157"/>
      <c r="Z189" s="568"/>
      <c r="AA189" s="567"/>
      <c r="AB189" s="157"/>
      <c r="AC189" s="157"/>
      <c r="AD189" s="569"/>
      <c r="AE189" s="613"/>
      <c r="AF189" s="157"/>
      <c r="AG189" s="157" t="s">
        <v>28</v>
      </c>
      <c r="AH189" s="569"/>
      <c r="AI189" s="490"/>
    </row>
    <row r="190" spans="1:35" ht="21.95" customHeight="1">
      <c r="A190" s="1"/>
      <c r="B190" s="1290">
        <v>8514</v>
      </c>
      <c r="C190" s="157" t="s">
        <v>124</v>
      </c>
      <c r="D190" s="157"/>
      <c r="E190" s="157"/>
      <c r="F190" s="157"/>
      <c r="G190" s="897" t="s">
        <v>124</v>
      </c>
      <c r="H190" s="157"/>
      <c r="I190" s="157"/>
      <c r="J190" s="157"/>
      <c r="K190" s="897" t="s">
        <v>124</v>
      </c>
      <c r="L190" s="157"/>
      <c r="M190" s="157"/>
      <c r="N190" s="157"/>
      <c r="O190" s="897" t="s">
        <v>124</v>
      </c>
      <c r="P190" s="157"/>
      <c r="Q190" s="157"/>
      <c r="R190" s="157"/>
      <c r="S190" s="897" t="s">
        <v>562</v>
      </c>
      <c r="T190" s="157"/>
      <c r="U190" s="157"/>
      <c r="V190" s="157"/>
      <c r="W190" s="157"/>
      <c r="X190" s="897"/>
      <c r="Y190" s="157"/>
      <c r="Z190" s="568"/>
      <c r="AA190" s="121"/>
      <c r="AB190" s="157"/>
      <c r="AC190" s="157"/>
      <c r="AD190" s="569"/>
      <c r="AE190" s="121"/>
      <c r="AF190" s="157"/>
      <c r="AG190" s="157"/>
      <c r="AH190" s="569"/>
      <c r="AI190" s="490"/>
    </row>
    <row r="191" spans="1:35" ht="21.95" customHeight="1">
      <c r="A191" s="1"/>
      <c r="B191" s="1290">
        <v>8500</v>
      </c>
      <c r="C191" s="55" t="s">
        <v>11</v>
      </c>
      <c r="D191" s="55"/>
      <c r="E191" s="55"/>
      <c r="F191" s="55"/>
      <c r="G191" s="1293" t="s">
        <v>11</v>
      </c>
      <c r="H191" s="55"/>
      <c r="I191" s="55"/>
      <c r="J191" s="55"/>
      <c r="K191" s="1293" t="s">
        <v>11</v>
      </c>
      <c r="L191" s="55"/>
      <c r="M191" s="55"/>
      <c r="N191" s="55"/>
      <c r="O191" s="1293" t="s">
        <v>11</v>
      </c>
      <c r="P191" s="55"/>
      <c r="Q191" s="55"/>
      <c r="R191" s="55"/>
      <c r="S191" s="1293" t="s">
        <v>12</v>
      </c>
      <c r="T191" s="55"/>
      <c r="U191" s="55"/>
      <c r="V191" s="55"/>
      <c r="W191" s="55"/>
      <c r="X191" s="1293"/>
      <c r="Y191" s="55"/>
      <c r="Z191" s="615"/>
      <c r="AA191" s="614"/>
      <c r="AB191" s="55"/>
      <c r="AC191" s="55"/>
      <c r="AD191" s="615"/>
      <c r="AE191" s="614"/>
      <c r="AF191" s="55"/>
      <c r="AG191" s="55"/>
      <c r="AH191" s="598"/>
      <c r="AI191" s="611"/>
    </row>
    <row r="192" spans="1:35" ht="21.95" customHeight="1">
      <c r="A192" s="1"/>
      <c r="B192" s="1290">
        <v>8514</v>
      </c>
      <c r="C192" s="616" t="s">
        <v>124</v>
      </c>
      <c r="D192" s="616"/>
      <c r="E192" s="616"/>
      <c r="F192" s="616"/>
      <c r="G192" s="1294" t="s">
        <v>124</v>
      </c>
      <c r="H192" s="616"/>
      <c r="I192" s="616"/>
      <c r="J192" s="616"/>
      <c r="K192" s="1294" t="s">
        <v>124</v>
      </c>
      <c r="L192" s="616"/>
      <c r="M192" s="616"/>
      <c r="N192" s="616"/>
      <c r="O192" s="1294" t="s">
        <v>124</v>
      </c>
      <c r="P192" s="616"/>
      <c r="Q192" s="616"/>
      <c r="R192" s="616"/>
      <c r="S192" s="1294" t="s">
        <v>562</v>
      </c>
      <c r="T192" s="616"/>
      <c r="U192" s="616"/>
      <c r="V192" s="616"/>
      <c r="W192" s="616"/>
      <c r="X192" s="1297"/>
      <c r="Y192" s="55"/>
      <c r="Z192" s="608"/>
      <c r="AA192" s="14"/>
      <c r="AB192" s="609"/>
      <c r="AC192" s="55"/>
      <c r="AD192" s="55"/>
      <c r="AE192" s="610"/>
      <c r="AF192" s="55"/>
      <c r="AG192" s="55"/>
      <c r="AH192" s="55"/>
      <c r="AI192" s="611"/>
    </row>
    <row r="193" spans="1:35" ht="21.95" customHeight="1" thickBot="1">
      <c r="A193" s="1"/>
      <c r="B193" s="1291" t="s">
        <v>563</v>
      </c>
      <c r="C193" s="53" t="s">
        <v>564</v>
      </c>
      <c r="D193" s="53"/>
      <c r="E193" s="53"/>
      <c r="F193" s="53"/>
      <c r="G193" s="1295" t="s">
        <v>564</v>
      </c>
      <c r="H193" s="53"/>
      <c r="I193" s="53"/>
      <c r="J193" s="53"/>
      <c r="K193" s="53" t="s">
        <v>564</v>
      </c>
      <c r="L193" s="53"/>
      <c r="M193" s="53"/>
      <c r="N193" s="53"/>
      <c r="O193" s="1295" t="s">
        <v>564</v>
      </c>
      <c r="P193" s="53"/>
      <c r="Q193" s="53"/>
      <c r="R193" s="53"/>
      <c r="S193" s="1295" t="s">
        <v>565</v>
      </c>
      <c r="T193" s="53"/>
      <c r="U193" s="53"/>
      <c r="V193" s="53"/>
      <c r="W193" s="53"/>
      <c r="X193" s="1295"/>
      <c r="Y193" s="53"/>
      <c r="Z193" s="575"/>
      <c r="AA193" s="574"/>
      <c r="AB193" s="53"/>
      <c r="AC193" s="53"/>
      <c r="AD193" s="577"/>
      <c r="AE193" s="618"/>
      <c r="AF193" s="53"/>
      <c r="AG193" s="53" t="s">
        <v>28</v>
      </c>
      <c r="AH193" s="577"/>
      <c r="AI193" s="539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509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>
      <c r="A196" s="556"/>
      <c r="B196" s="297" t="s">
        <v>480</v>
      </c>
      <c r="C196" s="1235">
        <v>1</v>
      </c>
      <c r="D196" s="1234">
        <v>2</v>
      </c>
      <c r="E196" s="1234">
        <v>3</v>
      </c>
      <c r="F196" s="1235">
        <v>4</v>
      </c>
      <c r="G196" s="1235">
        <v>5</v>
      </c>
      <c r="H196" s="1234">
        <v>6</v>
      </c>
      <c r="I196" s="1213">
        <v>7</v>
      </c>
      <c r="J196" s="1213">
        <v>8</v>
      </c>
      <c r="K196" s="1234">
        <v>9</v>
      </c>
      <c r="L196" s="1234">
        <v>10</v>
      </c>
      <c r="M196" s="1235">
        <v>11</v>
      </c>
      <c r="N196" s="1235">
        <v>12</v>
      </c>
      <c r="O196" s="1234">
        <v>13</v>
      </c>
      <c r="P196" s="1213">
        <v>14</v>
      </c>
      <c r="Q196" s="1213">
        <v>15</v>
      </c>
      <c r="R196" s="1234">
        <v>16</v>
      </c>
      <c r="S196" s="1234">
        <v>17</v>
      </c>
      <c r="T196" s="1235">
        <v>18</v>
      </c>
      <c r="U196" s="1235">
        <v>19</v>
      </c>
      <c r="V196" s="1213">
        <v>20</v>
      </c>
      <c r="W196" s="1213">
        <v>21</v>
      </c>
      <c r="X196" s="1213">
        <v>22</v>
      </c>
      <c r="Y196" s="1234">
        <v>23</v>
      </c>
      <c r="Z196" s="1234">
        <v>24</v>
      </c>
      <c r="AA196" s="1235">
        <v>25</v>
      </c>
      <c r="AB196" s="1235">
        <v>26</v>
      </c>
      <c r="AC196" s="1234">
        <v>27</v>
      </c>
      <c r="AD196" s="1213">
        <v>28</v>
      </c>
      <c r="AE196" s="1213">
        <v>29</v>
      </c>
      <c r="AF196" s="1234">
        <v>30</v>
      </c>
      <c r="AG196" s="1234">
        <v>31</v>
      </c>
      <c r="AH196" s="498" t="s">
        <v>481</v>
      </c>
      <c r="AI196" s="499" t="s">
        <v>482</v>
      </c>
    </row>
    <row r="197" spans="1:35" ht="21.95" customHeight="1">
      <c r="A197" s="556"/>
      <c r="B197" s="1236" t="s">
        <v>768</v>
      </c>
      <c r="C197" s="1215"/>
      <c r="D197" s="1215" t="s">
        <v>535</v>
      </c>
      <c r="E197" s="1215" t="s">
        <v>535</v>
      </c>
      <c r="F197" s="1215"/>
      <c r="G197" s="1215"/>
      <c r="H197" s="1215" t="s">
        <v>535</v>
      </c>
      <c r="I197" s="1215" t="s">
        <v>535</v>
      </c>
      <c r="J197" s="1215" t="s">
        <v>535</v>
      </c>
      <c r="K197" s="1215" t="s">
        <v>535</v>
      </c>
      <c r="L197" s="1215" t="s">
        <v>535</v>
      </c>
      <c r="M197" s="1215"/>
      <c r="N197" s="1215"/>
      <c r="O197" s="1215" t="s">
        <v>535</v>
      </c>
      <c r="P197" s="1215" t="s">
        <v>535</v>
      </c>
      <c r="Q197" s="1215" t="s">
        <v>535</v>
      </c>
      <c r="R197" s="1215" t="s">
        <v>535</v>
      </c>
      <c r="S197" s="1215" t="s">
        <v>535</v>
      </c>
      <c r="T197" s="1215"/>
      <c r="U197" s="1215"/>
      <c r="V197" s="1215" t="s">
        <v>535</v>
      </c>
      <c r="W197" s="1215" t="s">
        <v>535</v>
      </c>
      <c r="X197" s="1215" t="s">
        <v>535</v>
      </c>
      <c r="Y197" s="1215" t="s">
        <v>535</v>
      </c>
      <c r="Z197" s="1215" t="s">
        <v>535</v>
      </c>
      <c r="AA197" s="1215"/>
      <c r="AB197" s="1215"/>
      <c r="AC197" s="1215" t="s">
        <v>535</v>
      </c>
      <c r="AD197" s="1215" t="s">
        <v>535</v>
      </c>
      <c r="AE197" s="1215" t="s">
        <v>535</v>
      </c>
      <c r="AF197" s="1215" t="s">
        <v>535</v>
      </c>
      <c r="AG197" s="1215" t="s">
        <v>535</v>
      </c>
      <c r="AH197" s="603">
        <v>185</v>
      </c>
      <c r="AI197" s="604">
        <v>37</v>
      </c>
    </row>
    <row r="198" spans="1:35" ht="21.95" customHeight="1">
      <c r="A198" s="620">
        <v>8500</v>
      </c>
      <c r="B198" s="1237" t="s">
        <v>151</v>
      </c>
      <c r="C198" s="1215"/>
      <c r="D198" s="1335" t="s">
        <v>535</v>
      </c>
      <c r="E198" s="1335" t="s">
        <v>535</v>
      </c>
      <c r="F198" s="1215"/>
      <c r="G198" s="1215"/>
      <c r="H198" s="1215" t="s">
        <v>535</v>
      </c>
      <c r="I198" s="1215" t="s">
        <v>535</v>
      </c>
      <c r="J198" s="1215" t="s">
        <v>535</v>
      </c>
      <c r="K198" s="1215" t="s">
        <v>535</v>
      </c>
      <c r="L198" s="1215" t="s">
        <v>535</v>
      </c>
      <c r="M198" s="1215"/>
      <c r="N198" s="1215"/>
      <c r="O198" s="1215" t="s">
        <v>535</v>
      </c>
      <c r="P198" s="1215" t="s">
        <v>535</v>
      </c>
      <c r="Q198" s="1215" t="s">
        <v>535</v>
      </c>
      <c r="R198" s="1215" t="s">
        <v>535</v>
      </c>
      <c r="S198" s="1215" t="s">
        <v>535</v>
      </c>
      <c r="T198" s="1215"/>
      <c r="U198" s="1215"/>
      <c r="V198" s="1215" t="s">
        <v>535</v>
      </c>
      <c r="W198" s="1215" t="s">
        <v>535</v>
      </c>
      <c r="X198" s="1215" t="s">
        <v>535</v>
      </c>
      <c r="Y198" s="1215" t="s">
        <v>535</v>
      </c>
      <c r="Z198" s="1335" t="s">
        <v>535</v>
      </c>
      <c r="AA198" s="1215"/>
      <c r="AB198" s="1215"/>
      <c r="AC198" s="1215" t="s">
        <v>535</v>
      </c>
      <c r="AD198" s="1215" t="s">
        <v>535</v>
      </c>
      <c r="AE198" s="1215" t="s">
        <v>535</v>
      </c>
      <c r="AF198" s="1215" t="s">
        <v>535</v>
      </c>
      <c r="AG198" s="1215" t="s">
        <v>535</v>
      </c>
      <c r="AH198" s="603">
        <v>185</v>
      </c>
      <c r="AI198" s="604">
        <v>37</v>
      </c>
    </row>
    <row r="199" spans="1:35" ht="21" customHeight="1">
      <c r="A199" s="442"/>
      <c r="B199" s="1236" t="s">
        <v>567</v>
      </c>
      <c r="C199" s="1215"/>
      <c r="D199" s="1215" t="s">
        <v>535</v>
      </c>
      <c r="E199" s="1215" t="s">
        <v>535</v>
      </c>
      <c r="F199" s="1215"/>
      <c r="G199" s="1215"/>
      <c r="H199" s="1215" t="s">
        <v>535</v>
      </c>
      <c r="I199" s="1215" t="s">
        <v>535</v>
      </c>
      <c r="J199" s="1215" t="s">
        <v>535</v>
      </c>
      <c r="K199" s="1215" t="s">
        <v>535</v>
      </c>
      <c r="L199" s="1215" t="s">
        <v>535</v>
      </c>
      <c r="M199" s="1215"/>
      <c r="N199" s="1215"/>
      <c r="O199" s="1215" t="s">
        <v>535</v>
      </c>
      <c r="P199" s="1215" t="s">
        <v>535</v>
      </c>
      <c r="Q199" s="1215" t="s">
        <v>535</v>
      </c>
      <c r="R199" s="1215" t="s">
        <v>535</v>
      </c>
      <c r="S199" s="1215" t="s">
        <v>535</v>
      </c>
      <c r="T199" s="1215"/>
      <c r="U199" s="1215"/>
      <c r="V199" s="1215" t="s">
        <v>535</v>
      </c>
      <c r="W199" s="1215" t="s">
        <v>535</v>
      </c>
      <c r="X199" s="1215" t="s">
        <v>535</v>
      </c>
      <c r="Y199" s="1215" t="s">
        <v>535</v>
      </c>
      <c r="Z199" s="1215" t="s">
        <v>535</v>
      </c>
      <c r="AA199" s="1215"/>
      <c r="AB199" s="1215"/>
      <c r="AC199" s="1215" t="s">
        <v>535</v>
      </c>
      <c r="AD199" s="1215" t="s">
        <v>535</v>
      </c>
      <c r="AE199" s="1215" t="s">
        <v>535</v>
      </c>
      <c r="AF199" s="1215" t="s">
        <v>535</v>
      </c>
      <c r="AG199" s="1215" t="s">
        <v>535</v>
      </c>
      <c r="AH199" s="603">
        <v>185</v>
      </c>
      <c r="AI199" s="604">
        <v>37</v>
      </c>
    </row>
    <row r="200" spans="1:35" ht="21" customHeight="1">
      <c r="A200" s="442">
        <v>8521</v>
      </c>
      <c r="B200" s="1236" t="s">
        <v>568</v>
      </c>
      <c r="C200" s="1215"/>
      <c r="D200" s="1215" t="s">
        <v>535</v>
      </c>
      <c r="E200" s="1215" t="s">
        <v>535</v>
      </c>
      <c r="F200" s="1215"/>
      <c r="G200" s="1215"/>
      <c r="H200" s="1215" t="s">
        <v>535</v>
      </c>
      <c r="I200" s="1215" t="s">
        <v>535</v>
      </c>
      <c r="J200" s="1215" t="s">
        <v>535</v>
      </c>
      <c r="K200" s="1215" t="s">
        <v>535</v>
      </c>
      <c r="L200" s="1215" t="s">
        <v>535</v>
      </c>
      <c r="M200" s="1215"/>
      <c r="N200" s="1215"/>
      <c r="O200" s="1215" t="s">
        <v>535</v>
      </c>
      <c r="P200" s="1215" t="s">
        <v>535</v>
      </c>
      <c r="Q200" s="1215" t="s">
        <v>535</v>
      </c>
      <c r="R200" s="1215" t="s">
        <v>535</v>
      </c>
      <c r="S200" s="1215" t="s">
        <v>535</v>
      </c>
      <c r="T200" s="1215"/>
      <c r="U200" s="1215"/>
      <c r="V200" s="1215" t="s">
        <v>535</v>
      </c>
      <c r="W200" s="1215" t="s">
        <v>535</v>
      </c>
      <c r="X200" s="1215" t="s">
        <v>535</v>
      </c>
      <c r="Y200" s="1215" t="s">
        <v>535</v>
      </c>
      <c r="Z200" s="1215" t="s">
        <v>535</v>
      </c>
      <c r="AA200" s="1215"/>
      <c r="AB200" s="1215"/>
      <c r="AC200" s="1215" t="s">
        <v>535</v>
      </c>
      <c r="AD200" s="1215" t="s">
        <v>535</v>
      </c>
      <c r="AE200" s="1335" t="s">
        <v>535</v>
      </c>
      <c r="AF200" s="1215" t="s">
        <v>535</v>
      </c>
      <c r="AG200" s="1215" t="s">
        <v>535</v>
      </c>
      <c r="AH200" s="603">
        <v>185</v>
      </c>
      <c r="AI200" s="604">
        <v>37</v>
      </c>
    </row>
    <row r="201" spans="1:35" ht="21" customHeight="1">
      <c r="A201" s="442"/>
      <c r="B201" s="1236"/>
      <c r="C201" s="1215"/>
      <c r="D201" s="1215" t="s">
        <v>535</v>
      </c>
      <c r="E201" s="1215" t="s">
        <v>535</v>
      </c>
      <c r="F201" s="1215"/>
      <c r="G201" s="1215"/>
      <c r="H201" s="1215" t="s">
        <v>535</v>
      </c>
      <c r="I201" s="1215" t="s">
        <v>535</v>
      </c>
      <c r="J201" s="1215" t="s">
        <v>535</v>
      </c>
      <c r="K201" s="1215" t="s">
        <v>535</v>
      </c>
      <c r="L201" s="1215" t="s">
        <v>535</v>
      </c>
      <c r="M201" s="1215"/>
      <c r="N201" s="1215"/>
      <c r="O201" s="1215" t="s">
        <v>535</v>
      </c>
      <c r="P201" s="1215" t="s">
        <v>535</v>
      </c>
      <c r="Q201" s="1215" t="s">
        <v>535</v>
      </c>
      <c r="R201" s="1215" t="s">
        <v>535</v>
      </c>
      <c r="S201" s="1215" t="s">
        <v>535</v>
      </c>
      <c r="T201" s="1215"/>
      <c r="U201" s="1215"/>
      <c r="V201" s="1215" t="s">
        <v>535</v>
      </c>
      <c r="W201" s="1215" t="s">
        <v>535</v>
      </c>
      <c r="X201" s="1215" t="s">
        <v>535</v>
      </c>
      <c r="Y201" s="1215" t="s">
        <v>535</v>
      </c>
      <c r="Z201" s="1215" t="s">
        <v>535</v>
      </c>
      <c r="AA201" s="1215"/>
      <c r="AB201" s="1215"/>
      <c r="AC201" s="1215" t="s">
        <v>535</v>
      </c>
      <c r="AD201" s="1215" t="s">
        <v>535</v>
      </c>
      <c r="AE201" s="1344" t="s">
        <v>535</v>
      </c>
      <c r="AF201" s="1215" t="s">
        <v>535</v>
      </c>
      <c r="AG201" s="1215" t="s">
        <v>535</v>
      </c>
      <c r="AH201" s="603">
        <v>185</v>
      </c>
      <c r="AI201" s="604">
        <v>37</v>
      </c>
    </row>
    <row r="202" spans="1:35" ht="21" customHeight="1">
      <c r="A202" s="442">
        <v>8514</v>
      </c>
      <c r="B202" s="1238" t="s">
        <v>569</v>
      </c>
      <c r="C202" s="1215"/>
      <c r="D202" s="1338" t="s">
        <v>535</v>
      </c>
      <c r="E202" s="1338" t="s">
        <v>535</v>
      </c>
      <c r="F202" s="1215"/>
      <c r="G202" s="1215"/>
      <c r="H202" s="1215" t="s">
        <v>535</v>
      </c>
      <c r="I202" s="1215" t="s">
        <v>535</v>
      </c>
      <c r="J202" s="1215" t="s">
        <v>535</v>
      </c>
      <c r="K202" s="1215" t="s">
        <v>535</v>
      </c>
      <c r="L202" s="1215" t="s">
        <v>535</v>
      </c>
      <c r="M202" s="1215"/>
      <c r="N202" s="1215"/>
      <c r="O202" s="1215" t="s">
        <v>535</v>
      </c>
      <c r="P202" s="1215" t="s">
        <v>535</v>
      </c>
      <c r="Q202" s="1215" t="s">
        <v>535</v>
      </c>
      <c r="R202" s="1215" t="s">
        <v>535</v>
      </c>
      <c r="S202" s="1215" t="s">
        <v>535</v>
      </c>
      <c r="T202" s="1215"/>
      <c r="U202" s="1215"/>
      <c r="V202" s="1215" t="s">
        <v>535</v>
      </c>
      <c r="W202" s="1215" t="s">
        <v>535</v>
      </c>
      <c r="X202" s="1215" t="s">
        <v>535</v>
      </c>
      <c r="Y202" s="1215" t="s">
        <v>535</v>
      </c>
      <c r="Z202" s="1335" t="s">
        <v>535</v>
      </c>
      <c r="AA202" s="1215"/>
      <c r="AB202" s="1215"/>
      <c r="AC202" s="1215" t="s">
        <v>535</v>
      </c>
      <c r="AD202" s="1215" t="s">
        <v>535</v>
      </c>
      <c r="AE202" s="1215" t="s">
        <v>535</v>
      </c>
      <c r="AF202" s="1215" t="s">
        <v>535</v>
      </c>
      <c r="AG202" s="1215" t="s">
        <v>535</v>
      </c>
      <c r="AH202" s="603">
        <v>185</v>
      </c>
      <c r="AI202" s="604">
        <v>37</v>
      </c>
    </row>
    <row r="203" spans="1:35" ht="21.95" customHeight="1">
      <c r="A203" s="442">
        <v>3701</v>
      </c>
      <c r="B203" s="545" t="s">
        <v>513</v>
      </c>
      <c r="C203" s="1215"/>
      <c r="D203" s="1335" t="s">
        <v>535</v>
      </c>
      <c r="E203" s="1335" t="s">
        <v>535</v>
      </c>
      <c r="F203" s="1215"/>
      <c r="G203" s="1215"/>
      <c r="H203" s="1215" t="s">
        <v>535</v>
      </c>
      <c r="I203" s="1215" t="s">
        <v>535</v>
      </c>
      <c r="J203" s="1215" t="s">
        <v>535</v>
      </c>
      <c r="K203" s="1215" t="s">
        <v>535</v>
      </c>
      <c r="L203" s="1215" t="s">
        <v>535</v>
      </c>
      <c r="M203" s="1215"/>
      <c r="N203" s="1215"/>
      <c r="O203" s="1215" t="s">
        <v>535</v>
      </c>
      <c r="P203" s="1215" t="s">
        <v>535</v>
      </c>
      <c r="Q203" s="1215" t="s">
        <v>535</v>
      </c>
      <c r="R203" s="1215" t="s">
        <v>535</v>
      </c>
      <c r="S203" s="1215" t="s">
        <v>535</v>
      </c>
      <c r="T203" s="1215"/>
      <c r="U203" s="1215"/>
      <c r="V203" s="1215" t="s">
        <v>535</v>
      </c>
      <c r="W203" s="1215" t="s">
        <v>535</v>
      </c>
      <c r="X203" s="1215" t="s">
        <v>535</v>
      </c>
      <c r="Y203" s="1215" t="s">
        <v>535</v>
      </c>
      <c r="Z203" s="1215" t="s">
        <v>535</v>
      </c>
      <c r="AA203" s="1215"/>
      <c r="AB203" s="1215"/>
      <c r="AC203" s="1215" t="s">
        <v>535</v>
      </c>
      <c r="AD203" s="1215" t="s">
        <v>535</v>
      </c>
      <c r="AE203" s="1215" t="s">
        <v>535</v>
      </c>
      <c r="AF203" s="1215" t="s">
        <v>535</v>
      </c>
      <c r="AG203" s="1215" t="s">
        <v>535</v>
      </c>
      <c r="AH203" s="603">
        <v>185</v>
      </c>
      <c r="AI203" s="604">
        <v>37</v>
      </c>
    </row>
    <row r="204" spans="1:35" ht="21.95" customHeight="1">
      <c r="A204" s="442">
        <v>3701</v>
      </c>
      <c r="B204" s="1236" t="s">
        <v>345</v>
      </c>
      <c r="C204" s="1215"/>
      <c r="D204" s="1215" t="s">
        <v>535</v>
      </c>
      <c r="E204" s="1215" t="s">
        <v>535</v>
      </c>
      <c r="F204" s="1215"/>
      <c r="G204" s="1215"/>
      <c r="H204" s="1215" t="s">
        <v>535</v>
      </c>
      <c r="I204" s="1215" t="s">
        <v>535</v>
      </c>
      <c r="J204" s="1215" t="s">
        <v>535</v>
      </c>
      <c r="K204" s="1215" t="s">
        <v>535</v>
      </c>
      <c r="L204" s="1215" t="s">
        <v>535</v>
      </c>
      <c r="M204" s="1215"/>
      <c r="N204" s="1215"/>
      <c r="O204" s="1215" t="s">
        <v>535</v>
      </c>
      <c r="P204" s="1215" t="s">
        <v>535</v>
      </c>
      <c r="Q204" s="1215" t="s">
        <v>535</v>
      </c>
      <c r="R204" s="1215" t="s">
        <v>535</v>
      </c>
      <c r="S204" s="1215" t="s">
        <v>535</v>
      </c>
      <c r="T204" s="1215"/>
      <c r="U204" s="1215"/>
      <c r="V204" s="1215" t="s">
        <v>535</v>
      </c>
      <c r="W204" s="1215" t="s">
        <v>535</v>
      </c>
      <c r="X204" s="1215" t="s">
        <v>535</v>
      </c>
      <c r="Y204" s="1215" t="s">
        <v>535</v>
      </c>
      <c r="Z204" s="1215" t="s">
        <v>535</v>
      </c>
      <c r="AA204" s="1215"/>
      <c r="AB204" s="1215"/>
      <c r="AC204" s="1215" t="s">
        <v>535</v>
      </c>
      <c r="AD204" s="1215" t="s">
        <v>535</v>
      </c>
      <c r="AE204" s="1215" t="s">
        <v>535</v>
      </c>
      <c r="AF204" s="1215" t="s">
        <v>535</v>
      </c>
      <c r="AG204" s="1215" t="s">
        <v>535</v>
      </c>
      <c r="AH204" s="603">
        <v>185</v>
      </c>
      <c r="AI204" s="604">
        <v>37</v>
      </c>
    </row>
    <row r="205" spans="1:35" ht="21.95" customHeight="1">
      <c r="A205" s="442">
        <v>3701</v>
      </c>
      <c r="B205" s="1236" t="s">
        <v>348</v>
      </c>
      <c r="C205" s="1215"/>
      <c r="D205" s="1215" t="s">
        <v>535</v>
      </c>
      <c r="E205" s="1215" t="s">
        <v>535</v>
      </c>
      <c r="F205" s="1215"/>
      <c r="G205" s="1215"/>
      <c r="H205" s="1215" t="s">
        <v>535</v>
      </c>
      <c r="I205" s="1215" t="s">
        <v>535</v>
      </c>
      <c r="J205" s="1215" t="s">
        <v>535</v>
      </c>
      <c r="K205" s="1215" t="s">
        <v>535</v>
      </c>
      <c r="L205" s="1215" t="s">
        <v>535</v>
      </c>
      <c r="M205" s="1215"/>
      <c r="N205" s="1215"/>
      <c r="O205" s="1215" t="s">
        <v>535</v>
      </c>
      <c r="P205" s="1215" t="s">
        <v>535</v>
      </c>
      <c r="Q205" s="1215" t="s">
        <v>535</v>
      </c>
      <c r="R205" s="1215" t="s">
        <v>535</v>
      </c>
      <c r="S205" s="1215" t="s">
        <v>535</v>
      </c>
      <c r="T205" s="1215"/>
      <c r="U205" s="1215"/>
      <c r="V205" s="1215">
        <v>19</v>
      </c>
      <c r="W205" s="1215">
        <v>19</v>
      </c>
      <c r="X205" s="1215">
        <v>19</v>
      </c>
      <c r="Y205" s="1215">
        <v>19</v>
      </c>
      <c r="Z205" s="1215">
        <v>19</v>
      </c>
      <c r="AA205" s="1215"/>
      <c r="AB205" s="1215"/>
      <c r="AC205" s="1215" t="s">
        <v>535</v>
      </c>
      <c r="AD205" s="1215" t="s">
        <v>535</v>
      </c>
      <c r="AE205" s="1215" t="s">
        <v>535</v>
      </c>
      <c r="AF205" s="1335" t="s">
        <v>535</v>
      </c>
      <c r="AG205" s="1215" t="s">
        <v>535</v>
      </c>
      <c r="AH205" s="603">
        <v>185</v>
      </c>
      <c r="AI205" s="604">
        <v>37</v>
      </c>
    </row>
    <row r="206" spans="1:35" ht="21.95" customHeight="1">
      <c r="A206" s="442">
        <v>3701</v>
      </c>
      <c r="B206" s="1236" t="s">
        <v>350</v>
      </c>
      <c r="C206" s="1215"/>
      <c r="D206" s="1345">
        <v>19</v>
      </c>
      <c r="E206" s="1345">
        <v>19</v>
      </c>
      <c r="F206" s="1215"/>
      <c r="G206" s="1215"/>
      <c r="H206" s="1215" t="s">
        <v>535</v>
      </c>
      <c r="I206" s="1215" t="s">
        <v>535</v>
      </c>
      <c r="J206" s="1215" t="s">
        <v>535</v>
      </c>
      <c r="K206" s="1215" t="s">
        <v>535</v>
      </c>
      <c r="L206" s="1215" t="s">
        <v>535</v>
      </c>
      <c r="M206" s="1215"/>
      <c r="N206" s="1215"/>
      <c r="O206" s="1215" t="s">
        <v>535</v>
      </c>
      <c r="P206" s="1215" t="s">
        <v>535</v>
      </c>
      <c r="Q206" s="1215" t="s">
        <v>535</v>
      </c>
      <c r="R206" s="1215" t="s">
        <v>535</v>
      </c>
      <c r="S206" s="1215" t="s">
        <v>535</v>
      </c>
      <c r="T206" s="1215"/>
      <c r="U206" s="1215"/>
      <c r="V206" s="1215" t="s">
        <v>535</v>
      </c>
      <c r="W206" s="1215" t="s">
        <v>535</v>
      </c>
      <c r="X206" s="1215" t="s">
        <v>535</v>
      </c>
      <c r="Y206" s="1215" t="s">
        <v>535</v>
      </c>
      <c r="Z206" s="1215" t="s">
        <v>535</v>
      </c>
      <c r="AA206" s="1215"/>
      <c r="AB206" s="1215"/>
      <c r="AC206" s="1215" t="s">
        <v>535</v>
      </c>
      <c r="AD206" s="1215" t="s">
        <v>535</v>
      </c>
      <c r="AE206" s="1215" t="s">
        <v>535</v>
      </c>
      <c r="AF206" s="1215" t="s">
        <v>535</v>
      </c>
      <c r="AG206" s="1215" t="s">
        <v>535</v>
      </c>
      <c r="AH206" s="603">
        <v>185</v>
      </c>
      <c r="AI206" s="604">
        <v>37</v>
      </c>
    </row>
    <row r="207" spans="1:35" ht="21.95" customHeight="1">
      <c r="A207" s="442">
        <v>3701</v>
      </c>
      <c r="B207" s="1236" t="s">
        <v>351</v>
      </c>
      <c r="C207" s="1215"/>
      <c r="D207" s="1335" t="s">
        <v>535</v>
      </c>
      <c r="E207" s="1335" t="s">
        <v>535</v>
      </c>
      <c r="F207" s="1215"/>
      <c r="G207" s="1215"/>
      <c r="H207" s="1215" t="s">
        <v>535</v>
      </c>
      <c r="I207" s="1215" t="s">
        <v>535</v>
      </c>
      <c r="J207" s="1215" t="s">
        <v>535</v>
      </c>
      <c r="K207" s="1215" t="s">
        <v>535</v>
      </c>
      <c r="L207" s="1215" t="s">
        <v>535</v>
      </c>
      <c r="M207" s="1215"/>
      <c r="N207" s="1215"/>
      <c r="O207" s="1215">
        <v>19</v>
      </c>
      <c r="P207" s="1215">
        <v>19</v>
      </c>
      <c r="Q207" s="1215">
        <v>19</v>
      </c>
      <c r="R207" s="1215">
        <v>19</v>
      </c>
      <c r="S207" s="1215">
        <v>19</v>
      </c>
      <c r="T207" s="1215"/>
      <c r="U207" s="1215"/>
      <c r="V207" s="1215" t="s">
        <v>535</v>
      </c>
      <c r="W207" s="1215" t="s">
        <v>535</v>
      </c>
      <c r="X207" s="1215" t="s">
        <v>535</v>
      </c>
      <c r="Y207" s="1215" t="s">
        <v>535</v>
      </c>
      <c r="Z207" s="1215" t="s">
        <v>535</v>
      </c>
      <c r="AA207" s="1215"/>
      <c r="AB207" s="1215"/>
      <c r="AC207" s="1215" t="s">
        <v>535</v>
      </c>
      <c r="AD207" s="1215" t="s">
        <v>535</v>
      </c>
      <c r="AE207" s="1215" t="s">
        <v>535</v>
      </c>
      <c r="AF207" s="1215" t="s">
        <v>535</v>
      </c>
      <c r="AG207" s="1215" t="s">
        <v>535</v>
      </c>
      <c r="AH207" s="603">
        <v>185</v>
      </c>
      <c r="AI207" s="604">
        <v>37</v>
      </c>
    </row>
    <row r="208" spans="1:35" ht="21.95" customHeight="1">
      <c r="A208" s="442">
        <v>3701</v>
      </c>
      <c r="B208" s="1236" t="s">
        <v>571</v>
      </c>
      <c r="C208" s="1215"/>
      <c r="D208" s="1335" t="s">
        <v>535</v>
      </c>
      <c r="E208" s="1335" t="s">
        <v>535</v>
      </c>
      <c r="F208" s="1215"/>
      <c r="G208" s="1215"/>
      <c r="H208" s="1215" t="s">
        <v>535</v>
      </c>
      <c r="I208" s="1215" t="s">
        <v>535</v>
      </c>
      <c r="J208" s="1215" t="s">
        <v>535</v>
      </c>
      <c r="K208" s="1215" t="s">
        <v>535</v>
      </c>
      <c r="L208" s="1215" t="s">
        <v>535</v>
      </c>
      <c r="M208" s="1215"/>
      <c r="N208" s="1215"/>
      <c r="O208" s="1215" t="s">
        <v>535</v>
      </c>
      <c r="P208" s="1215" t="s">
        <v>535</v>
      </c>
      <c r="Q208" s="1215" t="s">
        <v>535</v>
      </c>
      <c r="R208" s="1215" t="s">
        <v>535</v>
      </c>
      <c r="S208" s="1215" t="s">
        <v>535</v>
      </c>
      <c r="T208" s="1215"/>
      <c r="U208" s="1215"/>
      <c r="V208" s="1215" t="s">
        <v>535</v>
      </c>
      <c r="W208" s="1215" t="s">
        <v>535</v>
      </c>
      <c r="X208" s="1215" t="s">
        <v>535</v>
      </c>
      <c r="Y208" s="1215" t="s">
        <v>535</v>
      </c>
      <c r="Z208" s="1215" t="s">
        <v>535</v>
      </c>
      <c r="AA208" s="1215"/>
      <c r="AB208" s="1215"/>
      <c r="AC208" s="1215">
        <v>19</v>
      </c>
      <c r="AD208" s="1215">
        <v>19</v>
      </c>
      <c r="AE208" s="1215">
        <v>19</v>
      </c>
      <c r="AF208" s="1215">
        <v>19</v>
      </c>
      <c r="AG208" s="1215">
        <v>19</v>
      </c>
      <c r="AH208" s="603">
        <v>185</v>
      </c>
      <c r="AI208" s="604">
        <v>37</v>
      </c>
    </row>
    <row r="209" spans="1:35" ht="21.95" customHeight="1">
      <c r="A209" s="442">
        <v>3701</v>
      </c>
      <c r="B209" s="545" t="s">
        <v>490</v>
      </c>
      <c r="C209" s="1215"/>
      <c r="D209" s="1335" t="s">
        <v>535</v>
      </c>
      <c r="E209" s="1335" t="s">
        <v>535</v>
      </c>
      <c r="F209" s="1215"/>
      <c r="G209" s="1215"/>
      <c r="H209" s="1215">
        <v>19</v>
      </c>
      <c r="I209" s="1215">
        <v>19</v>
      </c>
      <c r="J209" s="1215">
        <v>19</v>
      </c>
      <c r="K209" s="1215">
        <v>19</v>
      </c>
      <c r="L209" s="1215">
        <v>19</v>
      </c>
      <c r="M209" s="1215"/>
      <c r="N209" s="1215"/>
      <c r="O209" s="1215" t="s">
        <v>535</v>
      </c>
      <c r="P209" s="1215" t="s">
        <v>535</v>
      </c>
      <c r="Q209" s="1215" t="s">
        <v>535</v>
      </c>
      <c r="R209" s="1215" t="s">
        <v>535</v>
      </c>
      <c r="S209" s="1215" t="s">
        <v>535</v>
      </c>
      <c r="T209" s="1215"/>
      <c r="U209" s="1215"/>
      <c r="V209" s="1215" t="s">
        <v>535</v>
      </c>
      <c r="W209" s="1215" t="s">
        <v>535</v>
      </c>
      <c r="X209" s="1215" t="s">
        <v>535</v>
      </c>
      <c r="Y209" s="1215" t="s">
        <v>535</v>
      </c>
      <c r="Z209" s="1215" t="s">
        <v>535</v>
      </c>
      <c r="AA209" s="1215"/>
      <c r="AB209" s="1215"/>
      <c r="AC209" s="1215" t="s">
        <v>535</v>
      </c>
      <c r="AD209" s="1215" t="s">
        <v>535</v>
      </c>
      <c r="AE209" s="1215" t="s">
        <v>535</v>
      </c>
      <c r="AF209" s="1215" t="s">
        <v>535</v>
      </c>
      <c r="AG209" s="1215" t="s">
        <v>535</v>
      </c>
      <c r="AH209" s="603">
        <v>185</v>
      </c>
      <c r="AI209" s="604">
        <v>37</v>
      </c>
    </row>
    <row r="210" spans="1:35" ht="21.95" customHeight="1">
      <c r="A210" s="1318">
        <v>3701</v>
      </c>
      <c r="B210" s="1319" t="s">
        <v>573</v>
      </c>
      <c r="C210" s="1215"/>
      <c r="D210" s="1345" t="s">
        <v>535</v>
      </c>
      <c r="E210" s="1345" t="s">
        <v>535</v>
      </c>
      <c r="F210" s="1215"/>
      <c r="G210" s="1215"/>
      <c r="H210" s="1344" t="s">
        <v>535</v>
      </c>
      <c r="I210" s="1215" t="s">
        <v>535</v>
      </c>
      <c r="J210" s="1215" t="s">
        <v>535</v>
      </c>
      <c r="K210" s="1215" t="s">
        <v>535</v>
      </c>
      <c r="L210" s="1215" t="s">
        <v>535</v>
      </c>
      <c r="M210" s="1215"/>
      <c r="N210" s="1215"/>
      <c r="O210" s="1215" t="s">
        <v>535</v>
      </c>
      <c r="P210" s="1215" t="s">
        <v>535</v>
      </c>
      <c r="Q210" s="1215" t="s">
        <v>535</v>
      </c>
      <c r="R210" s="1215" t="s">
        <v>535</v>
      </c>
      <c r="S210" s="1215" t="s">
        <v>535</v>
      </c>
      <c r="T210" s="1215"/>
      <c r="U210" s="1215"/>
      <c r="V210" s="1215" t="s">
        <v>535</v>
      </c>
      <c r="W210" s="1215" t="s">
        <v>535</v>
      </c>
      <c r="X210" s="1215" t="s">
        <v>535</v>
      </c>
      <c r="Y210" s="1215" t="s">
        <v>535</v>
      </c>
      <c r="Z210" s="1215" t="s">
        <v>535</v>
      </c>
      <c r="AA210" s="1215"/>
      <c r="AB210" s="1215"/>
      <c r="AC210" s="1215" t="s">
        <v>535</v>
      </c>
      <c r="AD210" s="1215" t="s">
        <v>535</v>
      </c>
      <c r="AE210" s="1215" t="s">
        <v>535</v>
      </c>
      <c r="AF210" s="1215" t="s">
        <v>535</v>
      </c>
      <c r="AG210" s="1215" t="s">
        <v>535</v>
      </c>
      <c r="AH210" s="603">
        <v>185</v>
      </c>
      <c r="AI210" s="604">
        <v>37</v>
      </c>
    </row>
    <row r="211" spans="1:35" ht="21.95" customHeight="1">
      <c r="A211" s="442">
        <v>3701</v>
      </c>
      <c r="B211" s="1236" t="s">
        <v>574</v>
      </c>
      <c r="C211" s="1215"/>
      <c r="D211" s="1338" t="s">
        <v>535</v>
      </c>
      <c r="E211" s="1338" t="s">
        <v>535</v>
      </c>
      <c r="F211" s="1215"/>
      <c r="G211" s="1215"/>
      <c r="H211" s="1215" t="s">
        <v>535</v>
      </c>
      <c r="I211" s="1215" t="s">
        <v>535</v>
      </c>
      <c r="J211" s="1215" t="s">
        <v>535</v>
      </c>
      <c r="K211" s="1215" t="s">
        <v>535</v>
      </c>
      <c r="L211" s="1215" t="s">
        <v>535</v>
      </c>
      <c r="M211" s="1215"/>
      <c r="N211" s="1215"/>
      <c r="O211" s="1215" t="s">
        <v>535</v>
      </c>
      <c r="P211" s="1215" t="s">
        <v>535</v>
      </c>
      <c r="Q211" s="1215" t="s">
        <v>535</v>
      </c>
      <c r="R211" s="1215" t="s">
        <v>535</v>
      </c>
      <c r="S211" s="1215" t="s">
        <v>535</v>
      </c>
      <c r="T211" s="1215"/>
      <c r="U211" s="1215"/>
      <c r="V211" s="1215" t="s">
        <v>535</v>
      </c>
      <c r="W211" s="1215" t="s">
        <v>535</v>
      </c>
      <c r="X211" s="1215" t="s">
        <v>535</v>
      </c>
      <c r="Y211" s="1215" t="s">
        <v>535</v>
      </c>
      <c r="Z211" s="1215" t="s">
        <v>535</v>
      </c>
      <c r="AA211" s="1215"/>
      <c r="AB211" s="1215"/>
      <c r="AC211" s="1215" t="s">
        <v>535</v>
      </c>
      <c r="AD211" s="1215" t="s">
        <v>535</v>
      </c>
      <c r="AE211" s="1215" t="s">
        <v>535</v>
      </c>
      <c r="AF211" s="1215" t="s">
        <v>535</v>
      </c>
      <c r="AG211" s="1215" t="s">
        <v>535</v>
      </c>
      <c r="AH211" s="603">
        <v>185</v>
      </c>
      <c r="AI211" s="604">
        <v>37</v>
      </c>
    </row>
    <row r="212" spans="1:35" ht="21.95" customHeight="1">
      <c r="A212" s="442">
        <v>3701</v>
      </c>
      <c r="B212" s="1239" t="s">
        <v>575</v>
      </c>
      <c r="C212" s="1215"/>
      <c r="D212" s="1338" t="s">
        <v>535</v>
      </c>
      <c r="E212" s="1344" t="s">
        <v>535</v>
      </c>
      <c r="F212" s="1215"/>
      <c r="G212" s="1215"/>
      <c r="H212" s="1215" t="s">
        <v>535</v>
      </c>
      <c r="I212" s="1215" t="s">
        <v>535</v>
      </c>
      <c r="J212" s="1215" t="s">
        <v>535</v>
      </c>
      <c r="K212" s="1215" t="s">
        <v>535</v>
      </c>
      <c r="L212" s="1215" t="s">
        <v>535</v>
      </c>
      <c r="M212" s="1215"/>
      <c r="N212" s="1215"/>
      <c r="O212" s="1215" t="s">
        <v>535</v>
      </c>
      <c r="P212" s="1215" t="s">
        <v>535</v>
      </c>
      <c r="Q212" s="1215" t="s">
        <v>535</v>
      </c>
      <c r="R212" s="1215" t="s">
        <v>535</v>
      </c>
      <c r="S212" s="1215" t="s">
        <v>535</v>
      </c>
      <c r="T212" s="1215"/>
      <c r="U212" s="1215"/>
      <c r="V212" s="1215" t="s">
        <v>535</v>
      </c>
      <c r="W212" s="1215" t="s">
        <v>535</v>
      </c>
      <c r="X212" s="1215" t="s">
        <v>535</v>
      </c>
      <c r="Y212" s="1215" t="s">
        <v>535</v>
      </c>
      <c r="Z212" s="1215" t="s">
        <v>535</v>
      </c>
      <c r="AA212" s="1215"/>
      <c r="AB212" s="1215"/>
      <c r="AC212" s="1215" t="s">
        <v>535</v>
      </c>
      <c r="AD212" s="1215" t="s">
        <v>535</v>
      </c>
      <c r="AE212" s="1215" t="s">
        <v>535</v>
      </c>
      <c r="AF212" s="1215" t="s">
        <v>535</v>
      </c>
      <c r="AG212" s="1215" t="s">
        <v>535</v>
      </c>
      <c r="AH212" s="603">
        <v>185</v>
      </c>
      <c r="AI212" s="604">
        <v>37</v>
      </c>
    </row>
    <row r="213" spans="1:35" ht="21.95" customHeight="1">
      <c r="A213" s="442">
        <v>3701</v>
      </c>
      <c r="B213" s="1240" t="s">
        <v>576</v>
      </c>
      <c r="C213" s="1229"/>
      <c r="D213" s="1338" t="s">
        <v>535</v>
      </c>
      <c r="E213" s="1338" t="s">
        <v>535</v>
      </c>
      <c r="F213" s="1215"/>
      <c r="G213" s="1215"/>
      <c r="H213" s="1215" t="s">
        <v>535</v>
      </c>
      <c r="I213" s="1215" t="s">
        <v>535</v>
      </c>
      <c r="J213" s="1215" t="s">
        <v>535</v>
      </c>
      <c r="K213" s="1215" t="s">
        <v>535</v>
      </c>
      <c r="L213" s="1215" t="s">
        <v>535</v>
      </c>
      <c r="M213" s="1215"/>
      <c r="N213" s="1215"/>
      <c r="O213" s="1215" t="s">
        <v>535</v>
      </c>
      <c r="P213" s="1215" t="s">
        <v>535</v>
      </c>
      <c r="Q213" s="1215" t="s">
        <v>535</v>
      </c>
      <c r="R213" s="1215" t="s">
        <v>535</v>
      </c>
      <c r="S213" s="1215" t="s">
        <v>535</v>
      </c>
      <c r="T213" s="1215"/>
      <c r="U213" s="1215"/>
      <c r="V213" s="1215" t="s">
        <v>535</v>
      </c>
      <c r="W213" s="1215" t="s">
        <v>535</v>
      </c>
      <c r="X213" s="1215" t="s">
        <v>535</v>
      </c>
      <c r="Y213" s="1215" t="s">
        <v>535</v>
      </c>
      <c r="Z213" s="1215" t="s">
        <v>535</v>
      </c>
      <c r="AA213" s="1215"/>
      <c r="AB213" s="1215"/>
      <c r="AC213" s="1215" t="s">
        <v>535</v>
      </c>
      <c r="AD213" s="1215" t="s">
        <v>535</v>
      </c>
      <c r="AE213" s="1215" t="s">
        <v>535</v>
      </c>
      <c r="AF213" s="1215" t="s">
        <v>535</v>
      </c>
      <c r="AG213" s="1215" t="s">
        <v>535</v>
      </c>
      <c r="AH213" s="603">
        <v>185</v>
      </c>
      <c r="AI213" s="604">
        <v>37</v>
      </c>
    </row>
    <row r="214" spans="1:35" ht="21.95" customHeight="1">
      <c r="A214" s="903">
        <v>3701</v>
      </c>
      <c r="B214" s="1240"/>
      <c r="C214" s="1229"/>
      <c r="D214" s="1229"/>
      <c r="E214" s="1229"/>
      <c r="F214" s="1229"/>
      <c r="G214" s="1229"/>
      <c r="H214" s="1229"/>
      <c r="I214" s="1229"/>
      <c r="J214" s="1229"/>
      <c r="K214" s="1229"/>
      <c r="L214" s="1229"/>
      <c r="M214" s="1229"/>
      <c r="N214" s="1229"/>
      <c r="O214" s="1229"/>
      <c r="P214" s="1229"/>
      <c r="Q214" s="1229"/>
      <c r="R214" s="1229"/>
      <c r="S214" s="1229"/>
      <c r="T214" s="1229"/>
      <c r="U214" s="1229"/>
      <c r="V214" s="1229"/>
      <c r="W214" s="1229"/>
      <c r="X214" s="1229"/>
      <c r="Y214" s="1229"/>
      <c r="Z214" s="1229"/>
      <c r="AA214" s="1229"/>
      <c r="AB214" s="1229"/>
      <c r="AC214" s="1229"/>
      <c r="AD214" s="1229"/>
      <c r="AE214" s="1229"/>
      <c r="AF214" s="1229"/>
      <c r="AG214" s="1229"/>
      <c r="AH214" s="904"/>
      <c r="AI214" s="904"/>
    </row>
    <row r="215" spans="1:35" ht="21.95" customHeight="1">
      <c r="A215" s="578"/>
      <c r="B215" s="621"/>
      <c r="C215" s="559"/>
      <c r="D215" s="559"/>
      <c r="E215" s="559"/>
      <c r="F215" s="559"/>
      <c r="G215" s="559"/>
      <c r="H215" s="559"/>
      <c r="I215" s="559"/>
      <c r="J215" s="559"/>
      <c r="K215" s="520"/>
      <c r="L215" s="559"/>
      <c r="M215" s="559"/>
      <c r="N215" s="559"/>
      <c r="O215" s="559"/>
      <c r="P215" s="541"/>
      <c r="Q215" s="541"/>
      <c r="R215" s="541"/>
      <c r="S215" s="559"/>
      <c r="T215" s="559"/>
      <c r="U215" s="559"/>
      <c r="V215" s="559"/>
      <c r="W215" s="559"/>
      <c r="X215" s="559"/>
      <c r="Y215" s="559"/>
      <c r="Z215" s="559"/>
      <c r="AA215" s="559"/>
      <c r="AB215" s="559"/>
      <c r="AC215" s="559"/>
      <c r="AD215" s="559"/>
      <c r="AE215" s="559"/>
      <c r="AF215" s="559"/>
      <c r="AG215" s="559"/>
      <c r="AH215" s="560"/>
      <c r="AI215" s="560"/>
    </row>
    <row r="216" spans="1:35" ht="21" customHeight="1" thickBot="1">
      <c r="A216" s="1" t="s">
        <v>577</v>
      </c>
    </row>
    <row r="217" spans="1:35" ht="21" customHeight="1">
      <c r="B217" s="201" t="s">
        <v>516</v>
      </c>
      <c r="C217" s="7"/>
      <c r="D217" s="525" t="s">
        <v>2</v>
      </c>
      <c r="E217" s="51"/>
      <c r="F217" s="551"/>
      <c r="G217" s="7"/>
      <c r="H217" s="525" t="s">
        <v>3</v>
      </c>
      <c r="I217" s="51"/>
      <c r="J217" s="551"/>
      <c r="K217" s="7"/>
      <c r="L217" s="525" t="s">
        <v>4</v>
      </c>
      <c r="M217" s="51"/>
      <c r="N217" s="551"/>
      <c r="O217" s="7"/>
      <c r="P217" s="525" t="s">
        <v>5</v>
      </c>
      <c r="Q217" s="51"/>
      <c r="R217" s="551"/>
      <c r="S217" s="7"/>
      <c r="T217" s="525" t="s">
        <v>6</v>
      </c>
      <c r="U217" s="51"/>
      <c r="V217" s="551"/>
      <c r="W217" s="7"/>
      <c r="X217" s="525" t="s">
        <v>7</v>
      </c>
      <c r="Y217" s="51"/>
      <c r="Z217" s="551"/>
      <c r="AA217" s="7"/>
      <c r="AB217" s="525" t="s">
        <v>8</v>
      </c>
      <c r="AC217" s="51"/>
      <c r="AD217" s="51"/>
      <c r="AE217" s="425" t="s">
        <v>10</v>
      </c>
      <c r="AF217" s="51"/>
      <c r="AG217" s="51"/>
      <c r="AH217" s="51"/>
      <c r="AI217" s="526"/>
    </row>
    <row r="218" spans="1:35" ht="21" customHeight="1">
      <c r="B218" s="9">
        <v>8502</v>
      </c>
      <c r="C218" s="14" t="s">
        <v>11</v>
      </c>
      <c r="D218" s="609"/>
      <c r="E218" s="55"/>
      <c r="F218" s="608"/>
      <c r="G218" s="14" t="s">
        <v>11</v>
      </c>
      <c r="H218" s="609"/>
      <c r="I218" s="55"/>
      <c r="J218" s="608"/>
      <c r="K218" s="14" t="s">
        <v>11</v>
      </c>
      <c r="L218" s="609"/>
      <c r="M218" s="55"/>
      <c r="N218" s="608"/>
      <c r="O218" s="14" t="s">
        <v>11</v>
      </c>
      <c r="P218" s="609"/>
      <c r="Q218" s="55"/>
      <c r="R218" s="608"/>
      <c r="S218" s="14" t="s">
        <v>12</v>
      </c>
      <c r="T218" s="609"/>
      <c r="U218" s="55"/>
      <c r="V218" s="608"/>
      <c r="W218" s="14"/>
      <c r="X218" s="609"/>
      <c r="Y218" s="55"/>
      <c r="Z218" s="608"/>
      <c r="AA218" s="14"/>
      <c r="AB218" s="609"/>
      <c r="AC218" s="55"/>
      <c r="AD218" s="55"/>
      <c r="AE218" s="610"/>
      <c r="AF218" s="55"/>
      <c r="AG218" s="55"/>
      <c r="AH218" s="55"/>
      <c r="AI218" s="611"/>
    </row>
    <row r="219" spans="1:35" ht="21" customHeight="1">
      <c r="B219" s="612">
        <v>3701</v>
      </c>
      <c r="C219" s="121" t="s">
        <v>11</v>
      </c>
      <c r="D219" s="131"/>
      <c r="E219" s="55"/>
      <c r="F219" s="608"/>
      <c r="G219" s="121" t="s">
        <v>11</v>
      </c>
      <c r="H219" s="609"/>
      <c r="I219" s="55"/>
      <c r="J219" s="608"/>
      <c r="K219" s="121" t="s">
        <v>11</v>
      </c>
      <c r="L219" s="609"/>
      <c r="M219" s="55"/>
      <c r="N219" s="608"/>
      <c r="O219" s="121" t="s">
        <v>11</v>
      </c>
      <c r="P219" s="609"/>
      <c r="Q219" s="55"/>
      <c r="R219" s="608"/>
      <c r="S219" s="14" t="s">
        <v>12</v>
      </c>
      <c r="T219" s="609"/>
      <c r="U219" s="55"/>
      <c r="V219" s="608"/>
      <c r="W219" s="14"/>
      <c r="X219" s="609"/>
      <c r="Y219" s="55"/>
      <c r="Z219" s="608"/>
      <c r="AA219" s="14"/>
      <c r="AB219" s="609"/>
      <c r="AC219" s="55"/>
      <c r="AD219" s="55"/>
      <c r="AE219" s="610"/>
      <c r="AF219" s="55"/>
      <c r="AG219" s="55"/>
      <c r="AH219" s="55"/>
      <c r="AI219" s="611"/>
    </row>
    <row r="220" spans="1:35" ht="21" customHeight="1">
      <c r="B220" s="612">
        <v>3705</v>
      </c>
      <c r="C220" s="121" t="s">
        <v>147</v>
      </c>
      <c r="D220" s="131"/>
      <c r="E220" s="55"/>
      <c r="F220" s="608"/>
      <c r="G220" s="121" t="s">
        <v>147</v>
      </c>
      <c r="H220" s="609"/>
      <c r="I220" s="55"/>
      <c r="J220" s="608"/>
      <c r="K220" s="121" t="s">
        <v>147</v>
      </c>
      <c r="L220" s="609"/>
      <c r="M220" s="55"/>
      <c r="N220" s="608"/>
      <c r="O220" s="121" t="s">
        <v>147</v>
      </c>
      <c r="P220" s="609"/>
      <c r="Q220" s="55"/>
      <c r="R220" s="608"/>
      <c r="S220" s="121" t="s">
        <v>578</v>
      </c>
      <c r="T220" s="609"/>
      <c r="U220" s="55"/>
      <c r="V220" s="608"/>
      <c r="W220" s="14"/>
      <c r="X220" s="609"/>
      <c r="Y220" s="55"/>
      <c r="Z220" s="608"/>
      <c r="AA220" s="14"/>
      <c r="AB220" s="609"/>
      <c r="AC220" s="55"/>
      <c r="AD220" s="55"/>
      <c r="AE220" s="610"/>
      <c r="AF220" s="55"/>
      <c r="AG220" s="55"/>
      <c r="AH220" s="55"/>
      <c r="AI220" s="611"/>
    </row>
    <row r="221" spans="1:35" ht="21" customHeight="1">
      <c r="B221" s="612" t="s">
        <v>579</v>
      </c>
      <c r="C221" s="567" t="s">
        <v>580</v>
      </c>
      <c r="D221" s="131"/>
      <c r="E221" s="55"/>
      <c r="F221" s="608"/>
      <c r="G221" s="567" t="s">
        <v>580</v>
      </c>
      <c r="H221" s="609"/>
      <c r="I221" s="55"/>
      <c r="J221" s="608"/>
      <c r="K221" s="567" t="s">
        <v>580</v>
      </c>
      <c r="L221" s="609"/>
      <c r="M221" s="55"/>
      <c r="N221" s="608"/>
      <c r="O221" s="567" t="s">
        <v>580</v>
      </c>
      <c r="P221" s="609"/>
      <c r="Q221" s="55"/>
      <c r="R221" s="608"/>
      <c r="S221" s="567" t="s">
        <v>580</v>
      </c>
      <c r="T221" s="609"/>
      <c r="U221" s="55"/>
      <c r="V221" s="608"/>
      <c r="W221" s="14"/>
      <c r="X221" s="609"/>
      <c r="Y221" s="55"/>
      <c r="Z221" s="608"/>
      <c r="AA221" s="14"/>
      <c r="AB221" s="609"/>
      <c r="AC221" s="55"/>
      <c r="AD221" s="55"/>
      <c r="AE221" s="610"/>
      <c r="AF221" s="55"/>
      <c r="AG221" s="55"/>
      <c r="AH221" s="55"/>
      <c r="AI221" s="611"/>
    </row>
    <row r="222" spans="1:35" ht="21" customHeight="1">
      <c r="B222" s="612" t="s">
        <v>581</v>
      </c>
      <c r="C222" s="567" t="s">
        <v>582</v>
      </c>
      <c r="D222" s="131"/>
      <c r="E222" s="55"/>
      <c r="F222" s="608"/>
      <c r="G222" s="609" t="s">
        <v>583</v>
      </c>
      <c r="H222" s="609"/>
      <c r="I222" s="55"/>
      <c r="J222" s="608"/>
      <c r="K222" s="609" t="s">
        <v>584</v>
      </c>
      <c r="L222" s="609"/>
      <c r="M222" s="55"/>
      <c r="N222" s="608"/>
      <c r="O222" s="609" t="s">
        <v>584</v>
      </c>
      <c r="P222" s="609"/>
      <c r="Q222" s="55"/>
      <c r="R222" s="608"/>
      <c r="S222" s="609" t="s">
        <v>585</v>
      </c>
      <c r="T222" s="609"/>
      <c r="U222" s="55"/>
      <c r="V222" s="608"/>
      <c r="W222" s="14"/>
      <c r="X222" s="609"/>
      <c r="Y222" s="55"/>
      <c r="Z222" s="608"/>
      <c r="AA222" s="14"/>
      <c r="AB222" s="609"/>
      <c r="AC222" s="55"/>
      <c r="AD222" s="55"/>
      <c r="AE222" s="610"/>
      <c r="AF222" s="55"/>
      <c r="AG222" s="55"/>
      <c r="AH222" s="55"/>
      <c r="AI222" s="611"/>
    </row>
    <row r="223" spans="1:35" ht="21" customHeight="1">
      <c r="B223" s="612" t="s">
        <v>164</v>
      </c>
      <c r="C223" s="567" t="s">
        <v>518</v>
      </c>
      <c r="D223" s="131"/>
      <c r="E223" s="55"/>
      <c r="F223" s="608"/>
      <c r="G223" s="567" t="s">
        <v>518</v>
      </c>
      <c r="H223" s="131"/>
      <c r="I223" s="55"/>
      <c r="J223" s="608"/>
      <c r="K223" s="567" t="s">
        <v>518</v>
      </c>
      <c r="L223" s="131"/>
      <c r="M223" s="55"/>
      <c r="N223" s="608"/>
      <c r="O223" s="567" t="s">
        <v>518</v>
      </c>
      <c r="P223" s="131"/>
      <c r="Q223" s="55"/>
      <c r="R223" s="608"/>
      <c r="S223" s="609" t="s">
        <v>519</v>
      </c>
      <c r="T223" s="609"/>
      <c r="U223" s="55"/>
      <c r="V223" s="608"/>
      <c r="W223" s="14"/>
      <c r="X223" s="609"/>
      <c r="Y223" s="55"/>
      <c r="Z223" s="608"/>
      <c r="AA223" s="14"/>
      <c r="AB223" s="609"/>
      <c r="AC223" s="55"/>
      <c r="AD223" s="55"/>
      <c r="AE223" s="610"/>
      <c r="AF223" s="55"/>
      <c r="AG223" s="55"/>
      <c r="AH223" s="55"/>
      <c r="AI223" s="611"/>
    </row>
    <row r="224" spans="1:35" ht="21" customHeight="1">
      <c r="B224" s="612" t="s">
        <v>167</v>
      </c>
      <c r="C224" s="567" t="s">
        <v>521</v>
      </c>
      <c r="D224" s="131"/>
      <c r="E224" s="55"/>
      <c r="F224" s="608"/>
      <c r="G224" s="567" t="s">
        <v>521</v>
      </c>
      <c r="H224" s="131"/>
      <c r="I224" s="55"/>
      <c r="J224" s="608"/>
      <c r="K224" s="567" t="s">
        <v>521</v>
      </c>
      <c r="L224" s="131"/>
      <c r="M224" s="55"/>
      <c r="N224" s="608"/>
      <c r="O224" s="567" t="s">
        <v>521</v>
      </c>
      <c r="P224" s="131"/>
      <c r="Q224" s="55"/>
      <c r="R224" s="608"/>
      <c r="S224" s="609" t="s">
        <v>522</v>
      </c>
      <c r="T224" s="609"/>
      <c r="U224" s="55"/>
      <c r="V224" s="608"/>
      <c r="W224" s="14"/>
      <c r="X224" s="609"/>
      <c r="Y224" s="55"/>
      <c r="Z224" s="608"/>
      <c r="AA224" s="14"/>
      <c r="AB224" s="609"/>
      <c r="AC224" s="55"/>
      <c r="AD224" s="55"/>
      <c r="AE224" s="610"/>
      <c r="AF224" s="55"/>
      <c r="AG224" s="55"/>
      <c r="AH224" s="55"/>
      <c r="AI224" s="611"/>
    </row>
    <row r="225" spans="1:35" ht="21" customHeight="1" thickBot="1">
      <c r="B225" s="617" t="s">
        <v>170</v>
      </c>
      <c r="C225" s="574" t="s">
        <v>524</v>
      </c>
      <c r="D225" s="48"/>
      <c r="E225" s="622"/>
      <c r="F225" s="240"/>
      <c r="G225" s="574" t="s">
        <v>524</v>
      </c>
      <c r="H225" s="48"/>
      <c r="I225" s="622"/>
      <c r="J225" s="240"/>
      <c r="K225" s="574" t="s">
        <v>524</v>
      </c>
      <c r="L225" s="48"/>
      <c r="M225" s="622"/>
      <c r="N225" s="240"/>
      <c r="O225" s="574" t="s">
        <v>524</v>
      </c>
      <c r="P225" s="48"/>
      <c r="Q225" s="622"/>
      <c r="R225" s="240"/>
      <c r="S225" s="149" t="s">
        <v>525</v>
      </c>
      <c r="T225" s="149"/>
      <c r="U225" s="622"/>
      <c r="V225" s="240"/>
      <c r="W225" s="623"/>
      <c r="X225" s="149"/>
      <c r="Y225" s="622"/>
      <c r="Z225" s="240"/>
      <c r="AA225" s="623"/>
      <c r="AB225" s="149"/>
      <c r="AC225" s="622"/>
      <c r="AD225" s="622"/>
      <c r="AE225" s="624"/>
      <c r="AF225" s="622"/>
      <c r="AG225" s="622"/>
      <c r="AH225" s="622"/>
      <c r="AI225" s="625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6" t="s">
        <v>586</v>
      </c>
    </row>
    <row r="228" spans="1:35" ht="21" customHeight="1">
      <c r="A228" s="556"/>
      <c r="B228" s="297" t="s">
        <v>480</v>
      </c>
      <c r="C228" s="1235">
        <v>1</v>
      </c>
      <c r="D228" s="1234">
        <v>2</v>
      </c>
      <c r="E228" s="1234">
        <v>3</v>
      </c>
      <c r="F228" s="1235">
        <v>4</v>
      </c>
      <c r="G228" s="1235">
        <v>5</v>
      </c>
      <c r="H228" s="1234">
        <v>6</v>
      </c>
      <c r="I228" s="1213">
        <v>7</v>
      </c>
      <c r="J228" s="1213">
        <v>8</v>
      </c>
      <c r="K228" s="1234">
        <v>9</v>
      </c>
      <c r="L228" s="1234">
        <v>10</v>
      </c>
      <c r="M228" s="1235">
        <v>11</v>
      </c>
      <c r="N228" s="1235">
        <v>12</v>
      </c>
      <c r="O228" s="1234">
        <v>13</v>
      </c>
      <c r="P228" s="1213">
        <v>14</v>
      </c>
      <c r="Q228" s="1213">
        <v>15</v>
      </c>
      <c r="R228" s="1234">
        <v>16</v>
      </c>
      <c r="S228" s="1234">
        <v>17</v>
      </c>
      <c r="T228" s="1235">
        <v>18</v>
      </c>
      <c r="U228" s="1235">
        <v>19</v>
      </c>
      <c r="V228" s="1213">
        <v>20</v>
      </c>
      <c r="W228" s="1213">
        <v>21</v>
      </c>
      <c r="X228" s="1213">
        <v>22</v>
      </c>
      <c r="Y228" s="1234">
        <v>23</v>
      </c>
      <c r="Z228" s="1234">
        <v>24</v>
      </c>
      <c r="AA228" s="1235">
        <v>25</v>
      </c>
      <c r="AB228" s="1235">
        <v>26</v>
      </c>
      <c r="AC228" s="1234">
        <v>27</v>
      </c>
      <c r="AD228" s="1213">
        <v>28</v>
      </c>
      <c r="AE228" s="1213">
        <v>29</v>
      </c>
      <c r="AF228" s="1234">
        <v>30</v>
      </c>
      <c r="AG228" s="1234">
        <v>31</v>
      </c>
      <c r="AH228" s="498" t="s">
        <v>481</v>
      </c>
      <c r="AI228" s="499" t="s">
        <v>482</v>
      </c>
    </row>
    <row r="229" spans="1:35" ht="21" customHeight="1">
      <c r="A229" s="442">
        <v>3702</v>
      </c>
      <c r="B229" s="153" t="s">
        <v>587</v>
      </c>
      <c r="C229" s="557"/>
      <c r="D229" s="557">
        <v>2</v>
      </c>
      <c r="E229" s="557">
        <v>2</v>
      </c>
      <c r="F229" s="1215"/>
      <c r="G229" s="1215"/>
      <c r="H229" s="557">
        <v>1</v>
      </c>
      <c r="I229" s="557">
        <v>1</v>
      </c>
      <c r="J229" s="557">
        <v>1</v>
      </c>
      <c r="K229" s="557">
        <v>1</v>
      </c>
      <c r="L229" s="557">
        <v>1</v>
      </c>
      <c r="M229" s="1208"/>
      <c r="N229" s="1208"/>
      <c r="O229" s="1208">
        <v>2</v>
      </c>
      <c r="P229" s="1208">
        <v>2</v>
      </c>
      <c r="Q229" s="557">
        <v>2</v>
      </c>
      <c r="R229" s="557">
        <v>2</v>
      </c>
      <c r="S229" s="557">
        <v>2</v>
      </c>
      <c r="T229" s="1215"/>
      <c r="U229" s="1215"/>
      <c r="V229" s="557">
        <v>1</v>
      </c>
      <c r="W229" s="557">
        <v>1</v>
      </c>
      <c r="X229" s="557">
        <v>1</v>
      </c>
      <c r="Y229" s="557">
        <v>1</v>
      </c>
      <c r="Z229" s="557">
        <v>1</v>
      </c>
      <c r="AA229" s="1208"/>
      <c r="AB229" s="1208"/>
      <c r="AC229" s="1208">
        <v>2</v>
      </c>
      <c r="AD229" s="1208">
        <v>2</v>
      </c>
      <c r="AE229" s="1208">
        <v>2</v>
      </c>
      <c r="AF229" s="1208">
        <v>2</v>
      </c>
      <c r="AG229" s="1208">
        <v>2</v>
      </c>
      <c r="AH229" s="504">
        <v>185</v>
      </c>
      <c r="AI229" s="505">
        <v>37</v>
      </c>
    </row>
    <row r="230" spans="1:35" ht="21" customHeight="1">
      <c r="A230" s="442">
        <v>3701</v>
      </c>
      <c r="B230" s="153" t="s">
        <v>588</v>
      </c>
      <c r="C230" s="557"/>
      <c r="D230" s="1368" t="s">
        <v>535</v>
      </c>
      <c r="E230" s="1368" t="s">
        <v>535</v>
      </c>
      <c r="F230" s="1215"/>
      <c r="G230" s="1215"/>
      <c r="H230" s="557" t="s">
        <v>535</v>
      </c>
      <c r="I230" s="557" t="s">
        <v>535</v>
      </c>
      <c r="J230" s="557" t="s">
        <v>535</v>
      </c>
      <c r="K230" s="557" t="s">
        <v>535</v>
      </c>
      <c r="L230" s="557" t="s">
        <v>535</v>
      </c>
      <c r="M230" s="1208"/>
      <c r="N230" s="1208"/>
      <c r="O230" s="1208" t="s">
        <v>535</v>
      </c>
      <c r="P230" s="1208" t="s">
        <v>535</v>
      </c>
      <c r="Q230" s="557" t="s">
        <v>535</v>
      </c>
      <c r="R230" s="557" t="s">
        <v>535</v>
      </c>
      <c r="S230" s="557" t="s">
        <v>535</v>
      </c>
      <c r="T230" s="1215"/>
      <c r="U230" s="1215"/>
      <c r="V230" s="1365" t="s">
        <v>535</v>
      </c>
      <c r="W230" s="1365" t="s">
        <v>535</v>
      </c>
      <c r="X230" s="1365" t="s">
        <v>535</v>
      </c>
      <c r="Y230" s="1365" t="s">
        <v>535</v>
      </c>
      <c r="Z230" s="1365" t="s">
        <v>535</v>
      </c>
      <c r="AA230" s="1365"/>
      <c r="AB230" s="1365"/>
      <c r="AC230" s="1365" t="s">
        <v>535</v>
      </c>
      <c r="AD230" s="1365" t="s">
        <v>535</v>
      </c>
      <c r="AE230" s="1365" t="s">
        <v>535</v>
      </c>
      <c r="AF230" s="1365" t="s">
        <v>535</v>
      </c>
      <c r="AG230" s="1365" t="s">
        <v>535</v>
      </c>
      <c r="AH230" s="504">
        <v>185</v>
      </c>
      <c r="AI230" s="505">
        <v>37</v>
      </c>
    </row>
    <row r="231" spans="1:35" ht="21" customHeight="1">
      <c r="A231" s="442">
        <v>3702</v>
      </c>
      <c r="B231" s="153" t="s">
        <v>589</v>
      </c>
      <c r="C231" s="557"/>
      <c r="D231" s="557">
        <v>1</v>
      </c>
      <c r="E231" s="557">
        <v>1</v>
      </c>
      <c r="F231" s="1215"/>
      <c r="G231" s="1215"/>
      <c r="H231" s="557">
        <v>2</v>
      </c>
      <c r="I231" s="557">
        <v>2</v>
      </c>
      <c r="J231" s="557">
        <v>2</v>
      </c>
      <c r="K231" s="557">
        <v>2</v>
      </c>
      <c r="L231" s="557">
        <v>2</v>
      </c>
      <c r="M231" s="1208"/>
      <c r="N231" s="1208"/>
      <c r="O231" s="1208">
        <v>1</v>
      </c>
      <c r="P231" s="1208">
        <v>1</v>
      </c>
      <c r="Q231" s="557">
        <v>1</v>
      </c>
      <c r="R231" s="557">
        <v>1</v>
      </c>
      <c r="S231" s="557">
        <v>1</v>
      </c>
      <c r="T231" s="1215"/>
      <c r="U231" s="1215"/>
      <c r="V231" s="557">
        <v>2</v>
      </c>
      <c r="W231" s="557">
        <v>2</v>
      </c>
      <c r="X231" s="557">
        <v>2</v>
      </c>
      <c r="Y231" s="557">
        <v>2</v>
      </c>
      <c r="Z231" s="557">
        <v>2</v>
      </c>
      <c r="AA231" s="1208"/>
      <c r="AB231" s="1208"/>
      <c r="AC231" s="1208">
        <v>1</v>
      </c>
      <c r="AD231" s="1208">
        <v>1</v>
      </c>
      <c r="AE231" s="1208">
        <v>1</v>
      </c>
      <c r="AF231" s="1208">
        <v>1</v>
      </c>
      <c r="AG231" s="1208">
        <v>1</v>
      </c>
      <c r="AH231" s="504">
        <v>185</v>
      </c>
      <c r="AI231" s="505">
        <v>37</v>
      </c>
    </row>
    <row r="232" spans="1:35" ht="21" customHeight="1">
      <c r="A232" s="627">
        <v>3706</v>
      </c>
      <c r="B232" s="1607" t="s">
        <v>791</v>
      </c>
      <c r="C232" s="1215"/>
      <c r="D232" s="1215"/>
      <c r="E232" s="1215"/>
      <c r="F232" s="1215"/>
      <c r="G232" s="1215"/>
      <c r="H232" s="1215"/>
      <c r="I232" s="1215"/>
      <c r="J232" s="1215"/>
      <c r="K232" s="1215"/>
      <c r="L232" s="1215"/>
      <c r="M232" s="1215"/>
      <c r="N232" s="1215"/>
      <c r="O232" s="1215"/>
      <c r="P232" s="1215"/>
      <c r="Q232" s="1215"/>
      <c r="R232" s="1215"/>
      <c r="S232" s="1215"/>
      <c r="T232" s="1215"/>
      <c r="U232" s="1215"/>
      <c r="V232" s="1215"/>
      <c r="W232" s="1215"/>
      <c r="X232" s="1215"/>
      <c r="Y232" s="1215"/>
      <c r="Z232" s="1215"/>
      <c r="AA232" s="1215"/>
      <c r="AB232" s="1215"/>
      <c r="AC232" s="1215"/>
      <c r="AD232" s="1215"/>
      <c r="AE232" s="1215"/>
      <c r="AF232" s="1215"/>
      <c r="AG232" s="1215"/>
      <c r="AH232" s="504">
        <v>185</v>
      </c>
      <c r="AI232" s="505">
        <v>37</v>
      </c>
    </row>
    <row r="233" spans="1:35" ht="21" customHeight="1">
      <c r="A233" s="628"/>
      <c r="B233" s="629" t="s">
        <v>590</v>
      </c>
      <c r="C233" s="630"/>
      <c r="D233" s="630"/>
      <c r="E233" s="630"/>
      <c r="F233" s="630"/>
      <c r="G233" s="630"/>
      <c r="H233" s="630"/>
      <c r="I233" s="630"/>
      <c r="J233" s="630"/>
      <c r="K233" s="630"/>
      <c r="L233" s="630"/>
      <c r="M233" s="630"/>
      <c r="N233" s="630"/>
      <c r="O233" s="630"/>
      <c r="P233" s="630"/>
      <c r="Q233" s="630"/>
      <c r="R233" s="630"/>
      <c r="S233" s="630"/>
      <c r="T233" s="630"/>
      <c r="U233" s="630"/>
      <c r="V233" s="630"/>
      <c r="W233" s="630"/>
      <c r="X233" s="630"/>
      <c r="Y233" s="630"/>
      <c r="Z233" s="630"/>
      <c r="AA233" s="630"/>
      <c r="AB233" s="630"/>
      <c r="AC233" s="630"/>
      <c r="AD233" s="630"/>
      <c r="AE233" s="630"/>
      <c r="AF233" s="630"/>
      <c r="AG233" s="631"/>
      <c r="AH233" s="632"/>
      <c r="AI233" s="633"/>
    </row>
    <row r="234" spans="1:35" ht="21" customHeight="1">
      <c r="A234" s="442">
        <v>3702</v>
      </c>
      <c r="B234" s="902" t="s">
        <v>520</v>
      </c>
      <c r="C234" s="557"/>
      <c r="D234" s="1365" t="s">
        <v>591</v>
      </c>
      <c r="E234" s="1365" t="s">
        <v>591</v>
      </c>
      <c r="F234" s="1215"/>
      <c r="G234" s="1215"/>
      <c r="H234" s="1365" t="s">
        <v>591</v>
      </c>
      <c r="I234" s="557" t="s">
        <v>591</v>
      </c>
      <c r="J234" s="557" t="s">
        <v>591</v>
      </c>
      <c r="K234" s="557" t="s">
        <v>591</v>
      </c>
      <c r="L234" s="557" t="s">
        <v>591</v>
      </c>
      <c r="M234" s="502"/>
      <c r="N234" s="502"/>
      <c r="O234" s="1439" t="s">
        <v>774</v>
      </c>
      <c r="P234" s="557" t="s">
        <v>591</v>
      </c>
      <c r="Q234" s="557" t="s">
        <v>591</v>
      </c>
      <c r="R234" s="557" t="s">
        <v>591</v>
      </c>
      <c r="S234" s="557" t="s">
        <v>591</v>
      </c>
      <c r="T234" s="1231"/>
      <c r="U234" s="1215"/>
      <c r="V234" s="557" t="s">
        <v>591</v>
      </c>
      <c r="W234" s="557" t="s">
        <v>591</v>
      </c>
      <c r="X234" s="557" t="s">
        <v>591</v>
      </c>
      <c r="Y234" s="557" t="s">
        <v>591</v>
      </c>
      <c r="Z234" s="557" t="s">
        <v>591</v>
      </c>
      <c r="AA234" s="1215"/>
      <c r="AB234" s="1215"/>
      <c r="AC234" s="557" t="s">
        <v>591</v>
      </c>
      <c r="AD234" s="557" t="s">
        <v>591</v>
      </c>
      <c r="AE234" s="557" t="s">
        <v>591</v>
      </c>
      <c r="AF234" s="557" t="s">
        <v>591</v>
      </c>
      <c r="AG234" s="557" t="s">
        <v>591</v>
      </c>
      <c r="AH234" s="504">
        <v>185</v>
      </c>
      <c r="AI234" s="505">
        <v>37</v>
      </c>
    </row>
    <row r="235" spans="1:35" ht="21" customHeight="1">
      <c r="A235" s="442"/>
      <c r="B235" s="153" t="s">
        <v>517</v>
      </c>
      <c r="C235" s="557"/>
      <c r="D235" s="557" t="s">
        <v>592</v>
      </c>
      <c r="E235" s="557" t="s">
        <v>592</v>
      </c>
      <c r="F235" s="1215"/>
      <c r="G235" s="1215"/>
      <c r="H235" s="557" t="s">
        <v>592</v>
      </c>
      <c r="I235" s="557" t="s">
        <v>592</v>
      </c>
      <c r="J235" s="557" t="s">
        <v>592</v>
      </c>
      <c r="K235" s="557" t="s">
        <v>592</v>
      </c>
      <c r="L235" s="557" t="s">
        <v>592</v>
      </c>
      <c r="M235" s="502"/>
      <c r="N235" s="502"/>
      <c r="O235" s="557" t="s">
        <v>592</v>
      </c>
      <c r="P235" s="557" t="s">
        <v>592</v>
      </c>
      <c r="Q235" s="557" t="s">
        <v>592</v>
      </c>
      <c r="R235" s="557" t="s">
        <v>592</v>
      </c>
      <c r="S235" s="557" t="s">
        <v>592</v>
      </c>
      <c r="T235" s="1231"/>
      <c r="U235" s="1215"/>
      <c r="V235" s="557" t="s">
        <v>592</v>
      </c>
      <c r="W235" s="557" t="s">
        <v>592</v>
      </c>
      <c r="X235" s="557" t="s">
        <v>592</v>
      </c>
      <c r="Y235" s="557" t="s">
        <v>592</v>
      </c>
      <c r="Z235" s="557" t="s">
        <v>592</v>
      </c>
      <c r="AA235" s="1215"/>
      <c r="AB235" s="1215"/>
      <c r="AC235" s="557" t="s">
        <v>592</v>
      </c>
      <c r="AD235" s="1591" t="s">
        <v>592</v>
      </c>
      <c r="AE235" s="557" t="s">
        <v>592</v>
      </c>
      <c r="AF235" s="557" t="s">
        <v>592</v>
      </c>
      <c r="AG235" s="557" t="s">
        <v>592</v>
      </c>
      <c r="AH235" s="504">
        <v>185</v>
      </c>
      <c r="AI235" s="505">
        <v>37</v>
      </c>
    </row>
    <row r="236" spans="1:35" ht="21" customHeight="1">
      <c r="A236" s="442"/>
      <c r="B236" s="153" t="s">
        <v>523</v>
      </c>
      <c r="C236" s="557"/>
      <c r="D236" s="557" t="s">
        <v>556</v>
      </c>
      <c r="E236" s="557" t="s">
        <v>556</v>
      </c>
      <c r="F236" s="1215"/>
      <c r="G236" s="1215"/>
      <c r="H236" s="557" t="s">
        <v>556</v>
      </c>
      <c r="I236" s="557" t="s">
        <v>556</v>
      </c>
      <c r="J236" s="557" t="s">
        <v>556</v>
      </c>
      <c r="K236" s="557" t="s">
        <v>556</v>
      </c>
      <c r="L236" s="557" t="s">
        <v>556</v>
      </c>
      <c r="M236" s="502"/>
      <c r="N236" s="502"/>
      <c r="O236" s="557" t="s">
        <v>556</v>
      </c>
      <c r="P236" s="557" t="s">
        <v>556</v>
      </c>
      <c r="Q236" s="1591" t="s">
        <v>556</v>
      </c>
      <c r="R236" s="557" t="s">
        <v>556</v>
      </c>
      <c r="S236" s="1546" t="s">
        <v>556</v>
      </c>
      <c r="T236" s="1641"/>
      <c r="U236" s="1642"/>
      <c r="V236" s="1546" t="s">
        <v>556</v>
      </c>
      <c r="W236" s="1546" t="s">
        <v>556</v>
      </c>
      <c r="X236" s="1546" t="s">
        <v>556</v>
      </c>
      <c r="Y236" s="557" t="s">
        <v>556</v>
      </c>
      <c r="Z236" s="557" t="s">
        <v>556</v>
      </c>
      <c r="AA236" s="1215"/>
      <c r="AB236" s="1215"/>
      <c r="AC236" s="557" t="s">
        <v>556</v>
      </c>
      <c r="AD236" s="557" t="s">
        <v>556</v>
      </c>
      <c r="AE236" s="557" t="s">
        <v>556</v>
      </c>
      <c r="AF236" s="557" t="s">
        <v>556</v>
      </c>
      <c r="AG236" s="557" t="s">
        <v>556</v>
      </c>
      <c r="AH236" s="504">
        <v>185</v>
      </c>
      <c r="AI236" s="505">
        <v>37</v>
      </c>
    </row>
    <row r="237" spans="1:35" ht="21" customHeight="1"/>
    <row r="238" spans="1:35" ht="21" customHeight="1"/>
    <row r="239" spans="1:35" ht="21" customHeight="1" thickBot="1">
      <c r="A239" s="1" t="s">
        <v>593</v>
      </c>
    </row>
    <row r="240" spans="1:35" ht="21" customHeight="1">
      <c r="B240" s="201" t="s">
        <v>516</v>
      </c>
      <c r="C240" s="7"/>
      <c r="D240" s="525" t="s">
        <v>2</v>
      </c>
      <c r="E240" s="51"/>
      <c r="F240" s="551"/>
      <c r="G240" s="7"/>
      <c r="H240" s="525" t="s">
        <v>3</v>
      </c>
      <c r="I240" s="51"/>
      <c r="J240" s="551"/>
      <c r="K240" s="7"/>
      <c r="L240" s="525" t="s">
        <v>4</v>
      </c>
      <c r="M240" s="51"/>
      <c r="N240" s="551"/>
      <c r="O240" s="7"/>
      <c r="P240" s="525" t="s">
        <v>5</v>
      </c>
      <c r="Q240" s="51"/>
      <c r="R240" s="551"/>
      <c r="S240" s="7"/>
      <c r="T240" s="525" t="s">
        <v>6</v>
      </c>
      <c r="U240" s="51"/>
      <c r="V240" s="551"/>
      <c r="W240" s="7"/>
      <c r="X240" s="525" t="s">
        <v>7</v>
      </c>
      <c r="Y240" s="51"/>
      <c r="Z240" s="551"/>
      <c r="AA240" s="7"/>
      <c r="AB240" s="525" t="s">
        <v>8</v>
      </c>
      <c r="AC240" s="51"/>
      <c r="AD240" s="51"/>
      <c r="AE240" s="425" t="s">
        <v>10</v>
      </c>
      <c r="AF240" s="51"/>
      <c r="AG240" s="51"/>
      <c r="AH240" s="51"/>
      <c r="AI240" s="526"/>
    </row>
    <row r="241" spans="1:35" ht="21" customHeight="1">
      <c r="B241" s="9">
        <v>8500</v>
      </c>
      <c r="C241" s="121" t="s">
        <v>33</v>
      </c>
      <c r="D241" s="609"/>
      <c r="E241" s="55"/>
      <c r="F241" s="608"/>
      <c r="G241" s="121" t="s">
        <v>33</v>
      </c>
      <c r="H241" s="609"/>
      <c r="I241" s="55"/>
      <c r="J241" s="608"/>
      <c r="K241" s="121" t="s">
        <v>33</v>
      </c>
      <c r="L241" s="609"/>
      <c r="M241" s="55"/>
      <c r="N241" s="608"/>
      <c r="O241" s="121" t="s">
        <v>33</v>
      </c>
      <c r="P241" s="609"/>
      <c r="Q241" s="55"/>
      <c r="R241" s="608"/>
      <c r="S241" s="121" t="s">
        <v>34</v>
      </c>
      <c r="T241" s="609"/>
      <c r="U241" s="55"/>
      <c r="V241" s="608"/>
      <c r="W241" s="14"/>
      <c r="X241" s="609"/>
      <c r="Y241" s="55"/>
      <c r="Z241" s="608"/>
      <c r="AA241" s="14"/>
      <c r="AB241" s="609"/>
      <c r="AC241" s="55"/>
      <c r="AD241" s="55"/>
      <c r="AE241" s="610"/>
      <c r="AF241" s="55"/>
      <c r="AG241" s="55"/>
      <c r="AH241" s="55"/>
      <c r="AI241" s="611"/>
    </row>
    <row r="242" spans="1:35" ht="21" customHeight="1" thickBot="1">
      <c r="B242" s="163" t="s">
        <v>594</v>
      </c>
      <c r="C242" s="634" t="s">
        <v>595</v>
      </c>
      <c r="D242" s="635"/>
      <c r="E242" s="622"/>
      <c r="F242" s="240"/>
      <c r="G242" s="634" t="s">
        <v>595</v>
      </c>
      <c r="H242" s="149"/>
      <c r="I242" s="622"/>
      <c r="J242" s="240"/>
      <c r="K242" s="634" t="s">
        <v>595</v>
      </c>
      <c r="L242" s="149"/>
      <c r="M242" s="622"/>
      <c r="N242" s="240"/>
      <c r="O242" s="634" t="s">
        <v>596</v>
      </c>
      <c r="P242" s="149"/>
      <c r="Q242" s="622"/>
      <c r="R242" s="240"/>
      <c r="S242" s="634" t="s">
        <v>16</v>
      </c>
      <c r="T242" s="149"/>
      <c r="U242" s="622"/>
      <c r="V242" s="240"/>
      <c r="W242" s="623"/>
      <c r="X242" s="149"/>
      <c r="Y242" s="622"/>
      <c r="Z242" s="240"/>
      <c r="AA242" s="623"/>
      <c r="AB242" s="149"/>
      <c r="AC242" s="622"/>
      <c r="AD242" s="622"/>
      <c r="AE242" s="624"/>
      <c r="AF242" s="622"/>
      <c r="AG242" s="622"/>
      <c r="AH242" s="622"/>
      <c r="AI242" s="625"/>
    </row>
    <row r="243" spans="1:35" ht="21" customHeight="1" thickBot="1">
      <c r="A243" s="60" t="s">
        <v>597</v>
      </c>
    </row>
    <row r="244" spans="1:35" ht="21" customHeight="1">
      <c r="A244" s="636"/>
      <c r="B244" s="297" t="s">
        <v>480</v>
      </c>
      <c r="C244" s="1235">
        <v>1</v>
      </c>
      <c r="D244" s="1234">
        <v>2</v>
      </c>
      <c r="E244" s="1234">
        <v>3</v>
      </c>
      <c r="F244" s="1235">
        <v>4</v>
      </c>
      <c r="G244" s="1235">
        <v>5</v>
      </c>
      <c r="H244" s="1234">
        <v>6</v>
      </c>
      <c r="I244" s="1213">
        <v>7</v>
      </c>
      <c r="J244" s="1213">
        <v>8</v>
      </c>
      <c r="K244" s="1234">
        <v>9</v>
      </c>
      <c r="L244" s="1234">
        <v>10</v>
      </c>
      <c r="M244" s="1235">
        <v>11</v>
      </c>
      <c r="N244" s="1235">
        <v>12</v>
      </c>
      <c r="O244" s="1234">
        <v>13</v>
      </c>
      <c r="P244" s="1213">
        <v>14</v>
      </c>
      <c r="Q244" s="1213">
        <v>15</v>
      </c>
      <c r="R244" s="1234">
        <v>16</v>
      </c>
      <c r="S244" s="1234">
        <v>17</v>
      </c>
      <c r="T244" s="1235">
        <v>18</v>
      </c>
      <c r="U244" s="1235">
        <v>19</v>
      </c>
      <c r="V244" s="1213">
        <v>20</v>
      </c>
      <c r="W244" s="1213">
        <v>21</v>
      </c>
      <c r="X244" s="1213">
        <v>22</v>
      </c>
      <c r="Y244" s="1234">
        <v>23</v>
      </c>
      <c r="Z244" s="1234">
        <v>24</v>
      </c>
      <c r="AA244" s="1235">
        <v>25</v>
      </c>
      <c r="AB244" s="1235">
        <v>26</v>
      </c>
      <c r="AC244" s="1234">
        <v>27</v>
      </c>
      <c r="AD244" s="1213">
        <v>28</v>
      </c>
      <c r="AE244" s="1213">
        <v>29</v>
      </c>
      <c r="AF244" s="1234">
        <v>30</v>
      </c>
      <c r="AG244" s="1234">
        <v>31</v>
      </c>
      <c r="AH244" s="498" t="s">
        <v>481</v>
      </c>
      <c r="AI244" s="499" t="s">
        <v>482</v>
      </c>
    </row>
    <row r="245" spans="1:35" ht="21" customHeight="1">
      <c r="A245" s="155">
        <v>8500</v>
      </c>
      <c r="B245" s="637" t="s">
        <v>598</v>
      </c>
      <c r="C245" s="557"/>
      <c r="D245" s="557" t="s">
        <v>535</v>
      </c>
      <c r="E245" s="557" t="s">
        <v>535</v>
      </c>
      <c r="F245" s="1215"/>
      <c r="G245" s="1215"/>
      <c r="H245" s="1439" t="s">
        <v>815</v>
      </c>
      <c r="I245" s="557" t="s">
        <v>535</v>
      </c>
      <c r="J245" s="1500" t="s">
        <v>514</v>
      </c>
      <c r="K245" s="557" t="s">
        <v>535</v>
      </c>
      <c r="L245" s="557" t="s">
        <v>535</v>
      </c>
      <c r="M245" s="1208"/>
      <c r="N245" s="1208"/>
      <c r="O245" s="1208" t="s">
        <v>535</v>
      </c>
      <c r="P245" s="1208" t="s">
        <v>535</v>
      </c>
      <c r="Q245" s="557" t="s">
        <v>535</v>
      </c>
      <c r="R245" s="557" t="s">
        <v>535</v>
      </c>
      <c r="S245" s="557" t="s">
        <v>535</v>
      </c>
      <c r="T245" s="1215"/>
      <c r="U245" s="1215"/>
      <c r="V245" s="557" t="s">
        <v>535</v>
      </c>
      <c r="W245" s="557" t="s">
        <v>535</v>
      </c>
      <c r="X245" s="557" t="s">
        <v>535</v>
      </c>
      <c r="Y245" s="557" t="s">
        <v>535</v>
      </c>
      <c r="Z245" s="557" t="s">
        <v>535</v>
      </c>
      <c r="AA245" s="1208"/>
      <c r="AB245" s="1208"/>
      <c r="AC245" s="1208" t="s">
        <v>535</v>
      </c>
      <c r="AD245" s="1208" t="s">
        <v>535</v>
      </c>
      <c r="AE245" s="1208" t="s">
        <v>535</v>
      </c>
      <c r="AF245" s="1208" t="s">
        <v>535</v>
      </c>
      <c r="AG245" s="1208" t="s">
        <v>535</v>
      </c>
      <c r="AH245" s="638">
        <v>185</v>
      </c>
      <c r="AI245" s="639">
        <v>37</v>
      </c>
    </row>
    <row r="246" spans="1:35" ht="21" customHeight="1">
      <c r="A246" s="500" t="s">
        <v>599</v>
      </c>
      <c r="B246" s="153" t="s">
        <v>600</v>
      </c>
      <c r="C246" s="557"/>
      <c r="D246" s="557" t="s">
        <v>535</v>
      </c>
      <c r="E246" s="557" t="s">
        <v>535</v>
      </c>
      <c r="F246" s="1215"/>
      <c r="G246" s="1215"/>
      <c r="H246" s="557" t="s">
        <v>535</v>
      </c>
      <c r="I246" s="557" t="s">
        <v>535</v>
      </c>
      <c r="J246" s="557" t="s">
        <v>535</v>
      </c>
      <c r="K246" s="557" t="s">
        <v>535</v>
      </c>
      <c r="L246" s="557" t="s">
        <v>535</v>
      </c>
      <c r="M246" s="1208"/>
      <c r="N246" s="1208"/>
      <c r="O246" s="1208" t="s">
        <v>535</v>
      </c>
      <c r="P246" s="1208" t="s">
        <v>535</v>
      </c>
      <c r="Q246" s="557" t="s">
        <v>535</v>
      </c>
      <c r="R246" s="557" t="s">
        <v>535</v>
      </c>
      <c r="S246" s="557" t="s">
        <v>535</v>
      </c>
      <c r="T246" s="1215"/>
      <c r="U246" s="1215"/>
      <c r="V246" s="557" t="s">
        <v>535</v>
      </c>
      <c r="W246" s="557" t="s">
        <v>535</v>
      </c>
      <c r="X246" s="557" t="s">
        <v>535</v>
      </c>
      <c r="Y246" s="557" t="s">
        <v>535</v>
      </c>
      <c r="Z246" s="557" t="s">
        <v>535</v>
      </c>
      <c r="AA246" s="1208"/>
      <c r="AB246" s="1208"/>
      <c r="AC246" s="1208" t="s">
        <v>535</v>
      </c>
      <c r="AD246" s="1208" t="s">
        <v>535</v>
      </c>
      <c r="AE246" s="1365" t="s">
        <v>535</v>
      </c>
      <c r="AF246" s="1365" t="s">
        <v>535</v>
      </c>
      <c r="AG246" s="1387" t="s">
        <v>535</v>
      </c>
      <c r="AH246" s="638">
        <v>185</v>
      </c>
      <c r="AI246" s="639">
        <v>37</v>
      </c>
    </row>
    <row r="247" spans="1:35" ht="21.95" customHeight="1">
      <c r="A247" s="442"/>
      <c r="B247" s="153" t="s">
        <v>601</v>
      </c>
      <c r="C247" s="557"/>
      <c r="D247" s="557" t="s">
        <v>535</v>
      </c>
      <c r="E247" s="557" t="s">
        <v>535</v>
      </c>
      <c r="F247" s="1215"/>
      <c r="G247" s="1215"/>
      <c r="H247" s="557" t="s">
        <v>535</v>
      </c>
      <c r="I247" s="557" t="s">
        <v>535</v>
      </c>
      <c r="J247" s="557" t="s">
        <v>535</v>
      </c>
      <c r="K247" s="557" t="s">
        <v>535</v>
      </c>
      <c r="L247" s="557" t="s">
        <v>535</v>
      </c>
      <c r="M247" s="1208"/>
      <c r="N247" s="1208"/>
      <c r="O247" s="1208" t="s">
        <v>535</v>
      </c>
      <c r="P247" s="1208" t="s">
        <v>535</v>
      </c>
      <c r="Q247" s="557" t="s">
        <v>535</v>
      </c>
      <c r="R247" s="557" t="s">
        <v>535</v>
      </c>
      <c r="S247" s="557" t="s">
        <v>535</v>
      </c>
      <c r="T247" s="1215"/>
      <c r="U247" s="1215"/>
      <c r="V247" s="557" t="s">
        <v>535</v>
      </c>
      <c r="W247" s="557" t="s">
        <v>535</v>
      </c>
      <c r="X247" s="557" t="s">
        <v>535</v>
      </c>
      <c r="Y247" s="557" t="s">
        <v>535</v>
      </c>
      <c r="Z247" s="557" t="s">
        <v>535</v>
      </c>
      <c r="AA247" s="1208"/>
      <c r="AB247" s="1208"/>
      <c r="AC247" s="1208" t="s">
        <v>535</v>
      </c>
      <c r="AD247" s="1208" t="s">
        <v>535</v>
      </c>
      <c r="AE247" s="1208" t="s">
        <v>535</v>
      </c>
      <c r="AF247" s="1208" t="s">
        <v>535</v>
      </c>
      <c r="AG247" s="1208" t="s">
        <v>535</v>
      </c>
      <c r="AH247" s="638">
        <v>185</v>
      </c>
      <c r="AI247" s="639">
        <v>37</v>
      </c>
    </row>
    <row r="248" spans="1:35" ht="21.95" customHeight="1">
      <c r="A248" s="519">
        <v>3701</v>
      </c>
      <c r="B248" s="134" t="s">
        <v>603</v>
      </c>
      <c r="C248" s="1563"/>
      <c r="D248" s="1589" t="s">
        <v>535</v>
      </c>
      <c r="E248" s="1589" t="s">
        <v>535</v>
      </c>
      <c r="F248" s="1219"/>
      <c r="G248" s="1219"/>
      <c r="H248" s="1563" t="s">
        <v>535</v>
      </c>
      <c r="I248" s="1563" t="s">
        <v>535</v>
      </c>
      <c r="J248" s="1563" t="s">
        <v>535</v>
      </c>
      <c r="K248" s="1563" t="s">
        <v>535</v>
      </c>
      <c r="L248" s="1563" t="s">
        <v>535</v>
      </c>
      <c r="M248" s="1564"/>
      <c r="N248" s="1564"/>
      <c r="O248" s="1564" t="s">
        <v>535</v>
      </c>
      <c r="P248" s="1564" t="s">
        <v>535</v>
      </c>
      <c r="Q248" s="1563" t="s">
        <v>535</v>
      </c>
      <c r="R248" s="1622" t="s">
        <v>535</v>
      </c>
      <c r="S248" s="1622" t="s">
        <v>535</v>
      </c>
      <c r="T248" s="1219"/>
      <c r="U248" s="1219"/>
      <c r="V248" s="1563" t="s">
        <v>535</v>
      </c>
      <c r="W248" s="1563" t="s">
        <v>535</v>
      </c>
      <c r="X248" s="1563" t="s">
        <v>535</v>
      </c>
      <c r="Y248" s="1563" t="s">
        <v>535</v>
      </c>
      <c r="Z248" s="1563" t="s">
        <v>535</v>
      </c>
      <c r="AA248" s="1564"/>
      <c r="AB248" s="1564"/>
      <c r="AC248" s="1564" t="s">
        <v>535</v>
      </c>
      <c r="AD248" s="1564" t="s">
        <v>535</v>
      </c>
      <c r="AE248" s="1572" t="s">
        <v>535</v>
      </c>
      <c r="AF248" s="1572" t="s">
        <v>535</v>
      </c>
      <c r="AG248" s="1572" t="s">
        <v>535</v>
      </c>
      <c r="AH248" s="1565">
        <v>185</v>
      </c>
      <c r="AI248" s="1566">
        <v>37</v>
      </c>
    </row>
    <row r="249" spans="1:35" ht="21" customHeight="1">
      <c r="A249" s="902">
        <v>8500</v>
      </c>
      <c r="B249" s="1615" t="s">
        <v>793</v>
      </c>
      <c r="C249" s="1567"/>
      <c r="D249" s="1567" t="s">
        <v>535</v>
      </c>
      <c r="E249" s="1567" t="s">
        <v>535</v>
      </c>
      <c r="F249" s="1229"/>
      <c r="G249" s="1229"/>
      <c r="H249" s="1567" t="s">
        <v>535</v>
      </c>
      <c r="I249" s="1567" t="s">
        <v>535</v>
      </c>
      <c r="J249" s="1567" t="s">
        <v>535</v>
      </c>
      <c r="K249" s="1567" t="s">
        <v>535</v>
      </c>
      <c r="L249" s="1567" t="s">
        <v>535</v>
      </c>
      <c r="M249" s="1568"/>
      <c r="N249" s="1568"/>
      <c r="O249" s="1568" t="s">
        <v>535</v>
      </c>
      <c r="P249" s="1568" t="s">
        <v>535</v>
      </c>
      <c r="Q249" s="1580" t="s">
        <v>535</v>
      </c>
      <c r="R249" s="1580" t="s">
        <v>535</v>
      </c>
      <c r="S249" s="1580" t="s">
        <v>535</v>
      </c>
      <c r="T249" s="1636"/>
      <c r="U249" s="1636"/>
      <c r="V249" s="1580" t="s">
        <v>535</v>
      </c>
      <c r="W249" s="1580" t="s">
        <v>535</v>
      </c>
      <c r="X249" s="1580" t="s">
        <v>535</v>
      </c>
      <c r="Y249" s="1580" t="s">
        <v>535</v>
      </c>
      <c r="Z249" s="1580" t="s">
        <v>535</v>
      </c>
      <c r="AA249" s="1568"/>
      <c r="AB249" s="1568"/>
      <c r="AC249" s="1568" t="s">
        <v>535</v>
      </c>
      <c r="AD249" s="1568" t="s">
        <v>535</v>
      </c>
      <c r="AE249" s="1568" t="s">
        <v>535</v>
      </c>
      <c r="AF249" s="1568" t="s">
        <v>535</v>
      </c>
      <c r="AG249" s="1568" t="s">
        <v>535</v>
      </c>
      <c r="AH249" s="1565">
        <v>185</v>
      </c>
      <c r="AI249" s="1566">
        <v>37</v>
      </c>
    </row>
    <row r="250" spans="1:35" ht="21.95" customHeight="1">
      <c r="A250" s="1616">
        <v>3350</v>
      </c>
      <c r="B250" s="1615"/>
      <c r="C250" s="1567"/>
      <c r="D250" s="1567" t="s">
        <v>535</v>
      </c>
      <c r="E250" s="1567" t="s">
        <v>535</v>
      </c>
      <c r="F250" s="1229"/>
      <c r="G250" s="1229"/>
      <c r="H250" s="1567" t="s">
        <v>535</v>
      </c>
      <c r="I250" s="1567" t="s">
        <v>535</v>
      </c>
      <c r="J250" s="1567" t="s">
        <v>535</v>
      </c>
      <c r="K250" s="1567" t="s">
        <v>535</v>
      </c>
      <c r="L250" s="1567" t="s">
        <v>535</v>
      </c>
      <c r="M250" s="1568"/>
      <c r="N250" s="1568"/>
      <c r="O250" s="1568" t="s">
        <v>535</v>
      </c>
      <c r="P250" s="1568" t="s">
        <v>535</v>
      </c>
      <c r="Q250" s="1567" t="s">
        <v>535</v>
      </c>
      <c r="R250" s="1567" t="s">
        <v>535</v>
      </c>
      <c r="S250" s="1567" t="s">
        <v>535</v>
      </c>
      <c r="T250" s="1229"/>
      <c r="U250" s="1229"/>
      <c r="V250" s="1567" t="s">
        <v>535</v>
      </c>
      <c r="W250" s="1567" t="s">
        <v>535</v>
      </c>
      <c r="X250" s="1567" t="s">
        <v>535</v>
      </c>
      <c r="Y250" s="1567" t="s">
        <v>535</v>
      </c>
      <c r="Z250" s="1567" t="s">
        <v>535</v>
      </c>
      <c r="AA250" s="1568"/>
      <c r="AB250" s="1568"/>
      <c r="AC250" s="1568" t="s">
        <v>535</v>
      </c>
      <c r="AD250" s="1568" t="s">
        <v>535</v>
      </c>
      <c r="AE250" s="1568" t="s">
        <v>535</v>
      </c>
      <c r="AF250" s="1568" t="s">
        <v>535</v>
      </c>
      <c r="AG250" s="1568" t="s">
        <v>535</v>
      </c>
      <c r="AH250" s="1565">
        <v>185</v>
      </c>
      <c r="AI250" s="1566">
        <v>37</v>
      </c>
    </row>
    <row r="251" spans="1:35" ht="21.95" customHeight="1">
      <c r="A251" s="1616"/>
      <c r="B251" s="1615"/>
      <c r="C251" s="1567"/>
      <c r="D251" s="1567" t="s">
        <v>535</v>
      </c>
      <c r="E251" s="1567" t="s">
        <v>535</v>
      </c>
      <c r="F251" s="1229"/>
      <c r="G251" s="1229"/>
      <c r="H251" s="1567" t="s">
        <v>535</v>
      </c>
      <c r="I251" s="1567" t="s">
        <v>535</v>
      </c>
      <c r="J251" s="1567" t="s">
        <v>535</v>
      </c>
      <c r="K251" s="1567" t="s">
        <v>535</v>
      </c>
      <c r="L251" s="1567" t="s">
        <v>535</v>
      </c>
      <c r="M251" s="1568"/>
      <c r="N251" s="1568"/>
      <c r="O251" s="1568" t="s">
        <v>535</v>
      </c>
      <c r="P251" s="1568" t="s">
        <v>535</v>
      </c>
      <c r="Q251" s="1567" t="s">
        <v>535</v>
      </c>
      <c r="R251" s="1567" t="s">
        <v>535</v>
      </c>
      <c r="S251" s="1567" t="s">
        <v>535</v>
      </c>
      <c r="T251" s="1229"/>
      <c r="U251" s="1229"/>
      <c r="V251" s="1567" t="s">
        <v>535</v>
      </c>
      <c r="W251" s="1567" t="s">
        <v>535</v>
      </c>
      <c r="X251" s="1567" t="s">
        <v>535</v>
      </c>
      <c r="Y251" s="1567" t="s">
        <v>535</v>
      </c>
      <c r="Z251" s="1567" t="s">
        <v>535</v>
      </c>
      <c r="AA251" s="1568"/>
      <c r="AB251" s="1568"/>
      <c r="AC251" s="1568" t="s">
        <v>535</v>
      </c>
      <c r="AD251" s="1568" t="s">
        <v>535</v>
      </c>
      <c r="AE251" s="1568" t="s">
        <v>535</v>
      </c>
      <c r="AF251" s="1568" t="s">
        <v>535</v>
      </c>
      <c r="AG251" s="1568" t="s">
        <v>535</v>
      </c>
      <c r="AH251" s="1618"/>
      <c r="AI251" s="1619"/>
    </row>
    <row r="253" spans="1:35" ht="25.5" customHeight="1" thickBot="1">
      <c r="A253" s="1" t="s">
        <v>604</v>
      </c>
    </row>
    <row r="254" spans="1:35" ht="21" customHeight="1">
      <c r="A254" s="1"/>
      <c r="B254" s="201" t="s">
        <v>516</v>
      </c>
      <c r="C254" s="7"/>
      <c r="D254" s="525" t="s">
        <v>2</v>
      </c>
      <c r="E254" s="51"/>
      <c r="F254" s="551"/>
      <c r="G254" s="7"/>
      <c r="H254" s="525" t="s">
        <v>3</v>
      </c>
      <c r="I254" s="51"/>
      <c r="J254" s="551"/>
      <c r="K254" s="7"/>
      <c r="L254" s="525" t="s">
        <v>4</v>
      </c>
      <c r="M254" s="51"/>
      <c r="N254" s="551"/>
      <c r="O254" s="7"/>
      <c r="P254" s="525" t="s">
        <v>5</v>
      </c>
      <c r="Q254" s="51"/>
      <c r="R254" s="551"/>
      <c r="S254" s="7"/>
      <c r="T254" s="525" t="s">
        <v>6</v>
      </c>
      <c r="U254" s="51"/>
      <c r="V254" s="551"/>
      <c r="W254" s="7"/>
      <c r="X254" s="525" t="s">
        <v>7</v>
      </c>
      <c r="Y254" s="51"/>
      <c r="Z254" s="551"/>
      <c r="AA254" s="7"/>
      <c r="AB254" s="525" t="s">
        <v>8</v>
      </c>
      <c r="AC254" s="51"/>
      <c r="AD254" s="51"/>
      <c r="AE254" s="425" t="s">
        <v>10</v>
      </c>
      <c r="AF254" s="51"/>
      <c r="AG254" s="51"/>
      <c r="AH254" s="51"/>
      <c r="AI254" s="526"/>
    </row>
    <row r="255" spans="1:35" ht="21" customHeight="1">
      <c r="A255" s="1"/>
      <c r="B255" s="9"/>
      <c r="C255" s="14"/>
      <c r="D255" s="609"/>
      <c r="E255" s="55"/>
      <c r="F255" s="608"/>
      <c r="G255" s="14"/>
      <c r="H255" s="609"/>
      <c r="I255" s="55"/>
      <c r="J255" s="608"/>
      <c r="K255" s="14"/>
      <c r="L255" s="609"/>
      <c r="M255" s="55"/>
      <c r="N255" s="608"/>
      <c r="O255" s="14"/>
      <c r="P255" s="609"/>
      <c r="Q255" s="55"/>
      <c r="R255" s="608"/>
      <c r="S255" s="14"/>
      <c r="T255" s="609"/>
      <c r="U255" s="55"/>
      <c r="V255" s="608"/>
      <c r="W255" s="14"/>
      <c r="X255" s="609"/>
      <c r="Y255" s="55"/>
      <c r="Z255" s="608"/>
      <c r="AA255" s="14"/>
      <c r="AB255" s="609"/>
      <c r="AC255" s="55"/>
      <c r="AD255" s="55"/>
      <c r="AE255" s="610"/>
      <c r="AF255" s="55"/>
      <c r="AG255" s="55"/>
      <c r="AH255" s="55"/>
      <c r="AI255" s="611"/>
    </row>
    <row r="256" spans="1:35" ht="21" customHeight="1">
      <c r="B256" s="612"/>
      <c r="C256" s="121"/>
      <c r="D256" s="157"/>
      <c r="E256" s="157"/>
      <c r="F256" s="568"/>
      <c r="G256" s="121"/>
      <c r="H256" s="157"/>
      <c r="I256" s="157"/>
      <c r="J256" s="568"/>
      <c r="K256" s="121"/>
      <c r="L256" s="157"/>
      <c r="M256" s="157"/>
      <c r="N256" s="568"/>
      <c r="O256" s="121"/>
      <c r="P256" s="157"/>
      <c r="Q256" s="157"/>
      <c r="R256" s="568"/>
      <c r="S256" s="121"/>
      <c r="T256" s="157"/>
      <c r="U256" s="157"/>
      <c r="V256" s="568"/>
      <c r="W256" s="121"/>
      <c r="X256" s="157"/>
      <c r="Y256" s="157"/>
      <c r="Z256" s="568"/>
      <c r="AA256" s="567"/>
      <c r="AB256" s="157"/>
      <c r="AC256" s="157"/>
      <c r="AD256" s="569"/>
      <c r="AE256" s="613"/>
      <c r="AF256" s="157"/>
      <c r="AG256" s="157" t="s">
        <v>28</v>
      </c>
      <c r="AH256" s="569"/>
      <c r="AI256" s="490"/>
    </row>
    <row r="257" spans="1:35" ht="21" customHeight="1" thickBot="1">
      <c r="A257" s="1"/>
      <c r="B257" s="47"/>
      <c r="C257" s="574"/>
      <c r="D257" s="53"/>
      <c r="E257" s="53"/>
      <c r="F257" s="575"/>
      <c r="G257" s="574"/>
      <c r="H257" s="53"/>
      <c r="I257" s="53"/>
      <c r="J257" s="575"/>
      <c r="K257" s="574"/>
      <c r="L257" s="53"/>
      <c r="M257" s="53"/>
      <c r="N257" s="575"/>
      <c r="O257" s="574"/>
      <c r="P257" s="53"/>
      <c r="Q257" s="53"/>
      <c r="R257" s="575"/>
      <c r="S257" s="574"/>
      <c r="T257" s="53"/>
      <c r="U257" s="53"/>
      <c r="V257" s="575"/>
      <c r="W257" s="57"/>
      <c r="X257" s="53"/>
      <c r="Y257" s="53"/>
      <c r="Z257" s="575"/>
      <c r="AA257" s="57"/>
      <c r="AB257" s="53"/>
      <c r="AC257" s="53"/>
      <c r="AD257" s="577"/>
      <c r="AE257" s="57"/>
      <c r="AF257" s="53"/>
      <c r="AG257" s="53"/>
      <c r="AH257" s="577"/>
      <c r="AI257" s="539"/>
    </row>
    <row r="258" spans="1:35" ht="33" customHeight="1" thickBot="1">
      <c r="A258" s="1" t="s">
        <v>605</v>
      </c>
      <c r="B258" s="72"/>
      <c r="C258" s="312"/>
      <c r="F258" s="354"/>
      <c r="G258" s="312"/>
      <c r="J258" s="354"/>
      <c r="K258" s="312"/>
      <c r="N258" s="354"/>
      <c r="O258" s="312"/>
      <c r="R258" s="354"/>
      <c r="S258" s="312"/>
      <c r="V258" s="354"/>
      <c r="W258" s="354"/>
      <c r="Z258" s="354"/>
      <c r="AA258" s="354"/>
      <c r="AD258" s="354"/>
      <c r="AE258" s="354"/>
      <c r="AH258" s="354"/>
    </row>
    <row r="259" spans="1:35" ht="21" customHeight="1">
      <c r="A259" s="556" t="s">
        <v>528</v>
      </c>
      <c r="B259" s="297" t="s">
        <v>480</v>
      </c>
      <c r="C259" s="1235">
        <v>1</v>
      </c>
      <c r="D259" s="1234">
        <v>2</v>
      </c>
      <c r="E259" s="1234">
        <v>3</v>
      </c>
      <c r="F259" s="1235">
        <v>4</v>
      </c>
      <c r="G259" s="1235">
        <v>5</v>
      </c>
      <c r="H259" s="1234">
        <v>6</v>
      </c>
      <c r="I259" s="1213">
        <v>7</v>
      </c>
      <c r="J259" s="1213">
        <v>8</v>
      </c>
      <c r="K259" s="1234">
        <v>9</v>
      </c>
      <c r="L259" s="1234">
        <v>10</v>
      </c>
      <c r="M259" s="1235">
        <v>11</v>
      </c>
      <c r="N259" s="1235">
        <v>12</v>
      </c>
      <c r="O259" s="1234">
        <v>13</v>
      </c>
      <c r="P259" s="1213">
        <v>14</v>
      </c>
      <c r="Q259" s="1213">
        <v>15</v>
      </c>
      <c r="R259" s="1234">
        <v>16</v>
      </c>
      <c r="S259" s="1234">
        <v>17</v>
      </c>
      <c r="T259" s="1235">
        <v>18</v>
      </c>
      <c r="U259" s="1235">
        <v>19</v>
      </c>
      <c r="V259" s="1213">
        <v>20</v>
      </c>
      <c r="W259" s="1213">
        <v>21</v>
      </c>
      <c r="X259" s="1213">
        <v>22</v>
      </c>
      <c r="Y259" s="1234">
        <v>23</v>
      </c>
      <c r="Z259" s="1234">
        <v>24</v>
      </c>
      <c r="AA259" s="1235">
        <v>25</v>
      </c>
      <c r="AB259" s="1235">
        <v>26</v>
      </c>
      <c r="AC259" s="1234">
        <v>27</v>
      </c>
      <c r="AD259" s="1213">
        <v>28</v>
      </c>
      <c r="AE259" s="1213">
        <v>29</v>
      </c>
      <c r="AF259" s="1234">
        <v>30</v>
      </c>
      <c r="AG259" s="1234">
        <v>31</v>
      </c>
      <c r="AH259" s="498" t="s">
        <v>481</v>
      </c>
      <c r="AI259" s="499" t="s">
        <v>482</v>
      </c>
    </row>
    <row r="260" spans="1:35" ht="21" customHeight="1">
      <c r="A260" s="442"/>
      <c r="B260" s="619" t="s">
        <v>606</v>
      </c>
      <c r="C260" s="557"/>
      <c r="D260" s="557" t="s">
        <v>535</v>
      </c>
      <c r="E260" s="557" t="s">
        <v>535</v>
      </c>
      <c r="F260" s="1215"/>
      <c r="G260" s="1215"/>
      <c r="H260" s="557" t="s">
        <v>535</v>
      </c>
      <c r="I260" s="557" t="s">
        <v>535</v>
      </c>
      <c r="J260" s="557" t="s">
        <v>535</v>
      </c>
      <c r="K260" s="557" t="s">
        <v>535</v>
      </c>
      <c r="L260" s="557" t="s">
        <v>535</v>
      </c>
      <c r="M260" s="1208"/>
      <c r="N260" s="1208"/>
      <c r="O260" s="1208" t="s">
        <v>535</v>
      </c>
      <c r="P260" s="1208" t="s">
        <v>535</v>
      </c>
      <c r="Q260" s="557" t="s">
        <v>535</v>
      </c>
      <c r="R260" s="557" t="s">
        <v>535</v>
      </c>
      <c r="S260" s="557" t="s">
        <v>535</v>
      </c>
      <c r="T260" s="1215"/>
      <c r="U260" s="1215"/>
      <c r="V260" s="1439" t="s">
        <v>535</v>
      </c>
      <c r="W260" s="1439" t="s">
        <v>535</v>
      </c>
      <c r="X260" s="1439" t="s">
        <v>535</v>
      </c>
      <c r="Y260" s="1439" t="s">
        <v>570</v>
      </c>
      <c r="Z260" s="557" t="s">
        <v>535</v>
      </c>
      <c r="AA260" s="1208"/>
      <c r="AB260" s="1208"/>
      <c r="AC260" s="1208" t="s">
        <v>535</v>
      </c>
      <c r="AD260" s="1208" t="s">
        <v>535</v>
      </c>
      <c r="AE260" s="1208" t="s">
        <v>535</v>
      </c>
      <c r="AF260" s="1208" t="s">
        <v>535</v>
      </c>
      <c r="AG260" s="1208" t="s">
        <v>535</v>
      </c>
      <c r="AH260" s="638">
        <v>185</v>
      </c>
      <c r="AI260" s="639">
        <v>37</v>
      </c>
    </row>
    <row r="261" spans="1:35" ht="21" customHeight="1">
      <c r="A261" s="442"/>
      <c r="B261" s="619" t="s">
        <v>607</v>
      </c>
      <c r="C261" s="557"/>
      <c r="D261" s="557" t="s">
        <v>535</v>
      </c>
      <c r="E261" s="557" t="s">
        <v>535</v>
      </c>
      <c r="F261" s="1215"/>
      <c r="G261" s="1215"/>
      <c r="H261" s="557" t="s">
        <v>535</v>
      </c>
      <c r="I261" s="557" t="s">
        <v>535</v>
      </c>
      <c r="J261" s="557" t="s">
        <v>535</v>
      </c>
      <c r="K261" s="557" t="s">
        <v>535</v>
      </c>
      <c r="L261" s="557" t="s">
        <v>535</v>
      </c>
      <c r="M261" s="1208"/>
      <c r="N261" s="1208"/>
      <c r="O261" s="1208" t="s">
        <v>535</v>
      </c>
      <c r="P261" s="1208" t="s">
        <v>535</v>
      </c>
      <c r="Q261" s="557" t="s">
        <v>535</v>
      </c>
      <c r="R261" s="557" t="s">
        <v>535</v>
      </c>
      <c r="S261" s="557" t="s">
        <v>535</v>
      </c>
      <c r="T261" s="1215"/>
      <c r="U261" s="1215"/>
      <c r="V261" s="557" t="s">
        <v>535</v>
      </c>
      <c r="W261" s="557" t="s">
        <v>535</v>
      </c>
      <c r="X261" s="557" t="s">
        <v>535</v>
      </c>
      <c r="Y261" s="557" t="s">
        <v>535</v>
      </c>
      <c r="Z261" s="557" t="s">
        <v>535</v>
      </c>
      <c r="AA261" s="1208"/>
      <c r="AB261" s="1208"/>
      <c r="AC261" s="1208" t="s">
        <v>535</v>
      </c>
      <c r="AD261" s="1208" t="s">
        <v>535</v>
      </c>
      <c r="AE261" s="1208" t="s">
        <v>535</v>
      </c>
      <c r="AF261" s="1208" t="s">
        <v>535</v>
      </c>
      <c r="AG261" s="1208" t="s">
        <v>535</v>
      </c>
      <c r="AH261" s="638">
        <v>185</v>
      </c>
      <c r="AI261" s="639">
        <v>37</v>
      </c>
    </row>
    <row r="262" spans="1:35" ht="21" customHeight="1">
      <c r="A262" s="442"/>
      <c r="B262" s="619" t="s">
        <v>608</v>
      </c>
      <c r="C262" s="557"/>
      <c r="D262" s="557" t="s">
        <v>535</v>
      </c>
      <c r="E262" s="557" t="s">
        <v>535</v>
      </c>
      <c r="F262" s="1215"/>
      <c r="G262" s="1215"/>
      <c r="H262" s="557" t="s">
        <v>535</v>
      </c>
      <c r="I262" s="557" t="s">
        <v>535</v>
      </c>
      <c r="J262" s="557" t="s">
        <v>535</v>
      </c>
      <c r="K262" s="557" t="s">
        <v>535</v>
      </c>
      <c r="L262" s="557" t="s">
        <v>535</v>
      </c>
      <c r="M262" s="1208"/>
      <c r="N262" s="1208"/>
      <c r="O262" s="1208" t="s">
        <v>535</v>
      </c>
      <c r="P262" s="1208" t="s">
        <v>535</v>
      </c>
      <c r="Q262" s="557" t="s">
        <v>535</v>
      </c>
      <c r="R262" s="557" t="s">
        <v>535</v>
      </c>
      <c r="S262" s="557" t="s">
        <v>535</v>
      </c>
      <c r="T262" s="1215"/>
      <c r="U262" s="1215"/>
      <c r="V262" s="557" t="s">
        <v>535</v>
      </c>
      <c r="W262" s="557" t="s">
        <v>535</v>
      </c>
      <c r="X262" s="557" t="s">
        <v>535</v>
      </c>
      <c r="Y262" s="557" t="s">
        <v>535</v>
      </c>
      <c r="Z262" s="557" t="s">
        <v>535</v>
      </c>
      <c r="AA262" s="1208"/>
      <c r="AB262" s="1208"/>
      <c r="AC262" s="1208" t="s">
        <v>535</v>
      </c>
      <c r="AD262" s="1208" t="s">
        <v>535</v>
      </c>
      <c r="AE262" s="1208" t="s">
        <v>535</v>
      </c>
      <c r="AF262" s="1208" t="s">
        <v>535</v>
      </c>
      <c r="AG262" s="1208" t="s">
        <v>535</v>
      </c>
      <c r="AH262" s="638">
        <v>185</v>
      </c>
      <c r="AI262" s="639">
        <v>37</v>
      </c>
    </row>
    <row r="263" spans="1:35" ht="21" customHeight="1">
      <c r="A263" s="442"/>
      <c r="B263" s="619" t="s">
        <v>609</v>
      </c>
      <c r="C263" s="557"/>
      <c r="D263" s="557" t="s">
        <v>535</v>
      </c>
      <c r="E263" s="557" t="s">
        <v>535</v>
      </c>
      <c r="F263" s="1215"/>
      <c r="G263" s="1215"/>
      <c r="H263" s="557" t="s">
        <v>535</v>
      </c>
      <c r="I263" s="557" t="s">
        <v>535</v>
      </c>
      <c r="J263" s="557" t="s">
        <v>535</v>
      </c>
      <c r="K263" s="557" t="s">
        <v>535</v>
      </c>
      <c r="L263" s="1365" t="s">
        <v>535</v>
      </c>
      <c r="M263" s="1208"/>
      <c r="N263" s="1208"/>
      <c r="O263" s="1208" t="s">
        <v>535</v>
      </c>
      <c r="P263" s="1208" t="s">
        <v>535</v>
      </c>
      <c r="Q263" s="557" t="s">
        <v>535</v>
      </c>
      <c r="R263" s="557" t="s">
        <v>535</v>
      </c>
      <c r="S263" s="557" t="s">
        <v>535</v>
      </c>
      <c r="T263" s="1215"/>
      <c r="U263" s="1215"/>
      <c r="V263" s="557" t="s">
        <v>535</v>
      </c>
      <c r="W263" s="557" t="s">
        <v>535</v>
      </c>
      <c r="X263" s="557" t="s">
        <v>535</v>
      </c>
      <c r="Y263" s="557" t="s">
        <v>535</v>
      </c>
      <c r="Z263" s="1365" t="s">
        <v>535</v>
      </c>
      <c r="AA263" s="1208"/>
      <c r="AB263" s="1208"/>
      <c r="AC263" s="1208" t="s">
        <v>535</v>
      </c>
      <c r="AD263" s="1208" t="s">
        <v>535</v>
      </c>
      <c r="AE263" s="1208" t="s">
        <v>535</v>
      </c>
      <c r="AF263" s="1208" t="s">
        <v>535</v>
      </c>
      <c r="AG263" s="1208" t="s">
        <v>535</v>
      </c>
      <c r="AH263" s="638">
        <v>185</v>
      </c>
      <c r="AI263" s="639">
        <v>37</v>
      </c>
    </row>
    <row r="264" spans="1:35" ht="21" customHeight="1">
      <c r="A264" s="442"/>
      <c r="B264" s="619" t="s">
        <v>610</v>
      </c>
      <c r="C264" s="557"/>
      <c r="D264" s="557" t="s">
        <v>535</v>
      </c>
      <c r="E264" s="557" t="s">
        <v>535</v>
      </c>
      <c r="F264" s="1215"/>
      <c r="G264" s="1215"/>
      <c r="H264" s="557" t="s">
        <v>535</v>
      </c>
      <c r="I264" s="557" t="s">
        <v>535</v>
      </c>
      <c r="J264" s="557" t="s">
        <v>535</v>
      </c>
      <c r="K264" s="557" t="s">
        <v>535</v>
      </c>
      <c r="L264" s="557" t="s">
        <v>535</v>
      </c>
      <c r="M264" s="1208"/>
      <c r="N264" s="1208"/>
      <c r="O264" s="1208" t="s">
        <v>535</v>
      </c>
      <c r="P264" s="1208" t="s">
        <v>535</v>
      </c>
      <c r="Q264" s="557" t="s">
        <v>535</v>
      </c>
      <c r="R264" s="557" t="s">
        <v>535</v>
      </c>
      <c r="S264" s="557" t="s">
        <v>535</v>
      </c>
      <c r="T264" s="1215"/>
      <c r="U264" s="1215"/>
      <c r="V264" s="557" t="s">
        <v>535</v>
      </c>
      <c r="W264" s="557" t="s">
        <v>535</v>
      </c>
      <c r="X264" s="557" t="s">
        <v>535</v>
      </c>
      <c r="Y264" s="557" t="s">
        <v>535</v>
      </c>
      <c r="Z264" s="557" t="s">
        <v>535</v>
      </c>
      <c r="AA264" s="1208"/>
      <c r="AB264" s="1208"/>
      <c r="AC264" s="1208" t="s">
        <v>535</v>
      </c>
      <c r="AD264" s="1208" t="s">
        <v>535</v>
      </c>
      <c r="AE264" s="1208" t="s">
        <v>535</v>
      </c>
      <c r="AF264" s="1208" t="s">
        <v>535</v>
      </c>
      <c r="AG264" s="1208" t="s">
        <v>535</v>
      </c>
      <c r="AH264" s="638">
        <v>185</v>
      </c>
      <c r="AI264" s="639">
        <v>37</v>
      </c>
    </row>
    <row r="265" spans="1:35" ht="21" customHeight="1">
      <c r="A265" s="442"/>
      <c r="B265" s="619" t="s">
        <v>611</v>
      </c>
      <c r="C265" s="557"/>
      <c r="D265" s="557" t="s">
        <v>535</v>
      </c>
      <c r="E265" s="557" t="s">
        <v>535</v>
      </c>
      <c r="F265" s="1215"/>
      <c r="G265" s="1215"/>
      <c r="H265" s="1208" t="s">
        <v>535</v>
      </c>
      <c r="I265" s="1208" t="s">
        <v>535</v>
      </c>
      <c r="J265" s="1208" t="s">
        <v>535</v>
      </c>
      <c r="K265" s="1208" t="s">
        <v>535</v>
      </c>
      <c r="L265" s="1208" t="s">
        <v>535</v>
      </c>
      <c r="M265" s="1208"/>
      <c r="N265" s="1208"/>
      <c r="O265" s="1208" t="s">
        <v>535</v>
      </c>
      <c r="P265" s="1208" t="s">
        <v>535</v>
      </c>
      <c r="Q265" s="1347" t="s">
        <v>535</v>
      </c>
      <c r="R265" s="557" t="s">
        <v>535</v>
      </c>
      <c r="S265" s="557" t="s">
        <v>535</v>
      </c>
      <c r="T265" s="1215"/>
      <c r="U265" s="1215"/>
      <c r="V265" s="557" t="s">
        <v>535</v>
      </c>
      <c r="W265" s="557" t="s">
        <v>535</v>
      </c>
      <c r="X265" s="557" t="s">
        <v>535</v>
      </c>
      <c r="Y265" s="557" t="s">
        <v>535</v>
      </c>
      <c r="Z265" s="557" t="s">
        <v>535</v>
      </c>
      <c r="AA265" s="1208"/>
      <c r="AB265" s="1208"/>
      <c r="AC265" s="1208" t="s">
        <v>535</v>
      </c>
      <c r="AD265" s="1208" t="s">
        <v>535</v>
      </c>
      <c r="AE265" s="1208" t="s">
        <v>535</v>
      </c>
      <c r="AF265" s="1365" t="s">
        <v>535</v>
      </c>
      <c r="AG265" s="1365" t="s">
        <v>535</v>
      </c>
      <c r="AH265" s="638">
        <v>185</v>
      </c>
      <c r="AI265" s="639">
        <v>37</v>
      </c>
    </row>
    <row r="266" spans="1:35" ht="21" customHeight="1">
      <c r="A266" s="442"/>
      <c r="B266" s="619" t="s">
        <v>612</v>
      </c>
      <c r="C266" s="557"/>
      <c r="D266" s="1365" t="s">
        <v>535</v>
      </c>
      <c r="E266" s="1365" t="s">
        <v>535</v>
      </c>
      <c r="F266" s="1345"/>
      <c r="G266" s="1345"/>
      <c r="H266" s="1387" t="s">
        <v>535</v>
      </c>
      <c r="I266" s="1387" t="s">
        <v>535</v>
      </c>
      <c r="J266" s="1387" t="s">
        <v>535</v>
      </c>
      <c r="K266" s="1387" t="s">
        <v>535</v>
      </c>
      <c r="L266" s="1387" t="s">
        <v>535</v>
      </c>
      <c r="M266" s="1208"/>
      <c r="N266" s="1208"/>
      <c r="O266" s="1208" t="s">
        <v>535</v>
      </c>
      <c r="P266" s="1208" t="s">
        <v>535</v>
      </c>
      <c r="Q266" s="557" t="s">
        <v>535</v>
      </c>
      <c r="R266" s="557" t="s">
        <v>535</v>
      </c>
      <c r="S266" s="1208" t="s">
        <v>535</v>
      </c>
      <c r="T266" s="1215"/>
      <c r="U266" s="1215"/>
      <c r="V266" s="557" t="s">
        <v>535</v>
      </c>
      <c r="W266" s="557" t="s">
        <v>535</v>
      </c>
      <c r="X266" s="557" t="s">
        <v>535</v>
      </c>
      <c r="Y266" s="557" t="s">
        <v>535</v>
      </c>
      <c r="Z266" s="557" t="s">
        <v>535</v>
      </c>
      <c r="AA266" s="1208"/>
      <c r="AB266" s="1208"/>
      <c r="AC266" s="1208" t="s">
        <v>535</v>
      </c>
      <c r="AD266" s="1439" t="s">
        <v>535</v>
      </c>
      <c r="AE266" s="1439" t="s">
        <v>535</v>
      </c>
      <c r="AF266" s="1439" t="s">
        <v>535</v>
      </c>
      <c r="AG266" s="1439" t="s">
        <v>535</v>
      </c>
      <c r="AH266" s="638">
        <v>185</v>
      </c>
      <c r="AI266" s="639">
        <v>37</v>
      </c>
    </row>
    <row r="267" spans="1:35" ht="21" customHeight="1">
      <c r="A267" s="442"/>
      <c r="B267" s="619" t="s">
        <v>613</v>
      </c>
      <c r="C267" s="557"/>
      <c r="D267" s="557" t="s">
        <v>535</v>
      </c>
      <c r="E267" s="557" t="s">
        <v>535</v>
      </c>
      <c r="F267" s="1215"/>
      <c r="G267" s="1215"/>
      <c r="H267" s="557" t="s">
        <v>535</v>
      </c>
      <c r="I267" s="557" t="s">
        <v>535</v>
      </c>
      <c r="J267" s="557" t="s">
        <v>535</v>
      </c>
      <c r="K267" s="557" t="s">
        <v>535</v>
      </c>
      <c r="L267" s="557" t="s">
        <v>535</v>
      </c>
      <c r="M267" s="1208"/>
      <c r="N267" s="1208"/>
      <c r="O267" s="1208" t="s">
        <v>535</v>
      </c>
      <c r="P267" s="1208" t="s">
        <v>535</v>
      </c>
      <c r="Q267" s="557" t="s">
        <v>535</v>
      </c>
      <c r="R267" s="557" t="s">
        <v>535</v>
      </c>
      <c r="S267" s="557" t="s">
        <v>535</v>
      </c>
      <c r="T267" s="1215"/>
      <c r="U267" s="1215"/>
      <c r="V267" s="557" t="s">
        <v>535</v>
      </c>
      <c r="W267" s="557" t="s">
        <v>535</v>
      </c>
      <c r="X267" s="557" t="s">
        <v>535</v>
      </c>
      <c r="Y267" s="557" t="s">
        <v>535</v>
      </c>
      <c r="Z267" s="557" t="s">
        <v>535</v>
      </c>
      <c r="AA267" s="1208"/>
      <c r="AB267" s="1208"/>
      <c r="AC267" s="1208" t="s">
        <v>535</v>
      </c>
      <c r="AD267" s="1208" t="s">
        <v>535</v>
      </c>
      <c r="AE267" s="1208" t="s">
        <v>535</v>
      </c>
      <c r="AF267" s="1208" t="s">
        <v>535</v>
      </c>
      <c r="AG267" s="1347" t="s">
        <v>535</v>
      </c>
      <c r="AH267" s="638">
        <v>185</v>
      </c>
      <c r="AI267" s="639">
        <v>37</v>
      </c>
    </row>
    <row r="268" spans="1:35" ht="21" customHeight="1">
      <c r="A268" s="442"/>
      <c r="B268" s="619" t="s">
        <v>614</v>
      </c>
      <c r="C268" s="557"/>
      <c r="D268" s="1387" t="s">
        <v>535</v>
      </c>
      <c r="E268" s="1387" t="s">
        <v>535</v>
      </c>
      <c r="F268" s="1215"/>
      <c r="G268" s="1215"/>
      <c r="H268" s="557" t="s">
        <v>535</v>
      </c>
      <c r="I268" s="557" t="s">
        <v>535</v>
      </c>
      <c r="J268" s="557" t="s">
        <v>535</v>
      </c>
      <c r="K268" s="557" t="s">
        <v>535</v>
      </c>
      <c r="L268" s="557" t="s">
        <v>535</v>
      </c>
      <c r="M268" s="1208"/>
      <c r="N268" s="1208"/>
      <c r="O268" s="1208" t="s">
        <v>535</v>
      </c>
      <c r="P268" s="1208" t="s">
        <v>535</v>
      </c>
      <c r="Q268" s="557" t="s">
        <v>535</v>
      </c>
      <c r="R268" s="557" t="s">
        <v>535</v>
      </c>
      <c r="S268" s="557" t="s">
        <v>535</v>
      </c>
      <c r="T268" s="1215"/>
      <c r="U268" s="1215"/>
      <c r="V268" s="1439" t="s">
        <v>535</v>
      </c>
      <c r="W268" s="1439" t="s">
        <v>535</v>
      </c>
      <c r="X268" s="1439" t="s">
        <v>535</v>
      </c>
      <c r="Y268" s="1439" t="s">
        <v>535</v>
      </c>
      <c r="Z268" s="1439" t="s">
        <v>535</v>
      </c>
      <c r="AA268" s="1439"/>
      <c r="AB268" s="1439"/>
      <c r="AC268" s="1439" t="s">
        <v>535</v>
      </c>
      <c r="AD268" s="1439" t="s">
        <v>535</v>
      </c>
      <c r="AE268" s="1439" t="s">
        <v>535</v>
      </c>
      <c r="AF268" s="1439" t="s">
        <v>535</v>
      </c>
      <c r="AG268" s="1439" t="s">
        <v>535</v>
      </c>
      <c r="AH268" s="638">
        <v>185</v>
      </c>
      <c r="AI268" s="639">
        <v>37</v>
      </c>
    </row>
    <row r="269" spans="1:35" ht="21" customHeight="1">
      <c r="A269" s="442"/>
      <c r="B269" s="619" t="s">
        <v>615</v>
      </c>
      <c r="C269" s="557"/>
      <c r="D269" s="557" t="s">
        <v>535</v>
      </c>
      <c r="E269" s="557" t="s">
        <v>535</v>
      </c>
      <c r="F269" s="1215"/>
      <c r="G269" s="1215"/>
      <c r="H269" s="557" t="s">
        <v>535</v>
      </c>
      <c r="I269" s="557" t="s">
        <v>535</v>
      </c>
      <c r="J269" s="557" t="s">
        <v>535</v>
      </c>
      <c r="K269" s="557" t="s">
        <v>535</v>
      </c>
      <c r="L269" s="557" t="s">
        <v>535</v>
      </c>
      <c r="M269" s="1208"/>
      <c r="N269" s="1208"/>
      <c r="O269" s="1208" t="s">
        <v>535</v>
      </c>
      <c r="P269" s="1208" t="s">
        <v>535</v>
      </c>
      <c r="Q269" s="1365" t="s">
        <v>535</v>
      </c>
      <c r="R269" s="1365" t="s">
        <v>535</v>
      </c>
      <c r="S269" s="1365" t="s">
        <v>535</v>
      </c>
      <c r="T269" s="1215"/>
      <c r="U269" s="1215"/>
      <c r="V269" s="557" t="s">
        <v>535</v>
      </c>
      <c r="W269" s="557" t="s">
        <v>535</v>
      </c>
      <c r="X269" s="557" t="s">
        <v>535</v>
      </c>
      <c r="Y269" s="557" t="s">
        <v>535</v>
      </c>
      <c r="Z269" s="557" t="s">
        <v>535</v>
      </c>
      <c r="AA269" s="1208"/>
      <c r="AB269" s="1208"/>
      <c r="AC269" s="1208" t="s">
        <v>535</v>
      </c>
      <c r="AD269" s="1208" t="s">
        <v>535</v>
      </c>
      <c r="AE269" s="1208" t="s">
        <v>535</v>
      </c>
      <c r="AF269" s="1208" t="s">
        <v>535</v>
      </c>
      <c r="AG269" s="1208" t="s">
        <v>535</v>
      </c>
      <c r="AH269" s="638">
        <v>185</v>
      </c>
      <c r="AI269" s="639">
        <v>37</v>
      </c>
    </row>
    <row r="270" spans="1:35" ht="21" customHeight="1">
      <c r="A270" s="442"/>
      <c r="B270" s="153" t="s">
        <v>616</v>
      </c>
      <c r="C270" s="557"/>
      <c r="D270" s="1387" t="s">
        <v>535</v>
      </c>
      <c r="E270" s="1387" t="s">
        <v>535</v>
      </c>
      <c r="F270" s="1215"/>
      <c r="G270" s="1215"/>
      <c r="H270" s="557" t="s">
        <v>535</v>
      </c>
      <c r="I270" s="557" t="s">
        <v>535</v>
      </c>
      <c r="J270" s="557" t="s">
        <v>535</v>
      </c>
      <c r="K270" s="557" t="s">
        <v>535</v>
      </c>
      <c r="L270" s="557" t="s">
        <v>535</v>
      </c>
      <c r="M270" s="1208"/>
      <c r="N270" s="1208"/>
      <c r="O270" s="1208" t="s">
        <v>535</v>
      </c>
      <c r="P270" s="1208" t="s">
        <v>535</v>
      </c>
      <c r="Q270" s="557" t="s">
        <v>535</v>
      </c>
      <c r="R270" s="557" t="s">
        <v>535</v>
      </c>
      <c r="S270" s="1365" t="s">
        <v>535</v>
      </c>
      <c r="T270" s="1215"/>
      <c r="U270" s="1215"/>
      <c r="V270" s="557" t="s">
        <v>535</v>
      </c>
      <c r="W270" s="557" t="s">
        <v>535</v>
      </c>
      <c r="X270" s="557" t="s">
        <v>535</v>
      </c>
      <c r="Y270" s="557" t="s">
        <v>535</v>
      </c>
      <c r="Z270" s="557" t="s">
        <v>535</v>
      </c>
      <c r="AA270" s="1208"/>
      <c r="AB270" s="1208"/>
      <c r="AC270" s="1208" t="s">
        <v>535</v>
      </c>
      <c r="AD270" s="1208" t="s">
        <v>535</v>
      </c>
      <c r="AE270" s="1208" t="s">
        <v>535</v>
      </c>
      <c r="AF270" s="1208" t="s">
        <v>535</v>
      </c>
      <c r="AG270" s="1208" t="s">
        <v>535</v>
      </c>
      <c r="AH270" s="638">
        <v>185</v>
      </c>
      <c r="AI270" s="639">
        <v>37</v>
      </c>
    </row>
    <row r="271" spans="1:35" ht="21" customHeight="1">
      <c r="A271" s="442"/>
      <c r="B271" s="153" t="s">
        <v>617</v>
      </c>
      <c r="C271" s="557"/>
      <c r="D271" s="557" t="s">
        <v>535</v>
      </c>
      <c r="E271" s="557" t="s">
        <v>535</v>
      </c>
      <c r="F271" s="1215"/>
      <c r="G271" s="1215"/>
      <c r="H271" s="557" t="s">
        <v>535</v>
      </c>
      <c r="I271" s="557" t="s">
        <v>535</v>
      </c>
      <c r="J271" s="557" t="s">
        <v>535</v>
      </c>
      <c r="K271" s="557" t="s">
        <v>535</v>
      </c>
      <c r="L271" s="557" t="s">
        <v>535</v>
      </c>
      <c r="M271" s="1208"/>
      <c r="N271" s="1208"/>
      <c r="O271" s="1208" t="s">
        <v>535</v>
      </c>
      <c r="P271" s="1208" t="s">
        <v>535</v>
      </c>
      <c r="Q271" s="557" t="s">
        <v>535</v>
      </c>
      <c r="R271" s="557" t="s">
        <v>535</v>
      </c>
      <c r="S271" s="557" t="s">
        <v>535</v>
      </c>
      <c r="T271" s="1215"/>
      <c r="U271" s="1215"/>
      <c r="V271" s="557" t="s">
        <v>535</v>
      </c>
      <c r="W271" s="557" t="s">
        <v>535</v>
      </c>
      <c r="X271" s="557" t="s">
        <v>535</v>
      </c>
      <c r="Y271" s="557" t="s">
        <v>535</v>
      </c>
      <c r="Z271" s="557" t="s">
        <v>535</v>
      </c>
      <c r="AA271" s="1208"/>
      <c r="AB271" s="1208"/>
      <c r="AC271" s="1208" t="s">
        <v>535</v>
      </c>
      <c r="AD271" s="1208" t="s">
        <v>535</v>
      </c>
      <c r="AE271" s="1208" t="s">
        <v>535</v>
      </c>
      <c r="AF271" s="1208" t="s">
        <v>535</v>
      </c>
      <c r="AG271" s="1208" t="s">
        <v>535</v>
      </c>
      <c r="AH271" s="638">
        <v>185</v>
      </c>
      <c r="AI271" s="639">
        <v>37</v>
      </c>
    </row>
    <row r="272" spans="1:35" ht="21" customHeight="1">
      <c r="A272" s="134"/>
      <c r="B272" s="134" t="s">
        <v>619</v>
      </c>
      <c r="C272" s="1563"/>
      <c r="D272" s="1563" t="s">
        <v>535</v>
      </c>
      <c r="E272" s="1563" t="s">
        <v>535</v>
      </c>
      <c r="F272" s="1219"/>
      <c r="G272" s="1219"/>
      <c r="H272" s="1563" t="s">
        <v>535</v>
      </c>
      <c r="I272" s="1563" t="s">
        <v>535</v>
      </c>
      <c r="J272" s="1563" t="s">
        <v>535</v>
      </c>
      <c r="K272" s="1563" t="s">
        <v>535</v>
      </c>
      <c r="L272" s="1563" t="s">
        <v>535</v>
      </c>
      <c r="M272" s="1564"/>
      <c r="N272" s="1564"/>
      <c r="O272" s="1564" t="s">
        <v>535</v>
      </c>
      <c r="P272" s="1564" t="s">
        <v>535</v>
      </c>
      <c r="Q272" s="1572" t="s">
        <v>535</v>
      </c>
      <c r="R272" s="1572" t="s">
        <v>535</v>
      </c>
      <c r="S272" s="1572" t="s">
        <v>535</v>
      </c>
      <c r="T272" s="1571"/>
      <c r="U272" s="1571"/>
      <c r="V272" s="1572" t="s">
        <v>535</v>
      </c>
      <c r="W272" s="1572" t="s">
        <v>535</v>
      </c>
      <c r="X272" s="1572" t="s">
        <v>535</v>
      </c>
      <c r="Y272" s="1572" t="s">
        <v>535</v>
      </c>
      <c r="Z272" s="1572" t="s">
        <v>535</v>
      </c>
      <c r="AA272" s="1572"/>
      <c r="AB272" s="1572"/>
      <c r="AC272" s="1572" t="s">
        <v>535</v>
      </c>
      <c r="AD272" s="1572" t="s">
        <v>570</v>
      </c>
      <c r="AE272" s="1564" t="s">
        <v>535</v>
      </c>
      <c r="AF272" s="1564" t="s">
        <v>535</v>
      </c>
      <c r="AG272" s="1564" t="s">
        <v>535</v>
      </c>
      <c r="AH272" s="1565">
        <v>185</v>
      </c>
      <c r="AI272" s="1566">
        <v>37</v>
      </c>
    </row>
    <row r="273" spans="1:35" ht="21" customHeight="1">
      <c r="A273" s="902"/>
      <c r="B273" s="902" t="s">
        <v>618</v>
      </c>
      <c r="C273" s="1567"/>
      <c r="D273" s="1567" t="s">
        <v>535</v>
      </c>
      <c r="E273" s="1567" t="s">
        <v>535</v>
      </c>
      <c r="F273" s="1229"/>
      <c r="G273" s="1229"/>
      <c r="H273" s="1567" t="s">
        <v>535</v>
      </c>
      <c r="I273" s="1567" t="s">
        <v>535</v>
      </c>
      <c r="J273" s="1567" t="s">
        <v>535</v>
      </c>
      <c r="K273" s="1567" t="s">
        <v>535</v>
      </c>
      <c r="L273" s="1567" t="s">
        <v>535</v>
      </c>
      <c r="M273" s="1568"/>
      <c r="N273" s="1568"/>
      <c r="O273" s="1580" t="s">
        <v>535</v>
      </c>
      <c r="P273" s="1580" t="s">
        <v>535</v>
      </c>
      <c r="Q273" s="1580" t="s">
        <v>535</v>
      </c>
      <c r="R273" s="1580" t="s">
        <v>535</v>
      </c>
      <c r="S273" s="1580" t="s">
        <v>535</v>
      </c>
      <c r="T273" s="1229"/>
      <c r="U273" s="1229"/>
      <c r="V273" s="1567" t="s">
        <v>535</v>
      </c>
      <c r="W273" s="1567" t="s">
        <v>535</v>
      </c>
      <c r="X273" s="1567" t="s">
        <v>535</v>
      </c>
      <c r="Y273" s="1567" t="s">
        <v>535</v>
      </c>
      <c r="Z273" s="1567" t="s">
        <v>535</v>
      </c>
      <c r="AA273" s="1568"/>
      <c r="AB273" s="1568"/>
      <c r="AC273" s="1568" t="s">
        <v>535</v>
      </c>
      <c r="AD273" s="1568" t="s">
        <v>535</v>
      </c>
      <c r="AE273" s="1568" t="s">
        <v>535</v>
      </c>
      <c r="AF273" s="1568" t="s">
        <v>535</v>
      </c>
      <c r="AG273" s="1568" t="s">
        <v>535</v>
      </c>
      <c r="AH273" s="1569">
        <v>185</v>
      </c>
      <c r="AI273" s="1569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31"/>
  <dimension ref="A1:AL273"/>
  <sheetViews>
    <sheetView topLeftCell="A31" zoomScale="70" zoomScaleNormal="70" workbookViewId="0">
      <selection activeCell="AD263" sqref="AD263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620</v>
      </c>
      <c r="B6" s="157"/>
      <c r="C6" s="489"/>
      <c r="D6" s="488" t="s">
        <v>621</v>
      </c>
      <c r="E6" s="157"/>
      <c r="F6" s="157"/>
      <c r="G6" s="157"/>
      <c r="H6" s="490"/>
      <c r="I6" s="157"/>
      <c r="J6" s="157"/>
      <c r="K6" s="157"/>
      <c r="L6" s="488" t="s">
        <v>725</v>
      </c>
      <c r="M6" s="157"/>
      <c r="N6" s="157"/>
      <c r="O6" s="157"/>
      <c r="P6" s="157"/>
      <c r="Q6" s="157"/>
      <c r="R6" s="157"/>
      <c r="S6" s="489"/>
      <c r="T6" s="491" t="s">
        <v>623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624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625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626</v>
      </c>
      <c r="L8" s="496"/>
      <c r="AB8" s="1"/>
    </row>
    <row r="9" spans="1:35" ht="21.95" customHeight="1" thickBot="1">
      <c r="B9" s="497" t="s">
        <v>627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528</v>
      </c>
      <c r="B10" s="297" t="s">
        <v>480</v>
      </c>
      <c r="C10" s="1235">
        <v>1</v>
      </c>
      <c r="D10" s="1235">
        <v>2</v>
      </c>
      <c r="E10" s="1234">
        <v>3</v>
      </c>
      <c r="F10" s="1234">
        <v>4</v>
      </c>
      <c r="G10" s="1234">
        <v>5</v>
      </c>
      <c r="H10" s="1234">
        <v>6</v>
      </c>
      <c r="I10" s="1213">
        <v>7</v>
      </c>
      <c r="J10" s="1330">
        <v>8</v>
      </c>
      <c r="K10" s="1235">
        <v>9</v>
      </c>
      <c r="L10" s="1234">
        <v>10</v>
      </c>
      <c r="M10" s="1234">
        <v>11</v>
      </c>
      <c r="N10" s="1234">
        <v>12</v>
      </c>
      <c r="O10" s="1234">
        <v>13</v>
      </c>
      <c r="P10" s="1213">
        <v>14</v>
      </c>
      <c r="Q10" s="1330">
        <v>15</v>
      </c>
      <c r="R10" s="1235">
        <v>16</v>
      </c>
      <c r="S10" s="1234">
        <v>17</v>
      </c>
      <c r="T10" s="1234">
        <v>18</v>
      </c>
      <c r="U10" s="1234">
        <v>19</v>
      </c>
      <c r="V10" s="1213">
        <v>20</v>
      </c>
      <c r="W10" s="1213">
        <v>21</v>
      </c>
      <c r="X10" s="1330">
        <v>22</v>
      </c>
      <c r="Y10" s="1235">
        <v>23</v>
      </c>
      <c r="Z10" s="1234">
        <v>24</v>
      </c>
      <c r="AA10" s="1234">
        <v>25</v>
      </c>
      <c r="AB10" s="1234">
        <v>26</v>
      </c>
      <c r="AC10" s="1234">
        <v>27</v>
      </c>
      <c r="AD10" s="1213">
        <v>28</v>
      </c>
      <c r="AE10" s="1213"/>
      <c r="AF10" s="1234"/>
      <c r="AG10" s="1234"/>
      <c r="AH10" s="498" t="s">
        <v>481</v>
      </c>
      <c r="AI10" s="499" t="s">
        <v>482</v>
      </c>
    </row>
    <row r="11" spans="1:35" ht="21.95" customHeight="1">
      <c r="A11" s="500"/>
      <c r="B11" s="501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1215"/>
      <c r="N11" s="1215"/>
      <c r="O11" s="1215"/>
      <c r="P11" s="1215"/>
      <c r="Q11" s="1215"/>
      <c r="R11" s="1215"/>
      <c r="S11" s="1215"/>
      <c r="T11" s="1215"/>
      <c r="U11" s="1215"/>
      <c r="V11" s="1215"/>
      <c r="W11" s="1215"/>
      <c r="X11" s="1215"/>
      <c r="Y11" s="1215"/>
      <c r="Z11" s="1215"/>
      <c r="AA11" s="1215"/>
      <c r="AB11" s="1215"/>
      <c r="AC11" s="1215"/>
      <c r="AD11" s="1215"/>
      <c r="AE11" s="1215"/>
      <c r="AF11" s="1215"/>
      <c r="AG11" s="503"/>
      <c r="AH11" s="504"/>
      <c r="AI11" s="505"/>
    </row>
    <row r="12" spans="1:35" ht="21.95" customHeight="1">
      <c r="A12" s="506" t="s">
        <v>628</v>
      </c>
      <c r="B12" s="45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509"/>
      <c r="AI12" s="510"/>
    </row>
    <row r="13" spans="1:35" ht="21.95" customHeight="1">
      <c r="A13" s="511">
        <v>8546</v>
      </c>
      <c r="B13" s="512" t="s">
        <v>629</v>
      </c>
      <c r="C13" s="1211" t="s">
        <v>631</v>
      </c>
      <c r="D13" s="1211" t="s">
        <v>631</v>
      </c>
      <c r="E13" s="1211" t="s">
        <v>487</v>
      </c>
      <c r="F13" s="1211" t="s">
        <v>487</v>
      </c>
      <c r="G13" s="1211" t="s">
        <v>487</v>
      </c>
      <c r="H13" s="1215" t="s">
        <v>487</v>
      </c>
      <c r="I13" s="1211" t="s">
        <v>487</v>
      </c>
      <c r="J13" s="1211"/>
      <c r="K13" s="1211"/>
      <c r="L13" s="1211">
        <v>3</v>
      </c>
      <c r="M13" s="1211">
        <v>3</v>
      </c>
      <c r="N13" s="1211">
        <v>3</v>
      </c>
      <c r="O13" s="1211">
        <v>3</v>
      </c>
      <c r="P13" s="1211">
        <v>3</v>
      </c>
      <c r="Q13" s="1211"/>
      <c r="R13" s="1211"/>
      <c r="S13" s="1349">
        <v>4</v>
      </c>
      <c r="T13" s="1349">
        <v>4</v>
      </c>
      <c r="U13" s="1349">
        <v>4</v>
      </c>
      <c r="V13" s="1349">
        <v>4</v>
      </c>
      <c r="W13" s="1349">
        <v>4</v>
      </c>
      <c r="X13" s="1349" t="s">
        <v>630</v>
      </c>
      <c r="Y13" s="1349" t="s">
        <v>630</v>
      </c>
      <c r="Z13" s="1211" t="s">
        <v>487</v>
      </c>
      <c r="AA13" s="1211" t="s">
        <v>487</v>
      </c>
      <c r="AB13" s="1211" t="s">
        <v>487</v>
      </c>
      <c r="AC13" s="1211" t="s">
        <v>487</v>
      </c>
      <c r="AD13" s="1211" t="s">
        <v>487</v>
      </c>
      <c r="AE13" s="1211"/>
      <c r="AF13" s="1211"/>
      <c r="AG13" s="1218"/>
      <c r="AH13" s="513">
        <v>86</v>
      </c>
      <c r="AI13" s="514">
        <v>37</v>
      </c>
    </row>
    <row r="14" spans="1:35" ht="21.95" customHeight="1">
      <c r="A14" s="500">
        <v>8546</v>
      </c>
      <c r="B14" s="347" t="s">
        <v>632</v>
      </c>
      <c r="C14" s="1215"/>
      <c r="D14" s="1215"/>
      <c r="E14" s="1215">
        <v>1</v>
      </c>
      <c r="F14" s="1215">
        <v>1</v>
      </c>
      <c r="G14" s="1215">
        <v>1</v>
      </c>
      <c r="H14" s="1215">
        <v>1</v>
      </c>
      <c r="I14" s="1215">
        <v>1</v>
      </c>
      <c r="J14" s="1215"/>
      <c r="K14" s="1215"/>
      <c r="L14" s="1215">
        <v>2</v>
      </c>
      <c r="M14" s="1215">
        <v>2</v>
      </c>
      <c r="N14" s="1215">
        <v>2</v>
      </c>
      <c r="O14" s="1215">
        <v>2</v>
      </c>
      <c r="P14" s="1215">
        <v>2</v>
      </c>
      <c r="Q14" s="1215" t="s">
        <v>631</v>
      </c>
      <c r="R14" s="1215" t="s">
        <v>631</v>
      </c>
      <c r="S14" s="1215" t="s">
        <v>487</v>
      </c>
      <c r="T14" s="1215" t="s">
        <v>487</v>
      </c>
      <c r="U14" s="1215" t="s">
        <v>487</v>
      </c>
      <c r="V14" s="1215" t="s">
        <v>487</v>
      </c>
      <c r="W14" s="1215" t="s">
        <v>487</v>
      </c>
      <c r="X14" s="1215"/>
      <c r="Y14" s="1215"/>
      <c r="Z14" s="1215">
        <v>3</v>
      </c>
      <c r="AA14" s="1215">
        <v>3</v>
      </c>
      <c r="AB14" s="1215">
        <v>3</v>
      </c>
      <c r="AC14" s="1215">
        <v>3</v>
      </c>
      <c r="AD14" s="1335">
        <v>3</v>
      </c>
      <c r="AE14" s="1215"/>
      <c r="AF14" s="1215"/>
      <c r="AG14" s="1216"/>
      <c r="AH14" s="513">
        <v>79</v>
      </c>
      <c r="AI14" s="514">
        <v>4.5</v>
      </c>
    </row>
    <row r="15" spans="1:35" ht="21.95" customHeight="1">
      <c r="A15" s="500">
        <v>8546</v>
      </c>
      <c r="B15" s="347" t="s">
        <v>171</v>
      </c>
      <c r="C15" s="1215"/>
      <c r="D15" s="1215"/>
      <c r="E15" s="1215">
        <v>2</v>
      </c>
      <c r="F15" s="1215">
        <v>2</v>
      </c>
      <c r="G15" s="1215">
        <v>2</v>
      </c>
      <c r="H15" s="1215">
        <v>2</v>
      </c>
      <c r="I15" s="1215">
        <v>2</v>
      </c>
      <c r="J15" s="1215" t="s">
        <v>631</v>
      </c>
      <c r="K15" s="1215" t="s">
        <v>631</v>
      </c>
      <c r="L15" s="1215" t="s">
        <v>487</v>
      </c>
      <c r="M15" s="1215" t="s">
        <v>487</v>
      </c>
      <c r="N15" s="1215" t="s">
        <v>487</v>
      </c>
      <c r="O15" s="1215" t="s">
        <v>487</v>
      </c>
      <c r="P15" s="1215" t="s">
        <v>487</v>
      </c>
      <c r="Q15" s="1215"/>
      <c r="R15" s="1215"/>
      <c r="S15" s="1215">
        <v>3</v>
      </c>
      <c r="T15" s="1215">
        <v>3</v>
      </c>
      <c r="U15" s="1215">
        <v>3</v>
      </c>
      <c r="V15" s="1335">
        <v>3</v>
      </c>
      <c r="W15" s="1335">
        <v>3</v>
      </c>
      <c r="X15" s="1215"/>
      <c r="Y15" s="1215"/>
      <c r="Z15" s="1215">
        <v>4</v>
      </c>
      <c r="AA15" s="1215">
        <v>4</v>
      </c>
      <c r="AB15" s="1392">
        <v>4</v>
      </c>
      <c r="AC15" s="1392">
        <v>4</v>
      </c>
      <c r="AD15" s="1392">
        <v>4</v>
      </c>
      <c r="AE15" s="1215"/>
      <c r="AF15" s="1215"/>
      <c r="AG15" s="1216"/>
      <c r="AH15" s="513">
        <v>11</v>
      </c>
      <c r="AI15" s="514">
        <v>0.75</v>
      </c>
    </row>
    <row r="16" spans="1:35" ht="21.95" customHeight="1">
      <c r="A16" s="500">
        <v>8546</v>
      </c>
      <c r="B16" s="347" t="s">
        <v>633</v>
      </c>
      <c r="C16" s="1215"/>
      <c r="D16" s="1215"/>
      <c r="E16" s="1215">
        <v>4</v>
      </c>
      <c r="F16" s="1215">
        <v>4</v>
      </c>
      <c r="G16" s="1215">
        <v>4</v>
      </c>
      <c r="H16" s="1215">
        <v>4</v>
      </c>
      <c r="I16" s="1215">
        <v>4</v>
      </c>
      <c r="J16" s="1215" t="s">
        <v>630</v>
      </c>
      <c r="K16" s="1215" t="s">
        <v>630</v>
      </c>
      <c r="L16" s="1215" t="s">
        <v>487</v>
      </c>
      <c r="M16" s="1215" t="s">
        <v>487</v>
      </c>
      <c r="N16" s="1215" t="s">
        <v>487</v>
      </c>
      <c r="O16" s="1215" t="s">
        <v>487</v>
      </c>
      <c r="P16" s="1215" t="s">
        <v>487</v>
      </c>
      <c r="Q16" s="1215"/>
      <c r="R16" s="1215"/>
      <c r="S16" s="1215">
        <v>1</v>
      </c>
      <c r="T16" s="1215">
        <v>1</v>
      </c>
      <c r="U16" s="1215">
        <v>1</v>
      </c>
      <c r="V16" s="1215">
        <v>1</v>
      </c>
      <c r="W16" s="1215">
        <v>1</v>
      </c>
      <c r="X16" s="1215"/>
      <c r="Y16" s="1215"/>
      <c r="Z16" s="1215">
        <v>2</v>
      </c>
      <c r="AA16" s="1215">
        <v>2</v>
      </c>
      <c r="AB16" s="1215">
        <v>2</v>
      </c>
      <c r="AC16" s="1215">
        <v>2</v>
      </c>
      <c r="AD16" s="1215">
        <v>2</v>
      </c>
      <c r="AE16" s="1215"/>
      <c r="AF16" s="1215"/>
      <c r="AG16" s="1216"/>
      <c r="AH16" s="513">
        <v>21</v>
      </c>
      <c r="AI16" s="514">
        <v>37</v>
      </c>
    </row>
    <row r="17" spans="1:37" ht="21.95" customHeight="1">
      <c r="A17" s="500">
        <v>8546</v>
      </c>
      <c r="B17" s="347" t="s">
        <v>634</v>
      </c>
      <c r="C17" s="1215"/>
      <c r="D17" s="1215"/>
      <c r="E17" s="1215">
        <v>3</v>
      </c>
      <c r="F17" s="1215">
        <v>3</v>
      </c>
      <c r="G17" s="1335">
        <v>3</v>
      </c>
      <c r="H17" s="1215">
        <v>3</v>
      </c>
      <c r="I17" s="1215">
        <v>3</v>
      </c>
      <c r="J17" s="1215"/>
      <c r="K17" s="1215"/>
      <c r="L17" s="1215">
        <v>4</v>
      </c>
      <c r="M17" s="1215">
        <v>4</v>
      </c>
      <c r="N17" s="1215">
        <v>4</v>
      </c>
      <c r="O17" s="1215">
        <v>4</v>
      </c>
      <c r="P17" s="1215">
        <v>4</v>
      </c>
      <c r="Q17" s="1215" t="s">
        <v>630</v>
      </c>
      <c r="R17" s="1215" t="s">
        <v>630</v>
      </c>
      <c r="S17" s="1215" t="s">
        <v>487</v>
      </c>
      <c r="T17" s="1215" t="s">
        <v>487</v>
      </c>
      <c r="U17" s="1215" t="s">
        <v>487</v>
      </c>
      <c r="V17" s="1215" t="s">
        <v>487</v>
      </c>
      <c r="W17" s="1215" t="s">
        <v>487</v>
      </c>
      <c r="X17" s="1215"/>
      <c r="Y17" s="1215"/>
      <c r="Z17" s="1215">
        <v>1</v>
      </c>
      <c r="AA17" s="1215">
        <v>1</v>
      </c>
      <c r="AB17" s="1215">
        <v>1</v>
      </c>
      <c r="AC17" s="1215">
        <v>1</v>
      </c>
      <c r="AD17" s="1215">
        <v>1</v>
      </c>
      <c r="AE17" s="1215"/>
      <c r="AF17" s="1215"/>
      <c r="AG17" s="1216"/>
      <c r="AH17" s="513">
        <v>79</v>
      </c>
      <c r="AI17" s="514">
        <v>37</v>
      </c>
    </row>
    <row r="18" spans="1:37" ht="21.95" customHeight="1">
      <c r="A18" s="500">
        <v>8546</v>
      </c>
      <c r="B18" s="347" t="s">
        <v>635</v>
      </c>
      <c r="C18" s="1215" t="s">
        <v>630</v>
      </c>
      <c r="D18" s="1215" t="s">
        <v>630</v>
      </c>
      <c r="E18" s="1215" t="s">
        <v>487</v>
      </c>
      <c r="F18" s="1215" t="s">
        <v>487</v>
      </c>
      <c r="G18" s="1215" t="s">
        <v>487</v>
      </c>
      <c r="H18" s="1215" t="s">
        <v>487</v>
      </c>
      <c r="I18" s="1215" t="s">
        <v>487</v>
      </c>
      <c r="J18" s="1215"/>
      <c r="K18" s="1215"/>
      <c r="L18" s="1338">
        <v>1</v>
      </c>
      <c r="M18" s="1338">
        <v>1</v>
      </c>
      <c r="N18" s="1338">
        <v>1</v>
      </c>
      <c r="O18" s="1338">
        <v>1</v>
      </c>
      <c r="P18" s="1338">
        <v>1</v>
      </c>
      <c r="Q18" s="1338"/>
      <c r="R18" s="1338"/>
      <c r="S18" s="1215">
        <v>2</v>
      </c>
      <c r="T18" s="1215">
        <v>2</v>
      </c>
      <c r="U18" s="1215">
        <v>2</v>
      </c>
      <c r="V18" s="1215">
        <v>2</v>
      </c>
      <c r="W18" s="1215">
        <v>2</v>
      </c>
      <c r="X18" s="1215" t="s">
        <v>631</v>
      </c>
      <c r="Y18" s="1215" t="s">
        <v>631</v>
      </c>
      <c r="Z18" s="1215" t="s">
        <v>487</v>
      </c>
      <c r="AA18" s="1215" t="s">
        <v>487</v>
      </c>
      <c r="AB18" s="1215" t="s">
        <v>487</v>
      </c>
      <c r="AC18" s="1215" t="s">
        <v>487</v>
      </c>
      <c r="AD18" s="1215" t="s">
        <v>487</v>
      </c>
      <c r="AE18" s="1215"/>
      <c r="AF18" s="1215"/>
      <c r="AG18" s="1216"/>
      <c r="AH18" s="513">
        <v>45.45</v>
      </c>
      <c r="AI18" s="514">
        <v>37</v>
      </c>
    </row>
    <row r="19" spans="1:37" ht="21.95" customHeight="1">
      <c r="A19" s="515" t="s">
        <v>636</v>
      </c>
      <c r="B19" s="516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507"/>
      <c r="AE19" s="507"/>
      <c r="AF19" s="507"/>
      <c r="AG19" s="508"/>
      <c r="AH19" s="509"/>
      <c r="AI19" s="510"/>
    </row>
    <row r="20" spans="1:37" ht="21.95" customHeight="1">
      <c r="A20" s="500">
        <v>8500</v>
      </c>
      <c r="B20" s="186" t="s">
        <v>192</v>
      </c>
      <c r="C20" s="1215" t="s">
        <v>637</v>
      </c>
      <c r="D20" s="1215" t="s">
        <v>637</v>
      </c>
      <c r="E20" s="1215" t="s">
        <v>535</v>
      </c>
      <c r="F20" s="1215" t="s">
        <v>535</v>
      </c>
      <c r="G20" s="1215">
        <v>3</v>
      </c>
      <c r="H20" s="1215" t="s">
        <v>535</v>
      </c>
      <c r="I20" s="1647" t="s">
        <v>535</v>
      </c>
      <c r="J20" s="1215" t="s">
        <v>637</v>
      </c>
      <c r="K20" s="1215" t="s">
        <v>637</v>
      </c>
      <c r="L20" s="1215" t="s">
        <v>535</v>
      </c>
      <c r="M20" s="1215" t="s">
        <v>535</v>
      </c>
      <c r="N20" s="1215" t="s">
        <v>535</v>
      </c>
      <c r="O20" s="1346" t="s">
        <v>535</v>
      </c>
      <c r="P20" s="1215" t="s">
        <v>535</v>
      </c>
      <c r="Q20" s="1215"/>
      <c r="R20" s="1215"/>
      <c r="S20" s="1215">
        <v>4</v>
      </c>
      <c r="T20" s="1215">
        <v>4</v>
      </c>
      <c r="U20" s="1215">
        <v>4</v>
      </c>
      <c r="V20" s="1215">
        <v>4</v>
      </c>
      <c r="W20" s="1215">
        <v>4</v>
      </c>
      <c r="X20" s="1215" t="s">
        <v>630</v>
      </c>
      <c r="Y20" s="1215" t="s">
        <v>630</v>
      </c>
      <c r="Z20" s="1215" t="s">
        <v>487</v>
      </c>
      <c r="AA20" s="1215" t="s">
        <v>487</v>
      </c>
      <c r="AB20" s="1215">
        <v>4</v>
      </c>
      <c r="AC20" s="1215">
        <v>4</v>
      </c>
      <c r="AD20" s="1215" t="s">
        <v>487</v>
      </c>
      <c r="AE20" s="1215"/>
      <c r="AF20" s="1215"/>
      <c r="AG20" s="1215"/>
      <c r="AH20" s="504">
        <v>79</v>
      </c>
      <c r="AI20" s="505">
        <v>31</v>
      </c>
    </row>
    <row r="21" spans="1:37" ht="21.95" customHeight="1">
      <c r="A21" s="500">
        <v>8500</v>
      </c>
      <c r="B21" s="153" t="s">
        <v>638</v>
      </c>
      <c r="C21" s="1215"/>
      <c r="D21" s="1215"/>
      <c r="E21" s="1215" t="s">
        <v>535</v>
      </c>
      <c r="F21" s="1215" t="s">
        <v>535</v>
      </c>
      <c r="G21" s="1215" t="s">
        <v>535</v>
      </c>
      <c r="H21" s="1215" t="s">
        <v>535</v>
      </c>
      <c r="I21" s="1215" t="s">
        <v>535</v>
      </c>
      <c r="J21" s="1215"/>
      <c r="K21" s="1215"/>
      <c r="L21" s="1215">
        <v>1</v>
      </c>
      <c r="M21" s="1215">
        <v>1</v>
      </c>
      <c r="N21" s="1215">
        <v>1</v>
      </c>
      <c r="O21" s="1215">
        <v>1</v>
      </c>
      <c r="P21" s="1215">
        <v>1</v>
      </c>
      <c r="Q21" s="1215"/>
      <c r="R21" s="1215"/>
      <c r="S21" s="1215" t="s">
        <v>535</v>
      </c>
      <c r="T21" s="1215" t="s">
        <v>535</v>
      </c>
      <c r="U21" s="1346" t="s">
        <v>535</v>
      </c>
      <c r="V21" s="1346" t="s">
        <v>514</v>
      </c>
      <c r="W21" s="1335" t="s">
        <v>514</v>
      </c>
      <c r="X21" s="1215" t="s">
        <v>637</v>
      </c>
      <c r="Y21" s="1215" t="s">
        <v>637</v>
      </c>
      <c r="Z21" s="1215">
        <v>1</v>
      </c>
      <c r="AA21" s="1215">
        <v>1</v>
      </c>
      <c r="AB21" s="1215">
        <v>1</v>
      </c>
      <c r="AC21" s="1215">
        <v>1</v>
      </c>
      <c r="AD21" s="1215">
        <v>4</v>
      </c>
      <c r="AE21" s="1215"/>
      <c r="AF21" s="1215"/>
      <c r="AG21" s="1215"/>
      <c r="AH21" s="504">
        <v>37</v>
      </c>
      <c r="AI21" s="505">
        <v>37</v>
      </c>
    </row>
    <row r="22" spans="1:37" ht="21.95" customHeight="1" thickBot="1">
      <c r="A22" s="500"/>
      <c r="B22" s="153"/>
      <c r="C22" s="1215"/>
      <c r="D22" s="1215"/>
      <c r="E22" s="1215"/>
      <c r="F22" s="1215"/>
      <c r="G22" s="1215"/>
      <c r="H22" s="1215"/>
      <c r="I22" s="1215"/>
      <c r="J22" s="1215"/>
      <c r="K22" s="1215"/>
      <c r="L22" s="1215"/>
      <c r="M22" s="1215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15"/>
      <c r="AA22" s="1215"/>
      <c r="AB22" s="1215"/>
      <c r="AC22" s="1215"/>
      <c r="AD22" s="1215"/>
      <c r="AE22" s="1215"/>
      <c r="AF22" s="1215"/>
      <c r="AG22" s="1215"/>
      <c r="AH22" s="517"/>
      <c r="AI22" s="518"/>
    </row>
    <row r="23" spans="1:37" ht="21.95" customHeight="1">
      <c r="A23" s="519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</row>
    <row r="24" spans="1:37" ht="21.95" customHeight="1">
      <c r="A24" s="519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</row>
    <row r="25" spans="1:37" ht="21.95" customHeight="1">
      <c r="A25" s="519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</row>
    <row r="26" spans="1:37" ht="21.95" customHeight="1">
      <c r="A26" s="519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</row>
    <row r="27" spans="1:37" ht="21.95" customHeight="1">
      <c r="A27" s="519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</row>
    <row r="28" spans="1:37" ht="21.95" customHeight="1">
      <c r="A28" s="519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</row>
    <row r="29" spans="1:37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7" ht="21.95" customHeight="1" thickBot="1">
      <c r="A30" s="1" t="s">
        <v>639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640</v>
      </c>
      <c r="B31" s="521"/>
      <c r="C31" s="521"/>
      <c r="D31" s="425" t="s">
        <v>641</v>
      </c>
      <c r="E31" s="522"/>
      <c r="F31" s="522"/>
      <c r="G31" s="522"/>
      <c r="H31" s="522"/>
      <c r="I31" s="522"/>
      <c r="J31" s="522"/>
      <c r="K31" s="522"/>
      <c r="L31" s="522"/>
      <c r="M31" s="523" t="s">
        <v>642</v>
      </c>
      <c r="N31" s="522"/>
      <c r="O31" s="522"/>
      <c r="P31" s="522"/>
      <c r="Q31" s="522"/>
      <c r="R31" s="522"/>
      <c r="S31" s="524"/>
      <c r="T31" s="524" t="s">
        <v>643</v>
      </c>
      <c r="U31" s="522"/>
      <c r="V31" s="522"/>
      <c r="W31" s="522"/>
      <c r="X31" s="522"/>
      <c r="Y31" s="522"/>
      <c r="Z31" s="238"/>
      <c r="AA31" s="525" t="s">
        <v>644</v>
      </c>
      <c r="AB31" s="51"/>
      <c r="AC31" s="51"/>
      <c r="AD31" s="51"/>
      <c r="AE31" s="51"/>
      <c r="AF31" s="51"/>
      <c r="AG31" s="526"/>
      <c r="AK31" s="1"/>
    </row>
    <row r="32" spans="1:37" ht="21.95" customHeight="1">
      <c r="A32" s="527" t="s">
        <v>645</v>
      </c>
      <c r="B32" s="135"/>
      <c r="C32" s="135"/>
      <c r="D32" s="495" t="s">
        <v>646</v>
      </c>
      <c r="E32" s="491"/>
      <c r="F32" s="157"/>
      <c r="G32" s="157"/>
      <c r="H32" s="157"/>
      <c r="I32" s="157"/>
      <c r="J32" s="157"/>
      <c r="K32" s="157"/>
      <c r="L32" s="489"/>
      <c r="M32" s="528" t="s">
        <v>647</v>
      </c>
      <c r="N32" s="135"/>
      <c r="O32" s="529"/>
      <c r="P32" s="135"/>
      <c r="Q32" s="135"/>
      <c r="R32" s="135"/>
      <c r="S32" s="530"/>
      <c r="T32" s="495" t="s">
        <v>648</v>
      </c>
      <c r="U32" s="157"/>
      <c r="V32" s="491"/>
      <c r="W32" s="157"/>
      <c r="X32" s="157"/>
      <c r="Y32" s="157"/>
      <c r="Z32" s="489"/>
      <c r="AA32" s="1" t="s">
        <v>649</v>
      </c>
      <c r="AD32" s="496"/>
      <c r="AG32" s="531"/>
      <c r="AK32" s="1"/>
    </row>
    <row r="33" spans="1:38" ht="21.95" customHeight="1">
      <c r="A33" s="532" t="s">
        <v>650</v>
      </c>
      <c r="B33" s="157"/>
      <c r="C33" s="157"/>
      <c r="D33" s="157"/>
      <c r="E33" s="157"/>
      <c r="F33" s="157"/>
      <c r="G33" s="489"/>
      <c r="H33" s="495" t="s">
        <v>651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3" t="s">
        <v>652</v>
      </c>
      <c r="AA33" s="529"/>
      <c r="AB33" s="135"/>
      <c r="AC33" s="135"/>
      <c r="AD33" s="135"/>
      <c r="AE33" s="135"/>
      <c r="AF33" s="135"/>
      <c r="AG33" s="534"/>
      <c r="AK33" s="312"/>
    </row>
    <row r="34" spans="1:38" ht="21.95" customHeight="1" thickBot="1">
      <c r="A34" s="535" t="s">
        <v>653</v>
      </c>
      <c r="B34" s="53"/>
      <c r="C34" s="53"/>
      <c r="D34" s="53"/>
      <c r="E34" s="53"/>
      <c r="F34" s="53"/>
      <c r="G34" s="536"/>
      <c r="H34" s="537" t="s">
        <v>654</v>
      </c>
      <c r="I34" s="536"/>
      <c r="J34" s="53"/>
      <c r="K34" s="53"/>
      <c r="L34" s="53"/>
      <c r="M34" s="53"/>
      <c r="N34" s="53"/>
      <c r="O34" s="53"/>
      <c r="P34" s="53"/>
      <c r="Q34" s="538"/>
      <c r="R34" s="538"/>
      <c r="S34" s="538"/>
      <c r="T34" s="53"/>
      <c r="U34" s="537" t="s">
        <v>655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9"/>
      <c r="AK34" s="1"/>
    </row>
    <row r="35" spans="1:38" ht="21.95" customHeight="1" thickBot="1">
      <c r="B35" s="540" t="s">
        <v>627</v>
      </c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41"/>
      <c r="Y35" s="541"/>
      <c r="Z35" s="541"/>
      <c r="AA35" s="541"/>
      <c r="AB35" s="541"/>
      <c r="AC35" s="541"/>
      <c r="AD35" s="541"/>
      <c r="AE35" s="541"/>
      <c r="AF35" s="541"/>
      <c r="AG35" s="541"/>
      <c r="AH35" s="1"/>
    </row>
    <row r="36" spans="1:38" ht="21.95" customHeight="1" thickBot="1">
      <c r="A36" s="542" t="s">
        <v>528</v>
      </c>
      <c r="B36" s="182" t="s">
        <v>480</v>
      </c>
      <c r="C36" s="1235">
        <v>1</v>
      </c>
      <c r="D36" s="1235">
        <v>2</v>
      </c>
      <c r="E36" s="1234">
        <v>3</v>
      </c>
      <c r="F36" s="1234">
        <v>4</v>
      </c>
      <c r="G36" s="1234">
        <v>5</v>
      </c>
      <c r="H36" s="1234">
        <v>6</v>
      </c>
      <c r="I36" s="1213">
        <v>7</v>
      </c>
      <c r="J36" s="1330">
        <v>8</v>
      </c>
      <c r="K36" s="1235">
        <v>9</v>
      </c>
      <c r="L36" s="1234">
        <v>10</v>
      </c>
      <c r="M36" s="1234">
        <v>11</v>
      </c>
      <c r="N36" s="1234">
        <v>12</v>
      </c>
      <c r="O36" s="1234">
        <v>13</v>
      </c>
      <c r="P36" s="1213">
        <v>14</v>
      </c>
      <c r="Q36" s="1330">
        <v>15</v>
      </c>
      <c r="R36" s="1235">
        <v>16</v>
      </c>
      <c r="S36" s="1234">
        <v>17</v>
      </c>
      <c r="T36" s="1234">
        <v>18</v>
      </c>
      <c r="U36" s="1234">
        <v>19</v>
      </c>
      <c r="V36" s="1213">
        <v>20</v>
      </c>
      <c r="W36" s="1213">
        <v>21</v>
      </c>
      <c r="X36" s="1330">
        <v>22</v>
      </c>
      <c r="Y36" s="1235">
        <v>23</v>
      </c>
      <c r="Z36" s="1234">
        <v>24</v>
      </c>
      <c r="AA36" s="1234">
        <v>25</v>
      </c>
      <c r="AB36" s="1234">
        <v>26</v>
      </c>
      <c r="AC36" s="1234">
        <v>27</v>
      </c>
      <c r="AD36" s="1213">
        <v>28</v>
      </c>
      <c r="AE36" s="1213"/>
      <c r="AF36" s="1234"/>
      <c r="AG36" s="1234"/>
      <c r="AH36" s="498" t="s">
        <v>481</v>
      </c>
      <c r="AI36" s="499" t="s">
        <v>482</v>
      </c>
      <c r="AL36" t="s">
        <v>28</v>
      </c>
    </row>
    <row r="37" spans="1:38" ht="21.95" customHeight="1">
      <c r="A37" s="543">
        <v>1</v>
      </c>
      <c r="B37" s="45" t="s">
        <v>656</v>
      </c>
      <c r="C37" s="1209"/>
      <c r="D37" s="1209"/>
      <c r="E37" s="1209">
        <v>10</v>
      </c>
      <c r="F37" s="1209">
        <v>10</v>
      </c>
      <c r="G37" s="1209">
        <v>10</v>
      </c>
      <c r="H37" s="1209">
        <v>10</v>
      </c>
      <c r="I37" s="1209">
        <v>10</v>
      </c>
      <c r="J37" s="1209" t="s">
        <v>555</v>
      </c>
      <c r="K37" s="1209" t="s">
        <v>555</v>
      </c>
      <c r="L37" s="1209" t="s">
        <v>487</v>
      </c>
      <c r="M37" s="1209" t="s">
        <v>487</v>
      </c>
      <c r="N37" s="1209" t="s">
        <v>487</v>
      </c>
      <c r="O37" s="1209" t="s">
        <v>487</v>
      </c>
      <c r="P37" s="1209" t="s">
        <v>487</v>
      </c>
      <c r="Q37" s="1209" t="s">
        <v>660</v>
      </c>
      <c r="R37" s="1209" t="s">
        <v>660</v>
      </c>
      <c r="S37" s="1353">
        <v>7</v>
      </c>
      <c r="T37" s="1353">
        <v>7</v>
      </c>
      <c r="U37" s="1353">
        <v>7</v>
      </c>
      <c r="V37" s="1353">
        <v>7</v>
      </c>
      <c r="W37" s="1353">
        <v>7</v>
      </c>
      <c r="X37" s="1209"/>
      <c r="Y37" s="1209"/>
      <c r="Z37" s="1209">
        <v>4</v>
      </c>
      <c r="AA37" s="1209">
        <v>4</v>
      </c>
      <c r="AB37" s="1209">
        <v>4</v>
      </c>
      <c r="AC37" s="1209">
        <v>4</v>
      </c>
      <c r="AD37" s="1209">
        <v>4</v>
      </c>
      <c r="AE37" s="1209"/>
      <c r="AF37" s="1209"/>
      <c r="AG37" s="1220"/>
      <c r="AH37" s="504">
        <v>56</v>
      </c>
      <c r="AI37" s="505">
        <v>37</v>
      </c>
    </row>
    <row r="38" spans="1:38" ht="21.95" customHeight="1">
      <c r="A38" s="544">
        <v>6</v>
      </c>
      <c r="B38" s="545" t="s">
        <v>658</v>
      </c>
      <c r="C38" s="1215"/>
      <c r="D38" s="1215"/>
      <c r="E38" s="1376">
        <v>11</v>
      </c>
      <c r="F38" s="1376">
        <v>11</v>
      </c>
      <c r="G38" s="1376">
        <v>11</v>
      </c>
      <c r="H38" s="1376">
        <v>11</v>
      </c>
      <c r="I38" s="1376">
        <v>11</v>
      </c>
      <c r="J38" s="1376" t="s">
        <v>657</v>
      </c>
      <c r="K38" s="1376" t="s">
        <v>657</v>
      </c>
      <c r="L38" s="1376" t="s">
        <v>487</v>
      </c>
      <c r="M38" s="1376" t="s">
        <v>487</v>
      </c>
      <c r="N38" s="1376" t="s">
        <v>487</v>
      </c>
      <c r="O38" s="1376" t="s">
        <v>487</v>
      </c>
      <c r="P38" s="1376" t="s">
        <v>487</v>
      </c>
      <c r="Q38" s="1376"/>
      <c r="R38" s="1376"/>
      <c r="S38" s="1376">
        <v>8</v>
      </c>
      <c r="T38" s="1376">
        <v>8</v>
      </c>
      <c r="U38" s="1376">
        <v>8</v>
      </c>
      <c r="V38" s="1376">
        <v>8</v>
      </c>
      <c r="W38" s="1376">
        <v>8</v>
      </c>
      <c r="X38" s="1376" t="s">
        <v>533</v>
      </c>
      <c r="Y38" s="1376" t="s">
        <v>533</v>
      </c>
      <c r="Z38" s="1376" t="s">
        <v>487</v>
      </c>
      <c r="AA38" s="1376" t="s">
        <v>487</v>
      </c>
      <c r="AB38" s="1376" t="s">
        <v>487</v>
      </c>
      <c r="AC38" s="1376" t="s">
        <v>487</v>
      </c>
      <c r="AD38" s="1376" t="s">
        <v>487</v>
      </c>
      <c r="AE38" s="1215"/>
      <c r="AF38" s="1215"/>
      <c r="AG38" s="1221"/>
      <c r="AH38" s="504">
        <v>185</v>
      </c>
      <c r="AI38" s="505">
        <v>37</v>
      </c>
    </row>
    <row r="39" spans="1:38" ht="21.95" customHeight="1" thickBot="1">
      <c r="A39" s="546">
        <v>11</v>
      </c>
      <c r="B39" s="1242" t="s">
        <v>659</v>
      </c>
      <c r="C39" s="1207"/>
      <c r="D39" s="1207"/>
      <c r="E39" s="1207">
        <v>9</v>
      </c>
      <c r="F39" s="1207">
        <v>9</v>
      </c>
      <c r="G39" s="1207">
        <v>9</v>
      </c>
      <c r="H39" s="1207">
        <v>9</v>
      </c>
      <c r="I39" s="1207">
        <v>9</v>
      </c>
      <c r="J39" s="1207" t="s">
        <v>543</v>
      </c>
      <c r="K39" s="1207" t="s">
        <v>555</v>
      </c>
      <c r="L39" s="1207" t="s">
        <v>487</v>
      </c>
      <c r="M39" s="1207" t="s">
        <v>487</v>
      </c>
      <c r="N39" s="1207" t="s">
        <v>487</v>
      </c>
      <c r="O39" s="1207" t="s">
        <v>487</v>
      </c>
      <c r="P39" s="1207" t="s">
        <v>487</v>
      </c>
      <c r="Q39" s="1207"/>
      <c r="R39" s="1207"/>
      <c r="S39" s="1207">
        <v>6</v>
      </c>
      <c r="T39" s="1207">
        <v>6</v>
      </c>
      <c r="U39" s="1207">
        <v>6</v>
      </c>
      <c r="V39" s="1207">
        <v>6</v>
      </c>
      <c r="W39" s="1207">
        <v>6</v>
      </c>
      <c r="X39" s="1207" t="s">
        <v>532</v>
      </c>
      <c r="Y39" s="1207" t="s">
        <v>533</v>
      </c>
      <c r="Z39" s="1207" t="s">
        <v>487</v>
      </c>
      <c r="AA39" s="1207" t="s">
        <v>487</v>
      </c>
      <c r="AB39" s="1207" t="s">
        <v>487</v>
      </c>
      <c r="AC39" s="1207" t="s">
        <v>816</v>
      </c>
      <c r="AD39" s="1207" t="s">
        <v>487</v>
      </c>
      <c r="AE39" s="1207"/>
      <c r="AF39" s="1207"/>
      <c r="AG39" s="1222"/>
      <c r="AH39" s="504">
        <v>54</v>
      </c>
      <c r="AI39" s="505">
        <v>37</v>
      </c>
    </row>
    <row r="40" spans="1:38" ht="21.95" customHeight="1">
      <c r="A40" s="543">
        <v>2</v>
      </c>
      <c r="B40" s="45" t="s">
        <v>662</v>
      </c>
      <c r="C40" s="1209" t="s">
        <v>555</v>
      </c>
      <c r="D40" s="1209" t="s">
        <v>555</v>
      </c>
      <c r="E40" s="1209" t="s">
        <v>487</v>
      </c>
      <c r="F40" s="1223" t="s">
        <v>487</v>
      </c>
      <c r="G40" s="1223" t="s">
        <v>487</v>
      </c>
      <c r="H40" s="1209" t="s">
        <v>487</v>
      </c>
      <c r="I40" s="1209" t="s">
        <v>487</v>
      </c>
      <c r="J40" s="1209" t="s">
        <v>660</v>
      </c>
      <c r="K40" s="1209" t="s">
        <v>660</v>
      </c>
      <c r="L40" s="1209">
        <v>7</v>
      </c>
      <c r="M40" s="1209">
        <v>7</v>
      </c>
      <c r="N40" s="1209">
        <v>7</v>
      </c>
      <c r="O40" s="1209">
        <v>7</v>
      </c>
      <c r="P40" s="1209">
        <v>7</v>
      </c>
      <c r="Q40" s="1209"/>
      <c r="R40" s="1209"/>
      <c r="S40" s="1643">
        <v>4</v>
      </c>
      <c r="T40" s="1644">
        <v>4</v>
      </c>
      <c r="U40" s="1644">
        <v>4</v>
      </c>
      <c r="V40" s="1643">
        <v>4</v>
      </c>
      <c r="W40" s="1643">
        <v>4</v>
      </c>
      <c r="X40" s="1209"/>
      <c r="Y40" s="1209"/>
      <c r="Z40" s="1487">
        <v>3</v>
      </c>
      <c r="AA40" s="1487">
        <v>3</v>
      </c>
      <c r="AB40" s="1487">
        <v>3</v>
      </c>
      <c r="AC40" s="1487">
        <v>3</v>
      </c>
      <c r="AD40" s="1487">
        <v>3</v>
      </c>
      <c r="AE40" s="1209"/>
      <c r="AF40" s="1209"/>
      <c r="AG40" s="1209"/>
      <c r="AH40" s="504">
        <v>6</v>
      </c>
      <c r="AI40" s="505">
        <v>37</v>
      </c>
    </row>
    <row r="41" spans="1:38" ht="21.95" customHeight="1">
      <c r="A41" s="544">
        <v>7</v>
      </c>
      <c r="B41" s="153" t="s">
        <v>664</v>
      </c>
      <c r="C41" s="1344" t="s">
        <v>657</v>
      </c>
      <c r="D41" s="1344" t="s">
        <v>657</v>
      </c>
      <c r="E41" s="1215" t="s">
        <v>487</v>
      </c>
      <c r="F41" s="1215" t="s">
        <v>487</v>
      </c>
      <c r="G41" s="1215" t="s">
        <v>487</v>
      </c>
      <c r="H41" s="1215" t="s">
        <v>487</v>
      </c>
      <c r="I41" s="1215" t="s">
        <v>487</v>
      </c>
      <c r="J41" s="1215"/>
      <c r="K41" s="1215"/>
      <c r="L41" s="1215">
        <v>8</v>
      </c>
      <c r="M41" s="1215">
        <v>8</v>
      </c>
      <c r="N41" s="1215">
        <v>8</v>
      </c>
      <c r="O41" s="1215">
        <v>8</v>
      </c>
      <c r="P41" s="1215">
        <v>8</v>
      </c>
      <c r="Q41" s="1215" t="s">
        <v>533</v>
      </c>
      <c r="R41" s="1215" t="s">
        <v>533</v>
      </c>
      <c r="S41" s="1215" t="s">
        <v>487</v>
      </c>
      <c r="T41" s="1215" t="s">
        <v>487</v>
      </c>
      <c r="U41" s="1215" t="s">
        <v>487</v>
      </c>
      <c r="V41" s="1215" t="s">
        <v>487</v>
      </c>
      <c r="W41" s="1215" t="s">
        <v>487</v>
      </c>
      <c r="X41" s="1215"/>
      <c r="Y41" s="1215"/>
      <c r="Z41" s="1215">
        <v>1</v>
      </c>
      <c r="AA41" s="1215">
        <v>1</v>
      </c>
      <c r="AB41" s="1215">
        <v>1</v>
      </c>
      <c r="AC41" s="1215">
        <v>1</v>
      </c>
      <c r="AD41" s="1215">
        <v>1</v>
      </c>
      <c r="AE41" s="1215"/>
      <c r="AF41" s="1215"/>
      <c r="AG41" s="1221"/>
      <c r="AH41" s="504">
        <v>37</v>
      </c>
      <c r="AI41" s="505">
        <v>0</v>
      </c>
    </row>
    <row r="42" spans="1:38" ht="21.95" customHeight="1" thickBot="1">
      <c r="A42" s="546">
        <v>12</v>
      </c>
      <c r="B42" s="547" t="s">
        <v>665</v>
      </c>
      <c r="C42" s="1371" t="s">
        <v>543</v>
      </c>
      <c r="D42" s="1207" t="s">
        <v>555</v>
      </c>
      <c r="E42" s="1207" t="s">
        <v>487</v>
      </c>
      <c r="F42" s="1207" t="s">
        <v>487</v>
      </c>
      <c r="G42" s="1207" t="s">
        <v>487</v>
      </c>
      <c r="H42" s="1207" t="s">
        <v>487</v>
      </c>
      <c r="I42" s="1207" t="s">
        <v>487</v>
      </c>
      <c r="J42" s="1207"/>
      <c r="K42" s="1207"/>
      <c r="L42" s="1207">
        <v>6</v>
      </c>
      <c r="M42" s="1207">
        <v>6</v>
      </c>
      <c r="N42" s="1207">
        <v>6</v>
      </c>
      <c r="O42" s="1207">
        <v>6</v>
      </c>
      <c r="P42" s="1207">
        <v>6</v>
      </c>
      <c r="Q42" s="1207" t="s">
        <v>532</v>
      </c>
      <c r="R42" s="1207" t="s">
        <v>533</v>
      </c>
      <c r="S42" s="1207" t="s">
        <v>487</v>
      </c>
      <c r="T42" s="1207" t="s">
        <v>487</v>
      </c>
      <c r="U42" s="1207" t="s">
        <v>487</v>
      </c>
      <c r="V42" s="1207" t="s">
        <v>487</v>
      </c>
      <c r="W42" s="1207" t="s">
        <v>487</v>
      </c>
      <c r="X42" s="1207"/>
      <c r="Y42" s="1207"/>
      <c r="Z42" s="1335">
        <v>5</v>
      </c>
      <c r="AA42" s="1335">
        <v>5</v>
      </c>
      <c r="AB42" s="1335">
        <v>5</v>
      </c>
      <c r="AC42" s="1335">
        <v>5</v>
      </c>
      <c r="AD42" s="1335">
        <v>5</v>
      </c>
      <c r="AE42" s="1207"/>
      <c r="AF42" s="1207"/>
      <c r="AG42" s="1222"/>
      <c r="AH42" s="504">
        <v>0</v>
      </c>
      <c r="AI42" s="505">
        <v>37</v>
      </c>
    </row>
    <row r="43" spans="1:38" ht="21.95" customHeight="1">
      <c r="A43" s="548">
        <v>3</v>
      </c>
      <c r="B43" s="1373" t="s">
        <v>666</v>
      </c>
      <c r="C43" s="1211" t="s">
        <v>660</v>
      </c>
      <c r="D43" s="1211" t="s">
        <v>660</v>
      </c>
      <c r="E43" s="1211">
        <v>7</v>
      </c>
      <c r="F43" s="1211">
        <v>7</v>
      </c>
      <c r="G43" s="1211">
        <v>7</v>
      </c>
      <c r="H43" s="1211">
        <v>7</v>
      </c>
      <c r="I43" s="1211">
        <v>7</v>
      </c>
      <c r="J43" s="1211"/>
      <c r="K43" s="1211"/>
      <c r="L43" s="1211">
        <v>4</v>
      </c>
      <c r="M43" s="1211">
        <v>4</v>
      </c>
      <c r="N43" s="1211">
        <v>4</v>
      </c>
      <c r="O43" s="1211">
        <v>4</v>
      </c>
      <c r="P43" s="1211">
        <v>4</v>
      </c>
      <c r="Q43" s="1211"/>
      <c r="R43" s="1214"/>
      <c r="S43" s="1211">
        <v>3</v>
      </c>
      <c r="T43" s="1211">
        <v>3</v>
      </c>
      <c r="U43" s="1211">
        <v>3</v>
      </c>
      <c r="V43" s="1211">
        <v>3</v>
      </c>
      <c r="W43" s="1211">
        <v>3</v>
      </c>
      <c r="X43" s="1211"/>
      <c r="Y43" s="1211"/>
      <c r="Z43" s="1211">
        <v>11</v>
      </c>
      <c r="AA43" s="1211">
        <v>11</v>
      </c>
      <c r="AB43" s="1211">
        <v>11</v>
      </c>
      <c r="AC43" s="1211">
        <v>11</v>
      </c>
      <c r="AD43" s="1211">
        <v>11</v>
      </c>
      <c r="AE43" s="1211"/>
      <c r="AF43" s="1211"/>
      <c r="AG43" s="1224"/>
      <c r="AH43" s="504">
        <v>129</v>
      </c>
      <c r="AI43" s="505">
        <v>37</v>
      </c>
    </row>
    <row r="44" spans="1:38" ht="21.95" customHeight="1">
      <c r="A44" s="544">
        <v>8</v>
      </c>
      <c r="B44" s="319" t="s">
        <v>667</v>
      </c>
      <c r="C44" s="1215"/>
      <c r="D44" s="1215"/>
      <c r="E44" s="1215">
        <v>8</v>
      </c>
      <c r="F44" s="1215">
        <v>8</v>
      </c>
      <c r="G44" s="1225">
        <v>8</v>
      </c>
      <c r="H44" s="1215">
        <v>8</v>
      </c>
      <c r="I44" s="1215">
        <v>8</v>
      </c>
      <c r="J44" s="1215" t="s">
        <v>533</v>
      </c>
      <c r="K44" s="1215" t="s">
        <v>533</v>
      </c>
      <c r="L44" s="1215" t="s">
        <v>487</v>
      </c>
      <c r="M44" s="1215" t="s">
        <v>487</v>
      </c>
      <c r="N44" s="1215" t="s">
        <v>487</v>
      </c>
      <c r="O44" s="1215" t="s">
        <v>487</v>
      </c>
      <c r="P44" s="1215" t="s">
        <v>487</v>
      </c>
      <c r="Q44" s="1216"/>
      <c r="R44" s="1215"/>
      <c r="S44" s="1226">
        <v>1</v>
      </c>
      <c r="T44" s="1215">
        <v>1</v>
      </c>
      <c r="U44" s="1335">
        <v>1</v>
      </c>
      <c r="V44" s="1335">
        <v>1</v>
      </c>
      <c r="W44" s="1215" t="s">
        <v>711</v>
      </c>
      <c r="X44" s="1215"/>
      <c r="Y44" s="1215"/>
      <c r="Z44" s="1215">
        <v>9</v>
      </c>
      <c r="AA44" s="1215">
        <v>9</v>
      </c>
      <c r="AB44" s="1215">
        <v>9</v>
      </c>
      <c r="AC44" s="1215">
        <v>9</v>
      </c>
      <c r="AD44" s="1215">
        <v>9</v>
      </c>
      <c r="AE44" s="1215"/>
      <c r="AF44" s="1215"/>
      <c r="AG44" s="1215"/>
      <c r="AH44" s="504">
        <v>3</v>
      </c>
      <c r="AI44" s="505">
        <v>25</v>
      </c>
    </row>
    <row r="45" spans="1:38" ht="21.95" customHeight="1" thickBot="1">
      <c r="A45" s="546">
        <v>13</v>
      </c>
      <c r="B45" s="52" t="s">
        <v>668</v>
      </c>
      <c r="C45" s="1207"/>
      <c r="D45" s="1207"/>
      <c r="E45" s="1207">
        <v>6</v>
      </c>
      <c r="F45" s="1207">
        <v>6</v>
      </c>
      <c r="G45" s="1207">
        <v>6</v>
      </c>
      <c r="H45" s="1207">
        <v>6</v>
      </c>
      <c r="I45" s="1207">
        <v>6</v>
      </c>
      <c r="J45" s="1371" t="s">
        <v>532</v>
      </c>
      <c r="K45" s="1371" t="s">
        <v>533</v>
      </c>
      <c r="L45" s="1207" t="s">
        <v>487</v>
      </c>
      <c r="M45" s="1207" t="s">
        <v>487</v>
      </c>
      <c r="N45" s="1207" t="s">
        <v>487</v>
      </c>
      <c r="O45" s="1207" t="s">
        <v>487</v>
      </c>
      <c r="P45" s="1207" t="s">
        <v>487</v>
      </c>
      <c r="Q45" s="1207"/>
      <c r="R45" s="1217"/>
      <c r="S45" s="1366">
        <v>5</v>
      </c>
      <c r="T45" s="1366">
        <v>5</v>
      </c>
      <c r="U45" s="1366">
        <v>5</v>
      </c>
      <c r="V45" s="1366">
        <v>5</v>
      </c>
      <c r="W45" s="1366">
        <v>5</v>
      </c>
      <c r="X45" s="1207"/>
      <c r="Y45" s="1207"/>
      <c r="Z45" s="1207">
        <v>10</v>
      </c>
      <c r="AA45" s="1207">
        <v>10</v>
      </c>
      <c r="AB45" s="1207">
        <v>10</v>
      </c>
      <c r="AC45" s="1207">
        <v>10</v>
      </c>
      <c r="AD45" s="1207">
        <v>10</v>
      </c>
      <c r="AE45" s="1207"/>
      <c r="AF45" s="1207"/>
      <c r="AG45" s="1207"/>
      <c r="AH45" s="504">
        <v>152</v>
      </c>
      <c r="AI45" s="505">
        <v>37</v>
      </c>
    </row>
    <row r="46" spans="1:38" ht="21.95" customHeight="1">
      <c r="A46" s="548">
        <v>4</v>
      </c>
      <c r="B46" s="319" t="s">
        <v>669</v>
      </c>
      <c r="C46" s="1215"/>
      <c r="D46" s="1215"/>
      <c r="E46" s="1215">
        <v>4</v>
      </c>
      <c r="F46" s="1215">
        <v>4</v>
      </c>
      <c r="G46" s="1215">
        <v>4</v>
      </c>
      <c r="H46" s="1215">
        <v>4</v>
      </c>
      <c r="I46" s="1215">
        <v>4</v>
      </c>
      <c r="J46" s="1211"/>
      <c r="K46" s="1211"/>
      <c r="L46" s="1394">
        <v>3</v>
      </c>
      <c r="M46" s="1394">
        <v>3</v>
      </c>
      <c r="N46" s="1394">
        <v>3</v>
      </c>
      <c r="O46" s="1394">
        <v>3</v>
      </c>
      <c r="P46" s="1394">
        <v>3</v>
      </c>
      <c r="Q46" s="1211"/>
      <c r="R46" s="1211"/>
      <c r="S46" s="1452">
        <v>11</v>
      </c>
      <c r="T46" s="1452">
        <v>11</v>
      </c>
      <c r="U46" s="1452">
        <v>11</v>
      </c>
      <c r="V46" s="1452">
        <v>11</v>
      </c>
      <c r="W46" s="1452">
        <v>11</v>
      </c>
      <c r="X46" s="1452" t="s">
        <v>657</v>
      </c>
      <c r="Y46" s="1452" t="s">
        <v>657</v>
      </c>
      <c r="Z46" s="1211" t="s">
        <v>487</v>
      </c>
      <c r="AA46" s="1211" t="s">
        <v>810</v>
      </c>
      <c r="AB46" s="1211" t="s">
        <v>487</v>
      </c>
      <c r="AC46" s="1211" t="s">
        <v>487</v>
      </c>
      <c r="AD46" s="1211" t="s">
        <v>487</v>
      </c>
      <c r="AE46" s="1211"/>
      <c r="AF46" s="1211"/>
      <c r="AG46" s="1218"/>
      <c r="AH46" s="504">
        <v>0</v>
      </c>
      <c r="AI46" s="505">
        <v>37</v>
      </c>
    </row>
    <row r="47" spans="1:38" ht="21.95" customHeight="1">
      <c r="A47" s="544">
        <v>9</v>
      </c>
      <c r="B47" s="319" t="s">
        <v>670</v>
      </c>
      <c r="C47" s="1215" t="s">
        <v>533</v>
      </c>
      <c r="D47" s="1215" t="s">
        <v>533</v>
      </c>
      <c r="E47" s="1215" t="s">
        <v>487</v>
      </c>
      <c r="F47" s="1215" t="s">
        <v>487</v>
      </c>
      <c r="G47" s="1215" t="s">
        <v>487</v>
      </c>
      <c r="H47" s="1215" t="s">
        <v>487</v>
      </c>
      <c r="I47" s="1215" t="s">
        <v>487</v>
      </c>
      <c r="J47" s="1215"/>
      <c r="K47" s="1215"/>
      <c r="L47" s="1358">
        <v>1</v>
      </c>
      <c r="M47" s="1358">
        <v>1</v>
      </c>
      <c r="N47" s="1358">
        <v>1</v>
      </c>
      <c r="O47" s="1358">
        <v>1</v>
      </c>
      <c r="P47" s="1358">
        <v>1</v>
      </c>
      <c r="Q47" s="1215"/>
      <c r="R47" s="1215"/>
      <c r="S47" s="1215">
        <v>9</v>
      </c>
      <c r="T47" s="1215">
        <v>9</v>
      </c>
      <c r="U47" s="1215">
        <v>9</v>
      </c>
      <c r="V47" s="1215">
        <v>9</v>
      </c>
      <c r="W47" s="1215">
        <v>9</v>
      </c>
      <c r="X47" s="1215" t="s">
        <v>543</v>
      </c>
      <c r="Y47" s="1215" t="s">
        <v>555</v>
      </c>
      <c r="Z47" s="1215" t="s">
        <v>487</v>
      </c>
      <c r="AA47" s="1215" t="s">
        <v>487</v>
      </c>
      <c r="AB47" s="1215" t="s">
        <v>487</v>
      </c>
      <c r="AC47" s="1215" t="s">
        <v>487</v>
      </c>
      <c r="AD47" s="1215" t="s">
        <v>487</v>
      </c>
      <c r="AE47" s="1215"/>
      <c r="AF47" s="1215"/>
      <c r="AG47" s="1216"/>
      <c r="AH47" s="504">
        <v>8.3000000000000007</v>
      </c>
      <c r="AI47" s="505">
        <v>37</v>
      </c>
    </row>
    <row r="48" spans="1:38" ht="21.95" customHeight="1" thickBot="1">
      <c r="A48" s="546">
        <v>14</v>
      </c>
      <c r="B48" s="547" t="s">
        <v>671</v>
      </c>
      <c r="C48" s="1207" t="s">
        <v>532</v>
      </c>
      <c r="D48" s="1207" t="s">
        <v>533</v>
      </c>
      <c r="E48" s="1211" t="s">
        <v>487</v>
      </c>
      <c r="F48" s="1211" t="s">
        <v>487</v>
      </c>
      <c r="G48" s="1211" t="s">
        <v>487</v>
      </c>
      <c r="H48" s="1211" t="s">
        <v>487</v>
      </c>
      <c r="I48" s="1211" t="s">
        <v>487</v>
      </c>
      <c r="J48" s="1211"/>
      <c r="K48" s="1211"/>
      <c r="L48" s="1371">
        <v>5</v>
      </c>
      <c r="M48" s="1371">
        <v>5</v>
      </c>
      <c r="N48" s="1371">
        <v>5</v>
      </c>
      <c r="O48" s="1371">
        <v>5</v>
      </c>
      <c r="P48" s="1371">
        <v>5</v>
      </c>
      <c r="Q48" s="1207"/>
      <c r="R48" s="1207"/>
      <c r="S48" s="1207">
        <v>10</v>
      </c>
      <c r="T48" s="1207">
        <v>10</v>
      </c>
      <c r="U48" s="1207">
        <v>10</v>
      </c>
      <c r="V48" s="1207">
        <v>10</v>
      </c>
      <c r="W48" s="1207">
        <v>10</v>
      </c>
      <c r="X48" s="1207" t="s">
        <v>555</v>
      </c>
      <c r="Y48" s="1207" t="s">
        <v>555</v>
      </c>
      <c r="Z48" s="1207" t="s">
        <v>487</v>
      </c>
      <c r="AA48" s="1207" t="s">
        <v>487</v>
      </c>
      <c r="AB48" s="1550" t="s">
        <v>816</v>
      </c>
      <c r="AC48" s="1207" t="s">
        <v>487</v>
      </c>
      <c r="AD48" s="1550" t="s">
        <v>817</v>
      </c>
      <c r="AE48" s="1207"/>
      <c r="AF48" s="1207"/>
      <c r="AG48" s="1227"/>
      <c r="AH48" s="504">
        <v>72</v>
      </c>
      <c r="AI48" s="505">
        <v>37</v>
      </c>
    </row>
    <row r="49" spans="1:35" ht="21.95" customHeight="1">
      <c r="A49" s="543">
        <v>5</v>
      </c>
      <c r="B49" s="545" t="s">
        <v>672</v>
      </c>
      <c r="C49" s="1209"/>
      <c r="D49" s="1209"/>
      <c r="E49" s="1351">
        <v>3</v>
      </c>
      <c r="F49" s="1351">
        <v>3</v>
      </c>
      <c r="G49" s="1351">
        <v>3</v>
      </c>
      <c r="H49" s="1351">
        <v>3</v>
      </c>
      <c r="I49" s="1351">
        <v>3</v>
      </c>
      <c r="J49" s="1351"/>
      <c r="K49" s="1351"/>
      <c r="L49" s="1209">
        <v>11</v>
      </c>
      <c r="M49" s="1209">
        <v>11</v>
      </c>
      <c r="N49" s="1209">
        <v>11</v>
      </c>
      <c r="O49" s="1209">
        <v>11</v>
      </c>
      <c r="P49" s="1209">
        <v>11</v>
      </c>
      <c r="Q49" s="1209" t="s">
        <v>657</v>
      </c>
      <c r="R49" s="1209" t="s">
        <v>657</v>
      </c>
      <c r="S49" s="1215" t="s">
        <v>487</v>
      </c>
      <c r="T49" s="1215" t="s">
        <v>487</v>
      </c>
      <c r="U49" s="1215" t="s">
        <v>487</v>
      </c>
      <c r="V49" s="1215" t="s">
        <v>487</v>
      </c>
      <c r="W49" s="1215" t="s">
        <v>487</v>
      </c>
      <c r="X49" s="1215"/>
      <c r="Y49" s="1215"/>
      <c r="Z49" s="1215">
        <v>8</v>
      </c>
      <c r="AA49" s="1215">
        <v>8</v>
      </c>
      <c r="AB49" s="1215">
        <v>8</v>
      </c>
      <c r="AC49" s="1215">
        <v>8</v>
      </c>
      <c r="AD49" s="1215">
        <v>8</v>
      </c>
      <c r="AE49" s="1228"/>
      <c r="AF49" s="1209"/>
      <c r="AG49" s="1228"/>
      <c r="AH49" s="504">
        <v>42</v>
      </c>
      <c r="AI49" s="505">
        <v>37</v>
      </c>
    </row>
    <row r="50" spans="1:35" ht="21.95" customHeight="1">
      <c r="A50" s="544">
        <v>10</v>
      </c>
      <c r="B50" s="319" t="s">
        <v>673</v>
      </c>
      <c r="C50" s="1215"/>
      <c r="D50" s="1215"/>
      <c r="E50" s="1215">
        <v>1</v>
      </c>
      <c r="F50" s="1215">
        <v>1</v>
      </c>
      <c r="G50" s="1215">
        <v>1</v>
      </c>
      <c r="H50" s="1215">
        <v>1</v>
      </c>
      <c r="I50" s="1215">
        <v>1</v>
      </c>
      <c r="J50" s="1215"/>
      <c r="K50" s="1215"/>
      <c r="L50" s="1215">
        <v>9</v>
      </c>
      <c r="M50" s="1215">
        <v>9</v>
      </c>
      <c r="N50" s="1215">
        <v>9</v>
      </c>
      <c r="O50" s="1215">
        <v>9</v>
      </c>
      <c r="P50" s="1215">
        <v>9</v>
      </c>
      <c r="Q50" s="1215" t="s">
        <v>543</v>
      </c>
      <c r="R50" s="1215" t="s">
        <v>555</v>
      </c>
      <c r="S50" s="1215" t="s">
        <v>487</v>
      </c>
      <c r="T50" s="1215" t="s">
        <v>487</v>
      </c>
      <c r="U50" s="1215" t="s">
        <v>487</v>
      </c>
      <c r="V50" s="1215" t="s">
        <v>487</v>
      </c>
      <c r="W50" s="1215" t="s">
        <v>487</v>
      </c>
      <c r="X50" s="1215"/>
      <c r="Y50" s="1215"/>
      <c r="Z50" s="1215">
        <v>6</v>
      </c>
      <c r="AA50" s="1215">
        <v>6</v>
      </c>
      <c r="AB50" s="1215">
        <v>6</v>
      </c>
      <c r="AC50" s="1215">
        <v>6</v>
      </c>
      <c r="AD50" s="1215">
        <v>6</v>
      </c>
      <c r="AE50" s="1216"/>
      <c r="AF50" s="1215"/>
      <c r="AG50" s="1216"/>
      <c r="AH50" s="504">
        <v>56</v>
      </c>
      <c r="AI50" s="505">
        <v>37</v>
      </c>
    </row>
    <row r="51" spans="1:35" ht="21.95" customHeight="1" thickBot="1">
      <c r="A51" s="546">
        <v>15</v>
      </c>
      <c r="B51" s="52" t="s">
        <v>674</v>
      </c>
      <c r="C51" s="1207"/>
      <c r="D51" s="1207"/>
      <c r="E51" s="1371">
        <v>5</v>
      </c>
      <c r="F51" s="1371">
        <v>5</v>
      </c>
      <c r="G51" s="1366">
        <v>5</v>
      </c>
      <c r="H51" s="1366">
        <v>5</v>
      </c>
      <c r="I51" s="1366">
        <v>5</v>
      </c>
      <c r="J51" s="1207"/>
      <c r="K51" s="1207"/>
      <c r="L51" s="1207">
        <v>10</v>
      </c>
      <c r="M51" s="1207">
        <v>10</v>
      </c>
      <c r="N51" s="1207">
        <v>10</v>
      </c>
      <c r="O51" s="1207">
        <v>10</v>
      </c>
      <c r="P51" s="1207">
        <v>10</v>
      </c>
      <c r="Q51" s="1207" t="s">
        <v>555</v>
      </c>
      <c r="R51" s="1207" t="s">
        <v>555</v>
      </c>
      <c r="S51" s="1207" t="s">
        <v>487</v>
      </c>
      <c r="T51" s="1207" t="s">
        <v>487</v>
      </c>
      <c r="U51" s="1207" t="s">
        <v>487</v>
      </c>
      <c r="V51" s="1207" t="s">
        <v>487</v>
      </c>
      <c r="W51" s="1207" t="s">
        <v>487</v>
      </c>
      <c r="X51" s="1207" t="s">
        <v>660</v>
      </c>
      <c r="Y51" s="1207" t="s">
        <v>660</v>
      </c>
      <c r="Z51" s="1207">
        <v>7</v>
      </c>
      <c r="AA51" s="1207">
        <v>7</v>
      </c>
      <c r="AB51" s="1207">
        <v>7</v>
      </c>
      <c r="AC51" s="1207">
        <v>7</v>
      </c>
      <c r="AD51" s="1207">
        <v>7</v>
      </c>
      <c r="AE51" s="1227"/>
      <c r="AF51" s="1207"/>
      <c r="AG51" s="1227"/>
      <c r="AH51" s="504">
        <v>2.5</v>
      </c>
      <c r="AI51" s="505">
        <v>37</v>
      </c>
    </row>
    <row r="52" spans="1:35" ht="21.95" customHeight="1">
      <c r="A52" s="519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  <c r="T52" s="541"/>
      <c r="U52" s="541"/>
      <c r="V52" s="541"/>
      <c r="W52" s="541"/>
      <c r="X52" s="541"/>
      <c r="Y52" s="541"/>
      <c r="Z52" s="541"/>
      <c r="AA52" s="541"/>
      <c r="AB52" s="541"/>
      <c r="AC52" s="541"/>
      <c r="AD52" s="541"/>
      <c r="AE52" s="541"/>
      <c r="AF52" s="541"/>
      <c r="AG52" s="541"/>
      <c r="AH52" s="1"/>
    </row>
    <row r="53" spans="1:35" ht="21.95" customHeight="1">
      <c r="A53" s="519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1"/>
      <c r="W53" s="541"/>
      <c r="X53" s="541"/>
      <c r="Y53" s="541"/>
      <c r="Z53" s="541"/>
      <c r="AA53" s="541"/>
      <c r="AB53" s="541"/>
      <c r="AC53" s="541"/>
      <c r="AD53" s="541"/>
      <c r="AE53" s="541"/>
      <c r="AF53" s="541"/>
      <c r="AG53" s="541"/>
      <c r="AH53" s="1"/>
    </row>
    <row r="54" spans="1:35" ht="21.95" customHeight="1">
      <c r="A54" s="519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1"/>
      <c r="AA54" s="541"/>
      <c r="AB54" s="541"/>
      <c r="AC54" s="541"/>
      <c r="AD54" s="541"/>
      <c r="AE54" s="541"/>
      <c r="AF54" s="541"/>
      <c r="AG54" s="541"/>
      <c r="AH54" s="1"/>
    </row>
    <row r="55" spans="1:35" ht="21.95" customHeight="1" thickBot="1">
      <c r="A55" s="558"/>
      <c r="C55" s="559"/>
      <c r="D55" s="559"/>
      <c r="E55" s="559"/>
      <c r="F55" s="559"/>
      <c r="G55" s="559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59"/>
      <c r="AA55" s="559"/>
      <c r="AB55" s="559"/>
      <c r="AC55" s="559"/>
      <c r="AD55" s="559"/>
      <c r="AE55" s="559"/>
      <c r="AF55" s="559"/>
      <c r="AG55" s="559"/>
      <c r="AH55" s="560"/>
      <c r="AI55" s="560"/>
    </row>
    <row r="56" spans="1:35" ht="21.95" customHeight="1">
      <c r="A56" s="361"/>
      <c r="B56" s="23" t="s">
        <v>675</v>
      </c>
      <c r="C56" s="7"/>
      <c r="D56" s="414" t="s">
        <v>2</v>
      </c>
      <c r="E56" s="550"/>
      <c r="F56" s="7"/>
      <c r="G56" s="6" t="s">
        <v>3</v>
      </c>
      <c r="H56" s="551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52"/>
      <c r="R56" s="118"/>
      <c r="S56" s="6" t="s">
        <v>7</v>
      </c>
      <c r="T56" s="553"/>
      <c r="U56" s="118"/>
      <c r="V56" s="6" t="s">
        <v>8</v>
      </c>
      <c r="W56" s="552"/>
      <c r="X56" s="349" t="s">
        <v>9</v>
      </c>
      <c r="Y56" s="561"/>
      <c r="Z56" s="561"/>
      <c r="AA56" s="562"/>
      <c r="AB56" s="27" t="s">
        <v>10</v>
      </c>
      <c r="AC56" s="554"/>
      <c r="AD56" s="554"/>
      <c r="AE56" s="563"/>
      <c r="AF56" s="563"/>
      <c r="AG56" s="564"/>
    </row>
    <row r="57" spans="1:35" ht="21.95" customHeight="1">
      <c r="A57" s="361"/>
      <c r="B57" s="306" t="s">
        <v>676</v>
      </c>
      <c r="C57" s="565" t="s">
        <v>512</v>
      </c>
      <c r="D57" s="483"/>
      <c r="E57" s="484"/>
      <c r="F57" s="565" t="s">
        <v>512</v>
      </c>
      <c r="G57" s="483"/>
      <c r="H57" s="484"/>
      <c r="I57" s="565" t="s">
        <v>512</v>
      </c>
      <c r="J57" s="483"/>
      <c r="K57" s="484"/>
      <c r="L57" s="565" t="s">
        <v>512</v>
      </c>
      <c r="M57" s="483"/>
      <c r="N57" s="484"/>
      <c r="O57" s="565" t="s">
        <v>116</v>
      </c>
      <c r="P57" s="483"/>
      <c r="Q57" s="484"/>
      <c r="R57" s="565"/>
      <c r="S57" s="483"/>
      <c r="T57" s="484"/>
      <c r="U57" s="565"/>
      <c r="V57" s="483"/>
      <c r="W57" s="484"/>
      <c r="X57" s="565"/>
      <c r="Y57" s="483"/>
      <c r="Z57" s="483"/>
      <c r="AA57" s="483"/>
      <c r="AB57" s="476"/>
      <c r="AC57" s="483"/>
      <c r="AD57" s="483"/>
      <c r="AE57" s="483"/>
      <c r="AF57" s="483"/>
      <c r="AG57" s="566"/>
    </row>
    <row r="58" spans="1:35" ht="21.95" customHeight="1">
      <c r="A58" s="361"/>
      <c r="B58" s="306" t="s">
        <v>677</v>
      </c>
      <c r="C58" s="565" t="s">
        <v>147</v>
      </c>
      <c r="D58" s="483"/>
      <c r="E58" s="484"/>
      <c r="F58" s="565" t="s">
        <v>147</v>
      </c>
      <c r="G58" s="483"/>
      <c r="H58" s="484"/>
      <c r="I58" s="565" t="s">
        <v>147</v>
      </c>
      <c r="J58" s="483"/>
      <c r="K58" s="484"/>
      <c r="L58" s="565" t="s">
        <v>147</v>
      </c>
      <c r="M58" s="483"/>
      <c r="N58" s="484"/>
      <c r="O58" s="565" t="s">
        <v>578</v>
      </c>
      <c r="P58" s="483"/>
      <c r="Q58" s="484"/>
      <c r="R58" s="565"/>
      <c r="S58" s="483"/>
      <c r="T58" s="484"/>
      <c r="U58" s="565"/>
      <c r="V58" s="483"/>
      <c r="W58" s="484"/>
      <c r="X58" s="565"/>
      <c r="Y58" s="483"/>
      <c r="Z58" s="483"/>
      <c r="AA58" s="483"/>
      <c r="AB58" s="476"/>
      <c r="AC58" s="483"/>
      <c r="AD58" s="483"/>
      <c r="AE58" s="483"/>
      <c r="AF58" s="483"/>
      <c r="AG58" s="566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>
      <c r="A60" s="556" t="s">
        <v>528</v>
      </c>
      <c r="B60" s="297" t="s">
        <v>480</v>
      </c>
      <c r="C60" s="1235">
        <v>1</v>
      </c>
      <c r="D60" s="1235">
        <v>2</v>
      </c>
      <c r="E60" s="1234">
        <v>3</v>
      </c>
      <c r="F60" s="1234">
        <v>4</v>
      </c>
      <c r="G60" s="1234">
        <v>5</v>
      </c>
      <c r="H60" s="1234">
        <v>6</v>
      </c>
      <c r="I60" s="1213">
        <v>7</v>
      </c>
      <c r="J60" s="1330">
        <v>8</v>
      </c>
      <c r="K60" s="1235">
        <v>9</v>
      </c>
      <c r="L60" s="1234">
        <v>10</v>
      </c>
      <c r="M60" s="1234">
        <v>11</v>
      </c>
      <c r="N60" s="1234">
        <v>12</v>
      </c>
      <c r="O60" s="1234">
        <v>13</v>
      </c>
      <c r="P60" s="1213">
        <v>14</v>
      </c>
      <c r="Q60" s="1330">
        <v>15</v>
      </c>
      <c r="R60" s="1235">
        <v>16</v>
      </c>
      <c r="S60" s="1234">
        <v>17</v>
      </c>
      <c r="T60" s="1234">
        <v>18</v>
      </c>
      <c r="U60" s="1234">
        <v>19</v>
      </c>
      <c r="V60" s="1213">
        <v>20</v>
      </c>
      <c r="W60" s="1213">
        <v>21</v>
      </c>
      <c r="X60" s="1330">
        <v>22</v>
      </c>
      <c r="Y60" s="1235">
        <v>23</v>
      </c>
      <c r="Z60" s="1234">
        <v>24</v>
      </c>
      <c r="AA60" s="1234">
        <v>25</v>
      </c>
      <c r="AB60" s="1234">
        <v>26</v>
      </c>
      <c r="AC60" s="1234">
        <v>27</v>
      </c>
      <c r="AD60" s="1213">
        <v>28</v>
      </c>
      <c r="AE60" s="1213"/>
      <c r="AF60" s="1234"/>
      <c r="AG60" s="1234"/>
      <c r="AH60" s="498" t="s">
        <v>481</v>
      </c>
      <c r="AI60" s="499" t="s">
        <v>482</v>
      </c>
    </row>
    <row r="61" spans="1:35" ht="21.95" customHeight="1">
      <c r="A61" s="186">
        <v>8520</v>
      </c>
      <c r="B61" s="186" t="s">
        <v>678</v>
      </c>
      <c r="C61" s="1219"/>
      <c r="D61" s="1215"/>
      <c r="E61" s="1215" t="s">
        <v>679</v>
      </c>
      <c r="F61" s="1215" t="s">
        <v>679</v>
      </c>
      <c r="G61" s="1215" t="s">
        <v>679</v>
      </c>
      <c r="H61" s="1215" t="s">
        <v>679</v>
      </c>
      <c r="I61" s="1215" t="s">
        <v>679</v>
      </c>
      <c r="J61" s="1215"/>
      <c r="K61" s="1215"/>
      <c r="L61" s="1215" t="s">
        <v>679</v>
      </c>
      <c r="M61" s="1215" t="s">
        <v>679</v>
      </c>
      <c r="N61" s="1215" t="s">
        <v>679</v>
      </c>
      <c r="O61" s="1215" t="s">
        <v>679</v>
      </c>
      <c r="P61" s="1215" t="s">
        <v>679</v>
      </c>
      <c r="Q61" s="1215"/>
      <c r="R61" s="1215"/>
      <c r="S61" s="1215" t="s">
        <v>679</v>
      </c>
      <c r="T61" s="1215" t="s">
        <v>679</v>
      </c>
      <c r="U61" s="1215" t="s">
        <v>679</v>
      </c>
      <c r="V61" s="1215" t="s">
        <v>679</v>
      </c>
      <c r="W61" s="1215" t="s">
        <v>679</v>
      </c>
      <c r="X61" s="1215"/>
      <c r="Y61" s="1215"/>
      <c r="Z61" s="1215" t="s">
        <v>679</v>
      </c>
      <c r="AA61" s="1215" t="s">
        <v>679</v>
      </c>
      <c r="AB61" s="1215" t="s">
        <v>679</v>
      </c>
      <c r="AC61" s="1215" t="s">
        <v>679</v>
      </c>
      <c r="AD61" s="1215" t="s">
        <v>679</v>
      </c>
      <c r="AE61" s="1215"/>
      <c r="AF61" s="1215"/>
      <c r="AG61" s="1215"/>
      <c r="AH61" s="504">
        <v>31</v>
      </c>
      <c r="AI61" s="505">
        <v>9.5</v>
      </c>
    </row>
    <row r="62" spans="1:35" ht="21.95" customHeight="1">
      <c r="A62" s="186">
        <v>8521</v>
      </c>
      <c r="B62" s="186"/>
      <c r="C62" s="1215"/>
      <c r="D62" s="1215"/>
      <c r="E62" s="1215" t="s">
        <v>550</v>
      </c>
      <c r="F62" s="1215" t="s">
        <v>550</v>
      </c>
      <c r="G62" s="1215" t="s">
        <v>550</v>
      </c>
      <c r="H62" s="1215" t="s">
        <v>550</v>
      </c>
      <c r="I62" s="1215" t="s">
        <v>550</v>
      </c>
      <c r="J62" s="1215"/>
      <c r="K62" s="1215"/>
      <c r="L62" s="1215" t="s">
        <v>550</v>
      </c>
      <c r="M62" s="1215" t="s">
        <v>550</v>
      </c>
      <c r="N62" s="1215" t="s">
        <v>550</v>
      </c>
      <c r="O62" s="1215" t="s">
        <v>550</v>
      </c>
      <c r="P62" s="1215" t="s">
        <v>550</v>
      </c>
      <c r="Q62" s="1215"/>
      <c r="R62" s="1215"/>
      <c r="S62" s="1215" t="s">
        <v>550</v>
      </c>
      <c r="T62" s="1215" t="s">
        <v>550</v>
      </c>
      <c r="U62" s="1215" t="s">
        <v>550</v>
      </c>
      <c r="V62" s="1215" t="s">
        <v>550</v>
      </c>
      <c r="W62" s="1215" t="s">
        <v>550</v>
      </c>
      <c r="X62" s="1215"/>
      <c r="Y62" s="1215"/>
      <c r="Z62" s="1215" t="s">
        <v>550</v>
      </c>
      <c r="AA62" s="1215" t="s">
        <v>550</v>
      </c>
      <c r="AB62" s="1215" t="s">
        <v>550</v>
      </c>
      <c r="AC62" s="1215" t="s">
        <v>550</v>
      </c>
      <c r="AD62" s="1215" t="s">
        <v>550</v>
      </c>
      <c r="AE62" s="1215"/>
      <c r="AF62" s="1215"/>
      <c r="AG62" s="1215"/>
      <c r="AH62" s="504">
        <v>185</v>
      </c>
      <c r="AI62" s="505">
        <v>37</v>
      </c>
    </row>
    <row r="63" spans="1:35" ht="21.95" customHeight="1">
      <c r="A63" s="361"/>
      <c r="B63" s="361"/>
      <c r="C63" s="541"/>
      <c r="D63" s="520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520"/>
      <c r="AE63" s="520"/>
      <c r="AF63" s="520"/>
      <c r="AG63" s="520"/>
      <c r="AH63" s="560"/>
      <c r="AI63" s="560"/>
    </row>
    <row r="64" spans="1:35" ht="21.95" customHeight="1">
      <c r="A64" s="361"/>
      <c r="B64" s="361"/>
      <c r="C64" s="541"/>
      <c r="D64" s="520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520"/>
      <c r="AE64" s="520"/>
      <c r="AF64" s="520"/>
      <c r="AG64" s="520"/>
      <c r="AH64" s="560"/>
      <c r="AI64" s="560"/>
    </row>
    <row r="65" spans="1:35" ht="21.95" customHeight="1">
      <c r="A65" s="361"/>
      <c r="B65" s="361"/>
      <c r="C65" s="541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60"/>
      <c r="AI65" s="560"/>
    </row>
    <row r="66" spans="1:35" ht="21.95" customHeight="1" thickBot="1">
      <c r="A66" s="1" t="s">
        <v>468</v>
      </c>
      <c r="D66" s="361"/>
      <c r="E66" s="361"/>
      <c r="F66" s="361"/>
      <c r="G66" s="549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726</v>
      </c>
      <c r="C67" s="7"/>
      <c r="D67" s="525" t="s">
        <v>2</v>
      </c>
      <c r="E67" s="51"/>
      <c r="F67" s="551"/>
      <c r="G67" s="7"/>
      <c r="H67" s="525" t="s">
        <v>3</v>
      </c>
      <c r="I67" s="51"/>
      <c r="J67" s="551"/>
      <c r="K67" s="7"/>
      <c r="L67" s="525" t="s">
        <v>4</v>
      </c>
      <c r="M67" s="51"/>
      <c r="N67" s="551"/>
      <c r="O67" s="7"/>
      <c r="P67" s="525" t="s">
        <v>5</v>
      </c>
      <c r="Q67" s="51"/>
      <c r="R67" s="551"/>
      <c r="S67" s="7"/>
      <c r="T67" s="525" t="s">
        <v>6</v>
      </c>
      <c r="U67" s="51"/>
      <c r="V67" s="551"/>
      <c r="W67" s="27"/>
      <c r="X67" s="898" t="s">
        <v>7</v>
      </c>
      <c r="Y67" s="522"/>
      <c r="Z67" s="238"/>
      <c r="AA67" s="7"/>
      <c r="AB67" s="525" t="s">
        <v>8</v>
      </c>
      <c r="AC67" s="51"/>
      <c r="AD67" s="51"/>
      <c r="AE67" s="349" t="s">
        <v>9</v>
      </c>
      <c r="AF67" s="51"/>
      <c r="AG67" s="51"/>
      <c r="AH67" s="51"/>
      <c r="AI67" s="526"/>
    </row>
    <row r="68" spans="1:35" ht="21.95" customHeight="1">
      <c r="A68" s="1"/>
      <c r="B68" s="129" t="s">
        <v>164</v>
      </c>
      <c r="C68" s="567" t="s">
        <v>740</v>
      </c>
      <c r="E68" s="157"/>
      <c r="F68" s="568"/>
      <c r="G68" s="567" t="s">
        <v>740</v>
      </c>
      <c r="H68" s="157"/>
      <c r="I68" s="157"/>
      <c r="J68" s="568"/>
      <c r="K68" s="567" t="s">
        <v>740</v>
      </c>
      <c r="L68" s="157"/>
      <c r="M68" s="157"/>
      <c r="N68" s="568"/>
      <c r="O68" s="567" t="s">
        <v>740</v>
      </c>
      <c r="P68" s="157"/>
      <c r="Q68" s="157"/>
      <c r="R68" s="568"/>
      <c r="S68" s="567" t="s">
        <v>741</v>
      </c>
      <c r="T68" s="157"/>
      <c r="U68" s="157"/>
      <c r="V68" s="569"/>
      <c r="W68" s="899"/>
      <c r="X68" s="900"/>
      <c r="Y68" s="900"/>
      <c r="Z68" s="901"/>
      <c r="AA68" s="569"/>
      <c r="AB68" s="157"/>
      <c r="AC68" s="157"/>
      <c r="AD68" s="569"/>
      <c r="AE68" s="121">
        <v>37</v>
      </c>
      <c r="AG68" s="157"/>
      <c r="AH68" s="569"/>
      <c r="AI68" s="490"/>
    </row>
    <row r="69" spans="1:35" ht="21.95" customHeight="1">
      <c r="A69" s="1"/>
      <c r="B69" s="129" t="s">
        <v>167</v>
      </c>
      <c r="C69" s="567" t="s">
        <v>474</v>
      </c>
      <c r="D69" s="157"/>
      <c r="E69" s="157"/>
      <c r="F69" s="568"/>
      <c r="G69" s="567" t="s">
        <v>474</v>
      </c>
      <c r="H69" s="157"/>
      <c r="I69" s="157"/>
      <c r="J69" s="568"/>
      <c r="K69" s="567" t="s">
        <v>474</v>
      </c>
      <c r="L69" s="157"/>
      <c r="M69" s="157"/>
      <c r="N69" s="568"/>
      <c r="O69" s="567" t="s">
        <v>475</v>
      </c>
      <c r="P69" s="157"/>
      <c r="Q69" s="157"/>
      <c r="R69" s="568"/>
      <c r="S69" s="567" t="s">
        <v>477</v>
      </c>
      <c r="T69" s="157"/>
      <c r="U69" s="157"/>
      <c r="V69" s="568"/>
      <c r="W69" s="610" t="s">
        <v>818</v>
      </c>
      <c r="X69" s="55"/>
      <c r="Y69" s="55"/>
      <c r="Z69" s="55"/>
      <c r="AA69" s="567" t="s">
        <v>479</v>
      </c>
      <c r="AB69" s="567"/>
      <c r="AC69" s="567"/>
      <c r="AD69" s="567"/>
      <c r="AE69" s="155">
        <v>68.25</v>
      </c>
      <c r="AF69" s="157"/>
      <c r="AG69" s="571"/>
      <c r="AH69" s="572"/>
      <c r="AI69" s="573"/>
    </row>
    <row r="70" spans="1:35" ht="21.95" customHeight="1">
      <c r="A70" s="1"/>
      <c r="B70" s="129" t="s">
        <v>170</v>
      </c>
      <c r="C70" s="897" t="s">
        <v>162</v>
      </c>
      <c r="D70" s="157"/>
      <c r="E70" s="157"/>
      <c r="F70" s="568"/>
      <c r="G70" s="157" t="s">
        <v>162</v>
      </c>
      <c r="H70" s="157"/>
      <c r="I70" s="157"/>
      <c r="J70" s="568"/>
      <c r="K70" s="157" t="s">
        <v>162</v>
      </c>
      <c r="L70" s="157"/>
      <c r="M70" s="157"/>
      <c r="N70" s="568"/>
      <c r="O70" s="157" t="s">
        <v>162</v>
      </c>
      <c r="P70" s="157"/>
      <c r="Q70" s="157"/>
      <c r="R70" s="568"/>
      <c r="S70" s="157" t="s">
        <v>162</v>
      </c>
      <c r="T70" s="157"/>
      <c r="U70" s="157"/>
      <c r="V70" s="568"/>
      <c r="W70" s="567"/>
      <c r="X70" s="157"/>
      <c r="Y70" s="157"/>
      <c r="Z70" s="568"/>
      <c r="AA70" s="567"/>
      <c r="AB70" s="157"/>
      <c r="AC70" s="157"/>
      <c r="AD70" s="569"/>
      <c r="AE70" s="570">
        <v>0</v>
      </c>
      <c r="AF70" s="571"/>
      <c r="AG70" s="157"/>
      <c r="AH70" s="569"/>
      <c r="AI70" s="490"/>
    </row>
    <row r="71" spans="1:35" ht="21.95" customHeight="1" thickBot="1">
      <c r="A71" s="1"/>
      <c r="B71" s="47"/>
      <c r="C71" s="574"/>
      <c r="D71" s="53"/>
      <c r="E71" s="53"/>
      <c r="F71" s="575"/>
      <c r="G71" s="574"/>
      <c r="H71" s="53"/>
      <c r="I71" s="53"/>
      <c r="J71" s="575"/>
      <c r="K71" s="574"/>
      <c r="L71" s="53"/>
      <c r="M71" s="53"/>
      <c r="N71" s="575"/>
      <c r="O71" s="574"/>
      <c r="P71" s="53"/>
      <c r="Q71" s="53"/>
      <c r="R71" s="575"/>
      <c r="S71" s="574"/>
      <c r="T71" s="53"/>
      <c r="U71" s="53"/>
      <c r="V71" s="575"/>
      <c r="W71" s="53"/>
      <c r="X71" s="53"/>
      <c r="Y71" s="53"/>
      <c r="Z71" s="53"/>
      <c r="AA71" s="53"/>
      <c r="AB71" s="53"/>
      <c r="AC71" s="53"/>
      <c r="AD71" s="53"/>
      <c r="AE71" s="576"/>
      <c r="AF71" s="53"/>
      <c r="AG71" s="53"/>
      <c r="AH71" s="577"/>
      <c r="AI71" s="539"/>
    </row>
    <row r="72" spans="1:35" ht="21.95" customHeight="1" thickBot="1">
      <c r="A72" s="578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>
      <c r="A73" s="556"/>
      <c r="B73" s="297" t="s">
        <v>480</v>
      </c>
      <c r="C73" s="1235">
        <v>1</v>
      </c>
      <c r="D73" s="1235">
        <v>2</v>
      </c>
      <c r="E73" s="1234">
        <v>3</v>
      </c>
      <c r="F73" s="1234">
        <v>4</v>
      </c>
      <c r="G73" s="1234">
        <v>5</v>
      </c>
      <c r="H73" s="1234">
        <v>6</v>
      </c>
      <c r="I73" s="1213">
        <v>7</v>
      </c>
      <c r="J73" s="1330">
        <v>8</v>
      </c>
      <c r="K73" s="1235">
        <v>9</v>
      </c>
      <c r="L73" s="1234">
        <v>10</v>
      </c>
      <c r="M73" s="1234">
        <v>11</v>
      </c>
      <c r="N73" s="1234">
        <v>12</v>
      </c>
      <c r="O73" s="1234">
        <v>13</v>
      </c>
      <c r="P73" s="1213">
        <v>14</v>
      </c>
      <c r="Q73" s="1330">
        <v>15</v>
      </c>
      <c r="R73" s="1235">
        <v>16</v>
      </c>
      <c r="S73" s="1234">
        <v>17</v>
      </c>
      <c r="T73" s="1234">
        <v>18</v>
      </c>
      <c r="U73" s="1234">
        <v>19</v>
      </c>
      <c r="V73" s="1213">
        <v>20</v>
      </c>
      <c r="W73" s="1213">
        <v>21</v>
      </c>
      <c r="X73" s="1330">
        <v>22</v>
      </c>
      <c r="Y73" s="1235">
        <v>23</v>
      </c>
      <c r="Z73" s="1234">
        <v>24</v>
      </c>
      <c r="AA73" s="1234">
        <v>25</v>
      </c>
      <c r="AB73" s="1234">
        <v>26</v>
      </c>
      <c r="AC73" s="1234">
        <v>27</v>
      </c>
      <c r="AD73" s="1213">
        <v>28</v>
      </c>
      <c r="AE73" s="1213"/>
      <c r="AF73" s="1234"/>
      <c r="AG73" s="1234"/>
      <c r="AH73" s="498" t="s">
        <v>481</v>
      </c>
      <c r="AI73" s="499" t="s">
        <v>482</v>
      </c>
    </row>
    <row r="74" spans="1:35" ht="21.95" customHeight="1" thickBot="1">
      <c r="A74" s="579">
        <v>1</v>
      </c>
      <c r="B74" s="153" t="s">
        <v>483</v>
      </c>
      <c r="C74" s="557" t="s">
        <v>486</v>
      </c>
      <c r="D74" s="557" t="s">
        <v>486</v>
      </c>
      <c r="E74" s="557" t="s">
        <v>487</v>
      </c>
      <c r="F74" s="557" t="s">
        <v>487</v>
      </c>
      <c r="G74" s="557" t="s">
        <v>487</v>
      </c>
      <c r="H74" s="1511" t="s">
        <v>487</v>
      </c>
      <c r="I74" s="557" t="s">
        <v>487</v>
      </c>
      <c r="J74" s="557"/>
      <c r="K74" s="557"/>
      <c r="L74" s="557" t="s">
        <v>682</v>
      </c>
      <c r="M74" s="557" t="s">
        <v>682</v>
      </c>
      <c r="N74" s="557" t="s">
        <v>682</v>
      </c>
      <c r="O74" s="557" t="s">
        <v>682</v>
      </c>
      <c r="P74" s="557" t="s">
        <v>682</v>
      </c>
      <c r="Q74" s="557"/>
      <c r="R74" s="557"/>
      <c r="S74" s="1365" t="s">
        <v>484</v>
      </c>
      <c r="T74" s="1365" t="s">
        <v>484</v>
      </c>
      <c r="U74" s="1365" t="s">
        <v>484</v>
      </c>
      <c r="V74" s="1365" t="s">
        <v>485</v>
      </c>
      <c r="W74" s="1368" t="s">
        <v>485</v>
      </c>
      <c r="X74" s="1368" t="s">
        <v>486</v>
      </c>
      <c r="Y74" s="1368" t="s">
        <v>486</v>
      </c>
      <c r="Z74" s="1208" t="s">
        <v>487</v>
      </c>
      <c r="AA74" s="1208" t="s">
        <v>487</v>
      </c>
      <c r="AB74" s="1208" t="s">
        <v>487</v>
      </c>
      <c r="AC74" s="1208" t="s">
        <v>487</v>
      </c>
      <c r="AD74" s="1208" t="s">
        <v>487</v>
      </c>
      <c r="AE74" s="557"/>
      <c r="AF74" s="557"/>
      <c r="AG74" s="557"/>
      <c r="AH74" s="504">
        <v>0</v>
      </c>
      <c r="AI74" s="505">
        <v>37</v>
      </c>
    </row>
    <row r="75" spans="1:35" ht="21.95" customHeight="1">
      <c r="A75" s="579">
        <v>2</v>
      </c>
      <c r="B75" s="45" t="s">
        <v>489</v>
      </c>
      <c r="C75" s="557"/>
      <c r="D75" s="557"/>
      <c r="E75" s="1511" t="s">
        <v>682</v>
      </c>
      <c r="F75" s="557" t="s">
        <v>682</v>
      </c>
      <c r="G75" s="557" t="s">
        <v>682</v>
      </c>
      <c r="H75" s="1439" t="s">
        <v>682</v>
      </c>
      <c r="I75" s="1439" t="s">
        <v>682</v>
      </c>
      <c r="J75" s="557"/>
      <c r="K75" s="557"/>
      <c r="L75" s="1439" t="s">
        <v>484</v>
      </c>
      <c r="M75" s="1439" t="s">
        <v>770</v>
      </c>
      <c r="N75" s="557" t="s">
        <v>484</v>
      </c>
      <c r="O75" s="557" t="s">
        <v>485</v>
      </c>
      <c r="P75" s="557" t="s">
        <v>485</v>
      </c>
      <c r="Q75" s="1368" t="s">
        <v>486</v>
      </c>
      <c r="R75" s="1368" t="s">
        <v>486</v>
      </c>
      <c r="S75" s="1511" t="s">
        <v>487</v>
      </c>
      <c r="T75" s="557" t="s">
        <v>487</v>
      </c>
      <c r="U75" s="557" t="s">
        <v>487</v>
      </c>
      <c r="V75" s="557" t="s">
        <v>487</v>
      </c>
      <c r="W75" s="557" t="s">
        <v>487</v>
      </c>
      <c r="X75" s="557"/>
      <c r="Y75" s="557"/>
      <c r="Z75" s="1511" t="s">
        <v>682</v>
      </c>
      <c r="AA75" s="557" t="s">
        <v>682</v>
      </c>
      <c r="AB75" s="557" t="s">
        <v>682</v>
      </c>
      <c r="AC75" s="557" t="s">
        <v>682</v>
      </c>
      <c r="AD75" s="557" t="s">
        <v>682</v>
      </c>
      <c r="AE75" s="557"/>
      <c r="AF75" s="557"/>
      <c r="AG75" s="557"/>
      <c r="AH75" s="504">
        <v>12</v>
      </c>
      <c r="AI75" s="505">
        <v>37</v>
      </c>
    </row>
    <row r="76" spans="1:35" ht="21.95" customHeight="1">
      <c r="A76" s="579">
        <v>3</v>
      </c>
      <c r="B76" s="545" t="s">
        <v>721</v>
      </c>
      <c r="C76" s="557"/>
      <c r="D76" s="557"/>
      <c r="E76" s="1365" t="s">
        <v>484</v>
      </c>
      <c r="F76" s="1365" t="s">
        <v>484</v>
      </c>
      <c r="G76" s="1365" t="s">
        <v>484</v>
      </c>
      <c r="H76" s="1365" t="s">
        <v>485</v>
      </c>
      <c r="I76" s="1365" t="s">
        <v>485</v>
      </c>
      <c r="J76" s="1365" t="s">
        <v>486</v>
      </c>
      <c r="K76" s="1365" t="s">
        <v>486</v>
      </c>
      <c r="L76" s="557" t="s">
        <v>487</v>
      </c>
      <c r="M76" s="557" t="s">
        <v>487</v>
      </c>
      <c r="N76" s="557" t="s">
        <v>487</v>
      </c>
      <c r="O76" s="557" t="s">
        <v>487</v>
      </c>
      <c r="P76" s="557" t="s">
        <v>487</v>
      </c>
      <c r="Q76" s="557"/>
      <c r="R76" s="557"/>
      <c r="S76" s="557" t="s">
        <v>682</v>
      </c>
      <c r="T76" s="557" t="s">
        <v>682</v>
      </c>
      <c r="U76" s="557" t="s">
        <v>682</v>
      </c>
      <c r="V76" s="557" t="s">
        <v>682</v>
      </c>
      <c r="W76" s="557" t="s">
        <v>682</v>
      </c>
      <c r="X76" s="557"/>
      <c r="Y76" s="557"/>
      <c r="Z76" s="557" t="s">
        <v>484</v>
      </c>
      <c r="AA76" s="557" t="s">
        <v>484</v>
      </c>
      <c r="AB76" s="557" t="s">
        <v>484</v>
      </c>
      <c r="AC76" s="557" t="s">
        <v>485</v>
      </c>
      <c r="AD76" s="557" t="s">
        <v>485</v>
      </c>
      <c r="AE76" s="557"/>
      <c r="AF76" s="557"/>
      <c r="AG76" s="557"/>
      <c r="AH76" s="504">
        <v>27</v>
      </c>
      <c r="AI76" s="505">
        <v>37</v>
      </c>
    </row>
    <row r="77" spans="1:35" ht="21" customHeight="1"/>
    <row r="78" spans="1:35" ht="21.95" customHeight="1" thickBot="1">
      <c r="A78" s="312" t="s">
        <v>491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  <c r="O78" s="559"/>
      <c r="P78" s="559"/>
      <c r="Q78" s="559"/>
      <c r="R78" s="559"/>
      <c r="S78" s="559"/>
      <c r="T78" s="559"/>
      <c r="U78" s="559"/>
      <c r="V78" s="559"/>
      <c r="W78" s="559"/>
      <c r="X78" s="559"/>
      <c r="Y78" s="559"/>
      <c r="Z78" s="559"/>
      <c r="AA78" s="559"/>
      <c r="AB78" s="559"/>
      <c r="AC78" s="559"/>
      <c r="AD78" s="559"/>
      <c r="AE78" s="559"/>
      <c r="AF78" s="559"/>
      <c r="AH78" s="560"/>
      <c r="AI78" s="560"/>
    </row>
    <row r="79" spans="1:35" ht="21.95" customHeight="1">
      <c r="A79" s="580"/>
      <c r="B79" s="23" t="s">
        <v>726</v>
      </c>
      <c r="C79" s="7"/>
      <c r="D79" s="525" t="s">
        <v>2</v>
      </c>
      <c r="E79" s="51"/>
      <c r="F79" s="551"/>
      <c r="G79" s="7"/>
      <c r="H79" s="525" t="s">
        <v>3</v>
      </c>
      <c r="I79" s="51"/>
      <c r="J79" s="551"/>
      <c r="K79" s="7"/>
      <c r="L79" s="525" t="s">
        <v>4</v>
      </c>
      <c r="M79" s="51"/>
      <c r="N79" s="551"/>
      <c r="O79" s="7"/>
      <c r="P79" s="525" t="s">
        <v>5</v>
      </c>
      <c r="Q79" s="51"/>
      <c r="R79" s="551"/>
      <c r="S79" s="7"/>
      <c r="T79" s="525" t="s">
        <v>6</v>
      </c>
      <c r="U79" s="51"/>
      <c r="V79" s="551"/>
      <c r="W79" s="27"/>
      <c r="X79" s="898" t="s">
        <v>7</v>
      </c>
      <c r="Y79" s="522"/>
      <c r="Z79" s="238"/>
      <c r="AA79" s="7"/>
      <c r="AB79" s="525" t="s">
        <v>8</v>
      </c>
      <c r="AC79" s="51"/>
      <c r="AD79" s="51"/>
      <c r="AE79" s="349" t="s">
        <v>9</v>
      </c>
      <c r="AF79" s="51"/>
      <c r="AG79" s="51"/>
      <c r="AH79" s="51"/>
      <c r="AI79" s="526"/>
    </row>
    <row r="80" spans="1:35" ht="21.95" customHeight="1">
      <c r="B80" s="129" t="s">
        <v>164</v>
      </c>
      <c r="C80" s="593" t="s">
        <v>492</v>
      </c>
      <c r="E80" s="157"/>
      <c r="F80" s="568"/>
      <c r="G80" s="567" t="s">
        <v>488</v>
      </c>
      <c r="H80" s="483" t="s">
        <v>493</v>
      </c>
      <c r="I80" s="157"/>
      <c r="J80" s="568"/>
      <c r="K80" s="593" t="s">
        <v>492</v>
      </c>
      <c r="L80" s="483"/>
      <c r="M80" s="483"/>
      <c r="N80" s="592"/>
      <c r="O80" s="593" t="s">
        <v>494</v>
      </c>
      <c r="P80" s="483"/>
      <c r="Q80" s="483"/>
      <c r="R80" s="592"/>
      <c r="S80" s="593" t="s">
        <v>495</v>
      </c>
      <c r="T80" s="483"/>
      <c r="U80" s="483"/>
      <c r="V80" s="477"/>
      <c r="W80" s="899"/>
      <c r="X80" s="900"/>
      <c r="Y80" s="900"/>
      <c r="Z80" s="901"/>
      <c r="AA80" s="569"/>
      <c r="AB80" s="157"/>
      <c r="AC80" s="157"/>
      <c r="AD80" s="569"/>
      <c r="AE80" s="121">
        <v>37</v>
      </c>
      <c r="AG80" s="157"/>
      <c r="AH80" s="569"/>
      <c r="AI80" s="490"/>
    </row>
    <row r="81" spans="1:35" ht="21.95" customHeight="1">
      <c r="B81" s="129" t="s">
        <v>167</v>
      </c>
      <c r="C81" s="593" t="s">
        <v>496</v>
      </c>
      <c r="E81" s="157"/>
      <c r="F81" s="568"/>
      <c r="G81" s="593" t="s">
        <v>496</v>
      </c>
      <c r="I81" s="157"/>
      <c r="J81" s="568"/>
      <c r="K81" s="593" t="s">
        <v>496</v>
      </c>
      <c r="L81" s="157"/>
      <c r="M81" s="157"/>
      <c r="N81" s="568"/>
      <c r="O81" s="593" t="s">
        <v>497</v>
      </c>
      <c r="P81" s="157"/>
      <c r="Q81" s="157"/>
      <c r="R81" s="568"/>
      <c r="S81" s="567" t="s">
        <v>498</v>
      </c>
      <c r="T81" s="157"/>
      <c r="U81" s="157"/>
      <c r="V81" s="568"/>
      <c r="W81" s="610" t="s">
        <v>414</v>
      </c>
      <c r="X81" s="55"/>
      <c r="Y81" s="55"/>
      <c r="Z81" s="55"/>
      <c r="AA81" s="567" t="s">
        <v>28</v>
      </c>
      <c r="AB81" s="567"/>
      <c r="AC81" s="567"/>
      <c r="AD81" s="567"/>
      <c r="AE81" s="155">
        <v>37</v>
      </c>
      <c r="AF81" s="157"/>
      <c r="AG81" s="571"/>
      <c r="AH81" s="572"/>
      <c r="AI81" s="573"/>
    </row>
    <row r="82" spans="1:35" ht="21.95" customHeight="1">
      <c r="B82" s="129" t="s">
        <v>170</v>
      </c>
      <c r="C82" s="1336" t="s">
        <v>499</v>
      </c>
      <c r="D82" s="157"/>
      <c r="E82" s="157"/>
      <c r="F82" s="568"/>
      <c r="G82" s="157" t="s">
        <v>500</v>
      </c>
      <c r="H82" s="157"/>
      <c r="I82" s="157"/>
      <c r="J82" s="568"/>
      <c r="K82" s="1337" t="s">
        <v>501</v>
      </c>
      <c r="L82" s="157"/>
      <c r="M82" s="157"/>
      <c r="N82" s="568"/>
      <c r="O82" s="581" t="s">
        <v>819</v>
      </c>
      <c r="P82" s="157"/>
      <c r="Q82" s="157"/>
      <c r="R82" s="568"/>
      <c r="S82" s="581" t="s">
        <v>819</v>
      </c>
      <c r="T82" s="157"/>
      <c r="U82" s="157"/>
      <c r="V82" s="568"/>
      <c r="W82" s="567"/>
      <c r="X82" s="157"/>
      <c r="Y82" s="157"/>
      <c r="Z82" s="568"/>
      <c r="AA82" s="567"/>
      <c r="AB82" s="157"/>
      <c r="AC82" s="157"/>
      <c r="AD82" s="569"/>
      <c r="AE82" s="570">
        <v>36</v>
      </c>
      <c r="AF82" s="571"/>
      <c r="AG82" s="157"/>
      <c r="AH82" s="569"/>
      <c r="AI82" s="490"/>
    </row>
    <row r="83" spans="1:35" ht="21.95" customHeight="1" thickBot="1">
      <c r="B83" s="47"/>
      <c r="C83" s="574"/>
      <c r="D83" s="53"/>
      <c r="E83" s="53"/>
      <c r="F83" s="575"/>
      <c r="G83" s="574"/>
      <c r="H83" s="53"/>
      <c r="I83" s="53"/>
      <c r="J83" s="575"/>
      <c r="K83" s="574"/>
      <c r="L83" s="53"/>
      <c r="M83" s="53"/>
      <c r="N83" s="575"/>
      <c r="O83" s="574"/>
      <c r="P83" s="53"/>
      <c r="Q83" s="53"/>
      <c r="R83" s="575"/>
      <c r="S83" s="574"/>
      <c r="T83" s="53"/>
      <c r="U83" s="53"/>
      <c r="V83" s="575"/>
      <c r="W83" s="53"/>
      <c r="X83" s="53"/>
      <c r="Y83" s="53"/>
      <c r="Z83" s="53"/>
      <c r="AA83" s="53"/>
      <c r="AB83" s="53"/>
      <c r="AC83" s="53"/>
      <c r="AD83" s="53"/>
      <c r="AE83" s="576"/>
      <c r="AF83" s="53"/>
      <c r="AG83" s="53"/>
      <c r="AH83" s="577"/>
      <c r="AI83" s="539"/>
    </row>
    <row r="84" spans="1:35" ht="21.95" customHeight="1" thickBot="1"/>
    <row r="85" spans="1:35" ht="21.95" customHeight="1">
      <c r="A85" s="556"/>
      <c r="B85" s="297" t="s">
        <v>480</v>
      </c>
      <c r="C85" s="1235">
        <v>1</v>
      </c>
      <c r="D85" s="1235">
        <v>2</v>
      </c>
      <c r="E85" s="1234">
        <v>3</v>
      </c>
      <c r="F85" s="1234">
        <v>4</v>
      </c>
      <c r="G85" s="1234">
        <v>5</v>
      </c>
      <c r="H85" s="1234">
        <v>6</v>
      </c>
      <c r="I85" s="1213">
        <v>7</v>
      </c>
      <c r="J85" s="1330">
        <v>8</v>
      </c>
      <c r="K85" s="1235">
        <v>9</v>
      </c>
      <c r="L85" s="1234">
        <v>10</v>
      </c>
      <c r="M85" s="1234">
        <v>11</v>
      </c>
      <c r="N85" s="1234">
        <v>12</v>
      </c>
      <c r="O85" s="1234">
        <v>13</v>
      </c>
      <c r="P85" s="1213">
        <v>14</v>
      </c>
      <c r="Q85" s="1330">
        <v>15</v>
      </c>
      <c r="R85" s="1235">
        <v>16</v>
      </c>
      <c r="S85" s="1234">
        <v>17</v>
      </c>
      <c r="T85" s="1234">
        <v>18</v>
      </c>
      <c r="U85" s="1234">
        <v>19</v>
      </c>
      <c r="V85" s="1213">
        <v>20</v>
      </c>
      <c r="W85" s="1213">
        <v>21</v>
      </c>
      <c r="X85" s="1330">
        <v>22</v>
      </c>
      <c r="Y85" s="1235">
        <v>23</v>
      </c>
      <c r="Z85" s="1234">
        <v>24</v>
      </c>
      <c r="AA85" s="1234">
        <v>25</v>
      </c>
      <c r="AB85" s="1234">
        <v>26</v>
      </c>
      <c r="AC85" s="1234">
        <v>27</v>
      </c>
      <c r="AD85" s="1213">
        <v>28</v>
      </c>
      <c r="AE85" s="1213"/>
      <c r="AF85" s="1234"/>
      <c r="AG85" s="1234"/>
      <c r="AH85" s="498" t="s">
        <v>481</v>
      </c>
      <c r="AI85" s="499" t="s">
        <v>482</v>
      </c>
    </row>
    <row r="86" spans="1:35" ht="21.95" customHeight="1">
      <c r="A86" s="579">
        <v>1</v>
      </c>
      <c r="B86" s="153" t="s">
        <v>508</v>
      </c>
      <c r="C86" s="557"/>
      <c r="D86" s="1344"/>
      <c r="E86" s="557" t="s">
        <v>485</v>
      </c>
      <c r="F86" s="557" t="s">
        <v>485</v>
      </c>
      <c r="G86" s="557" t="s">
        <v>485</v>
      </c>
      <c r="H86" s="1511" t="s">
        <v>484</v>
      </c>
      <c r="I86" s="557" t="s">
        <v>484</v>
      </c>
      <c r="J86" s="557"/>
      <c r="K86" s="557"/>
      <c r="L86" s="557" t="s">
        <v>488</v>
      </c>
      <c r="M86" s="557" t="s">
        <v>488</v>
      </c>
      <c r="N86" s="557" t="s">
        <v>488</v>
      </c>
      <c r="O86" s="557" t="s">
        <v>488</v>
      </c>
      <c r="P86" s="557" t="s">
        <v>488</v>
      </c>
      <c r="Q86" s="557"/>
      <c r="R86" s="557"/>
      <c r="S86" s="557" t="s">
        <v>506</v>
      </c>
      <c r="T86" s="557" t="s">
        <v>506</v>
      </c>
      <c r="U86" s="557" t="s">
        <v>506</v>
      </c>
      <c r="V86" s="557" t="s">
        <v>506</v>
      </c>
      <c r="W86" s="557" t="s">
        <v>506</v>
      </c>
      <c r="X86" s="557"/>
      <c r="Y86" s="557"/>
      <c r="Z86" s="1365" t="s">
        <v>485</v>
      </c>
      <c r="AA86" s="1365" t="s">
        <v>485</v>
      </c>
      <c r="AB86" s="1365" t="s">
        <v>485</v>
      </c>
      <c r="AC86" s="1365" t="s">
        <v>484</v>
      </c>
      <c r="AD86" s="1365" t="s">
        <v>484</v>
      </c>
      <c r="AE86" s="557"/>
      <c r="AF86" s="557"/>
      <c r="AG86" s="557"/>
      <c r="AH86" s="504">
        <v>92</v>
      </c>
      <c r="AI86" s="505">
        <v>37</v>
      </c>
    </row>
    <row r="87" spans="1:35" ht="21.95" customHeight="1">
      <c r="A87" s="579">
        <v>2</v>
      </c>
      <c r="B87" s="1603" t="s">
        <v>507</v>
      </c>
      <c r="C87" s="1563"/>
      <c r="D87" s="1458"/>
      <c r="E87" s="557" t="s">
        <v>488</v>
      </c>
      <c r="F87" s="557" t="s">
        <v>488</v>
      </c>
      <c r="G87" s="557" t="s">
        <v>488</v>
      </c>
      <c r="H87" s="557" t="s">
        <v>488</v>
      </c>
      <c r="I87" s="557" t="s">
        <v>488</v>
      </c>
      <c r="J87" s="557"/>
      <c r="K87" s="557"/>
      <c r="L87" s="1208" t="s">
        <v>506</v>
      </c>
      <c r="M87" s="557" t="s">
        <v>484</v>
      </c>
      <c r="N87" s="1215">
        <v>1</v>
      </c>
      <c r="O87" s="1215">
        <v>1</v>
      </c>
      <c r="P87" s="1215">
        <v>1</v>
      </c>
      <c r="Q87" s="1208"/>
      <c r="R87" s="1208"/>
      <c r="S87" s="557" t="s">
        <v>485</v>
      </c>
      <c r="T87" s="557" t="s">
        <v>485</v>
      </c>
      <c r="U87" s="1344">
        <v>1</v>
      </c>
      <c r="V87" s="1344">
        <v>1</v>
      </c>
      <c r="W87" s="557" t="s">
        <v>484</v>
      </c>
      <c r="X87" s="557"/>
      <c r="Y87" s="557"/>
      <c r="Z87" s="557" t="s">
        <v>488</v>
      </c>
      <c r="AA87" s="557" t="s">
        <v>488</v>
      </c>
      <c r="AB87" s="557" t="s">
        <v>488</v>
      </c>
      <c r="AC87" s="557" t="s">
        <v>488</v>
      </c>
      <c r="AD87" s="557" t="s">
        <v>488</v>
      </c>
      <c r="AE87" s="557"/>
      <c r="AF87" s="557"/>
      <c r="AG87" s="557"/>
      <c r="AH87" s="504">
        <v>99</v>
      </c>
      <c r="AI87" s="505">
        <v>37</v>
      </c>
    </row>
    <row r="88" spans="1:35" ht="21.95" customHeight="1">
      <c r="A88" s="1602">
        <v>3</v>
      </c>
      <c r="B88" s="1604" t="s">
        <v>505</v>
      </c>
      <c r="C88" s="1605"/>
      <c r="D88" s="1606"/>
      <c r="E88" s="1392">
        <v>3</v>
      </c>
      <c r="F88" s="1392" t="s">
        <v>506</v>
      </c>
      <c r="G88" s="1392" t="s">
        <v>506</v>
      </c>
      <c r="H88" s="1392" t="s">
        <v>485</v>
      </c>
      <c r="I88" s="1392" t="s">
        <v>785</v>
      </c>
      <c r="J88" s="557"/>
      <c r="K88" s="557"/>
      <c r="L88" s="557" t="s">
        <v>485</v>
      </c>
      <c r="M88" s="557" t="s">
        <v>485</v>
      </c>
      <c r="N88" s="557" t="s">
        <v>485</v>
      </c>
      <c r="O88" s="557" t="s">
        <v>484</v>
      </c>
      <c r="P88" s="557" t="s">
        <v>484</v>
      </c>
      <c r="Q88" s="557"/>
      <c r="R88" s="557"/>
      <c r="S88" s="557" t="s">
        <v>488</v>
      </c>
      <c r="T88" s="557" t="s">
        <v>488</v>
      </c>
      <c r="U88" s="557" t="s">
        <v>488</v>
      </c>
      <c r="V88" s="557" t="s">
        <v>488</v>
      </c>
      <c r="W88" s="557" t="s">
        <v>488</v>
      </c>
      <c r="X88" s="557"/>
      <c r="Y88" s="557"/>
      <c r="Z88" s="1368" t="s">
        <v>506</v>
      </c>
      <c r="AA88" s="557" t="s">
        <v>506</v>
      </c>
      <c r="AB88" s="557" t="s">
        <v>506</v>
      </c>
      <c r="AC88" s="557" t="s">
        <v>506</v>
      </c>
      <c r="AD88" s="557" t="s">
        <v>506</v>
      </c>
      <c r="AE88" s="557"/>
      <c r="AF88" s="557"/>
      <c r="AG88" s="557"/>
      <c r="AH88" s="504">
        <v>111</v>
      </c>
      <c r="AI88" s="505">
        <v>37</v>
      </c>
    </row>
    <row r="89" spans="1:35" ht="21.95" customHeight="1">
      <c r="A89" s="580"/>
      <c r="B89" s="587"/>
      <c r="C89" s="587"/>
      <c r="D89" s="587"/>
      <c r="E89" s="587"/>
      <c r="F89" s="587"/>
      <c r="G89" s="587"/>
      <c r="H89" s="587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H89" s="560"/>
      <c r="AI89" s="560"/>
    </row>
    <row r="90" spans="1:35" ht="21.95" customHeight="1">
      <c r="A90" s="580"/>
      <c r="B90" s="587"/>
      <c r="C90" s="559"/>
      <c r="D90" s="559"/>
      <c r="E90" s="559"/>
      <c r="F90" s="559"/>
      <c r="G90" s="559"/>
      <c r="H90" s="559"/>
      <c r="I90" s="559"/>
      <c r="J90" s="559"/>
      <c r="K90" s="559"/>
      <c r="L90" s="559"/>
      <c r="M90" s="559"/>
      <c r="N90" s="559"/>
      <c r="O90" s="559"/>
      <c r="P90" s="559"/>
      <c r="Q90" s="559"/>
      <c r="R90" s="557"/>
      <c r="S90" s="559"/>
      <c r="T90" s="559"/>
      <c r="U90" s="559"/>
      <c r="V90" s="559"/>
      <c r="W90" s="559"/>
      <c r="X90" s="559"/>
      <c r="Y90" s="559"/>
      <c r="Z90" s="559"/>
      <c r="AA90" s="559"/>
      <c r="AB90" s="559"/>
      <c r="AC90" s="559"/>
      <c r="AD90" s="559"/>
      <c r="AE90" s="559"/>
      <c r="AF90" s="559"/>
      <c r="AG90" s="559"/>
      <c r="AH90" s="560"/>
      <c r="AI90" s="560"/>
    </row>
    <row r="91" spans="1:35" ht="21.95" customHeight="1" thickBot="1">
      <c r="A91" s="1" t="s">
        <v>804</v>
      </c>
      <c r="D91" s="361"/>
      <c r="E91" s="361"/>
      <c r="F91" s="361"/>
      <c r="G91" s="549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687</v>
      </c>
      <c r="C92" s="7"/>
      <c r="D92" s="525" t="s">
        <v>2</v>
      </c>
      <c r="E92" s="51"/>
      <c r="F92" s="551"/>
      <c r="G92" s="7"/>
      <c r="H92" s="525" t="s">
        <v>3</v>
      </c>
      <c r="I92" s="51"/>
      <c r="J92" s="551"/>
      <c r="K92" s="7"/>
      <c r="L92" s="525" t="s">
        <v>4</v>
      </c>
      <c r="M92" s="51"/>
      <c r="N92" s="551"/>
      <c r="O92" s="7"/>
      <c r="P92" s="525" t="s">
        <v>5</v>
      </c>
      <c r="Q92" s="51"/>
      <c r="R92" s="551"/>
      <c r="S92" s="7"/>
      <c r="T92" s="525" t="s">
        <v>6</v>
      </c>
      <c r="U92" s="51"/>
      <c r="V92" s="551"/>
      <c r="W92" s="7"/>
      <c r="X92" s="525" t="s">
        <v>7</v>
      </c>
      <c r="Y92" s="51"/>
      <c r="Z92" s="551"/>
      <c r="AA92" s="7"/>
      <c r="AB92" s="525" t="s">
        <v>8</v>
      </c>
      <c r="AC92" s="51"/>
      <c r="AD92" s="51"/>
      <c r="AE92" s="425" t="s">
        <v>10</v>
      </c>
      <c r="AF92" s="51"/>
      <c r="AG92" s="51"/>
      <c r="AH92" s="51"/>
      <c r="AI92" s="526"/>
    </row>
    <row r="93" spans="1:35" ht="21.95" customHeight="1">
      <c r="A93" s="1"/>
      <c r="B93" s="129" t="s">
        <v>164</v>
      </c>
      <c r="C93" s="121" t="s">
        <v>691</v>
      </c>
      <c r="D93" s="157"/>
      <c r="E93" s="157"/>
      <c r="F93" s="568"/>
      <c r="G93" s="121" t="s">
        <v>691</v>
      </c>
      <c r="H93" s="157"/>
      <c r="I93" s="157"/>
      <c r="J93" s="568"/>
      <c r="K93" s="121" t="s">
        <v>691</v>
      </c>
      <c r="L93" s="157"/>
      <c r="M93" s="157"/>
      <c r="N93" s="568"/>
      <c r="O93" s="121" t="s">
        <v>805</v>
      </c>
      <c r="P93" s="157"/>
      <c r="Q93" s="157"/>
      <c r="R93" s="568"/>
      <c r="S93" s="121" t="s">
        <v>162</v>
      </c>
      <c r="T93" s="157"/>
      <c r="U93" s="157"/>
      <c r="V93" s="568"/>
      <c r="W93" s="1243"/>
      <c r="X93" s="581"/>
      <c r="Y93" s="581"/>
      <c r="Z93" s="582"/>
      <c r="AA93" s="567"/>
      <c r="AB93" s="157"/>
      <c r="AC93" s="157"/>
      <c r="AD93" s="569"/>
      <c r="AE93" s="128">
        <v>27</v>
      </c>
      <c r="AF93" s="157"/>
      <c r="AG93" s="157" t="s">
        <v>28</v>
      </c>
      <c r="AH93" s="569"/>
      <c r="AI93" s="490"/>
    </row>
    <row r="94" spans="1:35" ht="21.95" customHeight="1">
      <c r="A94" s="1"/>
      <c r="B94" s="129" t="s">
        <v>167</v>
      </c>
      <c r="C94" s="121" t="s">
        <v>688</v>
      </c>
      <c r="D94" s="157"/>
      <c r="E94" s="157"/>
      <c r="F94" s="568"/>
      <c r="G94" s="121" t="s">
        <v>688</v>
      </c>
      <c r="H94" s="157"/>
      <c r="I94" s="157"/>
      <c r="J94" s="568"/>
      <c r="K94" s="121" t="s">
        <v>688</v>
      </c>
      <c r="L94" s="157"/>
      <c r="M94" s="157"/>
      <c r="N94" s="568"/>
      <c r="O94" s="121" t="s">
        <v>688</v>
      </c>
      <c r="P94" s="157"/>
      <c r="Q94" s="157"/>
      <c r="R94" s="568"/>
      <c r="S94" s="121" t="s">
        <v>691</v>
      </c>
      <c r="T94" s="157"/>
      <c r="U94" s="157"/>
      <c r="V94" s="568"/>
      <c r="W94" s="121"/>
      <c r="X94" s="157"/>
      <c r="Y94" s="157"/>
      <c r="Z94" s="568"/>
      <c r="AA94" s="157"/>
      <c r="AB94" s="157"/>
      <c r="AC94" s="157"/>
      <c r="AD94" s="569"/>
      <c r="AE94" s="128">
        <v>39</v>
      </c>
      <c r="AF94" s="157"/>
      <c r="AG94" s="157"/>
      <c r="AH94" s="569"/>
      <c r="AI94" s="490"/>
    </row>
    <row r="95" spans="1:35" ht="21.95" customHeight="1">
      <c r="A95" s="1"/>
      <c r="B95" s="129" t="s">
        <v>170</v>
      </c>
      <c r="C95" s="121" t="s">
        <v>688</v>
      </c>
      <c r="D95" s="157"/>
      <c r="E95" s="157"/>
      <c r="F95" s="568"/>
      <c r="G95" s="121" t="s">
        <v>688</v>
      </c>
      <c r="H95" s="157"/>
      <c r="I95" s="157"/>
      <c r="J95" s="568"/>
      <c r="K95" s="121" t="s">
        <v>688</v>
      </c>
      <c r="L95" s="157"/>
      <c r="M95" s="157"/>
      <c r="N95" s="568"/>
      <c r="O95" s="121" t="s">
        <v>688</v>
      </c>
      <c r="P95" s="157"/>
      <c r="Q95" s="157"/>
      <c r="R95" s="568"/>
      <c r="S95" s="121" t="s">
        <v>688</v>
      </c>
      <c r="T95" s="157"/>
      <c r="U95" s="157"/>
      <c r="V95" s="568"/>
      <c r="W95" s="588" t="s">
        <v>689</v>
      </c>
      <c r="X95" s="135"/>
      <c r="Y95" s="135"/>
      <c r="Z95" s="584"/>
      <c r="AA95" s="583"/>
      <c r="AB95" s="135"/>
      <c r="AC95" s="135"/>
      <c r="AD95" s="585"/>
      <c r="AE95" s="128">
        <v>45</v>
      </c>
      <c r="AF95" s="157"/>
      <c r="AG95" s="157"/>
      <c r="AH95" s="569"/>
      <c r="AI95" s="490"/>
    </row>
    <row r="96" spans="1:35" ht="21.95" customHeight="1" thickBot="1">
      <c r="A96" s="1"/>
      <c r="B96" s="16" t="s">
        <v>173</v>
      </c>
      <c r="C96" s="57"/>
      <c r="D96" s="53"/>
      <c r="E96" s="53"/>
      <c r="F96" s="575"/>
      <c r="G96" s="57"/>
      <c r="H96" s="53"/>
      <c r="I96" s="53"/>
      <c r="J96" s="575"/>
      <c r="K96" s="57"/>
      <c r="L96" s="53"/>
      <c r="M96" s="53"/>
      <c r="N96" s="575"/>
      <c r="O96" s="57"/>
      <c r="P96" s="53"/>
      <c r="Q96" s="53"/>
      <c r="R96" s="575"/>
      <c r="S96" s="57"/>
      <c r="T96" s="53"/>
      <c r="U96" s="53"/>
      <c r="V96" s="577"/>
      <c r="W96" s="57"/>
      <c r="X96" s="577"/>
      <c r="Y96" s="53"/>
      <c r="Z96" s="575"/>
      <c r="AA96" s="57"/>
      <c r="AB96" s="577"/>
      <c r="AC96" s="53"/>
      <c r="AD96" s="575"/>
      <c r="AE96" s="586"/>
      <c r="AF96" s="53"/>
      <c r="AG96" s="53"/>
      <c r="AH96" s="577"/>
      <c r="AI96" s="539"/>
    </row>
    <row r="97" spans="1:35" ht="21.95" customHeight="1" thickBot="1">
      <c r="A97" s="578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>
      <c r="A98" s="556"/>
      <c r="B98" s="297" t="s">
        <v>480</v>
      </c>
      <c r="C98" s="1235">
        <v>1</v>
      </c>
      <c r="D98" s="1235">
        <v>2</v>
      </c>
      <c r="E98" s="1234">
        <v>3</v>
      </c>
      <c r="F98" s="1234">
        <v>4</v>
      </c>
      <c r="G98" s="1234">
        <v>5</v>
      </c>
      <c r="H98" s="1234">
        <v>6</v>
      </c>
      <c r="I98" s="1213">
        <v>7</v>
      </c>
      <c r="J98" s="1330">
        <v>8</v>
      </c>
      <c r="K98" s="1235">
        <v>9</v>
      </c>
      <c r="L98" s="1234">
        <v>10</v>
      </c>
      <c r="M98" s="1234">
        <v>11</v>
      </c>
      <c r="N98" s="1234">
        <v>12</v>
      </c>
      <c r="O98" s="1234">
        <v>13</v>
      </c>
      <c r="P98" s="1213">
        <v>14</v>
      </c>
      <c r="Q98" s="1330">
        <v>15</v>
      </c>
      <c r="R98" s="1235">
        <v>16</v>
      </c>
      <c r="S98" s="1234">
        <v>17</v>
      </c>
      <c r="T98" s="1234">
        <v>18</v>
      </c>
      <c r="U98" s="1234">
        <v>19</v>
      </c>
      <c r="V98" s="1213">
        <v>20</v>
      </c>
      <c r="W98" s="1213">
        <v>21</v>
      </c>
      <c r="X98" s="1330">
        <v>22</v>
      </c>
      <c r="Y98" s="1235">
        <v>23</v>
      </c>
      <c r="Z98" s="1234">
        <v>24</v>
      </c>
      <c r="AA98" s="1234">
        <v>25</v>
      </c>
      <c r="AB98" s="1234">
        <v>26</v>
      </c>
      <c r="AC98" s="1234">
        <v>27</v>
      </c>
      <c r="AD98" s="1213">
        <v>28</v>
      </c>
      <c r="AE98" s="1213"/>
      <c r="AF98" s="1234"/>
      <c r="AG98" s="1234"/>
      <c r="AH98" s="498" t="s">
        <v>481</v>
      </c>
      <c r="AI98" s="499" t="s">
        <v>482</v>
      </c>
    </row>
    <row r="99" spans="1:35" ht="21.95" customHeight="1">
      <c r="A99" s="579">
        <v>1</v>
      </c>
      <c r="B99" s="545" t="s">
        <v>692</v>
      </c>
      <c r="C99" s="1215"/>
      <c r="D99" s="1215"/>
      <c r="E99" s="1354" t="s">
        <v>694</v>
      </c>
      <c r="F99" s="1215" t="s">
        <v>808</v>
      </c>
      <c r="G99" s="1215" t="s">
        <v>808</v>
      </c>
      <c r="H99" s="1215" t="s">
        <v>808</v>
      </c>
      <c r="I99" s="1215" t="s">
        <v>808</v>
      </c>
      <c r="J99" s="1215" t="s">
        <v>808</v>
      </c>
      <c r="K99" s="1215"/>
      <c r="L99" s="1215" t="s">
        <v>806</v>
      </c>
      <c r="M99" s="1215" t="s">
        <v>806</v>
      </c>
      <c r="N99" s="1215" t="s">
        <v>806</v>
      </c>
      <c r="O99" s="1346" t="s">
        <v>806</v>
      </c>
      <c r="P99" s="1215" t="s">
        <v>487</v>
      </c>
      <c r="Q99" s="1215"/>
      <c r="R99" s="1215"/>
      <c r="S99" s="1215" t="s">
        <v>807</v>
      </c>
      <c r="T99" s="1215" t="s">
        <v>807</v>
      </c>
      <c r="U99" s="1215" t="s">
        <v>807</v>
      </c>
      <c r="V99" s="1215" t="s">
        <v>807</v>
      </c>
      <c r="W99" s="1215" t="s">
        <v>807</v>
      </c>
      <c r="X99" s="1215"/>
      <c r="Y99" s="1215"/>
      <c r="Z99" s="1215" t="s">
        <v>808</v>
      </c>
      <c r="AA99" s="1354" t="s">
        <v>694</v>
      </c>
      <c r="AB99" s="1215" t="s">
        <v>808</v>
      </c>
      <c r="AC99" s="1215" t="s">
        <v>808</v>
      </c>
      <c r="AD99" s="1215" t="s">
        <v>808</v>
      </c>
      <c r="AE99" s="1215"/>
      <c r="AF99" s="1215"/>
      <c r="AG99" s="1215"/>
      <c r="AH99" s="504">
        <v>69</v>
      </c>
      <c r="AI99" s="505">
        <v>37</v>
      </c>
    </row>
    <row r="100" spans="1:35" ht="21.95" customHeight="1">
      <c r="A100" s="579">
        <v>2</v>
      </c>
      <c r="B100" s="545" t="s">
        <v>681</v>
      </c>
      <c r="C100" s="1215" t="s">
        <v>808</v>
      </c>
      <c r="D100" s="1215"/>
      <c r="E100" s="1215" t="s">
        <v>806</v>
      </c>
      <c r="F100" s="1215" t="s">
        <v>806</v>
      </c>
      <c r="G100" s="1215" t="s">
        <v>806</v>
      </c>
      <c r="H100" s="1215" t="s">
        <v>806</v>
      </c>
      <c r="I100" s="1215" t="s">
        <v>487</v>
      </c>
      <c r="J100" s="1215"/>
      <c r="K100" s="1215"/>
      <c r="L100" s="1215" t="s">
        <v>807</v>
      </c>
      <c r="M100" s="1215" t="s">
        <v>807</v>
      </c>
      <c r="N100" s="1215" t="s">
        <v>807</v>
      </c>
      <c r="O100" s="1215" t="s">
        <v>807</v>
      </c>
      <c r="P100" s="1215" t="s">
        <v>807</v>
      </c>
      <c r="Q100" s="1215"/>
      <c r="R100" s="1215"/>
      <c r="S100" s="1215" t="s">
        <v>808</v>
      </c>
      <c r="T100" s="1215" t="s">
        <v>808</v>
      </c>
      <c r="U100" s="1215" t="s">
        <v>808</v>
      </c>
      <c r="V100" s="1215" t="s">
        <v>550</v>
      </c>
      <c r="W100" s="1215" t="s">
        <v>550</v>
      </c>
      <c r="X100" s="1215" t="s">
        <v>808</v>
      </c>
      <c r="Y100" s="1215"/>
      <c r="Z100" s="1215" t="s">
        <v>806</v>
      </c>
      <c r="AA100" s="1215" t="s">
        <v>806</v>
      </c>
      <c r="AB100" s="1215" t="s">
        <v>806</v>
      </c>
      <c r="AC100" s="1215" t="s">
        <v>806</v>
      </c>
      <c r="AD100" s="1215" t="s">
        <v>487</v>
      </c>
      <c r="AE100" s="1208"/>
      <c r="AF100" s="1215"/>
      <c r="AG100" s="1215"/>
      <c r="AH100" s="504">
        <v>37</v>
      </c>
      <c r="AI100" s="505">
        <v>37</v>
      </c>
    </row>
    <row r="101" spans="1:35" ht="21.95" customHeight="1">
      <c r="A101" s="579">
        <v>3</v>
      </c>
      <c r="B101" s="545" t="s">
        <v>412</v>
      </c>
      <c r="C101" s="1215"/>
      <c r="D101" s="1215"/>
      <c r="E101" s="1215" t="s">
        <v>807</v>
      </c>
      <c r="F101" s="1215" t="s">
        <v>807</v>
      </c>
      <c r="G101" s="1215" t="s">
        <v>807</v>
      </c>
      <c r="H101" s="1215" t="s">
        <v>807</v>
      </c>
      <c r="I101" s="1215" t="s">
        <v>807</v>
      </c>
      <c r="J101" s="1215"/>
      <c r="K101" s="1215"/>
      <c r="L101" s="1215" t="s">
        <v>808</v>
      </c>
      <c r="M101" s="1215" t="s">
        <v>808</v>
      </c>
      <c r="N101" s="1215" t="s">
        <v>808</v>
      </c>
      <c r="O101" s="1215" t="s">
        <v>808</v>
      </c>
      <c r="P101" s="1215" t="s">
        <v>808</v>
      </c>
      <c r="Q101" s="1215" t="s">
        <v>808</v>
      </c>
      <c r="R101" s="1215"/>
      <c r="S101" s="1215" t="s">
        <v>806</v>
      </c>
      <c r="T101" s="1215" t="s">
        <v>806</v>
      </c>
      <c r="U101" s="1215" t="s">
        <v>806</v>
      </c>
      <c r="V101" s="1215" t="s">
        <v>806</v>
      </c>
      <c r="W101" s="1215" t="s">
        <v>487</v>
      </c>
      <c r="X101" s="1215"/>
      <c r="Y101" s="1215"/>
      <c r="Z101" s="1215" t="s">
        <v>807</v>
      </c>
      <c r="AA101" s="1215" t="s">
        <v>807</v>
      </c>
      <c r="AB101" s="1215" t="s">
        <v>807</v>
      </c>
      <c r="AC101" s="1215" t="s">
        <v>807</v>
      </c>
      <c r="AD101" s="1215" t="s">
        <v>807</v>
      </c>
      <c r="AE101" s="1208"/>
      <c r="AF101" s="1215"/>
      <c r="AG101" s="1215"/>
      <c r="AH101" s="504">
        <v>59</v>
      </c>
      <c r="AI101" s="505">
        <v>37</v>
      </c>
    </row>
    <row r="102" spans="1:35" ht="21.95" customHeight="1">
      <c r="A102" s="579">
        <v>4</v>
      </c>
      <c r="B102" s="545"/>
      <c r="C102" s="1215"/>
      <c r="D102" s="1215"/>
      <c r="E102" s="1215"/>
      <c r="F102" s="1215"/>
      <c r="G102" s="1208"/>
      <c r="H102" s="1215"/>
      <c r="I102" s="1215"/>
      <c r="J102" s="1215"/>
      <c r="K102" s="1215"/>
      <c r="L102" s="1215"/>
      <c r="M102" s="1208"/>
      <c r="N102" s="1208"/>
      <c r="O102" s="1215"/>
      <c r="P102" s="1215"/>
      <c r="Q102" s="1215"/>
      <c r="R102" s="1215"/>
      <c r="S102" s="1215"/>
      <c r="T102" s="1208"/>
      <c r="U102" s="1208"/>
      <c r="V102" s="1208"/>
      <c r="W102" s="1208"/>
      <c r="X102" s="1208"/>
      <c r="Y102" s="1208"/>
      <c r="Z102" s="1208"/>
      <c r="AA102" s="1215"/>
      <c r="AB102" s="1208"/>
      <c r="AC102" s="1215"/>
      <c r="AD102" s="1215"/>
      <c r="AE102" s="1208"/>
      <c r="AF102" s="1215"/>
      <c r="AG102" s="1215"/>
      <c r="AH102" s="504"/>
      <c r="AI102" s="505"/>
    </row>
    <row r="103" spans="1:35" ht="21.95" customHeight="1">
      <c r="A103" s="580"/>
      <c r="B103" s="587"/>
      <c r="C103" s="559"/>
      <c r="D103" s="541"/>
      <c r="E103" s="541"/>
      <c r="F103" s="541"/>
      <c r="G103" s="541"/>
      <c r="H103" s="541"/>
      <c r="I103" s="559"/>
      <c r="J103" s="559"/>
      <c r="K103" s="541"/>
      <c r="L103" s="541"/>
      <c r="M103" s="541"/>
      <c r="N103" s="541"/>
      <c r="O103" s="541"/>
      <c r="P103" s="541"/>
      <c r="Q103" s="559"/>
      <c r="R103" s="541"/>
      <c r="S103" s="1315"/>
      <c r="T103" s="1315"/>
      <c r="U103" s="1315"/>
      <c r="V103" s="1315"/>
      <c r="W103" s="559"/>
      <c r="X103" s="559"/>
      <c r="Y103" s="541"/>
      <c r="Z103" s="541"/>
      <c r="AA103" s="541"/>
      <c r="AB103" s="541"/>
      <c r="AC103" s="541"/>
      <c r="AD103" s="541"/>
      <c r="AE103" s="559"/>
      <c r="AF103" s="541"/>
      <c r="AG103" s="541"/>
      <c r="AH103" s="560"/>
      <c r="AI103" s="560"/>
    </row>
    <row r="104" spans="1:35" ht="21.95" customHeight="1" thickBot="1">
      <c r="A104" s="1303" t="s">
        <v>695</v>
      </c>
      <c r="B104" s="541"/>
      <c r="C104" s="559"/>
      <c r="D104" s="541"/>
      <c r="E104" s="541"/>
      <c r="F104" s="541"/>
      <c r="G104" s="541"/>
      <c r="H104" s="541"/>
      <c r="I104" s="559"/>
      <c r="J104" s="559"/>
      <c r="K104" s="541"/>
      <c r="L104" s="541"/>
      <c r="M104" s="541"/>
      <c r="N104" s="541"/>
      <c r="O104" s="541"/>
      <c r="P104" s="541"/>
      <c r="Q104" s="559"/>
      <c r="R104" s="541"/>
      <c r="S104" s="541"/>
      <c r="T104" s="541"/>
      <c r="U104" s="541"/>
      <c r="V104" s="541"/>
      <c r="W104" s="559"/>
      <c r="X104" s="559"/>
      <c r="Y104" s="541"/>
      <c r="Z104" s="541"/>
      <c r="AA104" s="541"/>
      <c r="AB104" s="541"/>
      <c r="AC104" s="541"/>
      <c r="AD104" s="541"/>
      <c r="AE104" s="559"/>
      <c r="AF104" s="541"/>
      <c r="AG104" s="541"/>
      <c r="AH104" s="560"/>
      <c r="AI104" s="560"/>
    </row>
    <row r="105" spans="1:35" ht="21.95" customHeight="1">
      <c r="A105" s="580"/>
      <c r="B105" s="1304" t="s">
        <v>696</v>
      </c>
      <c r="C105" s="1312"/>
      <c r="D105" s="1305" t="s">
        <v>2</v>
      </c>
      <c r="E105" s="1306"/>
      <c r="F105" s="1307"/>
      <c r="G105" s="1308"/>
      <c r="H105" s="1305" t="s">
        <v>3</v>
      </c>
      <c r="I105" s="1306"/>
      <c r="J105" s="1307"/>
      <c r="K105" s="1308"/>
      <c r="L105" s="1305" t="s">
        <v>4</v>
      </c>
      <c r="M105" s="1306"/>
      <c r="N105" s="1307"/>
      <c r="O105" s="1308"/>
      <c r="P105" s="1305" t="s">
        <v>5</v>
      </c>
      <c r="Q105" s="1306"/>
      <c r="R105" s="1307"/>
      <c r="S105" s="1308"/>
      <c r="T105" s="1305" t="s">
        <v>6</v>
      </c>
      <c r="U105" s="1306"/>
      <c r="V105" s="1307"/>
      <c r="W105" s="1308"/>
      <c r="X105" s="1305" t="s">
        <v>7</v>
      </c>
      <c r="Y105" s="1306"/>
      <c r="Z105" s="1307"/>
      <c r="AA105" s="1308"/>
      <c r="AB105" s="1305" t="s">
        <v>8</v>
      </c>
      <c r="AC105" s="1306"/>
      <c r="AD105" s="1306"/>
      <c r="AE105" s="1309" t="s">
        <v>10</v>
      </c>
      <c r="AF105" s="1306"/>
      <c r="AG105" s="1306"/>
      <c r="AH105" s="1306"/>
      <c r="AI105" s="1310"/>
    </row>
    <row r="106" spans="1:35" ht="21.95" customHeight="1">
      <c r="A106" s="580"/>
      <c r="B106" s="1332" t="s">
        <v>697</v>
      </c>
      <c r="C106" s="1313" t="s">
        <v>698</v>
      </c>
      <c r="D106" s="1331" t="s">
        <v>699</v>
      </c>
      <c r="E106" s="1314"/>
      <c r="F106" s="1311"/>
      <c r="G106" s="1313"/>
      <c r="H106" s="1331" t="s">
        <v>699</v>
      </c>
      <c r="I106" s="1314"/>
      <c r="J106" s="1311"/>
      <c r="K106" s="1313"/>
      <c r="L106" s="1331" t="s">
        <v>699</v>
      </c>
      <c r="M106" s="1314"/>
      <c r="N106" s="1311"/>
      <c r="O106" s="1313"/>
      <c r="P106" s="1331" t="s">
        <v>700</v>
      </c>
      <c r="Q106" s="1314"/>
      <c r="R106" s="1311"/>
      <c r="S106" s="1313"/>
      <c r="T106" s="1331" t="s">
        <v>701</v>
      </c>
      <c r="U106" s="1314"/>
      <c r="V106" s="1311"/>
      <c r="W106" s="1313"/>
      <c r="X106" s="1314"/>
      <c r="Y106" s="1314"/>
      <c r="Z106" s="1311"/>
      <c r="AA106" s="1313"/>
      <c r="AB106" s="1314"/>
      <c r="AC106" s="1314"/>
      <c r="AD106" s="1314"/>
      <c r="AE106" s="1313"/>
      <c r="AF106" s="1314"/>
      <c r="AG106" s="1314"/>
      <c r="AH106" s="1316"/>
      <c r="AI106" s="1317"/>
    </row>
    <row r="107" spans="1:35" ht="21.95" customHeight="1">
      <c r="A107" s="580"/>
      <c r="B107" s="1333" t="s">
        <v>702</v>
      </c>
      <c r="C107" s="1313" t="s">
        <v>683</v>
      </c>
      <c r="D107" s="1331" t="s">
        <v>699</v>
      </c>
      <c r="E107" s="1314"/>
      <c r="F107" s="1311"/>
      <c r="G107" s="1313"/>
      <c r="H107" s="1331" t="s">
        <v>699</v>
      </c>
      <c r="I107" s="1314"/>
      <c r="J107" s="1311"/>
      <c r="K107" s="1313"/>
      <c r="L107" s="1331" t="s">
        <v>699</v>
      </c>
      <c r="M107" s="1314"/>
      <c r="N107" s="1311"/>
      <c r="O107" s="1313"/>
      <c r="P107" s="1331" t="s">
        <v>700</v>
      </c>
      <c r="Q107" s="1314"/>
      <c r="R107" s="1311"/>
      <c r="S107" s="1313"/>
      <c r="T107" s="1331" t="s">
        <v>701</v>
      </c>
      <c r="U107" s="1314"/>
      <c r="V107" s="1311"/>
      <c r="W107" s="1313"/>
      <c r="X107" s="1314"/>
      <c r="Y107" s="1314"/>
      <c r="Z107" s="1311"/>
      <c r="AA107" s="1313"/>
      <c r="AB107" s="1314"/>
      <c r="AC107" s="1314"/>
      <c r="AD107" s="1314"/>
      <c r="AE107" s="1313"/>
      <c r="AF107" s="1314"/>
      <c r="AG107" s="1314"/>
      <c r="AH107" s="1316"/>
      <c r="AI107" s="1317"/>
    </row>
    <row r="108" spans="1:35" ht="21.95" customHeight="1">
      <c r="A108" s="580"/>
      <c r="B108" s="1333" t="s">
        <v>703</v>
      </c>
      <c r="C108" s="1313" t="s">
        <v>547</v>
      </c>
      <c r="D108" s="1331" t="s">
        <v>699</v>
      </c>
      <c r="E108" s="1314"/>
      <c r="F108" s="1311"/>
      <c r="G108" s="1313"/>
      <c r="H108" s="1331" t="s">
        <v>699</v>
      </c>
      <c r="I108" s="1314"/>
      <c r="J108" s="1311"/>
      <c r="K108" s="1313"/>
      <c r="L108" s="1331" t="s">
        <v>699</v>
      </c>
      <c r="M108" s="1314"/>
      <c r="N108" s="1311"/>
      <c r="O108" s="1313"/>
      <c r="P108" s="1331" t="s">
        <v>700</v>
      </c>
      <c r="Q108" s="1314"/>
      <c r="R108" s="1311"/>
      <c r="S108" s="1313"/>
      <c r="T108" s="1331" t="s">
        <v>701</v>
      </c>
      <c r="U108" s="1314"/>
      <c r="V108" s="1311"/>
      <c r="W108" s="1313"/>
      <c r="X108" s="1314"/>
      <c r="Y108" s="1314"/>
      <c r="Z108" s="1311"/>
      <c r="AA108" s="1313"/>
      <c r="AB108" s="1314"/>
      <c r="AC108" s="1314"/>
      <c r="AD108" s="1314"/>
      <c r="AE108" s="1313"/>
      <c r="AF108" s="1314"/>
      <c r="AG108" s="1314"/>
      <c r="AH108" s="1316"/>
      <c r="AI108" s="1317"/>
    </row>
    <row r="109" spans="1:35" ht="21.95" customHeight="1">
      <c r="A109" s="580"/>
      <c r="B109" s="1333" t="s">
        <v>704</v>
      </c>
      <c r="C109" s="1313" t="s">
        <v>685</v>
      </c>
      <c r="D109" s="1331" t="s">
        <v>699</v>
      </c>
      <c r="E109" s="1314"/>
      <c r="F109" s="1311"/>
      <c r="G109" s="1313"/>
      <c r="H109" s="1331" t="s">
        <v>699</v>
      </c>
      <c r="I109" s="1314"/>
      <c r="J109" s="1311"/>
      <c r="K109" s="1313"/>
      <c r="L109" s="1331" t="s">
        <v>699</v>
      </c>
      <c r="M109" s="1314"/>
      <c r="N109" s="1311"/>
      <c r="O109" s="1313"/>
      <c r="P109" s="1331" t="s">
        <v>700</v>
      </c>
      <c r="Q109" s="1314"/>
      <c r="R109" s="1311"/>
      <c r="S109" s="1313"/>
      <c r="T109" s="1331" t="s">
        <v>701</v>
      </c>
      <c r="U109" s="1314"/>
      <c r="V109" s="1311"/>
      <c r="W109" s="1313"/>
      <c r="X109" s="1314"/>
      <c r="Y109" s="1314"/>
      <c r="Z109" s="1311"/>
      <c r="AA109" s="1313"/>
      <c r="AB109" s="1314"/>
      <c r="AC109" s="1314"/>
      <c r="AD109" s="1314"/>
      <c r="AE109" s="1313"/>
      <c r="AF109" s="1314"/>
      <c r="AG109" s="1314"/>
      <c r="AH109" s="1316"/>
      <c r="AI109" s="1317"/>
    </row>
    <row r="110" spans="1:35" ht="21.95" customHeight="1">
      <c r="A110" s="580"/>
      <c r="B110" s="1333" t="s">
        <v>705</v>
      </c>
      <c r="C110" s="1313" t="s">
        <v>684</v>
      </c>
      <c r="D110" s="1331" t="s">
        <v>699</v>
      </c>
      <c r="E110" s="1314"/>
      <c r="F110" s="1311"/>
      <c r="G110" s="1313"/>
      <c r="H110" s="1331" t="s">
        <v>699</v>
      </c>
      <c r="I110" s="1314"/>
      <c r="J110" s="1311"/>
      <c r="K110" s="1313"/>
      <c r="L110" s="1331" t="s">
        <v>699</v>
      </c>
      <c r="M110" s="1314"/>
      <c r="N110" s="1311"/>
      <c r="O110" s="1313"/>
      <c r="P110" s="1331" t="s">
        <v>700</v>
      </c>
      <c r="Q110" s="1314"/>
      <c r="R110" s="1311"/>
      <c r="S110" s="1313"/>
      <c r="T110" s="1331" t="s">
        <v>701</v>
      </c>
      <c r="U110" s="1314"/>
      <c r="V110" s="1311"/>
      <c r="W110" s="1313"/>
      <c r="X110" s="1314"/>
      <c r="Y110" s="1314"/>
      <c r="Z110" s="1311"/>
      <c r="AA110" s="1313"/>
      <c r="AB110" s="1314"/>
      <c r="AC110" s="1314"/>
      <c r="AD110" s="1314"/>
      <c r="AE110" s="1313"/>
      <c r="AF110" s="1314"/>
      <c r="AG110" s="1314"/>
      <c r="AH110" s="1316"/>
      <c r="AI110" s="1317"/>
    </row>
    <row r="111" spans="1:35" ht="21.95" customHeight="1">
      <c r="A111" s="580"/>
      <c r="B111" s="1333" t="s">
        <v>706</v>
      </c>
      <c r="C111" s="1313" t="s">
        <v>539</v>
      </c>
      <c r="D111" s="1331" t="s">
        <v>699</v>
      </c>
      <c r="E111" s="1314"/>
      <c r="F111" s="1311"/>
      <c r="G111" s="1313"/>
      <c r="H111" s="1331" t="s">
        <v>699</v>
      </c>
      <c r="I111" s="1314"/>
      <c r="J111" s="1311"/>
      <c r="K111" s="1313"/>
      <c r="L111" s="1331" t="s">
        <v>699</v>
      </c>
      <c r="M111" s="1314"/>
      <c r="N111" s="1311"/>
      <c r="O111" s="1313"/>
      <c r="P111" s="1331" t="s">
        <v>700</v>
      </c>
      <c r="Q111" s="1314"/>
      <c r="R111" s="1311"/>
      <c r="S111" s="1313"/>
      <c r="T111" s="1331" t="s">
        <v>701</v>
      </c>
      <c r="U111" s="1314"/>
      <c r="V111" s="1311"/>
      <c r="W111" s="1313"/>
      <c r="X111" s="1314"/>
      <c r="Y111" s="1314"/>
      <c r="Z111" s="1311"/>
      <c r="AA111" s="1313"/>
      <c r="AB111" s="1314"/>
      <c r="AC111" s="1314"/>
      <c r="AD111" s="1314"/>
      <c r="AE111" s="1313"/>
      <c r="AF111" s="1314"/>
      <c r="AG111" s="1314"/>
      <c r="AH111" s="1316"/>
      <c r="AI111" s="1317"/>
    </row>
    <row r="112" spans="1:35" ht="21.95" customHeight="1">
      <c r="A112" s="580"/>
      <c r="B112" s="1333" t="s">
        <v>707</v>
      </c>
      <c r="C112" s="1313" t="s">
        <v>540</v>
      </c>
      <c r="D112" s="1331" t="s">
        <v>699</v>
      </c>
      <c r="E112" s="1314"/>
      <c r="F112" s="1311"/>
      <c r="G112" s="1313"/>
      <c r="H112" s="1331" t="s">
        <v>699</v>
      </c>
      <c r="I112" s="1314"/>
      <c r="J112" s="1311"/>
      <c r="K112" s="1313"/>
      <c r="L112" s="1331" t="s">
        <v>699</v>
      </c>
      <c r="M112" s="1314"/>
      <c r="N112" s="1311"/>
      <c r="O112" s="1313"/>
      <c r="P112" s="1331" t="s">
        <v>700</v>
      </c>
      <c r="Q112" s="1314"/>
      <c r="R112" s="1311"/>
      <c r="S112" s="1313"/>
      <c r="T112" s="1331" t="s">
        <v>701</v>
      </c>
      <c r="U112" s="1314"/>
      <c r="V112" s="1311"/>
      <c r="W112" s="1313"/>
      <c r="X112" s="1314"/>
      <c r="Y112" s="1314"/>
      <c r="Z112" s="1311"/>
      <c r="AA112" s="1313"/>
      <c r="AB112" s="1314"/>
      <c r="AC112" s="1314"/>
      <c r="AD112" s="1314"/>
      <c r="AE112" s="1313"/>
      <c r="AF112" s="1314"/>
      <c r="AG112" s="1314"/>
      <c r="AH112" s="1316"/>
      <c r="AI112" s="1317"/>
    </row>
    <row r="113" spans="1:35" ht="21.95" customHeight="1">
      <c r="A113" s="580"/>
      <c r="B113" s="1333" t="s">
        <v>707</v>
      </c>
      <c r="C113" s="1313" t="s">
        <v>708</v>
      </c>
      <c r="D113" s="1331" t="s">
        <v>699</v>
      </c>
      <c r="E113" s="1314"/>
      <c r="F113" s="1311"/>
      <c r="G113" s="1313"/>
      <c r="H113" s="1331" t="s">
        <v>699</v>
      </c>
      <c r="I113" s="1314"/>
      <c r="J113" s="1311"/>
      <c r="K113" s="1313"/>
      <c r="L113" s="1331" t="s">
        <v>699</v>
      </c>
      <c r="M113" s="1314"/>
      <c r="N113" s="1311"/>
      <c r="O113" s="1313"/>
      <c r="P113" s="1331" t="s">
        <v>700</v>
      </c>
      <c r="Q113" s="1314"/>
      <c r="R113" s="1311"/>
      <c r="S113" s="1313"/>
      <c r="T113" s="1331" t="s">
        <v>701</v>
      </c>
      <c r="U113" s="1314"/>
      <c r="V113" s="1311"/>
      <c r="W113" s="1313"/>
      <c r="X113" s="1314"/>
      <c r="Y113" s="1314"/>
      <c r="Z113" s="1311"/>
      <c r="AA113" s="1313"/>
      <c r="AB113" s="1314"/>
      <c r="AC113" s="1314"/>
      <c r="AD113" s="1314"/>
      <c r="AE113" s="1313"/>
      <c r="AF113" s="1314"/>
      <c r="AG113" s="1314"/>
      <c r="AH113" s="1316"/>
      <c r="AI113" s="1317"/>
    </row>
    <row r="114" spans="1:35" ht="21.95" customHeight="1">
      <c r="A114" s="580"/>
      <c r="B114" s="1333" t="s">
        <v>709</v>
      </c>
      <c r="C114" s="1313" t="s">
        <v>538</v>
      </c>
      <c r="D114" s="1331" t="s">
        <v>699</v>
      </c>
      <c r="E114" s="1314"/>
      <c r="F114" s="1311"/>
      <c r="G114" s="1313"/>
      <c r="H114" s="1331" t="s">
        <v>699</v>
      </c>
      <c r="I114" s="1314"/>
      <c r="J114" s="1311"/>
      <c r="K114" s="1313"/>
      <c r="L114" s="1331" t="s">
        <v>699</v>
      </c>
      <c r="M114" s="1314"/>
      <c r="N114" s="1311"/>
      <c r="O114" s="1313"/>
      <c r="P114" s="1331" t="s">
        <v>700</v>
      </c>
      <c r="Q114" s="1314"/>
      <c r="R114" s="1311"/>
      <c r="S114" s="1313"/>
      <c r="T114" s="1331" t="s">
        <v>701</v>
      </c>
      <c r="U114" s="1314"/>
      <c r="V114" s="1311"/>
      <c r="W114" s="1313"/>
      <c r="X114" s="1314"/>
      <c r="Y114" s="1314"/>
      <c r="Z114" s="1311"/>
      <c r="AA114" s="1313"/>
      <c r="AB114" s="1314"/>
      <c r="AC114" s="1314"/>
      <c r="AD114" s="1314"/>
      <c r="AE114" s="1313"/>
      <c r="AF114" s="1314"/>
      <c r="AG114" s="1314"/>
      <c r="AH114" s="1316"/>
      <c r="AI114" s="1317"/>
    </row>
    <row r="115" spans="1:35" ht="21.95" customHeight="1">
      <c r="A115" s="580"/>
      <c r="B115" s="1333" t="s">
        <v>710</v>
      </c>
      <c r="C115" s="1313" t="s">
        <v>711</v>
      </c>
      <c r="D115" s="1331" t="s">
        <v>699</v>
      </c>
      <c r="E115" s="1314"/>
      <c r="F115" s="1311"/>
      <c r="G115" s="1313"/>
      <c r="H115" s="1331" t="s">
        <v>699</v>
      </c>
      <c r="I115" s="1314"/>
      <c r="J115" s="1311"/>
      <c r="K115" s="1313"/>
      <c r="L115" s="1331" t="s">
        <v>699</v>
      </c>
      <c r="M115" s="1314"/>
      <c r="N115" s="1311"/>
      <c r="O115" s="1313"/>
      <c r="P115" s="1331" t="s">
        <v>700</v>
      </c>
      <c r="Q115" s="1314"/>
      <c r="R115" s="1311"/>
      <c r="S115" s="1313"/>
      <c r="T115" s="1331" t="s">
        <v>701</v>
      </c>
      <c r="U115" s="1314"/>
      <c r="V115" s="1311"/>
      <c r="W115" s="1313"/>
      <c r="X115" s="1314"/>
      <c r="Y115" s="1314"/>
      <c r="Z115" s="1311"/>
      <c r="AA115" s="1313"/>
      <c r="AB115" s="1314"/>
      <c r="AC115" s="1314"/>
      <c r="AD115" s="1314"/>
      <c r="AE115" s="1313"/>
      <c r="AF115" s="1314"/>
      <c r="AG115" s="1314"/>
      <c r="AH115" s="1316"/>
      <c r="AI115" s="1317"/>
    </row>
    <row r="116" spans="1:35" ht="21.95" customHeight="1">
      <c r="A116" s="580"/>
      <c r="B116" s="1333" t="s">
        <v>712</v>
      </c>
      <c r="C116" s="1313" t="s">
        <v>544</v>
      </c>
      <c r="D116" s="1331" t="s">
        <v>699</v>
      </c>
      <c r="E116" s="1314"/>
      <c r="F116" s="1311"/>
      <c r="G116" s="1313"/>
      <c r="H116" s="1331" t="s">
        <v>699</v>
      </c>
      <c r="I116" s="1314"/>
      <c r="J116" s="1311"/>
      <c r="K116" s="1313"/>
      <c r="L116" s="1331" t="s">
        <v>699</v>
      </c>
      <c r="M116" s="1314"/>
      <c r="N116" s="1311"/>
      <c r="O116" s="1313"/>
      <c r="P116" s="1331" t="s">
        <v>700</v>
      </c>
      <c r="Q116" s="1314"/>
      <c r="R116" s="1311"/>
      <c r="S116" s="1313"/>
      <c r="T116" s="1331" t="s">
        <v>701</v>
      </c>
      <c r="U116" s="1314"/>
      <c r="V116" s="1311"/>
      <c r="W116" s="1313"/>
      <c r="X116" s="1314"/>
      <c r="Y116" s="1314"/>
      <c r="Z116" s="1311"/>
      <c r="AA116" s="1313"/>
      <c r="AB116" s="1314"/>
      <c r="AC116" s="1314"/>
      <c r="AD116" s="1314"/>
      <c r="AE116" s="1313"/>
      <c r="AF116" s="1314"/>
      <c r="AG116" s="1314"/>
      <c r="AH116" s="1316"/>
      <c r="AI116" s="1317"/>
    </row>
    <row r="117" spans="1:35" ht="21.95" customHeight="1" thickBot="1">
      <c r="A117" s="580"/>
      <c r="B117" s="587"/>
      <c r="C117" s="559"/>
      <c r="D117" s="541"/>
      <c r="E117" s="541"/>
      <c r="F117" s="541"/>
      <c r="G117" s="541"/>
      <c r="H117" s="541"/>
      <c r="I117" s="559"/>
      <c r="J117" s="559"/>
      <c r="K117" s="541"/>
      <c r="L117" s="541"/>
      <c r="M117" s="541"/>
      <c r="N117" s="541"/>
      <c r="O117" s="541"/>
      <c r="P117" s="541"/>
      <c r="Q117" s="559"/>
      <c r="R117" s="541"/>
      <c r="S117" s="541"/>
      <c r="T117" s="541"/>
      <c r="U117" s="541"/>
      <c r="V117" s="541"/>
      <c r="W117" s="559"/>
      <c r="X117" s="559"/>
      <c r="Y117" s="541"/>
      <c r="Z117" s="541"/>
      <c r="AA117" s="541"/>
      <c r="AB117" s="541"/>
      <c r="AC117" s="541"/>
      <c r="AD117" s="541"/>
      <c r="AE117" s="559"/>
      <c r="AF117" s="541"/>
      <c r="AG117" s="541"/>
      <c r="AH117" s="560"/>
      <c r="AI117" s="560"/>
    </row>
    <row r="118" spans="1:35" ht="21.95" customHeight="1">
      <c r="A118" s="1232"/>
      <c r="B118" s="1298" t="s">
        <v>480</v>
      </c>
      <c r="C118" s="1235">
        <v>1</v>
      </c>
      <c r="D118" s="1235">
        <v>2</v>
      </c>
      <c r="E118" s="1234">
        <v>3</v>
      </c>
      <c r="F118" s="1234">
        <v>4</v>
      </c>
      <c r="G118" s="1234">
        <v>5</v>
      </c>
      <c r="H118" s="1234">
        <v>6</v>
      </c>
      <c r="I118" s="1213">
        <v>7</v>
      </c>
      <c r="J118" s="1330">
        <v>8</v>
      </c>
      <c r="K118" s="1235">
        <v>9</v>
      </c>
      <c r="L118" s="1234">
        <v>10</v>
      </c>
      <c r="M118" s="1234">
        <v>11</v>
      </c>
      <c r="N118" s="1234">
        <v>12</v>
      </c>
      <c r="O118" s="1234">
        <v>13</v>
      </c>
      <c r="P118" s="1213">
        <v>14</v>
      </c>
      <c r="Q118" s="1330">
        <v>15</v>
      </c>
      <c r="R118" s="1235">
        <v>16</v>
      </c>
      <c r="S118" s="1234">
        <v>17</v>
      </c>
      <c r="T118" s="1234">
        <v>18</v>
      </c>
      <c r="U118" s="1234">
        <v>19</v>
      </c>
      <c r="V118" s="1213">
        <v>20</v>
      </c>
      <c r="W118" s="1213">
        <v>21</v>
      </c>
      <c r="X118" s="1330">
        <v>22</v>
      </c>
      <c r="Y118" s="1235">
        <v>23</v>
      </c>
      <c r="Z118" s="1234">
        <v>24</v>
      </c>
      <c r="AA118" s="1234">
        <v>25</v>
      </c>
      <c r="AB118" s="1234">
        <v>26</v>
      </c>
      <c r="AC118" s="1234">
        <v>27</v>
      </c>
      <c r="AD118" s="1213">
        <v>28</v>
      </c>
      <c r="AE118" s="1213"/>
      <c r="AF118" s="1234"/>
      <c r="AG118" s="1234"/>
      <c r="AH118" s="1301" t="s">
        <v>481</v>
      </c>
      <c r="AI118" s="1302" t="s">
        <v>482</v>
      </c>
    </row>
    <row r="119" spans="1:35" ht="21.95" customHeight="1">
      <c r="A119" s="580"/>
      <c r="B119" s="1299" t="s">
        <v>713</v>
      </c>
      <c r="C119" s="1313"/>
      <c r="D119" s="1313"/>
      <c r="E119" s="1379" t="s">
        <v>698</v>
      </c>
      <c r="F119" s="1379" t="s">
        <v>698</v>
      </c>
      <c r="G119" s="1379" t="s">
        <v>698</v>
      </c>
      <c r="H119" s="1379" t="s">
        <v>698</v>
      </c>
      <c r="I119" s="1379" t="s">
        <v>698</v>
      </c>
      <c r="J119" s="1313"/>
      <c r="K119" s="1313"/>
      <c r="L119" s="1313" t="s">
        <v>698</v>
      </c>
      <c r="M119" s="1313" t="s">
        <v>698</v>
      </c>
      <c r="N119" s="1313" t="s">
        <v>698</v>
      </c>
      <c r="O119" s="1313" t="s">
        <v>698</v>
      </c>
      <c r="P119" s="1313" t="s">
        <v>698</v>
      </c>
      <c r="Q119" s="1313"/>
      <c r="R119" s="1313"/>
      <c r="S119" s="1313" t="s">
        <v>698</v>
      </c>
      <c r="T119" s="1313" t="s">
        <v>698</v>
      </c>
      <c r="U119" s="1313" t="s">
        <v>698</v>
      </c>
      <c r="V119" s="1313" t="s">
        <v>698</v>
      </c>
      <c r="W119" s="1313" t="s">
        <v>698</v>
      </c>
      <c r="X119" s="1313"/>
      <c r="Y119" s="1313"/>
      <c r="Z119" s="1313" t="s">
        <v>698</v>
      </c>
      <c r="AA119" s="1313" t="s">
        <v>698</v>
      </c>
      <c r="AB119" s="1313" t="s">
        <v>698</v>
      </c>
      <c r="AC119" s="1313" t="s">
        <v>698</v>
      </c>
      <c r="AD119" s="1313" t="s">
        <v>698</v>
      </c>
      <c r="AE119" s="1313"/>
      <c r="AF119" s="1313"/>
      <c r="AG119" s="1313"/>
      <c r="AH119" s="504">
        <v>37</v>
      </c>
      <c r="AI119" s="505">
        <v>37</v>
      </c>
    </row>
    <row r="120" spans="1:35" ht="21.95" customHeight="1">
      <c r="A120" s="580"/>
      <c r="B120" s="1299" t="s">
        <v>714</v>
      </c>
      <c r="C120" s="1313"/>
      <c r="D120" s="1313"/>
      <c r="E120" s="1385" t="s">
        <v>698</v>
      </c>
      <c r="F120" s="1385" t="s">
        <v>698</v>
      </c>
      <c r="G120" s="1385" t="s">
        <v>698</v>
      </c>
      <c r="H120" s="1385" t="s">
        <v>698</v>
      </c>
      <c r="I120" s="1313" t="s">
        <v>698</v>
      </c>
      <c r="J120" s="1313"/>
      <c r="K120" s="1313"/>
      <c r="L120" s="1313" t="s">
        <v>698</v>
      </c>
      <c r="M120" s="1313" t="s">
        <v>698</v>
      </c>
      <c r="N120" s="1313" t="s">
        <v>698</v>
      </c>
      <c r="O120" s="1313" t="s">
        <v>698</v>
      </c>
      <c r="P120" s="1313" t="s">
        <v>698</v>
      </c>
      <c r="Q120" s="1313"/>
      <c r="R120" s="1313"/>
      <c r="S120" s="1313" t="s">
        <v>698</v>
      </c>
      <c r="T120" s="1313" t="s">
        <v>698</v>
      </c>
      <c r="U120" s="1379" t="s">
        <v>698</v>
      </c>
      <c r="V120" s="1379" t="s">
        <v>698</v>
      </c>
      <c r="W120" s="1379" t="s">
        <v>698</v>
      </c>
      <c r="X120" s="1379"/>
      <c r="Y120" s="1379"/>
      <c r="Z120" s="1379" t="s">
        <v>698</v>
      </c>
      <c r="AA120" s="1379" t="s">
        <v>698</v>
      </c>
      <c r="AB120" s="1313" t="s">
        <v>698</v>
      </c>
      <c r="AC120" s="1313" t="s">
        <v>698</v>
      </c>
      <c r="AD120" s="1313" t="s">
        <v>698</v>
      </c>
      <c r="AE120" s="1313"/>
      <c r="AF120" s="1313"/>
      <c r="AG120" s="1313"/>
      <c r="AH120" s="504">
        <v>122</v>
      </c>
      <c r="AI120" s="505">
        <v>37</v>
      </c>
    </row>
    <row r="121" spans="1:35" ht="21.95" customHeight="1">
      <c r="A121" s="580"/>
      <c r="B121" s="1299" t="s">
        <v>715</v>
      </c>
      <c r="C121" s="1313"/>
      <c r="D121" s="1313"/>
      <c r="E121" s="1313" t="s">
        <v>683</v>
      </c>
      <c r="F121" s="1313" t="s">
        <v>683</v>
      </c>
      <c r="G121" s="1313" t="s">
        <v>683</v>
      </c>
      <c r="H121" s="1384" t="s">
        <v>683</v>
      </c>
      <c r="I121" s="1313" t="s">
        <v>683</v>
      </c>
      <c r="J121" s="1313"/>
      <c r="K121" s="1313"/>
      <c r="L121" s="1313" t="s">
        <v>683</v>
      </c>
      <c r="M121" s="1313" t="s">
        <v>683</v>
      </c>
      <c r="N121" s="1313" t="s">
        <v>683</v>
      </c>
      <c r="O121" s="1313" t="s">
        <v>683</v>
      </c>
      <c r="P121" s="1313" t="s">
        <v>683</v>
      </c>
      <c r="Q121" s="1313"/>
      <c r="R121" s="1313"/>
      <c r="S121" s="1379" t="s">
        <v>683</v>
      </c>
      <c r="T121" s="1379" t="s">
        <v>683</v>
      </c>
      <c r="U121" s="1379" t="s">
        <v>683</v>
      </c>
      <c r="V121" s="1379" t="s">
        <v>683</v>
      </c>
      <c r="W121" s="1379" t="s">
        <v>683</v>
      </c>
      <c r="X121" s="1313"/>
      <c r="Y121" s="1313"/>
      <c r="Z121" s="1313" t="s">
        <v>683</v>
      </c>
      <c r="AA121" s="1313" t="s">
        <v>683</v>
      </c>
      <c r="AB121" s="1313" t="s">
        <v>683</v>
      </c>
      <c r="AC121" s="1313" t="s">
        <v>683</v>
      </c>
      <c r="AD121" s="1313" t="s">
        <v>683</v>
      </c>
      <c r="AE121" s="1313"/>
      <c r="AF121" s="1313"/>
      <c r="AG121" s="1313"/>
      <c r="AH121" s="504">
        <v>96</v>
      </c>
      <c r="AI121" s="505">
        <v>37</v>
      </c>
    </row>
    <row r="122" spans="1:35" ht="21.95" customHeight="1">
      <c r="A122" s="580"/>
      <c r="B122" s="1299" t="s">
        <v>730</v>
      </c>
      <c r="C122" s="1555"/>
      <c r="D122" s="1555"/>
      <c r="E122" s="1555" t="s">
        <v>547</v>
      </c>
      <c r="F122" s="1555" t="s">
        <v>547</v>
      </c>
      <c r="G122" s="1555" t="s">
        <v>547</v>
      </c>
      <c r="H122" s="1555" t="s">
        <v>547</v>
      </c>
      <c r="I122" s="1555" t="s">
        <v>547</v>
      </c>
      <c r="J122" s="1555"/>
      <c r="K122" s="1555"/>
      <c r="L122" s="1555" t="s">
        <v>547</v>
      </c>
      <c r="M122" s="1555" t="s">
        <v>547</v>
      </c>
      <c r="N122" s="1555" t="s">
        <v>547</v>
      </c>
      <c r="O122" s="1555" t="s">
        <v>547</v>
      </c>
      <c r="P122" s="1555" t="s">
        <v>547</v>
      </c>
      <c r="Q122" s="1555"/>
      <c r="R122" s="1555"/>
      <c r="S122" s="1555" t="s">
        <v>547</v>
      </c>
      <c r="T122" s="1555" t="s">
        <v>547</v>
      </c>
      <c r="U122" s="1555" t="s">
        <v>547</v>
      </c>
      <c r="V122" s="1555" t="s">
        <v>547</v>
      </c>
      <c r="W122" s="1555" t="s">
        <v>547</v>
      </c>
      <c r="X122" s="1555"/>
      <c r="Y122" s="1555"/>
      <c r="Z122" s="1555" t="s">
        <v>547</v>
      </c>
      <c r="AA122" s="1555" t="s">
        <v>547</v>
      </c>
      <c r="AB122" s="1555" t="s">
        <v>547</v>
      </c>
      <c r="AC122" s="1555" t="s">
        <v>547</v>
      </c>
      <c r="AD122" s="1555" t="s">
        <v>547</v>
      </c>
      <c r="AE122" s="1313"/>
      <c r="AF122" s="1313"/>
      <c r="AG122" s="1313"/>
      <c r="AH122" s="504">
        <v>9</v>
      </c>
      <c r="AI122" s="505">
        <v>37</v>
      </c>
    </row>
    <row r="123" spans="1:35" ht="21.95" customHeight="1">
      <c r="A123" s="580"/>
      <c r="B123" s="1300" t="s">
        <v>717</v>
      </c>
      <c r="C123" s="1313"/>
      <c r="D123" s="1313"/>
      <c r="E123" s="1313" t="s">
        <v>685</v>
      </c>
      <c r="F123" s="1313" t="s">
        <v>685</v>
      </c>
      <c r="G123" s="1313" t="s">
        <v>685</v>
      </c>
      <c r="H123" s="1385" t="s">
        <v>685</v>
      </c>
      <c r="I123" s="1313" t="s">
        <v>685</v>
      </c>
      <c r="J123" s="1313"/>
      <c r="K123" s="1313"/>
      <c r="L123" s="1313" t="s">
        <v>685</v>
      </c>
      <c r="M123" s="1313" t="s">
        <v>685</v>
      </c>
      <c r="N123" s="1313" t="s">
        <v>685</v>
      </c>
      <c r="O123" s="1313" t="s">
        <v>685</v>
      </c>
      <c r="P123" s="1313" t="s">
        <v>685</v>
      </c>
      <c r="Q123" s="1313"/>
      <c r="R123" s="1313"/>
      <c r="S123" s="1313" t="s">
        <v>685</v>
      </c>
      <c r="T123" s="1313" t="s">
        <v>685</v>
      </c>
      <c r="U123" s="1313" t="s">
        <v>685</v>
      </c>
      <c r="V123" s="1313" t="s">
        <v>685</v>
      </c>
      <c r="W123" s="1313" t="s">
        <v>685</v>
      </c>
      <c r="X123" s="1313"/>
      <c r="Y123" s="1313"/>
      <c r="Z123" s="1313" t="s">
        <v>685</v>
      </c>
      <c r="AA123" s="1313" t="s">
        <v>685</v>
      </c>
      <c r="AB123" s="1313" t="s">
        <v>685</v>
      </c>
      <c r="AC123" s="1313" t="s">
        <v>685</v>
      </c>
      <c r="AD123" s="1313" t="s">
        <v>685</v>
      </c>
      <c r="AE123" s="1313"/>
      <c r="AF123" s="1313"/>
      <c r="AG123" s="1313"/>
      <c r="AH123" s="504">
        <v>17</v>
      </c>
      <c r="AI123" s="505">
        <v>37</v>
      </c>
    </row>
    <row r="124" spans="1:35" ht="21.95" customHeight="1">
      <c r="A124" s="580"/>
      <c r="B124" s="1299" t="s">
        <v>718</v>
      </c>
      <c r="C124" s="1313"/>
      <c r="D124" s="1313"/>
      <c r="E124" s="1446" t="s">
        <v>684</v>
      </c>
      <c r="F124" s="1446" t="s">
        <v>684</v>
      </c>
      <c r="G124" s="1446" t="s">
        <v>684</v>
      </c>
      <c r="H124" s="1446" t="s">
        <v>810</v>
      </c>
      <c r="I124" s="1646" t="s">
        <v>684</v>
      </c>
      <c r="J124" s="1313"/>
      <c r="K124" s="1313"/>
      <c r="L124" s="1313" t="s">
        <v>684</v>
      </c>
      <c r="M124" s="1313" t="s">
        <v>684</v>
      </c>
      <c r="N124" s="1313" t="s">
        <v>684</v>
      </c>
      <c r="O124" s="1313" t="s">
        <v>684</v>
      </c>
      <c r="P124" s="1313" t="s">
        <v>684</v>
      </c>
      <c r="Q124" s="1313"/>
      <c r="R124" s="1313"/>
      <c r="S124" s="1446" t="s">
        <v>810</v>
      </c>
      <c r="T124" s="1313" t="s">
        <v>684</v>
      </c>
      <c r="U124" s="1313" t="s">
        <v>684</v>
      </c>
      <c r="V124" s="1313" t="s">
        <v>684</v>
      </c>
      <c r="W124" s="1313" t="s">
        <v>684</v>
      </c>
      <c r="X124" s="1313"/>
      <c r="Y124" s="1313"/>
      <c r="Z124" s="1446" t="s">
        <v>684</v>
      </c>
      <c r="AA124" s="1446" t="s">
        <v>684</v>
      </c>
      <c r="AB124" s="1446" t="s">
        <v>684</v>
      </c>
      <c r="AC124" s="1446" t="s">
        <v>684</v>
      </c>
      <c r="AD124" s="1446" t="s">
        <v>810</v>
      </c>
      <c r="AE124" s="1313"/>
      <c r="AF124" s="1313"/>
      <c r="AG124" s="1313"/>
      <c r="AH124" s="504">
        <v>185</v>
      </c>
      <c r="AI124" s="505">
        <v>37</v>
      </c>
    </row>
    <row r="125" spans="1:35" ht="21.95" customHeight="1">
      <c r="A125" s="580"/>
      <c r="B125" s="1300" t="s">
        <v>719</v>
      </c>
      <c r="C125" s="1313"/>
      <c r="D125" s="1313"/>
      <c r="E125" s="1313" t="s">
        <v>539</v>
      </c>
      <c r="F125" s="1313" t="s">
        <v>539</v>
      </c>
      <c r="G125" s="1313" t="s">
        <v>539</v>
      </c>
      <c r="H125" s="1385" t="s">
        <v>539</v>
      </c>
      <c r="I125" s="1313" t="s">
        <v>539</v>
      </c>
      <c r="J125" s="1313"/>
      <c r="K125" s="1313"/>
      <c r="L125" s="1313" t="s">
        <v>539</v>
      </c>
      <c r="M125" s="1313" t="s">
        <v>539</v>
      </c>
      <c r="N125" s="1313" t="s">
        <v>539</v>
      </c>
      <c r="O125" s="1313" t="s">
        <v>539</v>
      </c>
      <c r="P125" s="1313" t="s">
        <v>539</v>
      </c>
      <c r="Q125" s="1313"/>
      <c r="R125" s="1313"/>
      <c r="S125" s="1313" t="s">
        <v>539</v>
      </c>
      <c r="T125" s="1313" t="s">
        <v>539</v>
      </c>
      <c r="U125" s="1313" t="s">
        <v>539</v>
      </c>
      <c r="V125" s="1313" t="s">
        <v>539</v>
      </c>
      <c r="W125" s="1313" t="s">
        <v>539</v>
      </c>
      <c r="X125" s="1313"/>
      <c r="Y125" s="1313"/>
      <c r="Z125" s="1313" t="s">
        <v>539</v>
      </c>
      <c r="AA125" s="1313" t="s">
        <v>539</v>
      </c>
      <c r="AB125" s="1313" t="s">
        <v>539</v>
      </c>
      <c r="AC125" s="1313" t="s">
        <v>539</v>
      </c>
      <c r="AD125" s="1313" t="s">
        <v>539</v>
      </c>
      <c r="AE125" s="1313"/>
      <c r="AF125" s="1313"/>
      <c r="AG125" s="1313"/>
      <c r="AH125" s="504">
        <v>61</v>
      </c>
      <c r="AI125" s="505">
        <v>37</v>
      </c>
    </row>
    <row r="126" spans="1:35" ht="21.95" customHeight="1">
      <c r="A126" s="580"/>
      <c r="B126" s="1299" t="s">
        <v>720</v>
      </c>
      <c r="C126" s="1313"/>
      <c r="D126" s="1313"/>
      <c r="E126" s="1313" t="s">
        <v>540</v>
      </c>
      <c r="F126" s="1313" t="s">
        <v>540</v>
      </c>
      <c r="G126" s="1313" t="s">
        <v>540</v>
      </c>
      <c r="H126" s="1385" t="s">
        <v>540</v>
      </c>
      <c r="I126" s="1313" t="s">
        <v>540</v>
      </c>
      <c r="J126" s="1313"/>
      <c r="K126" s="1313"/>
      <c r="L126" s="1379" t="s">
        <v>540</v>
      </c>
      <c r="M126" s="1379" t="s">
        <v>540</v>
      </c>
      <c r="N126" s="1379" t="s">
        <v>540</v>
      </c>
      <c r="O126" s="1379" t="s">
        <v>540</v>
      </c>
      <c r="P126" s="1379" t="s">
        <v>540</v>
      </c>
      <c r="Q126" s="1379"/>
      <c r="R126" s="1379"/>
      <c r="S126" s="1628" t="s">
        <v>540</v>
      </c>
      <c r="T126" s="1628" t="s">
        <v>540</v>
      </c>
      <c r="U126" s="1628" t="s">
        <v>540</v>
      </c>
      <c r="V126" s="1628" t="s">
        <v>540</v>
      </c>
      <c r="W126" s="1628" t="s">
        <v>540</v>
      </c>
      <c r="X126" s="1628"/>
      <c r="Y126" s="1628"/>
      <c r="Z126" s="1313" t="s">
        <v>540</v>
      </c>
      <c r="AA126" s="1313" t="s">
        <v>540</v>
      </c>
      <c r="AB126" s="1313" t="s">
        <v>540</v>
      </c>
      <c r="AC126" s="1313" t="s">
        <v>540</v>
      </c>
      <c r="AD126" s="1313" t="s">
        <v>540</v>
      </c>
      <c r="AE126" s="1313"/>
      <c r="AF126" s="1313"/>
      <c r="AG126" s="1313"/>
      <c r="AH126" s="504">
        <v>9.43</v>
      </c>
      <c r="AI126" s="505">
        <v>37</v>
      </c>
    </row>
    <row r="127" spans="1:35" ht="21.95" customHeight="1">
      <c r="A127" s="580"/>
      <c r="B127" s="1299" t="s">
        <v>572</v>
      </c>
      <c r="C127" s="1313"/>
      <c r="D127" s="1313"/>
      <c r="E127" s="1313" t="s">
        <v>708</v>
      </c>
      <c r="F127" s="1313" t="s">
        <v>708</v>
      </c>
      <c r="G127" s="1313" t="s">
        <v>708</v>
      </c>
      <c r="H127" s="1385" t="s">
        <v>708</v>
      </c>
      <c r="I127" s="1313" t="s">
        <v>708</v>
      </c>
      <c r="J127" s="1313"/>
      <c r="K127" s="1313"/>
      <c r="L127" s="1313" t="s">
        <v>708</v>
      </c>
      <c r="M127" s="1313" t="s">
        <v>708</v>
      </c>
      <c r="N127" s="1313" t="s">
        <v>708</v>
      </c>
      <c r="O127" s="1313" t="s">
        <v>708</v>
      </c>
      <c r="P127" s="1313" t="s">
        <v>708</v>
      </c>
      <c r="Q127" s="1313"/>
      <c r="R127" s="1313"/>
      <c r="S127" s="1313" t="s">
        <v>708</v>
      </c>
      <c r="T127" s="1313" t="s">
        <v>708</v>
      </c>
      <c r="U127" s="1313" t="s">
        <v>708</v>
      </c>
      <c r="V127" s="1313" t="s">
        <v>708</v>
      </c>
      <c r="W127" s="1313" t="s">
        <v>708</v>
      </c>
      <c r="X127" s="1313"/>
      <c r="Y127" s="1313"/>
      <c r="Z127" s="1313" t="s">
        <v>708</v>
      </c>
      <c r="AA127" s="1313" t="s">
        <v>708</v>
      </c>
      <c r="AB127" s="1313" t="s">
        <v>708</v>
      </c>
      <c r="AC127" s="1313" t="s">
        <v>708</v>
      </c>
      <c r="AD127" s="1313" t="s">
        <v>708</v>
      </c>
      <c r="AE127" s="1313"/>
      <c r="AF127" s="1313"/>
      <c r="AG127" s="1313"/>
      <c r="AH127" s="504">
        <v>3</v>
      </c>
      <c r="AI127" s="505">
        <v>37</v>
      </c>
    </row>
    <row r="128" spans="1:35" ht="21.95" customHeight="1">
      <c r="A128" s="580"/>
      <c r="B128" s="1299" t="s">
        <v>722</v>
      </c>
      <c r="C128" s="1313"/>
      <c r="D128" s="1313"/>
      <c r="E128" s="1313" t="s">
        <v>538</v>
      </c>
      <c r="F128" s="1313" t="s">
        <v>538</v>
      </c>
      <c r="G128" s="1313" t="s">
        <v>538</v>
      </c>
      <c r="H128" s="1385" t="s">
        <v>538</v>
      </c>
      <c r="I128" s="1313" t="s">
        <v>538</v>
      </c>
      <c r="J128" s="1313"/>
      <c r="K128" s="1313"/>
      <c r="L128" s="1313" t="s">
        <v>538</v>
      </c>
      <c r="M128" s="1313" t="s">
        <v>538</v>
      </c>
      <c r="N128" s="1313" t="s">
        <v>538</v>
      </c>
      <c r="O128" s="1313" t="s">
        <v>538</v>
      </c>
      <c r="P128" s="1313" t="s">
        <v>538</v>
      </c>
      <c r="Q128" s="1313"/>
      <c r="R128" s="1313"/>
      <c r="S128" s="1313" t="s">
        <v>538</v>
      </c>
      <c r="T128" s="1313" t="s">
        <v>538</v>
      </c>
      <c r="U128" s="1313" t="s">
        <v>538</v>
      </c>
      <c r="V128" s="1313" t="s">
        <v>538</v>
      </c>
      <c r="W128" s="1313" t="s">
        <v>538</v>
      </c>
      <c r="X128" s="1313"/>
      <c r="Y128" s="1313"/>
      <c r="Z128" s="1313" t="s">
        <v>538</v>
      </c>
      <c r="AA128" s="1313" t="s">
        <v>538</v>
      </c>
      <c r="AB128" s="1313" t="s">
        <v>538</v>
      </c>
      <c r="AC128" s="1313" t="s">
        <v>538</v>
      </c>
      <c r="AD128" s="1313" t="s">
        <v>538</v>
      </c>
      <c r="AE128" s="1313"/>
      <c r="AF128" s="1313"/>
      <c r="AG128" s="1313"/>
      <c r="AH128" s="504">
        <v>45</v>
      </c>
      <c r="AI128" s="505">
        <v>37</v>
      </c>
    </row>
    <row r="129" spans="1:35" ht="21.95" customHeight="1">
      <c r="A129" s="580"/>
      <c r="B129" s="1299" t="s">
        <v>723</v>
      </c>
      <c r="C129" s="1313"/>
      <c r="D129" s="1313"/>
      <c r="E129" s="1313" t="s">
        <v>711</v>
      </c>
      <c r="F129" s="1313" t="s">
        <v>711</v>
      </c>
      <c r="G129" s="1313" t="s">
        <v>711</v>
      </c>
      <c r="H129" s="1385" t="s">
        <v>711</v>
      </c>
      <c r="I129" s="1313" t="s">
        <v>711</v>
      </c>
      <c r="J129" s="1313"/>
      <c r="K129" s="1313"/>
      <c r="L129" s="1313" t="s">
        <v>711</v>
      </c>
      <c r="M129" s="1313" t="s">
        <v>711</v>
      </c>
      <c r="N129" s="1313" t="s">
        <v>711</v>
      </c>
      <c r="O129" s="1313" t="s">
        <v>711</v>
      </c>
      <c r="P129" s="1313" t="s">
        <v>711</v>
      </c>
      <c r="Q129" s="1313"/>
      <c r="R129" s="1313"/>
      <c r="S129" s="1313" t="s">
        <v>711</v>
      </c>
      <c r="T129" s="1313" t="s">
        <v>711</v>
      </c>
      <c r="U129" s="1446" t="s">
        <v>711</v>
      </c>
      <c r="V129" s="1446" t="s">
        <v>711</v>
      </c>
      <c r="W129" s="1446" t="s">
        <v>711</v>
      </c>
      <c r="X129" s="1446"/>
      <c r="Y129" s="1446"/>
      <c r="Z129" s="1446" t="s">
        <v>732</v>
      </c>
      <c r="AA129" s="1313" t="s">
        <v>711</v>
      </c>
      <c r="AB129" s="1313" t="s">
        <v>711</v>
      </c>
      <c r="AC129" s="1313" t="s">
        <v>711</v>
      </c>
      <c r="AD129" s="1313" t="s">
        <v>711</v>
      </c>
      <c r="AE129" s="1313"/>
      <c r="AF129" s="1313"/>
      <c r="AG129" s="1313"/>
      <c r="AH129" s="504">
        <v>81</v>
      </c>
      <c r="AI129" s="505">
        <v>32</v>
      </c>
    </row>
    <row r="130" spans="1:35" ht="21.95" customHeight="1">
      <c r="A130" s="580"/>
      <c r="B130" s="1299" t="s">
        <v>724</v>
      </c>
      <c r="C130" s="1313"/>
      <c r="D130" s="1313"/>
      <c r="E130" s="1313" t="s">
        <v>544</v>
      </c>
      <c r="F130" s="1313" t="s">
        <v>544</v>
      </c>
      <c r="G130" s="1313" t="s">
        <v>544</v>
      </c>
      <c r="H130" s="1385" t="s">
        <v>544</v>
      </c>
      <c r="I130" s="1313" t="s">
        <v>544</v>
      </c>
      <c r="J130" s="1313"/>
      <c r="K130" s="1313"/>
      <c r="L130" s="1313" t="s">
        <v>544</v>
      </c>
      <c r="M130" s="1313" t="s">
        <v>544</v>
      </c>
      <c r="N130" s="1313" t="s">
        <v>544</v>
      </c>
      <c r="O130" s="1313" t="s">
        <v>544</v>
      </c>
      <c r="P130" s="1313" t="s">
        <v>544</v>
      </c>
      <c r="Q130" s="1313"/>
      <c r="R130" s="1313"/>
      <c r="S130" s="1313" t="s">
        <v>544</v>
      </c>
      <c r="T130" s="1313" t="s">
        <v>544</v>
      </c>
      <c r="U130" s="1313" t="s">
        <v>544</v>
      </c>
      <c r="V130" s="1313" t="s">
        <v>544</v>
      </c>
      <c r="W130" s="1313" t="s">
        <v>544</v>
      </c>
      <c r="X130" s="1313"/>
      <c r="Y130" s="1313"/>
      <c r="Z130" s="1379" t="s">
        <v>544</v>
      </c>
      <c r="AA130" s="1379" t="s">
        <v>544</v>
      </c>
      <c r="AB130" s="1379" t="s">
        <v>544</v>
      </c>
      <c r="AC130" s="1379" t="s">
        <v>544</v>
      </c>
      <c r="AD130" s="1379" t="s">
        <v>544</v>
      </c>
      <c r="AE130" s="1313"/>
      <c r="AF130" s="1313"/>
      <c r="AG130" s="1313"/>
      <c r="AH130" s="504">
        <v>0</v>
      </c>
      <c r="AI130" s="505">
        <v>17</v>
      </c>
    </row>
    <row r="131" spans="1:35" ht="21.95" customHeight="1">
      <c r="A131" s="580"/>
      <c r="B131" s="1502"/>
      <c r="C131" s="559"/>
      <c r="D131" s="559"/>
      <c r="E131" s="559"/>
      <c r="F131" s="559"/>
      <c r="G131" s="559"/>
      <c r="H131" s="559"/>
      <c r="I131" s="559"/>
      <c r="J131" s="559"/>
      <c r="K131" s="559"/>
      <c r="L131" s="559"/>
      <c r="M131" s="559"/>
      <c r="N131" s="559"/>
      <c r="O131" s="559"/>
      <c r="P131" s="559"/>
      <c r="Q131" s="559"/>
      <c r="R131" s="559"/>
      <c r="S131" s="559"/>
      <c r="T131" s="559"/>
      <c r="U131" s="559"/>
      <c r="V131" s="559"/>
      <c r="W131" s="559"/>
      <c r="X131" s="559"/>
      <c r="Y131" s="559"/>
      <c r="Z131" s="559"/>
      <c r="AA131" s="559"/>
      <c r="AB131" s="559"/>
      <c r="AC131" s="559"/>
      <c r="AD131" s="559"/>
      <c r="AE131" s="559"/>
      <c r="AF131" s="559"/>
      <c r="AG131" s="559"/>
      <c r="AH131" s="560"/>
      <c r="AI131" s="560"/>
    </row>
    <row r="132" spans="1:35" ht="21.95" customHeight="1" thickBot="1">
      <c r="A132" s="1303" t="s">
        <v>744</v>
      </c>
      <c r="B132" s="541" t="s">
        <v>763</v>
      </c>
      <c r="C132" s="559"/>
      <c r="D132" s="541"/>
      <c r="E132" s="541"/>
      <c r="F132" s="541"/>
      <c r="G132" s="541"/>
      <c r="H132" s="541"/>
      <c r="I132" s="559"/>
      <c r="J132" s="559"/>
      <c r="K132" s="541"/>
      <c r="L132" s="541"/>
      <c r="M132" s="541"/>
      <c r="N132" s="541"/>
      <c r="O132" s="541"/>
      <c r="P132" s="541"/>
      <c r="Q132" s="559"/>
      <c r="R132" s="541"/>
      <c r="S132" s="541"/>
      <c r="T132" s="541"/>
      <c r="U132" s="541"/>
      <c r="V132" s="541"/>
      <c r="W132" s="559"/>
      <c r="X132" s="559"/>
      <c r="Y132" s="541"/>
      <c r="Z132" s="541"/>
      <c r="AA132" s="541"/>
      <c r="AB132" s="541"/>
      <c r="AC132" s="541"/>
      <c r="AD132" s="541"/>
      <c r="AE132" s="559"/>
      <c r="AF132" s="541"/>
      <c r="AG132" s="541"/>
      <c r="AH132" s="560"/>
      <c r="AI132" s="560"/>
    </row>
    <row r="133" spans="1:35" ht="21.95" customHeight="1">
      <c r="A133" s="580"/>
      <c r="B133" s="1304" t="s">
        <v>696</v>
      </c>
      <c r="C133" s="1312"/>
      <c r="D133" s="1305" t="s">
        <v>2</v>
      </c>
      <c r="E133" s="1306"/>
      <c r="F133" s="1307"/>
      <c r="G133" s="1308"/>
      <c r="H133" s="1305" t="s">
        <v>3</v>
      </c>
      <c r="I133" s="1306"/>
      <c r="J133" s="1307"/>
      <c r="K133" s="1308"/>
      <c r="L133" s="1305" t="s">
        <v>4</v>
      </c>
      <c r="M133" s="1306"/>
      <c r="N133" s="1307"/>
      <c r="O133" s="1308"/>
      <c r="P133" s="1305" t="s">
        <v>5</v>
      </c>
      <c r="Q133" s="1306"/>
      <c r="R133" s="1307"/>
      <c r="S133" s="1308"/>
      <c r="T133" s="1305" t="s">
        <v>6</v>
      </c>
      <c r="U133" s="1306"/>
      <c r="V133" s="1307"/>
      <c r="W133" s="1308"/>
      <c r="X133" s="1305" t="s">
        <v>7</v>
      </c>
      <c r="Y133" s="1306"/>
      <c r="Z133" s="1307"/>
      <c r="AA133" s="1308"/>
      <c r="AB133" s="1305" t="s">
        <v>8</v>
      </c>
      <c r="AC133" s="1306"/>
      <c r="AD133" s="1306"/>
      <c r="AE133" s="1309" t="s">
        <v>10</v>
      </c>
      <c r="AF133" s="1306"/>
      <c r="AG133" s="1306"/>
      <c r="AH133" s="1306"/>
      <c r="AI133" s="1310"/>
    </row>
    <row r="134" spans="1:35" ht="21.95" customHeight="1">
      <c r="A134" s="580"/>
      <c r="B134" s="1332"/>
      <c r="C134" s="1313"/>
      <c r="D134" s="1331"/>
      <c r="E134" s="1314"/>
      <c r="F134" s="1311"/>
      <c r="G134" s="1313"/>
      <c r="H134" s="1331"/>
      <c r="I134" s="1314"/>
      <c r="J134" s="1311"/>
      <c r="K134" s="1313"/>
      <c r="L134" s="1331"/>
      <c r="M134" s="1314"/>
      <c r="N134" s="1311"/>
      <c r="O134" s="1313"/>
      <c r="P134" s="1331"/>
      <c r="Q134" s="1314"/>
      <c r="R134" s="1311"/>
      <c r="S134" s="1313"/>
      <c r="T134" s="1331"/>
      <c r="U134" s="1314"/>
      <c r="V134" s="1311"/>
      <c r="W134" s="1313"/>
      <c r="X134" s="1314"/>
      <c r="Y134" s="1314"/>
      <c r="Z134" s="1311"/>
      <c r="AA134" s="1313"/>
      <c r="AB134" s="1314"/>
      <c r="AC134" s="1314"/>
      <c r="AD134" s="1314"/>
      <c r="AE134" s="1313"/>
      <c r="AF134" s="1314"/>
      <c r="AG134" s="1314"/>
      <c r="AH134" s="1316"/>
      <c r="AI134" s="1317"/>
    </row>
    <row r="135" spans="1:35" ht="21.95" customHeight="1">
      <c r="A135" s="580"/>
      <c r="B135" s="1333"/>
      <c r="C135" s="1313"/>
      <c r="D135" s="1331"/>
      <c r="E135" s="1314"/>
      <c r="F135" s="1311"/>
      <c r="G135" s="1313"/>
      <c r="H135" s="1331"/>
      <c r="I135" s="1314"/>
      <c r="J135" s="1311"/>
      <c r="K135" s="1313"/>
      <c r="L135" s="1331"/>
      <c r="M135" s="1314"/>
      <c r="N135" s="1311"/>
      <c r="O135" s="1313"/>
      <c r="P135" s="1331"/>
      <c r="Q135" s="1314"/>
      <c r="R135" s="1311"/>
      <c r="S135" s="1313"/>
      <c r="T135" s="1331"/>
      <c r="U135" s="1314"/>
      <c r="V135" s="1311"/>
      <c r="W135" s="1313"/>
      <c r="X135" s="1314"/>
      <c r="Y135" s="1314"/>
      <c r="Z135" s="1311"/>
      <c r="AA135" s="1313"/>
      <c r="AB135" s="1314"/>
      <c r="AC135" s="1314"/>
      <c r="AD135" s="1314"/>
      <c r="AE135" s="1313"/>
      <c r="AF135" s="1314"/>
      <c r="AG135" s="1314"/>
      <c r="AH135" s="1316"/>
      <c r="AI135" s="1317"/>
    </row>
    <row r="136" spans="1:35" ht="21.95" customHeight="1">
      <c r="A136" s="580"/>
      <c r="B136" s="1333"/>
      <c r="C136" s="1313"/>
      <c r="D136" s="1331"/>
      <c r="E136" s="1314"/>
      <c r="F136" s="1311"/>
      <c r="G136" s="1313"/>
      <c r="H136" s="1331"/>
      <c r="I136" s="1314"/>
      <c r="J136" s="1311"/>
      <c r="K136" s="1313"/>
      <c r="L136" s="1331"/>
      <c r="M136" s="1314"/>
      <c r="N136" s="1311"/>
      <c r="O136" s="1313"/>
      <c r="P136" s="1331"/>
      <c r="Q136" s="1314"/>
      <c r="R136" s="1311"/>
      <c r="S136" s="1313"/>
      <c r="T136" s="1331"/>
      <c r="U136" s="1314"/>
      <c r="V136" s="1311"/>
      <c r="W136" s="1313"/>
      <c r="X136" s="1314"/>
      <c r="Y136" s="1314"/>
      <c r="Z136" s="1311"/>
      <c r="AA136" s="1313"/>
      <c r="AB136" s="1314"/>
      <c r="AC136" s="1314"/>
      <c r="AD136" s="1314"/>
      <c r="AE136" s="1313"/>
      <c r="AF136" s="1314"/>
      <c r="AG136" s="1314"/>
      <c r="AH136" s="1316"/>
      <c r="AI136" s="1317"/>
    </row>
    <row r="137" spans="1:35" ht="21.95" customHeight="1" thickBot="1">
      <c r="A137" s="580"/>
      <c r="B137" s="1502"/>
      <c r="C137" s="559"/>
      <c r="D137" s="559"/>
      <c r="E137" s="559"/>
      <c r="F137" s="559"/>
      <c r="G137" s="559"/>
      <c r="H137" s="559"/>
      <c r="I137" s="559"/>
      <c r="J137" s="559"/>
      <c r="K137" s="559"/>
      <c r="L137" s="559"/>
      <c r="M137" s="559"/>
      <c r="N137" s="559"/>
      <c r="O137" s="559"/>
      <c r="P137" s="559"/>
      <c r="Q137" s="559"/>
      <c r="R137" s="559"/>
      <c r="S137" s="559"/>
      <c r="T137" s="559"/>
      <c r="U137" s="559"/>
      <c r="V137" s="559"/>
      <c r="W137" s="559"/>
      <c r="X137" s="559"/>
      <c r="Y137" s="559"/>
      <c r="Z137" s="559"/>
      <c r="AA137" s="559"/>
      <c r="AB137" s="559"/>
      <c r="AC137" s="559"/>
      <c r="AD137" s="559"/>
      <c r="AE137" s="559"/>
      <c r="AF137" s="559"/>
      <c r="AG137" s="559"/>
      <c r="AH137" s="560"/>
      <c r="AI137" s="560"/>
    </row>
    <row r="138" spans="1:35" ht="21.95" customHeight="1">
      <c r="A138" s="1232"/>
      <c r="B138" s="1298" t="s">
        <v>480</v>
      </c>
      <c r="C138" s="1235">
        <v>1</v>
      </c>
      <c r="D138" s="1235">
        <v>2</v>
      </c>
      <c r="E138" s="1234">
        <v>3</v>
      </c>
      <c r="F138" s="1234">
        <v>4</v>
      </c>
      <c r="G138" s="1234">
        <v>5</v>
      </c>
      <c r="H138" s="1234">
        <v>6</v>
      </c>
      <c r="I138" s="1213">
        <v>7</v>
      </c>
      <c r="J138" s="1330">
        <v>8</v>
      </c>
      <c r="K138" s="1235">
        <v>9</v>
      </c>
      <c r="L138" s="1234">
        <v>10</v>
      </c>
      <c r="M138" s="1234">
        <v>11</v>
      </c>
      <c r="N138" s="1234">
        <v>12</v>
      </c>
      <c r="O138" s="1234">
        <v>13</v>
      </c>
      <c r="P138" s="1213">
        <v>14</v>
      </c>
      <c r="Q138" s="1330">
        <v>15</v>
      </c>
      <c r="R138" s="1235">
        <v>16</v>
      </c>
      <c r="S138" s="1234">
        <v>17</v>
      </c>
      <c r="T138" s="1234">
        <v>18</v>
      </c>
      <c r="U138" s="1234">
        <v>19</v>
      </c>
      <c r="V138" s="1213">
        <v>20</v>
      </c>
      <c r="W138" s="1213">
        <v>21</v>
      </c>
      <c r="X138" s="1330">
        <v>22</v>
      </c>
      <c r="Y138" s="1235">
        <v>23</v>
      </c>
      <c r="Z138" s="1234">
        <v>24</v>
      </c>
      <c r="AA138" s="1234">
        <v>25</v>
      </c>
      <c r="AB138" s="1234">
        <v>26</v>
      </c>
      <c r="AC138" s="1234">
        <v>27</v>
      </c>
      <c r="AD138" s="1213">
        <v>28</v>
      </c>
      <c r="AE138" s="1213"/>
      <c r="AF138" s="1234"/>
      <c r="AG138" s="1234"/>
      <c r="AH138" s="1301" t="s">
        <v>481</v>
      </c>
      <c r="AI138" s="1302" t="s">
        <v>482</v>
      </c>
    </row>
    <row r="139" spans="1:35" ht="21.95" customHeight="1">
      <c r="A139" s="580"/>
      <c r="B139" s="1300" t="s">
        <v>746</v>
      </c>
      <c r="C139" s="1215"/>
      <c r="D139" s="1215"/>
      <c r="E139" s="1215" t="s">
        <v>535</v>
      </c>
      <c r="F139" s="1215" t="s">
        <v>535</v>
      </c>
      <c r="G139" s="1215" t="s">
        <v>535</v>
      </c>
      <c r="H139" s="1215" t="s">
        <v>535</v>
      </c>
      <c r="I139" s="1215" t="s">
        <v>535</v>
      </c>
      <c r="J139" s="1215"/>
      <c r="K139" s="1215"/>
      <c r="L139" s="1215" t="s">
        <v>535</v>
      </c>
      <c r="M139" s="1215" t="s">
        <v>535</v>
      </c>
      <c r="N139" s="1215" t="s">
        <v>535</v>
      </c>
      <c r="O139" s="1215" t="s">
        <v>535</v>
      </c>
      <c r="P139" s="1215" t="s">
        <v>535</v>
      </c>
      <c r="Q139" s="1215"/>
      <c r="R139" s="1215"/>
      <c r="S139" s="1338" t="s">
        <v>535</v>
      </c>
      <c r="T139" s="1338" t="s">
        <v>535</v>
      </c>
      <c r="U139" s="1338" t="s">
        <v>535</v>
      </c>
      <c r="V139" s="1338" t="s">
        <v>535</v>
      </c>
      <c r="W139" s="1338" t="s">
        <v>535</v>
      </c>
      <c r="X139" s="1215"/>
      <c r="Y139" s="1215"/>
      <c r="Z139" s="1215" t="s">
        <v>535</v>
      </c>
      <c r="AA139" s="1215" t="s">
        <v>535</v>
      </c>
      <c r="AB139" s="1215" t="s">
        <v>535</v>
      </c>
      <c r="AC139" s="1215" t="s">
        <v>535</v>
      </c>
      <c r="AD139" s="1215" t="s">
        <v>535</v>
      </c>
      <c r="AE139" s="1215"/>
      <c r="AF139" s="1215"/>
      <c r="AG139" s="1215"/>
      <c r="AH139" s="504">
        <v>30</v>
      </c>
      <c r="AI139" s="505">
        <v>37</v>
      </c>
    </row>
    <row r="140" spans="1:35" ht="21.95" customHeight="1">
      <c r="A140" s="580"/>
      <c r="B140" s="1300" t="s">
        <v>764</v>
      </c>
      <c r="C140" s="1215"/>
      <c r="D140" s="1215"/>
      <c r="E140" s="1215" t="s">
        <v>535</v>
      </c>
      <c r="F140" s="1215" t="s">
        <v>535</v>
      </c>
      <c r="G140" s="1215" t="s">
        <v>535</v>
      </c>
      <c r="H140" s="1215" t="s">
        <v>535</v>
      </c>
      <c r="I140" s="1215" t="s">
        <v>535</v>
      </c>
      <c r="J140" s="1215"/>
      <c r="K140" s="1215"/>
      <c r="L140" s="1215" t="s">
        <v>535</v>
      </c>
      <c r="M140" s="1215" t="s">
        <v>535</v>
      </c>
      <c r="N140" s="1215" t="s">
        <v>535</v>
      </c>
      <c r="O140" s="1215" t="s">
        <v>535</v>
      </c>
      <c r="P140" s="1215" t="s">
        <v>535</v>
      </c>
      <c r="Q140" s="1215"/>
      <c r="R140" s="1215"/>
      <c r="S140" s="1215" t="s">
        <v>535</v>
      </c>
      <c r="T140" s="1215" t="s">
        <v>535</v>
      </c>
      <c r="U140" s="1215" t="s">
        <v>535</v>
      </c>
      <c r="V140" s="1215" t="s">
        <v>535</v>
      </c>
      <c r="W140" s="1215" t="s">
        <v>535</v>
      </c>
      <c r="X140" s="1215"/>
      <c r="Y140" s="1215"/>
      <c r="Z140" s="1215" t="s">
        <v>535</v>
      </c>
      <c r="AA140" s="1215" t="s">
        <v>535</v>
      </c>
      <c r="AB140" s="1215" t="s">
        <v>535</v>
      </c>
      <c r="AC140" s="1215" t="s">
        <v>535</v>
      </c>
      <c r="AD140" s="1215" t="s">
        <v>535</v>
      </c>
      <c r="AE140" s="1215"/>
      <c r="AF140" s="1215"/>
      <c r="AG140" s="1215"/>
      <c r="AH140" s="504">
        <v>0</v>
      </c>
      <c r="AI140" s="505">
        <v>0</v>
      </c>
    </row>
    <row r="141" spans="1:35" ht="21.95" customHeight="1">
      <c r="A141" s="580"/>
      <c r="B141" s="1300" t="s">
        <v>748</v>
      </c>
      <c r="C141" s="1215"/>
      <c r="D141" s="1215"/>
      <c r="E141" s="1215" t="s">
        <v>535</v>
      </c>
      <c r="F141" s="1215" t="s">
        <v>535</v>
      </c>
      <c r="G141" s="1215" t="s">
        <v>535</v>
      </c>
      <c r="H141" s="1215" t="s">
        <v>535</v>
      </c>
      <c r="I141" s="1215" t="s">
        <v>535</v>
      </c>
      <c r="J141" s="1215"/>
      <c r="K141" s="1215"/>
      <c r="L141" s="1215" t="s">
        <v>535</v>
      </c>
      <c r="M141" s="1215" t="s">
        <v>535</v>
      </c>
      <c r="N141" s="1215" t="s">
        <v>535</v>
      </c>
      <c r="O141" s="1215" t="s">
        <v>535</v>
      </c>
      <c r="P141" s="1215" t="s">
        <v>535</v>
      </c>
      <c r="Q141" s="1215"/>
      <c r="R141" s="1215"/>
      <c r="S141" s="1215" t="s">
        <v>535</v>
      </c>
      <c r="T141" s="1215" t="s">
        <v>535</v>
      </c>
      <c r="U141" s="1215" t="s">
        <v>535</v>
      </c>
      <c r="V141" s="1215" t="s">
        <v>535</v>
      </c>
      <c r="W141" s="1215" t="s">
        <v>535</v>
      </c>
      <c r="X141" s="1215"/>
      <c r="Y141" s="1215"/>
      <c r="Z141" s="1215" t="s">
        <v>535</v>
      </c>
      <c r="AA141" s="1215" t="s">
        <v>535</v>
      </c>
      <c r="AB141" s="1215" t="s">
        <v>535</v>
      </c>
      <c r="AC141" s="1215" t="s">
        <v>535</v>
      </c>
      <c r="AD141" s="1215" t="s">
        <v>535</v>
      </c>
      <c r="AE141" s="1215"/>
      <c r="AF141" s="1215"/>
      <c r="AG141" s="1215"/>
      <c r="AH141" s="504">
        <v>59</v>
      </c>
      <c r="AI141" s="505">
        <v>37</v>
      </c>
    </row>
    <row r="142" spans="1:35" ht="21.95" customHeight="1">
      <c r="A142" s="580"/>
      <c r="B142" s="1509" t="s">
        <v>750</v>
      </c>
      <c r="C142" s="1215"/>
      <c r="D142" s="1215"/>
      <c r="E142" s="1215" t="s">
        <v>535</v>
      </c>
      <c r="F142" s="1215" t="s">
        <v>535</v>
      </c>
      <c r="G142" s="1215" t="s">
        <v>535</v>
      </c>
      <c r="H142" s="1215" t="s">
        <v>535</v>
      </c>
      <c r="I142" s="1215" t="s">
        <v>535</v>
      </c>
      <c r="J142" s="1215"/>
      <c r="K142" s="1215"/>
      <c r="L142" s="1215" t="s">
        <v>535</v>
      </c>
      <c r="M142" s="1215" t="s">
        <v>535</v>
      </c>
      <c r="N142" s="1215" t="s">
        <v>535</v>
      </c>
      <c r="O142" s="1215" t="s">
        <v>535</v>
      </c>
      <c r="P142" s="1215" t="s">
        <v>535</v>
      </c>
      <c r="Q142" s="1215"/>
      <c r="R142" s="1215"/>
      <c r="S142" s="1215" t="s">
        <v>535</v>
      </c>
      <c r="T142" s="1215" t="s">
        <v>535</v>
      </c>
      <c r="U142" s="1215" t="s">
        <v>535</v>
      </c>
      <c r="V142" s="1215" t="s">
        <v>535</v>
      </c>
      <c r="W142" s="1215" t="s">
        <v>535</v>
      </c>
      <c r="X142" s="1215"/>
      <c r="Y142" s="1215"/>
      <c r="Z142" s="1345" t="s">
        <v>535</v>
      </c>
      <c r="AA142" s="1345" t="s">
        <v>535</v>
      </c>
      <c r="AB142" s="1345" t="s">
        <v>535</v>
      </c>
      <c r="AC142" s="1345" t="s">
        <v>535</v>
      </c>
      <c r="AD142" s="1345" t="s">
        <v>535</v>
      </c>
      <c r="AE142" s="1215"/>
      <c r="AF142" s="1215"/>
      <c r="AG142" s="1215"/>
      <c r="AH142" s="504">
        <v>37</v>
      </c>
      <c r="AI142" s="505">
        <v>37</v>
      </c>
    </row>
    <row r="143" spans="1:35" ht="21.95" customHeight="1">
      <c r="A143" s="580"/>
      <c r="B143" s="1300" t="s">
        <v>786</v>
      </c>
      <c r="C143" s="1215"/>
      <c r="D143" s="1215"/>
      <c r="E143" s="1215" t="s">
        <v>535</v>
      </c>
      <c r="F143" s="1215" t="s">
        <v>535</v>
      </c>
      <c r="G143" s="1215" t="s">
        <v>535</v>
      </c>
      <c r="H143" s="1215" t="s">
        <v>535</v>
      </c>
      <c r="I143" s="1215" t="s">
        <v>535</v>
      </c>
      <c r="J143" s="1215"/>
      <c r="K143" s="1215"/>
      <c r="L143" s="1215" t="s">
        <v>535</v>
      </c>
      <c r="M143" s="1215" t="s">
        <v>535</v>
      </c>
      <c r="N143" s="1215" t="s">
        <v>535</v>
      </c>
      <c r="O143" s="1215" t="s">
        <v>535</v>
      </c>
      <c r="P143" s="1215" t="s">
        <v>535</v>
      </c>
      <c r="Q143" s="1215"/>
      <c r="R143" s="1215"/>
      <c r="S143" s="1215" t="s">
        <v>535</v>
      </c>
      <c r="T143" s="1215" t="s">
        <v>535</v>
      </c>
      <c r="U143" s="1215" t="s">
        <v>535</v>
      </c>
      <c r="V143" s="1215" t="s">
        <v>535</v>
      </c>
      <c r="W143" s="1215" t="s">
        <v>535</v>
      </c>
      <c r="X143" s="1215"/>
      <c r="Y143" s="1215"/>
      <c r="Z143" s="1215" t="s">
        <v>535</v>
      </c>
      <c r="AA143" s="1215" t="s">
        <v>535</v>
      </c>
      <c r="AB143" s="1215" t="s">
        <v>535</v>
      </c>
      <c r="AC143" s="1215" t="s">
        <v>535</v>
      </c>
      <c r="AD143" s="1215" t="s">
        <v>535</v>
      </c>
      <c r="AE143" s="1215"/>
      <c r="AF143" s="1215"/>
      <c r="AG143" s="1215"/>
      <c r="AH143" s="504"/>
      <c r="AI143" s="505"/>
    </row>
    <row r="144" spans="1:35" ht="21.95" customHeight="1">
      <c r="A144" s="580"/>
      <c r="B144" s="1299" t="s">
        <v>820</v>
      </c>
      <c r="C144" s="1215"/>
      <c r="D144" s="1215"/>
      <c r="E144" s="1215" t="s">
        <v>535</v>
      </c>
      <c r="F144" s="1215" t="s">
        <v>535</v>
      </c>
      <c r="G144" s="1215" t="s">
        <v>535</v>
      </c>
      <c r="H144" s="1215" t="s">
        <v>535</v>
      </c>
      <c r="I144" s="1215" t="s">
        <v>535</v>
      </c>
      <c r="J144" s="1215"/>
      <c r="K144" s="1215"/>
      <c r="L144" s="1215" t="s">
        <v>535</v>
      </c>
      <c r="M144" s="1215" t="s">
        <v>535</v>
      </c>
      <c r="N144" s="1215" t="s">
        <v>535</v>
      </c>
      <c r="O144" s="1215" t="s">
        <v>535</v>
      </c>
      <c r="P144" s="1215" t="s">
        <v>535</v>
      </c>
      <c r="Q144" s="1215"/>
      <c r="R144" s="1215"/>
      <c r="S144" s="1215" t="s">
        <v>535</v>
      </c>
      <c r="T144" s="1215" t="s">
        <v>535</v>
      </c>
      <c r="U144" s="1215" t="s">
        <v>535</v>
      </c>
      <c r="V144" s="1215" t="s">
        <v>535</v>
      </c>
      <c r="W144" s="1215" t="s">
        <v>535</v>
      </c>
      <c r="X144" s="1215"/>
      <c r="Y144" s="1215"/>
      <c r="Z144" s="1215" t="s">
        <v>535</v>
      </c>
      <c r="AA144" s="1215" t="s">
        <v>535</v>
      </c>
      <c r="AB144" s="1215" t="s">
        <v>535</v>
      </c>
      <c r="AC144" s="1215" t="s">
        <v>535</v>
      </c>
      <c r="AD144" s="1215" t="s">
        <v>535</v>
      </c>
      <c r="AE144" s="1215"/>
      <c r="AF144" s="1215"/>
      <c r="AG144" s="1215"/>
      <c r="AH144" s="504">
        <v>81</v>
      </c>
      <c r="AI144" s="505">
        <v>37</v>
      </c>
    </row>
    <row r="145" spans="1:36" ht="21.95" customHeight="1">
      <c r="A145" s="580"/>
      <c r="B145" s="1502"/>
      <c r="C145" s="559"/>
      <c r="D145" s="559"/>
      <c r="E145" s="559"/>
      <c r="F145" s="559"/>
      <c r="G145" s="559"/>
      <c r="H145" s="559"/>
      <c r="I145" s="559"/>
      <c r="J145" s="559"/>
      <c r="K145" s="559"/>
      <c r="L145" s="559"/>
      <c r="M145" s="559"/>
      <c r="N145" s="559"/>
      <c r="O145" s="559"/>
      <c r="P145" s="559"/>
      <c r="Q145" s="559"/>
      <c r="R145" s="559"/>
      <c r="S145" s="559"/>
      <c r="T145" s="559"/>
      <c r="U145" s="559"/>
      <c r="V145" s="559"/>
      <c r="W145" s="559"/>
      <c r="X145" s="559"/>
      <c r="Y145" s="559"/>
      <c r="Z145" s="559"/>
      <c r="AA145" s="559"/>
      <c r="AB145" s="559"/>
      <c r="AC145" s="559"/>
      <c r="AD145" s="559"/>
      <c r="AE145" s="559"/>
      <c r="AF145" s="559"/>
      <c r="AG145" s="559"/>
      <c r="AH145" s="560"/>
      <c r="AI145" s="560"/>
    </row>
    <row r="146" spans="1:36" ht="21.95" customHeight="1" thickBot="1">
      <c r="A146" s="1303" t="s">
        <v>751</v>
      </c>
      <c r="B146" s="541"/>
      <c r="C146" s="559"/>
      <c r="D146" s="541"/>
      <c r="E146" s="541"/>
      <c r="F146" s="541"/>
      <c r="G146" s="541"/>
      <c r="H146" s="541"/>
      <c r="I146" s="559"/>
      <c r="J146" s="559"/>
      <c r="K146" s="541"/>
      <c r="L146" s="541"/>
      <c r="M146" s="541"/>
      <c r="N146" s="541"/>
      <c r="O146" s="541"/>
      <c r="P146" s="541"/>
      <c r="Q146" s="559"/>
      <c r="R146" s="541"/>
      <c r="S146" s="541"/>
      <c r="T146" s="541"/>
      <c r="U146" s="541"/>
      <c r="V146" s="541"/>
      <c r="W146" s="559"/>
      <c r="X146" s="559"/>
      <c r="Y146" s="541"/>
      <c r="Z146" s="541"/>
      <c r="AA146" s="541"/>
      <c r="AB146" s="541"/>
      <c r="AC146" s="541"/>
      <c r="AD146" s="541"/>
      <c r="AE146" s="559"/>
      <c r="AF146" s="541"/>
      <c r="AG146" s="541"/>
      <c r="AH146" s="560"/>
      <c r="AI146" s="560"/>
    </row>
    <row r="147" spans="1:36" ht="21.95" customHeight="1">
      <c r="A147" s="580"/>
      <c r="B147" s="1304" t="s">
        <v>696</v>
      </c>
      <c r="C147" s="1312"/>
      <c r="D147" s="1305" t="s">
        <v>2</v>
      </c>
      <c r="E147" s="1306"/>
      <c r="F147" s="1307"/>
      <c r="G147" s="1308"/>
      <c r="H147" s="1305" t="s">
        <v>3</v>
      </c>
      <c r="I147" s="1306"/>
      <c r="J147" s="1307"/>
      <c r="K147" s="1308"/>
      <c r="L147" s="1305" t="s">
        <v>4</v>
      </c>
      <c r="M147" s="1306"/>
      <c r="N147" s="1307"/>
      <c r="O147" s="1308"/>
      <c r="P147" s="1305" t="s">
        <v>5</v>
      </c>
      <c r="Q147" s="1306"/>
      <c r="R147" s="1307"/>
      <c r="S147" s="1308"/>
      <c r="T147" s="1305" t="s">
        <v>6</v>
      </c>
      <c r="U147" s="1306"/>
      <c r="V147" s="1307"/>
      <c r="W147" s="1308"/>
      <c r="X147" s="1305" t="s">
        <v>7</v>
      </c>
      <c r="Y147" s="1306"/>
      <c r="Z147" s="1307"/>
      <c r="AA147" s="1308"/>
      <c r="AB147" s="1305" t="s">
        <v>8</v>
      </c>
      <c r="AC147" s="1306"/>
      <c r="AD147" s="1306"/>
      <c r="AE147" s="1309" t="s">
        <v>10</v>
      </c>
      <c r="AF147" s="1306"/>
      <c r="AG147" s="1306"/>
      <c r="AH147" s="1306"/>
      <c r="AI147" s="1310"/>
    </row>
    <row r="148" spans="1:36" ht="21.95" customHeight="1">
      <c r="A148" s="580"/>
      <c r="B148" s="1332"/>
      <c r="C148" s="1313"/>
      <c r="D148" s="1331"/>
      <c r="E148" s="1314"/>
      <c r="F148" s="1311"/>
      <c r="G148" s="1313"/>
      <c r="H148" s="1331"/>
      <c r="I148" s="1314"/>
      <c r="J148" s="1311"/>
      <c r="K148" s="1313"/>
      <c r="L148" s="1331"/>
      <c r="M148" s="1314"/>
      <c r="N148" s="1311"/>
      <c r="O148" s="1313"/>
      <c r="P148" s="1331"/>
      <c r="Q148" s="1314"/>
      <c r="R148" s="1311"/>
      <c r="S148" s="1313"/>
      <c r="T148" s="1331"/>
      <c r="U148" s="1314"/>
      <c r="V148" s="1311"/>
      <c r="W148" s="1313"/>
      <c r="X148" s="1314"/>
      <c r="Y148" s="1314"/>
      <c r="Z148" s="1311"/>
      <c r="AA148" s="1313"/>
      <c r="AB148" s="1314"/>
      <c r="AC148" s="1314"/>
      <c r="AD148" s="1314"/>
      <c r="AE148" s="1313"/>
      <c r="AF148" s="1314"/>
      <c r="AG148" s="1314"/>
      <c r="AH148" s="1316"/>
      <c r="AI148" s="1317"/>
    </row>
    <row r="149" spans="1:36" ht="21.95" customHeight="1">
      <c r="A149" s="580"/>
      <c r="B149" s="1333"/>
      <c r="C149" s="1313"/>
      <c r="D149" s="1331"/>
      <c r="E149" s="1314"/>
      <c r="F149" s="1311"/>
      <c r="G149" s="1313"/>
      <c r="H149" s="1331"/>
      <c r="I149" s="1314"/>
      <c r="J149" s="1311"/>
      <c r="K149" s="1313"/>
      <c r="L149" s="1331"/>
      <c r="M149" s="1314"/>
      <c r="N149" s="1311"/>
      <c r="O149" s="1313"/>
      <c r="P149" s="1331"/>
      <c r="Q149" s="1314"/>
      <c r="R149" s="1311"/>
      <c r="S149" s="1313"/>
      <c r="T149" s="1331"/>
      <c r="U149" s="1314"/>
      <c r="V149" s="1311"/>
      <c r="W149" s="1313"/>
      <c r="X149" s="1314"/>
      <c r="Y149" s="1314"/>
      <c r="Z149" s="1311"/>
      <c r="AA149" s="1313"/>
      <c r="AB149" s="1314"/>
      <c r="AC149" s="1314"/>
      <c r="AD149" s="1314"/>
      <c r="AE149" s="1313"/>
      <c r="AF149" s="1314"/>
      <c r="AG149" s="1314"/>
      <c r="AH149" s="1316"/>
      <c r="AI149" s="1317"/>
    </row>
    <row r="150" spans="1:36" ht="21.95" customHeight="1">
      <c r="A150" s="580"/>
      <c r="B150" s="1333"/>
      <c r="C150" s="1313"/>
      <c r="D150" s="1331"/>
      <c r="E150" s="1314"/>
      <c r="F150" s="1311"/>
      <c r="G150" s="1313"/>
      <c r="H150" s="1331"/>
      <c r="I150" s="1314"/>
      <c r="J150" s="1311"/>
      <c r="K150" s="1313"/>
      <c r="L150" s="1331"/>
      <c r="M150" s="1314"/>
      <c r="N150" s="1311"/>
      <c r="O150" s="1313"/>
      <c r="P150" s="1331"/>
      <c r="Q150" s="1314"/>
      <c r="R150" s="1311"/>
      <c r="S150" s="1313"/>
      <c r="T150" s="1331"/>
      <c r="U150" s="1314"/>
      <c r="V150" s="1311"/>
      <c r="W150" s="1313"/>
      <c r="X150" s="1314"/>
      <c r="Y150" s="1314"/>
      <c r="Z150" s="1311"/>
      <c r="AA150" s="1313"/>
      <c r="AB150" s="1314"/>
      <c r="AC150" s="1314"/>
      <c r="AD150" s="1314"/>
      <c r="AE150" s="1313"/>
      <c r="AF150" s="1314"/>
      <c r="AG150" s="1314"/>
      <c r="AH150" s="1316"/>
      <c r="AI150" s="1317"/>
    </row>
    <row r="151" spans="1:36" ht="21.95" customHeight="1" thickBot="1">
      <c r="A151" s="580"/>
      <c r="B151" s="1502"/>
      <c r="C151" s="559"/>
      <c r="D151" s="559"/>
      <c r="E151" s="559"/>
      <c r="F151" s="559"/>
      <c r="G151" s="559"/>
      <c r="H151" s="559"/>
      <c r="I151" s="559"/>
      <c r="J151" s="559"/>
      <c r="K151" s="559"/>
      <c r="L151" s="559"/>
      <c r="M151" s="559"/>
      <c r="N151" s="559"/>
      <c r="O151" s="559"/>
      <c r="P151" s="559"/>
      <c r="Q151" s="559"/>
      <c r="R151" s="559"/>
      <c r="S151" s="559"/>
      <c r="T151" s="559"/>
      <c r="U151" s="559"/>
      <c r="V151" s="559"/>
      <c r="W151" s="559"/>
      <c r="X151" s="559"/>
      <c r="Y151" s="559"/>
      <c r="Z151" s="559"/>
      <c r="AA151" s="559"/>
      <c r="AB151" s="559"/>
      <c r="AC151" s="559"/>
      <c r="AD151" s="559"/>
      <c r="AE151" s="559"/>
      <c r="AF151" s="559"/>
      <c r="AG151" s="559"/>
      <c r="AH151" s="560"/>
      <c r="AI151" s="560"/>
    </row>
    <row r="152" spans="1:36" ht="21.95" customHeight="1">
      <c r="A152" s="1232"/>
      <c r="B152" s="1298" t="s">
        <v>480</v>
      </c>
      <c r="C152" s="1235">
        <v>1</v>
      </c>
      <c r="D152" s="1235">
        <v>2</v>
      </c>
      <c r="E152" s="1234">
        <v>3</v>
      </c>
      <c r="F152" s="1234">
        <v>4</v>
      </c>
      <c r="G152" s="1234">
        <v>5</v>
      </c>
      <c r="H152" s="1234">
        <v>6</v>
      </c>
      <c r="I152" s="1213">
        <v>7</v>
      </c>
      <c r="J152" s="1330">
        <v>8</v>
      </c>
      <c r="K152" s="1235">
        <v>9</v>
      </c>
      <c r="L152" s="1234">
        <v>10</v>
      </c>
      <c r="M152" s="1234">
        <v>11</v>
      </c>
      <c r="N152" s="1234">
        <v>12</v>
      </c>
      <c r="O152" s="1234">
        <v>13</v>
      </c>
      <c r="P152" s="1213">
        <v>14</v>
      </c>
      <c r="Q152" s="1330">
        <v>15</v>
      </c>
      <c r="R152" s="1235">
        <v>16</v>
      </c>
      <c r="S152" s="1234">
        <v>17</v>
      </c>
      <c r="T152" s="1234">
        <v>18</v>
      </c>
      <c r="U152" s="1234">
        <v>19</v>
      </c>
      <c r="V152" s="1213">
        <v>20</v>
      </c>
      <c r="W152" s="1213">
        <v>21</v>
      </c>
      <c r="X152" s="1330">
        <v>22</v>
      </c>
      <c r="Y152" s="1235">
        <v>23</v>
      </c>
      <c r="Z152" s="1234">
        <v>24</v>
      </c>
      <c r="AA152" s="1234">
        <v>25</v>
      </c>
      <c r="AB152" s="1234">
        <v>26</v>
      </c>
      <c r="AC152" s="1234">
        <v>27</v>
      </c>
      <c r="AD152" s="1213">
        <v>28</v>
      </c>
      <c r="AE152" s="1213"/>
      <c r="AF152" s="1234"/>
      <c r="AG152" s="1234"/>
      <c r="AH152" s="1301" t="s">
        <v>481</v>
      </c>
      <c r="AI152" s="1302" t="s">
        <v>482</v>
      </c>
    </row>
    <row r="153" spans="1:36" ht="21.95" customHeight="1">
      <c r="A153" s="580"/>
      <c r="B153" s="1319" t="s">
        <v>752</v>
      </c>
      <c r="C153" s="1215"/>
      <c r="D153" s="1215"/>
      <c r="E153" s="1215" t="s">
        <v>535</v>
      </c>
      <c r="F153" s="1215" t="s">
        <v>535</v>
      </c>
      <c r="G153" s="1215" t="s">
        <v>535</v>
      </c>
      <c r="H153" s="1215" t="s">
        <v>535</v>
      </c>
      <c r="I153" s="1215" t="s">
        <v>535</v>
      </c>
      <c r="J153" s="1215"/>
      <c r="K153" s="1215"/>
      <c r="L153" s="1215" t="s">
        <v>535</v>
      </c>
      <c r="M153" s="1215" t="s">
        <v>535</v>
      </c>
      <c r="N153" s="1215" t="s">
        <v>535</v>
      </c>
      <c r="O153" s="1215" t="s">
        <v>535</v>
      </c>
      <c r="P153" s="1215" t="s">
        <v>535</v>
      </c>
      <c r="Q153" s="1215"/>
      <c r="R153" s="1215"/>
      <c r="S153" s="1215" t="s">
        <v>535</v>
      </c>
      <c r="T153" s="1215" t="s">
        <v>535</v>
      </c>
      <c r="U153" s="1215" t="s">
        <v>535</v>
      </c>
      <c r="V153" s="1215" t="s">
        <v>535</v>
      </c>
      <c r="W153" s="1215" t="s">
        <v>535</v>
      </c>
      <c r="X153" s="1215"/>
      <c r="Y153" s="1215"/>
      <c r="Z153" s="1215" t="s">
        <v>535</v>
      </c>
      <c r="AA153" s="1215" t="s">
        <v>535</v>
      </c>
      <c r="AB153" s="1215" t="s">
        <v>535</v>
      </c>
      <c r="AC153" s="1215" t="s">
        <v>535</v>
      </c>
      <c r="AD153" s="1215" t="s">
        <v>535</v>
      </c>
      <c r="AE153" s="1215"/>
      <c r="AF153" s="1215"/>
      <c r="AG153" s="1215"/>
      <c r="AH153" s="504">
        <v>74</v>
      </c>
      <c r="AI153" s="505">
        <v>37</v>
      </c>
    </row>
    <row r="154" spans="1:36" ht="21.95" customHeight="1">
      <c r="A154" s="580"/>
      <c r="B154" s="1319"/>
      <c r="C154" s="1215"/>
      <c r="D154" s="1215"/>
      <c r="E154" s="1215" t="s">
        <v>535</v>
      </c>
      <c r="F154" s="1215" t="s">
        <v>535</v>
      </c>
      <c r="G154" s="1215" t="s">
        <v>535</v>
      </c>
      <c r="H154" s="1215" t="s">
        <v>535</v>
      </c>
      <c r="I154" s="1215" t="s">
        <v>535</v>
      </c>
      <c r="J154" s="1215"/>
      <c r="K154" s="1215"/>
      <c r="L154" s="1215" t="s">
        <v>535</v>
      </c>
      <c r="M154" s="1215" t="s">
        <v>535</v>
      </c>
      <c r="N154" s="1215" t="s">
        <v>535</v>
      </c>
      <c r="O154" s="1215" t="s">
        <v>535</v>
      </c>
      <c r="P154" s="1215" t="s">
        <v>535</v>
      </c>
      <c r="Q154" s="1215"/>
      <c r="R154" s="1215"/>
      <c r="S154" s="1215" t="s">
        <v>535</v>
      </c>
      <c r="T154" s="1215" t="s">
        <v>535</v>
      </c>
      <c r="U154" s="1215" t="s">
        <v>535</v>
      </c>
      <c r="V154" s="1215" t="s">
        <v>535</v>
      </c>
      <c r="W154" s="1215" t="s">
        <v>535</v>
      </c>
      <c r="X154" s="1215"/>
      <c r="Y154" s="1215"/>
      <c r="Z154" s="1215" t="s">
        <v>535</v>
      </c>
      <c r="AA154" s="1215" t="s">
        <v>535</v>
      </c>
      <c r="AB154" s="1215" t="s">
        <v>535</v>
      </c>
      <c r="AC154" s="1215" t="s">
        <v>535</v>
      </c>
      <c r="AD154" s="1215" t="s">
        <v>535</v>
      </c>
      <c r="AE154" s="1215"/>
      <c r="AF154" s="1215"/>
      <c r="AG154" s="1215"/>
      <c r="AH154" s="504"/>
      <c r="AI154" s="505"/>
    </row>
    <row r="155" spans="1:36" ht="21.95" customHeight="1">
      <c r="A155" s="580"/>
      <c r="B155" s="1510" t="s">
        <v>754</v>
      </c>
      <c r="C155" s="1215"/>
      <c r="D155" s="1215"/>
      <c r="E155" s="1215" t="s">
        <v>535</v>
      </c>
      <c r="F155" s="1215" t="s">
        <v>535</v>
      </c>
      <c r="G155" s="1215" t="s">
        <v>535</v>
      </c>
      <c r="H155" s="1215" t="s">
        <v>535</v>
      </c>
      <c r="I155" s="1215" t="s">
        <v>535</v>
      </c>
      <c r="J155" s="1215"/>
      <c r="K155" s="1215"/>
      <c r="L155" s="1215" t="s">
        <v>535</v>
      </c>
      <c r="M155" s="1215" t="s">
        <v>535</v>
      </c>
      <c r="N155" s="1215" t="s">
        <v>535</v>
      </c>
      <c r="O155" s="1215" t="s">
        <v>535</v>
      </c>
      <c r="P155" s="1215" t="s">
        <v>535</v>
      </c>
      <c r="Q155" s="1215"/>
      <c r="R155" s="1215"/>
      <c r="S155" s="1215" t="s">
        <v>535</v>
      </c>
      <c r="T155" s="1215" t="s">
        <v>535</v>
      </c>
      <c r="U155" s="1215" t="s">
        <v>535</v>
      </c>
      <c r="V155" s="1215" t="s">
        <v>535</v>
      </c>
      <c r="W155" s="1215" t="s">
        <v>535</v>
      </c>
      <c r="X155" s="1215"/>
      <c r="Y155" s="1215"/>
      <c r="Z155" s="1215" t="s">
        <v>535</v>
      </c>
      <c r="AA155" s="1215" t="s">
        <v>535</v>
      </c>
      <c r="AB155" s="1215" t="s">
        <v>535</v>
      </c>
      <c r="AC155" s="1215" t="s">
        <v>535</v>
      </c>
      <c r="AD155" s="1215" t="s">
        <v>535</v>
      </c>
      <c r="AE155" s="1215"/>
      <c r="AF155" s="1215"/>
      <c r="AG155" s="1215"/>
      <c r="AH155" s="504">
        <v>1</v>
      </c>
      <c r="AI155" s="505">
        <v>29</v>
      </c>
    </row>
    <row r="156" spans="1:36" ht="21.95" customHeight="1">
      <c r="A156" s="580"/>
      <c r="B156" s="1299" t="s">
        <v>755</v>
      </c>
      <c r="C156" s="1215"/>
      <c r="D156" s="1215"/>
      <c r="E156" s="1215" t="s">
        <v>535</v>
      </c>
      <c r="F156" s="1215" t="s">
        <v>535</v>
      </c>
      <c r="G156" s="1215" t="s">
        <v>535</v>
      </c>
      <c r="H156" s="1215" t="s">
        <v>535</v>
      </c>
      <c r="I156" s="1215" t="s">
        <v>535</v>
      </c>
      <c r="J156" s="1215"/>
      <c r="K156" s="1215"/>
      <c r="L156" s="1345" t="s">
        <v>535</v>
      </c>
      <c r="M156" s="1215" t="s">
        <v>535</v>
      </c>
      <c r="N156" s="1215" t="s">
        <v>535</v>
      </c>
      <c r="O156" s="1215" t="s">
        <v>535</v>
      </c>
      <c r="P156" s="1215" t="s">
        <v>535</v>
      </c>
      <c r="Q156" s="1215"/>
      <c r="R156" s="1215"/>
      <c r="S156" s="1215" t="s">
        <v>535</v>
      </c>
      <c r="T156" s="1215" t="s">
        <v>535</v>
      </c>
      <c r="U156" s="1215" t="s">
        <v>535</v>
      </c>
      <c r="V156" s="1215" t="s">
        <v>535</v>
      </c>
      <c r="W156" s="1215" t="s">
        <v>535</v>
      </c>
      <c r="X156" s="1215"/>
      <c r="Y156" s="1215"/>
      <c r="Z156" s="1215" t="s">
        <v>535</v>
      </c>
      <c r="AA156" s="1215" t="s">
        <v>535</v>
      </c>
      <c r="AB156" s="1215" t="s">
        <v>535</v>
      </c>
      <c r="AC156" s="1215" t="s">
        <v>535</v>
      </c>
      <c r="AD156" s="1345" t="s">
        <v>535</v>
      </c>
      <c r="AE156" s="1215"/>
      <c r="AF156" s="1215"/>
      <c r="AG156" s="1215"/>
      <c r="AH156" s="504">
        <v>66</v>
      </c>
      <c r="AI156" s="505">
        <v>0.5</v>
      </c>
    </row>
    <row r="157" spans="1:36" ht="21.95" customHeight="1">
      <c r="A157" s="580"/>
      <c r="B157" s="1300" t="s">
        <v>756</v>
      </c>
      <c r="C157" s="1215"/>
      <c r="D157" s="1215"/>
      <c r="E157" s="1215" t="s">
        <v>535</v>
      </c>
      <c r="F157" s="1215" t="s">
        <v>535</v>
      </c>
      <c r="G157" s="1215" t="s">
        <v>535</v>
      </c>
      <c r="H157" s="1215" t="s">
        <v>535</v>
      </c>
      <c r="I157" s="1215" t="s">
        <v>535</v>
      </c>
      <c r="J157" s="1215"/>
      <c r="K157" s="1215"/>
      <c r="L157" s="1215" t="s">
        <v>535</v>
      </c>
      <c r="M157" s="1215" t="s">
        <v>535</v>
      </c>
      <c r="N157" s="1215" t="s">
        <v>535</v>
      </c>
      <c r="O157" s="1345" t="s">
        <v>535</v>
      </c>
      <c r="P157" s="1215" t="s">
        <v>535</v>
      </c>
      <c r="Q157" s="1215"/>
      <c r="R157" s="1215"/>
      <c r="S157" s="1215" t="s">
        <v>535</v>
      </c>
      <c r="T157" s="1215" t="s">
        <v>535</v>
      </c>
      <c r="U157" s="1392" t="s">
        <v>535</v>
      </c>
      <c r="V157" s="1392" t="s">
        <v>535</v>
      </c>
      <c r="W157" s="1392" t="s">
        <v>535</v>
      </c>
      <c r="X157" s="1392"/>
      <c r="Y157" s="1392"/>
      <c r="Z157" s="1392" t="s">
        <v>535</v>
      </c>
      <c r="AA157" s="1392" t="s">
        <v>570</v>
      </c>
      <c r="AB157" s="1215" t="s">
        <v>535</v>
      </c>
      <c r="AC157" s="1215" t="s">
        <v>535</v>
      </c>
      <c r="AD157" s="1215" t="s">
        <v>535</v>
      </c>
      <c r="AE157" s="1215"/>
      <c r="AF157" s="1215"/>
      <c r="AG157" s="1215"/>
      <c r="AH157" s="504">
        <v>-14</v>
      </c>
      <c r="AI157" s="505">
        <v>7.3</v>
      </c>
    </row>
    <row r="158" spans="1:36" ht="21.95" customHeight="1">
      <c r="A158" s="580"/>
      <c r="B158" s="1299"/>
      <c r="C158" s="1215"/>
      <c r="D158" s="1215"/>
      <c r="E158" s="1215"/>
      <c r="F158" s="1215"/>
      <c r="G158" s="1215"/>
      <c r="H158" s="1215"/>
      <c r="I158" s="1215"/>
      <c r="J158" s="1215"/>
      <c r="K158" s="1215"/>
      <c r="L158" s="1215"/>
      <c r="M158" s="1215"/>
      <c r="N158" s="1215"/>
      <c r="O158" s="1215"/>
      <c r="P158" s="1215"/>
      <c r="Q158" s="1215"/>
      <c r="R158" s="1215"/>
      <c r="S158" s="1215"/>
      <c r="T158" s="1215"/>
      <c r="U158" s="1215"/>
      <c r="V158" s="1215"/>
      <c r="W158" s="1215"/>
      <c r="X158" s="1215"/>
      <c r="Y158" s="1215"/>
      <c r="Z158" s="1215"/>
      <c r="AA158" s="1215"/>
      <c r="AB158" s="1215"/>
      <c r="AC158" s="1215"/>
      <c r="AD158" s="1215"/>
      <c r="AE158" s="1215"/>
      <c r="AF158" s="1215"/>
      <c r="AG158" s="1215"/>
      <c r="AH158" s="504"/>
      <c r="AI158" s="505"/>
    </row>
    <row r="159" spans="1:36" ht="21.95" customHeight="1">
      <c r="A159" s="580"/>
      <c r="B159" s="1502"/>
      <c r="C159" s="559"/>
      <c r="D159" s="559"/>
      <c r="E159" s="559"/>
      <c r="F159" s="559"/>
      <c r="G159" s="559"/>
      <c r="H159" s="559"/>
      <c r="I159" s="559"/>
      <c r="J159" s="559"/>
      <c r="K159" s="559"/>
      <c r="L159" s="559"/>
      <c r="M159" s="559"/>
      <c r="N159" s="559"/>
      <c r="O159" s="559"/>
      <c r="P159" s="559"/>
      <c r="Q159" s="559"/>
      <c r="R159" s="559"/>
      <c r="S159" s="559"/>
      <c r="T159" s="559"/>
      <c r="U159" s="559"/>
      <c r="V159" s="559"/>
      <c r="W159" s="559"/>
      <c r="X159" s="559"/>
      <c r="Y159" s="559"/>
      <c r="Z159" s="559"/>
      <c r="AA159" s="559"/>
      <c r="AB159" s="559"/>
      <c r="AC159" s="559"/>
      <c r="AD159" s="559"/>
      <c r="AE159" s="559"/>
      <c r="AF159" s="559"/>
      <c r="AG159" s="559"/>
      <c r="AH159" s="560"/>
      <c r="AI159" s="560"/>
    </row>
    <row r="160" spans="1:36" ht="21.95" customHeight="1">
      <c r="A160" s="312" t="s">
        <v>527</v>
      </c>
      <c r="C160" s="559"/>
      <c r="D160" s="559"/>
      <c r="E160" s="559"/>
      <c r="F160" s="559"/>
      <c r="G160" s="559"/>
      <c r="H160" s="559"/>
      <c r="I160" s="559"/>
      <c r="J160" s="559"/>
      <c r="K160" s="559"/>
      <c r="L160" s="559"/>
      <c r="M160" s="559"/>
      <c r="N160" s="559"/>
      <c r="O160" s="559"/>
      <c r="P160" s="559"/>
      <c r="Q160" s="559"/>
      <c r="R160" s="559"/>
      <c r="S160" s="559"/>
      <c r="T160" s="559"/>
      <c r="U160" s="559"/>
      <c r="V160" s="559"/>
      <c r="W160" s="559"/>
      <c r="X160" s="559"/>
      <c r="Y160" s="559"/>
      <c r="Z160" s="559"/>
      <c r="AA160" s="559"/>
      <c r="AB160" s="559"/>
      <c r="AC160" s="559"/>
      <c r="AD160" s="559"/>
      <c r="AE160" s="559"/>
      <c r="AF160" s="559"/>
      <c r="AG160" s="559"/>
      <c r="AH160" s="560"/>
      <c r="AI160" s="560"/>
      <c r="AJ160" s="361"/>
    </row>
    <row r="161" spans="1:36" ht="21.95" customHeight="1">
      <c r="A161" s="299" t="s">
        <v>528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9" t="s">
        <v>10</v>
      </c>
      <c r="Y161" s="186"/>
      <c r="Z161" s="186"/>
      <c r="AA161" s="565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529</v>
      </c>
      <c r="C162" s="588" t="s">
        <v>124</v>
      </c>
      <c r="D162" s="585"/>
      <c r="E162" s="590"/>
      <c r="F162" s="588" t="s">
        <v>124</v>
      </c>
      <c r="G162" s="591"/>
      <c r="H162" s="590"/>
      <c r="I162" s="121" t="s">
        <v>124</v>
      </c>
      <c r="J162" s="569"/>
      <c r="K162" s="592"/>
      <c r="L162" s="121" t="s">
        <v>124</v>
      </c>
      <c r="M162" s="569"/>
      <c r="N162" s="592"/>
      <c r="O162" s="121" t="s">
        <v>125</v>
      </c>
      <c r="P162" s="569"/>
      <c r="Q162" s="477"/>
      <c r="R162" s="593" t="s">
        <v>28</v>
      </c>
      <c r="S162" s="569"/>
      <c r="T162" s="592"/>
      <c r="U162" s="569" t="s">
        <v>28</v>
      </c>
      <c r="V162" s="569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4"/>
      <c r="AH162" s="361"/>
      <c r="AI162" s="361"/>
      <c r="AJ162" s="361"/>
    </row>
    <row r="163" spans="1:36" ht="21.95" customHeight="1">
      <c r="A163" s="595">
        <v>8502</v>
      </c>
      <c r="B163" s="596" t="s">
        <v>530</v>
      </c>
      <c r="C163" s="121" t="s">
        <v>11</v>
      </c>
      <c r="D163" s="569"/>
      <c r="E163" s="477"/>
      <c r="F163" s="121" t="s">
        <v>11</v>
      </c>
      <c r="G163" s="569"/>
      <c r="H163" s="592"/>
      <c r="I163" s="121" t="s">
        <v>11</v>
      </c>
      <c r="J163" s="569"/>
      <c r="K163" s="592"/>
      <c r="L163" s="121" t="s">
        <v>11</v>
      </c>
      <c r="M163" s="569"/>
      <c r="N163" s="592"/>
      <c r="O163" s="121" t="s">
        <v>12</v>
      </c>
      <c r="P163" s="569"/>
      <c r="Q163" s="477"/>
      <c r="R163" s="597"/>
      <c r="S163" s="598"/>
      <c r="T163" s="592"/>
      <c r="U163" s="569"/>
      <c r="V163" s="569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9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9"/>
      <c r="B165" s="182" t="s">
        <v>480</v>
      </c>
      <c r="C165" s="1235">
        <v>1</v>
      </c>
      <c r="D165" s="1235">
        <v>2</v>
      </c>
      <c r="E165" s="1234">
        <v>3</v>
      </c>
      <c r="F165" s="1234">
        <v>4</v>
      </c>
      <c r="G165" s="1234">
        <v>5</v>
      </c>
      <c r="H165" s="1234">
        <v>6</v>
      </c>
      <c r="I165" s="1213">
        <v>7</v>
      </c>
      <c r="J165" s="1330">
        <v>8</v>
      </c>
      <c r="K165" s="1235">
        <v>9</v>
      </c>
      <c r="L165" s="1234">
        <v>10</v>
      </c>
      <c r="M165" s="1234">
        <v>11</v>
      </c>
      <c r="N165" s="1234">
        <v>12</v>
      </c>
      <c r="O165" s="1234">
        <v>13</v>
      </c>
      <c r="P165" s="1213">
        <v>14</v>
      </c>
      <c r="Q165" s="1330">
        <v>15</v>
      </c>
      <c r="R165" s="1235">
        <v>16</v>
      </c>
      <c r="S165" s="1234">
        <v>17</v>
      </c>
      <c r="T165" s="1234">
        <v>18</v>
      </c>
      <c r="U165" s="1234">
        <v>19</v>
      </c>
      <c r="V165" s="1213">
        <v>20</v>
      </c>
      <c r="W165" s="1213">
        <v>21</v>
      </c>
      <c r="X165" s="1330">
        <v>22</v>
      </c>
      <c r="Y165" s="1235">
        <v>23</v>
      </c>
      <c r="Z165" s="1234">
        <v>24</v>
      </c>
      <c r="AA165" s="1234">
        <v>25</v>
      </c>
      <c r="AB165" s="1234">
        <v>26</v>
      </c>
      <c r="AC165" s="1234">
        <v>27</v>
      </c>
      <c r="AD165" s="1213">
        <v>28</v>
      </c>
      <c r="AE165" s="1213"/>
      <c r="AF165" s="1234"/>
      <c r="AG165" s="1234"/>
      <c r="AH165" s="600" t="s">
        <v>481</v>
      </c>
      <c r="AI165" s="601" t="s">
        <v>482</v>
      </c>
    </row>
    <row r="166" spans="1:36" ht="21.95" customHeight="1">
      <c r="A166" s="602">
        <v>1</v>
      </c>
      <c r="B166" s="153" t="s">
        <v>531</v>
      </c>
      <c r="C166" s="1392"/>
      <c r="D166" s="1392"/>
      <c r="E166" s="1392" t="s">
        <v>535</v>
      </c>
      <c r="F166" s="1392" t="s">
        <v>535</v>
      </c>
      <c r="G166" s="1392" t="s">
        <v>535</v>
      </c>
      <c r="H166" s="1392" t="s">
        <v>535</v>
      </c>
      <c r="I166" s="1392" t="s">
        <v>535</v>
      </c>
      <c r="J166" s="1392"/>
      <c r="K166" s="1392"/>
      <c r="L166" s="1392" t="s">
        <v>535</v>
      </c>
      <c r="M166" s="1392" t="s">
        <v>535</v>
      </c>
      <c r="N166" s="1392" t="s">
        <v>535</v>
      </c>
      <c r="O166" s="1392" t="s">
        <v>535</v>
      </c>
      <c r="P166" s="1392" t="s">
        <v>535</v>
      </c>
      <c r="Q166" s="1392"/>
      <c r="R166" s="1392"/>
      <c r="S166" s="1392" t="s">
        <v>535</v>
      </c>
      <c r="T166" s="1392" t="s">
        <v>535</v>
      </c>
      <c r="U166" s="1392" t="s">
        <v>535</v>
      </c>
      <c r="V166" s="1392" t="s">
        <v>535</v>
      </c>
      <c r="W166" s="1392" t="s">
        <v>535</v>
      </c>
      <c r="X166" s="1392"/>
      <c r="Y166" s="1392"/>
      <c r="Z166" s="1392" t="s">
        <v>535</v>
      </c>
      <c r="AA166" s="1392" t="s">
        <v>535</v>
      </c>
      <c r="AB166" s="1392" t="s">
        <v>535</v>
      </c>
      <c r="AC166" s="1392" t="s">
        <v>535</v>
      </c>
      <c r="AD166" s="1392" t="s">
        <v>535</v>
      </c>
      <c r="AE166" s="1215"/>
      <c r="AF166" s="1215"/>
      <c r="AG166" s="1215"/>
      <c r="AH166" s="1320">
        <v>185</v>
      </c>
      <c r="AI166" s="1321">
        <v>37</v>
      </c>
    </row>
    <row r="167" spans="1:36" ht="21.95" customHeight="1">
      <c r="A167" s="602">
        <v>2</v>
      </c>
      <c r="B167" s="153" t="s">
        <v>534</v>
      </c>
      <c r="C167" s="1215"/>
      <c r="D167" s="1215"/>
      <c r="E167" s="1215" t="s">
        <v>806</v>
      </c>
      <c r="F167" s="1215" t="s">
        <v>806</v>
      </c>
      <c r="G167" s="1215" t="s">
        <v>807</v>
      </c>
      <c r="H167" s="1215" t="s">
        <v>485</v>
      </c>
      <c r="I167" s="1215" t="s">
        <v>807</v>
      </c>
      <c r="J167" s="1215"/>
      <c r="K167" s="1215"/>
      <c r="L167" s="1215" t="s">
        <v>484</v>
      </c>
      <c r="M167" s="1215" t="s">
        <v>487</v>
      </c>
      <c r="N167" s="1215">
        <v>3</v>
      </c>
      <c r="O167" s="1215">
        <v>3</v>
      </c>
      <c r="P167" s="1215">
        <v>3</v>
      </c>
      <c r="Q167" s="1215"/>
      <c r="R167" s="1215"/>
      <c r="S167" s="1215" t="s">
        <v>484</v>
      </c>
      <c r="T167" s="1215" t="s">
        <v>484</v>
      </c>
      <c r="U167" s="1215" t="s">
        <v>484</v>
      </c>
      <c r="V167" s="1215" t="s">
        <v>485</v>
      </c>
      <c r="W167" s="1215" t="s">
        <v>485</v>
      </c>
      <c r="X167" s="1215" t="s">
        <v>486</v>
      </c>
      <c r="Y167" s="1215" t="s">
        <v>486</v>
      </c>
      <c r="Z167" s="1215" t="s">
        <v>487</v>
      </c>
      <c r="AA167" s="1215" t="s">
        <v>487</v>
      </c>
      <c r="AB167" s="1215" t="s">
        <v>487</v>
      </c>
      <c r="AC167" s="1215" t="s">
        <v>487</v>
      </c>
      <c r="AD167" s="1215" t="s">
        <v>487</v>
      </c>
      <c r="AE167" s="1215"/>
      <c r="AF167" s="1215"/>
      <c r="AG167" s="1215"/>
      <c r="AH167" s="1322">
        <v>49</v>
      </c>
      <c r="AI167" s="1323">
        <v>37</v>
      </c>
    </row>
    <row r="168" spans="1:36" ht="21.95" customHeight="1">
      <c r="A168" s="602">
        <v>3</v>
      </c>
      <c r="B168" s="153" t="s">
        <v>536</v>
      </c>
      <c r="C168" s="1215"/>
      <c r="D168" s="1215"/>
      <c r="E168" s="1338">
        <v>11</v>
      </c>
      <c r="F168" s="1338">
        <v>11</v>
      </c>
      <c r="G168" s="1338">
        <v>11</v>
      </c>
      <c r="H168" s="1338">
        <v>11</v>
      </c>
      <c r="I168" s="1338">
        <v>11</v>
      </c>
      <c r="J168" s="1338" t="s">
        <v>657</v>
      </c>
      <c r="K168" s="1338" t="s">
        <v>657</v>
      </c>
      <c r="L168" s="1344" t="s">
        <v>487</v>
      </c>
      <c r="M168" s="1344" t="s">
        <v>487</v>
      </c>
      <c r="N168" s="1344" t="s">
        <v>487</v>
      </c>
      <c r="O168" s="1344" t="s">
        <v>487</v>
      </c>
      <c r="P168" s="1344" t="s">
        <v>487</v>
      </c>
      <c r="Q168" s="1344"/>
      <c r="R168" s="1344"/>
      <c r="S168" s="1344">
        <v>8</v>
      </c>
      <c r="T168" s="1344">
        <v>8</v>
      </c>
      <c r="U168" s="1344">
        <v>8</v>
      </c>
      <c r="V168" s="1344">
        <v>8</v>
      </c>
      <c r="W168" s="1344">
        <v>8</v>
      </c>
      <c r="X168" s="1344" t="s">
        <v>533</v>
      </c>
      <c r="Y168" s="1344" t="s">
        <v>533</v>
      </c>
      <c r="Z168" s="1344" t="s">
        <v>487</v>
      </c>
      <c r="AA168" s="1344" t="s">
        <v>487</v>
      </c>
      <c r="AB168" s="1344" t="s">
        <v>487</v>
      </c>
      <c r="AC168" s="1344" t="s">
        <v>487</v>
      </c>
      <c r="AD168" s="1344" t="s">
        <v>487</v>
      </c>
      <c r="AE168" s="1215"/>
      <c r="AF168" s="1215"/>
      <c r="AG168" s="1215"/>
      <c r="AH168" s="1322">
        <v>98</v>
      </c>
      <c r="AI168" s="1323">
        <v>37</v>
      </c>
    </row>
    <row r="169" spans="1:36" ht="21.95" customHeight="1">
      <c r="A169" s="602">
        <v>4</v>
      </c>
      <c r="B169" s="1241" t="s">
        <v>542</v>
      </c>
      <c r="C169" s="1338"/>
      <c r="D169" s="1338"/>
      <c r="E169" s="1215" t="s">
        <v>550</v>
      </c>
      <c r="F169" s="1215" t="s">
        <v>550</v>
      </c>
      <c r="G169" s="1215" t="s">
        <v>550</v>
      </c>
      <c r="H169" s="1215" t="s">
        <v>550</v>
      </c>
      <c r="I169" s="1215" t="s">
        <v>550</v>
      </c>
      <c r="J169" s="1215"/>
      <c r="K169" s="1215"/>
      <c r="L169" s="1215" t="s">
        <v>550</v>
      </c>
      <c r="M169" s="1215" t="s">
        <v>550</v>
      </c>
      <c r="N169" s="1215" t="s">
        <v>550</v>
      </c>
      <c r="O169" s="1215" t="s">
        <v>550</v>
      </c>
      <c r="P169" s="1215" t="s">
        <v>550</v>
      </c>
      <c r="Q169" s="1215"/>
      <c r="R169" s="1215"/>
      <c r="S169" s="1215" t="s">
        <v>550</v>
      </c>
      <c r="T169" s="1215" t="s">
        <v>550</v>
      </c>
      <c r="U169" s="1215" t="s">
        <v>550</v>
      </c>
      <c r="V169" s="1215" t="s">
        <v>683</v>
      </c>
      <c r="W169" s="1215" t="s">
        <v>683</v>
      </c>
      <c r="X169" s="1215"/>
      <c r="Y169" s="1215"/>
      <c r="Z169" s="1215" t="s">
        <v>550</v>
      </c>
      <c r="AA169" s="1215" t="s">
        <v>550</v>
      </c>
      <c r="AB169" s="1215" t="s">
        <v>550</v>
      </c>
      <c r="AC169" s="1215" t="s">
        <v>550</v>
      </c>
      <c r="AD169" s="1215" t="s">
        <v>550</v>
      </c>
      <c r="AE169" s="1215"/>
      <c r="AF169" s="1215"/>
      <c r="AG169" s="1215"/>
      <c r="AH169" s="1322">
        <v>185</v>
      </c>
      <c r="AI169" s="1323">
        <v>37</v>
      </c>
    </row>
    <row r="170" spans="1:36" ht="21.95" customHeight="1">
      <c r="A170" s="602">
        <v>5</v>
      </c>
      <c r="B170" s="319" t="s">
        <v>771</v>
      </c>
      <c r="C170" s="1215" t="s">
        <v>637</v>
      </c>
      <c r="D170" s="1215"/>
      <c r="E170" s="1215" t="s">
        <v>484</v>
      </c>
      <c r="F170" s="1215" t="s">
        <v>484</v>
      </c>
      <c r="G170" s="1215" t="s">
        <v>484</v>
      </c>
      <c r="H170" s="1390" t="s">
        <v>537</v>
      </c>
      <c r="I170" s="1215" t="s">
        <v>485</v>
      </c>
      <c r="J170" s="1215" t="s">
        <v>486</v>
      </c>
      <c r="K170" s="1215" t="s">
        <v>486</v>
      </c>
      <c r="L170" s="1215" t="s">
        <v>487</v>
      </c>
      <c r="M170" s="1215" t="s">
        <v>487</v>
      </c>
      <c r="N170" s="1215" t="s">
        <v>487</v>
      </c>
      <c r="O170" s="1344" t="s">
        <v>487</v>
      </c>
      <c r="P170" s="1215" t="s">
        <v>487</v>
      </c>
      <c r="Q170" s="1215"/>
      <c r="R170" s="1215"/>
      <c r="S170" s="1215" t="s">
        <v>485</v>
      </c>
      <c r="T170" s="1215" t="s">
        <v>485</v>
      </c>
      <c r="U170" s="1215" t="s">
        <v>485</v>
      </c>
      <c r="V170" s="1344" t="s">
        <v>487</v>
      </c>
      <c r="W170" s="1215" t="s">
        <v>484</v>
      </c>
      <c r="X170" s="1215"/>
      <c r="Y170" s="1215"/>
      <c r="Z170" s="1215" t="s">
        <v>547</v>
      </c>
      <c r="AA170" s="1215" t="s">
        <v>807</v>
      </c>
      <c r="AB170" s="1640" t="s">
        <v>807</v>
      </c>
      <c r="AC170" s="1640" t="s">
        <v>807</v>
      </c>
      <c r="AD170" s="1344">
        <v>3</v>
      </c>
      <c r="AE170" s="1215"/>
      <c r="AF170" s="1215"/>
      <c r="AG170" s="1215"/>
      <c r="AH170" s="1324">
        <v>185</v>
      </c>
      <c r="AI170" s="1325">
        <v>37</v>
      </c>
    </row>
    <row r="171" spans="1:36" ht="21.95" customHeight="1" thickBot="1">
      <c r="A171" s="602">
        <v>6</v>
      </c>
      <c r="B171" s="153" t="s">
        <v>773</v>
      </c>
      <c r="C171" s="1215"/>
      <c r="D171" s="1215"/>
      <c r="E171" s="1215" t="s">
        <v>485</v>
      </c>
      <c r="F171" s="1215" t="s">
        <v>485</v>
      </c>
      <c r="G171" s="1215" t="s">
        <v>485</v>
      </c>
      <c r="H171" s="1215" t="s">
        <v>484</v>
      </c>
      <c r="I171" s="1215" t="s">
        <v>484</v>
      </c>
      <c r="J171" s="1215"/>
      <c r="K171" s="1215"/>
      <c r="L171" s="1215" t="s">
        <v>540</v>
      </c>
      <c r="M171" s="1215" t="s">
        <v>540</v>
      </c>
      <c r="N171" s="1215" t="s">
        <v>540</v>
      </c>
      <c r="O171" s="1215" t="s">
        <v>540</v>
      </c>
      <c r="P171" s="1215" t="s">
        <v>540</v>
      </c>
      <c r="Q171" s="1215"/>
      <c r="R171" s="1215"/>
      <c r="S171" s="1215" t="s">
        <v>540</v>
      </c>
      <c r="T171" s="1215" t="s">
        <v>540</v>
      </c>
      <c r="U171" s="1215" t="s">
        <v>540</v>
      </c>
      <c r="V171" s="1215">
        <v>3</v>
      </c>
      <c r="W171" s="1215">
        <v>3</v>
      </c>
      <c r="X171" s="1215"/>
      <c r="Y171" s="1215"/>
      <c r="Z171" s="1215">
        <v>3</v>
      </c>
      <c r="AA171" s="1215">
        <v>3</v>
      </c>
      <c r="AB171" s="1215">
        <v>3</v>
      </c>
      <c r="AC171" s="1215">
        <v>3</v>
      </c>
      <c r="AD171" s="1215">
        <v>3</v>
      </c>
      <c r="AE171" s="1215"/>
      <c r="AF171" s="1215"/>
      <c r="AG171" s="1215"/>
      <c r="AH171" s="1326">
        <v>185</v>
      </c>
      <c r="AI171" s="1327">
        <v>37</v>
      </c>
    </row>
    <row r="172" spans="1:36" ht="21.95" customHeight="1">
      <c r="A172" s="602">
        <v>7</v>
      </c>
      <c r="B172" s="902" t="s">
        <v>778</v>
      </c>
      <c r="C172" s="1215"/>
      <c r="D172" s="1215"/>
      <c r="E172" s="1215" t="s">
        <v>535</v>
      </c>
      <c r="F172" s="1392" t="s">
        <v>535</v>
      </c>
      <c r="G172" s="1392" t="s">
        <v>535</v>
      </c>
      <c r="H172" s="1392" t="s">
        <v>535</v>
      </c>
      <c r="I172" s="1392" t="s">
        <v>535</v>
      </c>
      <c r="J172" s="1392"/>
      <c r="K172" s="1392"/>
      <c r="L172" s="1639">
        <v>11</v>
      </c>
      <c r="M172" s="1639">
        <v>11</v>
      </c>
      <c r="N172" s="1639">
        <v>11</v>
      </c>
      <c r="O172" s="1639">
        <v>11</v>
      </c>
      <c r="P172" s="1639">
        <v>11</v>
      </c>
      <c r="Q172" s="1639" t="s">
        <v>657</v>
      </c>
      <c r="R172" s="1639" t="s">
        <v>657</v>
      </c>
      <c r="S172" s="1215" t="s">
        <v>487</v>
      </c>
      <c r="T172" s="1215" t="s">
        <v>487</v>
      </c>
      <c r="U172" s="1215" t="s">
        <v>487</v>
      </c>
      <c r="V172" s="557" t="s">
        <v>514</v>
      </c>
      <c r="W172" s="557" t="s">
        <v>514</v>
      </c>
      <c r="X172" s="1215"/>
      <c r="Y172" s="1215"/>
      <c r="Z172" s="1640">
        <v>8</v>
      </c>
      <c r="AA172" s="1640">
        <v>8</v>
      </c>
      <c r="AB172" s="1640">
        <v>8</v>
      </c>
      <c r="AC172" s="1640">
        <v>8</v>
      </c>
      <c r="AD172" s="1640">
        <v>8</v>
      </c>
      <c r="AE172" s="1215"/>
      <c r="AF172" s="1215"/>
      <c r="AG172" s="1215"/>
      <c r="AH172" s="1326">
        <v>148</v>
      </c>
      <c r="AI172" s="1327">
        <v>37</v>
      </c>
    </row>
    <row r="173" spans="1:36" ht="21.95" customHeight="1">
      <c r="A173" s="602">
        <v>8</v>
      </c>
      <c r="B173" s="319" t="s">
        <v>552</v>
      </c>
      <c r="C173" s="1215"/>
      <c r="D173" s="1215"/>
      <c r="E173" s="1215" t="s">
        <v>535</v>
      </c>
      <c r="F173" s="1215" t="s">
        <v>535</v>
      </c>
      <c r="G173" s="1215" t="s">
        <v>535</v>
      </c>
      <c r="H173" s="1215" t="s">
        <v>535</v>
      </c>
      <c r="I173" s="1215" t="s">
        <v>535</v>
      </c>
      <c r="J173" s="1215"/>
      <c r="K173" s="1215"/>
      <c r="L173" s="1215" t="s">
        <v>535</v>
      </c>
      <c r="M173" s="1215" t="s">
        <v>535</v>
      </c>
      <c r="N173" s="1215" t="s">
        <v>535</v>
      </c>
      <c r="O173" s="1215" t="s">
        <v>535</v>
      </c>
      <c r="P173" s="1215" t="s">
        <v>535</v>
      </c>
      <c r="Q173" s="1215"/>
      <c r="R173" s="1215"/>
      <c r="S173" s="1215" t="s">
        <v>535</v>
      </c>
      <c r="T173" s="1215" t="s">
        <v>535</v>
      </c>
      <c r="U173" s="1215" t="s">
        <v>535</v>
      </c>
      <c r="V173" s="557" t="s">
        <v>514</v>
      </c>
      <c r="W173" s="557" t="s">
        <v>514</v>
      </c>
      <c r="X173" s="1215"/>
      <c r="Y173" s="1215"/>
      <c r="Z173" s="1215" t="s">
        <v>535</v>
      </c>
      <c r="AA173" s="1215" t="s">
        <v>535</v>
      </c>
      <c r="AB173" s="1392" t="s">
        <v>535</v>
      </c>
      <c r="AC173" s="1392" t="s">
        <v>535</v>
      </c>
      <c r="AD173" s="1392" t="s">
        <v>570</v>
      </c>
      <c r="AE173" s="1215"/>
      <c r="AF173" s="1215"/>
      <c r="AG173" s="1215"/>
      <c r="AH173" s="1326">
        <v>185</v>
      </c>
      <c r="AI173" s="1327">
        <v>37</v>
      </c>
    </row>
    <row r="174" spans="1:36" ht="21.95" customHeight="1">
      <c r="A174" s="602">
        <v>9</v>
      </c>
      <c r="B174" s="153"/>
      <c r="C174" s="1215"/>
      <c r="D174" s="1215"/>
      <c r="E174" s="1215"/>
      <c r="F174" s="1215"/>
      <c r="G174" s="1215"/>
      <c r="H174" s="1215"/>
      <c r="I174" s="1215"/>
      <c r="J174" s="1215"/>
      <c r="K174" s="1215"/>
      <c r="L174" s="1215"/>
      <c r="M174" s="1215"/>
      <c r="N174" s="1215"/>
      <c r="O174" s="1215"/>
      <c r="P174" s="1215"/>
      <c r="Q174" s="1215"/>
      <c r="R174" s="1215"/>
      <c r="S174" s="1215"/>
      <c r="T174" s="1215"/>
      <c r="U174" s="1215"/>
      <c r="V174" s="1215"/>
      <c r="W174" s="1215"/>
      <c r="X174" s="1215"/>
      <c r="Y174" s="1215"/>
      <c r="Z174" s="1215"/>
      <c r="AA174" s="1215"/>
      <c r="AB174" s="1215"/>
      <c r="AC174" s="1215"/>
      <c r="AD174" s="1215"/>
      <c r="AE174" s="1215"/>
      <c r="AF174" s="1215"/>
      <c r="AG174" s="1215"/>
      <c r="AH174" s="1326">
        <v>185</v>
      </c>
      <c r="AI174" s="1327">
        <v>37</v>
      </c>
    </row>
    <row r="175" spans="1:36" ht="21.95" customHeight="1">
      <c r="A175" s="602">
        <v>10</v>
      </c>
      <c r="B175" s="153"/>
      <c r="C175" s="1213"/>
      <c r="D175" s="1213"/>
      <c r="E175" s="1213"/>
      <c r="F175" s="1213"/>
      <c r="G175" s="1213"/>
      <c r="H175" s="1213"/>
      <c r="I175" s="1213"/>
      <c r="J175" s="1213"/>
      <c r="K175" s="1213"/>
      <c r="L175" s="1213"/>
      <c r="M175" s="1213"/>
      <c r="N175" s="1213"/>
      <c r="O175" s="1213"/>
      <c r="P175" s="1213"/>
      <c r="Q175" s="1213"/>
      <c r="R175" s="1213"/>
      <c r="S175" s="1213"/>
      <c r="T175" s="1213"/>
      <c r="U175" s="1213"/>
      <c r="V175" s="1213"/>
      <c r="W175" s="1215"/>
      <c r="X175" s="1213"/>
      <c r="Y175" s="1213"/>
      <c r="Z175" s="1213"/>
      <c r="AA175" s="1213"/>
      <c r="AB175" s="1213"/>
      <c r="AC175" s="1213"/>
      <c r="AD175" s="1213"/>
      <c r="AE175" s="1213"/>
      <c r="AF175" s="1213"/>
      <c r="AG175" s="1230"/>
      <c r="AH175" s="1326">
        <v>185</v>
      </c>
      <c r="AI175" s="1327">
        <v>37</v>
      </c>
    </row>
    <row r="176" spans="1:36" ht="21.95" customHeight="1">
      <c r="A176" s="602">
        <v>11</v>
      </c>
      <c r="B176" s="153"/>
      <c r="C176" s="1213"/>
      <c r="D176" s="1213"/>
      <c r="E176" s="1213"/>
      <c r="F176" s="1213"/>
      <c r="G176" s="1213"/>
      <c r="H176" s="1213"/>
      <c r="I176" s="1213"/>
      <c r="J176" s="1213"/>
      <c r="K176" s="1213"/>
      <c r="L176" s="1213"/>
      <c r="M176" s="1213"/>
      <c r="N176" s="1213"/>
      <c r="O176" s="1213"/>
      <c r="P176" s="1213"/>
      <c r="Q176" s="1213"/>
      <c r="R176" s="1213"/>
      <c r="S176" s="1213"/>
      <c r="T176" s="1213"/>
      <c r="U176" s="1213"/>
      <c r="V176" s="1213"/>
      <c r="W176" s="1215"/>
      <c r="X176" s="1213"/>
      <c r="Y176" s="1213"/>
      <c r="Z176" s="1213"/>
      <c r="AA176" s="1213"/>
      <c r="AB176" s="1213"/>
      <c r="AC176" s="1213"/>
      <c r="AD176" s="1213"/>
      <c r="AE176" s="1213"/>
      <c r="AF176" s="1213"/>
      <c r="AG176" s="1230"/>
      <c r="AH176" s="1326">
        <v>185</v>
      </c>
      <c r="AI176" s="1327">
        <v>37</v>
      </c>
    </row>
    <row r="177" spans="1:35" ht="21.95" customHeight="1" thickBot="1">
      <c r="A177" s="602">
        <v>12</v>
      </c>
      <c r="B177" s="153"/>
      <c r="C177" s="1213"/>
      <c r="D177" s="1213"/>
      <c r="E177" s="1213"/>
      <c r="F177" s="1213"/>
      <c r="G177" s="1213"/>
      <c r="H177" s="1213"/>
      <c r="I177" s="1213"/>
      <c r="J177" s="1213"/>
      <c r="K177" s="1213"/>
      <c r="L177" s="1213"/>
      <c r="M177" s="1213"/>
      <c r="N177" s="1213"/>
      <c r="O177" s="1213"/>
      <c r="P177" s="1213"/>
      <c r="Q177" s="1213"/>
      <c r="R177" s="1213"/>
      <c r="S177" s="1213"/>
      <c r="T177" s="1213"/>
      <c r="U177" s="1213"/>
      <c r="V177" s="1213"/>
      <c r="W177" s="1215"/>
      <c r="X177" s="1213"/>
      <c r="Y177" s="1213"/>
      <c r="Z177" s="1213"/>
      <c r="AA177" s="1213"/>
      <c r="AB177" s="1213"/>
      <c r="AC177" s="1213"/>
      <c r="AD177" s="1213"/>
      <c r="AE177" s="1213"/>
      <c r="AF177" s="1213"/>
      <c r="AG177" s="1230"/>
      <c r="AH177" s="1328">
        <v>185</v>
      </c>
      <c r="AI177" s="1329">
        <v>37</v>
      </c>
    </row>
    <row r="178" spans="1:35" ht="21" customHeight="1">
      <c r="A178" s="312" t="s">
        <v>821</v>
      </c>
    </row>
    <row r="179" spans="1:35" ht="21" customHeight="1">
      <c r="A179" s="556"/>
      <c r="B179" s="297" t="s">
        <v>480</v>
      </c>
      <c r="C179" s="1235">
        <v>1</v>
      </c>
      <c r="D179" s="1235">
        <v>2</v>
      </c>
      <c r="E179" s="1234">
        <v>3</v>
      </c>
      <c r="F179" s="1234">
        <v>4</v>
      </c>
      <c r="G179" s="1234">
        <v>5</v>
      </c>
      <c r="H179" s="1234">
        <v>6</v>
      </c>
      <c r="I179" s="1213">
        <v>7</v>
      </c>
      <c r="J179" s="1330">
        <v>8</v>
      </c>
      <c r="K179" s="1235">
        <v>9</v>
      </c>
      <c r="L179" s="1234">
        <v>10</v>
      </c>
      <c r="M179" s="1234">
        <v>11</v>
      </c>
      <c r="N179" s="1234">
        <v>12</v>
      </c>
      <c r="O179" s="1234">
        <v>13</v>
      </c>
      <c r="P179" s="1213">
        <v>14</v>
      </c>
      <c r="Q179" s="1330">
        <v>15</v>
      </c>
      <c r="R179" s="1235">
        <v>16</v>
      </c>
      <c r="S179" s="1234">
        <v>17</v>
      </c>
      <c r="T179" s="1234">
        <v>18</v>
      </c>
      <c r="U179" s="1234">
        <v>19</v>
      </c>
      <c r="V179" s="1213">
        <v>20</v>
      </c>
      <c r="W179" s="1213">
        <v>21</v>
      </c>
      <c r="X179" s="1330">
        <v>22</v>
      </c>
      <c r="Y179" s="1235">
        <v>23</v>
      </c>
      <c r="Z179" s="1234">
        <v>24</v>
      </c>
      <c r="AA179" s="1234">
        <v>25</v>
      </c>
      <c r="AB179" s="1234">
        <v>26</v>
      </c>
      <c r="AC179" s="1234">
        <v>27</v>
      </c>
      <c r="AD179" s="1213">
        <v>28</v>
      </c>
      <c r="AE179" s="1213"/>
      <c r="AF179" s="1234"/>
      <c r="AG179" s="1234"/>
      <c r="AH179" s="606"/>
    </row>
    <row r="180" spans="1:35" ht="21" customHeight="1">
      <c r="A180" s="556">
        <v>1</v>
      </c>
      <c r="B180" s="545" t="s">
        <v>553</v>
      </c>
      <c r="C180" s="1213"/>
      <c r="D180" s="1213"/>
      <c r="E180" s="1213">
        <v>11</v>
      </c>
      <c r="F180" s="1213">
        <v>11</v>
      </c>
      <c r="G180" s="1213">
        <v>11</v>
      </c>
      <c r="H180" s="1213">
        <v>11</v>
      </c>
      <c r="I180" s="1213">
        <v>11</v>
      </c>
      <c r="J180" s="1213" t="s">
        <v>657</v>
      </c>
      <c r="K180" s="1213" t="s">
        <v>657</v>
      </c>
      <c r="L180" s="1213" t="s">
        <v>487</v>
      </c>
      <c r="M180" s="1213" t="s">
        <v>487</v>
      </c>
      <c r="N180" s="1213" t="s">
        <v>487</v>
      </c>
      <c r="O180" s="1213" t="s">
        <v>487</v>
      </c>
      <c r="P180" s="1213" t="s">
        <v>487</v>
      </c>
      <c r="Q180" s="1213" t="s">
        <v>486</v>
      </c>
      <c r="R180" s="1213" t="s">
        <v>486</v>
      </c>
      <c r="S180" s="1560"/>
      <c r="T180" s="1560"/>
      <c r="U180" s="1560"/>
      <c r="V180" s="1560"/>
      <c r="W180" s="1560"/>
      <c r="X180" s="1213"/>
      <c r="Y180" s="1213"/>
      <c r="Z180" s="1560"/>
      <c r="AA180" s="1560"/>
      <c r="AB180" s="1560"/>
      <c r="AC180" s="1560"/>
      <c r="AD180" s="1560"/>
      <c r="AE180" s="1213"/>
      <c r="AF180" s="1213"/>
      <c r="AG180" s="1213"/>
      <c r="AH180" s="606"/>
    </row>
    <row r="181" spans="1:35" ht="21" customHeight="1">
      <c r="A181" s="556">
        <v>2</v>
      </c>
      <c r="B181" s="545" t="s">
        <v>554</v>
      </c>
      <c r="C181" s="172"/>
      <c r="D181" s="172"/>
      <c r="E181" s="172">
        <v>4</v>
      </c>
      <c r="F181" s="172">
        <v>4</v>
      </c>
      <c r="G181" s="172">
        <v>4</v>
      </c>
      <c r="H181" s="172">
        <v>4</v>
      </c>
      <c r="I181" s="172">
        <v>4</v>
      </c>
      <c r="J181" s="172"/>
      <c r="K181" s="172"/>
      <c r="L181" s="172">
        <v>1</v>
      </c>
      <c r="M181" s="172">
        <v>1</v>
      </c>
      <c r="N181" s="172">
        <v>6</v>
      </c>
      <c r="O181" s="172">
        <v>6</v>
      </c>
      <c r="P181" s="172">
        <v>6</v>
      </c>
      <c r="Q181" s="172"/>
      <c r="R181" s="172"/>
      <c r="S181" s="172">
        <v>7</v>
      </c>
      <c r="T181" s="172">
        <v>7</v>
      </c>
      <c r="U181" s="172">
        <v>7</v>
      </c>
      <c r="V181" s="172">
        <v>7</v>
      </c>
      <c r="W181" s="172">
        <v>7</v>
      </c>
      <c r="X181" s="172"/>
      <c r="Y181" s="172"/>
      <c r="Z181" s="1396" t="s">
        <v>485</v>
      </c>
      <c r="AA181" s="1396" t="s">
        <v>485</v>
      </c>
      <c r="AB181" s="1396" t="s">
        <v>485</v>
      </c>
      <c r="AC181" s="1396" t="s">
        <v>484</v>
      </c>
      <c r="AD181" s="1396" t="s">
        <v>484</v>
      </c>
      <c r="AE181" s="172"/>
      <c r="AF181" s="172"/>
      <c r="AG181" s="172"/>
      <c r="AH181" s="606"/>
    </row>
    <row r="182" spans="1:35" ht="21" customHeight="1">
      <c r="A182" s="556">
        <v>3</v>
      </c>
      <c r="B182" s="545" t="s">
        <v>788</v>
      </c>
      <c r="C182" s="172" t="s">
        <v>543</v>
      </c>
      <c r="D182" s="172"/>
      <c r="E182" s="172" t="s">
        <v>487</v>
      </c>
      <c r="F182" s="172">
        <v>3</v>
      </c>
      <c r="G182" s="172">
        <v>3</v>
      </c>
      <c r="H182" s="172">
        <v>3</v>
      </c>
      <c r="I182" s="172">
        <v>3</v>
      </c>
      <c r="J182" s="172" t="s">
        <v>532</v>
      </c>
      <c r="K182" s="172" t="s">
        <v>533</v>
      </c>
      <c r="L182" s="172">
        <v>3</v>
      </c>
      <c r="M182" s="172">
        <v>3</v>
      </c>
      <c r="N182" s="172" t="s">
        <v>487</v>
      </c>
      <c r="O182" s="172" t="s">
        <v>487</v>
      </c>
      <c r="P182" s="172" t="s">
        <v>487</v>
      </c>
      <c r="Q182" s="172"/>
      <c r="R182" s="172"/>
      <c r="S182" s="1600"/>
      <c r="T182" s="1600"/>
      <c r="U182" s="1600"/>
      <c r="V182" s="1600"/>
      <c r="W182" s="1600"/>
      <c r="X182" s="172"/>
      <c r="Y182" s="172"/>
      <c r="Z182" s="1600"/>
      <c r="AA182" s="1600"/>
      <c r="AB182" s="1600"/>
      <c r="AC182" s="1600"/>
      <c r="AD182" s="1600"/>
      <c r="AE182" s="172"/>
      <c r="AF182" s="172"/>
      <c r="AG182" s="172"/>
      <c r="AH182" s="606"/>
    </row>
    <row r="183" spans="1:35" ht="21" customHeight="1">
      <c r="A183" s="556">
        <v>4</v>
      </c>
      <c r="B183" s="545"/>
      <c r="C183" s="172"/>
      <c r="D183" s="172"/>
      <c r="E183" s="172"/>
      <c r="F183" s="172"/>
      <c r="G183" s="172"/>
      <c r="H183" s="172"/>
      <c r="I183" s="172"/>
      <c r="J183" s="172"/>
      <c r="K183" s="172"/>
      <c r="L183" s="172"/>
      <c r="M183" s="172"/>
      <c r="N183" s="172"/>
      <c r="O183" s="172"/>
      <c r="P183" s="172"/>
      <c r="Q183" s="172"/>
      <c r="R183" s="172"/>
      <c r="S183" s="172"/>
      <c r="T183" s="172"/>
      <c r="U183" s="172"/>
      <c r="V183" s="172"/>
      <c r="W183" s="172"/>
      <c r="X183" s="172"/>
      <c r="Y183" s="172"/>
      <c r="Z183" s="172"/>
      <c r="AA183" s="172"/>
      <c r="AB183" s="607"/>
      <c r="AC183" s="172"/>
      <c r="AD183" s="172"/>
      <c r="AE183" s="172"/>
      <c r="AF183" s="172"/>
      <c r="AG183" s="172"/>
      <c r="AH183" s="606"/>
    </row>
    <row r="184" spans="1:35" ht="21" customHeight="1">
      <c r="A184" s="556">
        <v>5</v>
      </c>
      <c r="B184" s="545"/>
      <c r="C184" s="172"/>
      <c r="D184" s="172"/>
      <c r="E184" s="172"/>
      <c r="F184" s="172"/>
      <c r="G184" s="172"/>
      <c r="H184" s="172"/>
      <c r="I184" s="172"/>
      <c r="J184" s="172"/>
      <c r="K184" s="172"/>
      <c r="L184" s="172"/>
      <c r="M184" s="172"/>
      <c r="N184" s="172"/>
      <c r="O184" s="172"/>
      <c r="P184" s="172"/>
      <c r="Q184" s="172"/>
      <c r="R184" s="172"/>
      <c r="S184" s="172"/>
      <c r="T184" s="172"/>
      <c r="U184" s="172"/>
      <c r="V184" s="172"/>
      <c r="W184" s="172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172"/>
      <c r="AH184" s="606"/>
    </row>
    <row r="185" spans="1:35" ht="21" customHeight="1">
      <c r="A185" s="1232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1233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6"/>
    </row>
    <row r="186" spans="1:35" ht="21.95" customHeight="1" thickBot="1">
      <c r="A186" s="1" t="s">
        <v>560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1290" t="s">
        <v>516</v>
      </c>
      <c r="C187" s="51" t="s">
        <v>2</v>
      </c>
      <c r="D187" s="51"/>
      <c r="E187" s="51"/>
      <c r="F187" s="51"/>
      <c r="G187" s="1292" t="s">
        <v>3</v>
      </c>
      <c r="H187" s="51"/>
      <c r="I187" s="51"/>
      <c r="J187" s="51"/>
      <c r="K187" s="1292" t="s">
        <v>4</v>
      </c>
      <c r="L187" s="51"/>
      <c r="M187" s="51"/>
      <c r="N187" s="51"/>
      <c r="O187" s="1292" t="s">
        <v>5</v>
      </c>
      <c r="P187" s="51"/>
      <c r="Q187" s="51"/>
      <c r="R187" s="51"/>
      <c r="S187" s="1292" t="s">
        <v>6</v>
      </c>
      <c r="T187" s="51"/>
      <c r="U187" s="51"/>
      <c r="V187" s="51"/>
      <c r="W187" s="51"/>
      <c r="X187" s="1296" t="s">
        <v>7</v>
      </c>
      <c r="Y187" s="51"/>
      <c r="Z187" s="551"/>
      <c r="AA187" s="7"/>
      <c r="AB187" s="525" t="s">
        <v>8</v>
      </c>
      <c r="AC187" s="51"/>
      <c r="AD187" s="51"/>
      <c r="AE187" s="425" t="s">
        <v>10</v>
      </c>
      <c r="AF187" s="51"/>
      <c r="AG187" s="51"/>
      <c r="AH187" s="51"/>
      <c r="AI187" s="526"/>
    </row>
    <row r="188" spans="1:35" ht="21.95" customHeight="1">
      <c r="A188" s="1"/>
      <c r="B188" s="1290">
        <v>3701</v>
      </c>
      <c r="C188" s="55" t="s">
        <v>561</v>
      </c>
      <c r="D188" s="55"/>
      <c r="E188" s="55"/>
      <c r="F188" s="55"/>
      <c r="G188" s="1293" t="s">
        <v>124</v>
      </c>
      <c r="H188" s="55"/>
      <c r="I188" s="55"/>
      <c r="J188" s="55"/>
      <c r="K188" s="1293" t="s">
        <v>124</v>
      </c>
      <c r="L188" s="55"/>
      <c r="M188" s="55"/>
      <c r="N188" s="55"/>
      <c r="O188" s="1293" t="s">
        <v>124</v>
      </c>
      <c r="P188" s="55"/>
      <c r="Q188" s="55"/>
      <c r="R188" s="55"/>
      <c r="S188" s="1293" t="s">
        <v>125</v>
      </c>
      <c r="T188" s="55"/>
      <c r="U188" s="55"/>
      <c r="V188" s="55"/>
      <c r="W188" s="55"/>
      <c r="X188" s="1297"/>
      <c r="Y188" s="55"/>
      <c r="Z188" s="608"/>
      <c r="AA188" s="14"/>
      <c r="AB188" s="609"/>
      <c r="AC188" s="55"/>
      <c r="AD188" s="55"/>
      <c r="AE188" s="610"/>
      <c r="AF188" s="55"/>
      <c r="AG188" s="55"/>
      <c r="AH188" s="55"/>
      <c r="AI188" s="611"/>
    </row>
    <row r="189" spans="1:35" ht="21.95" customHeight="1">
      <c r="B189" s="1290">
        <v>3700</v>
      </c>
      <c r="C189" s="157" t="s">
        <v>512</v>
      </c>
      <c r="D189" s="157"/>
      <c r="E189" s="157"/>
      <c r="F189" s="157"/>
      <c r="G189" s="897" t="s">
        <v>512</v>
      </c>
      <c r="H189" s="157"/>
      <c r="I189" s="157"/>
      <c r="J189" s="157"/>
      <c r="K189" s="897" t="s">
        <v>512</v>
      </c>
      <c r="L189" s="157"/>
      <c r="M189" s="157"/>
      <c r="N189" s="157"/>
      <c r="O189" s="897" t="s">
        <v>512</v>
      </c>
      <c r="P189" s="157"/>
      <c r="Q189" s="157"/>
      <c r="R189" s="157"/>
      <c r="S189" s="897" t="s">
        <v>116</v>
      </c>
      <c r="T189" s="157"/>
      <c r="U189" s="157"/>
      <c r="V189" s="157"/>
      <c r="W189" s="157"/>
      <c r="X189" s="897"/>
      <c r="Y189" s="157"/>
      <c r="Z189" s="568"/>
      <c r="AA189" s="567"/>
      <c r="AB189" s="157"/>
      <c r="AC189" s="157"/>
      <c r="AD189" s="569"/>
      <c r="AE189" s="613"/>
      <c r="AF189" s="157"/>
      <c r="AG189" s="157" t="s">
        <v>28</v>
      </c>
      <c r="AH189" s="569"/>
      <c r="AI189" s="490"/>
    </row>
    <row r="190" spans="1:35" ht="21.95" customHeight="1">
      <c r="A190" s="1"/>
      <c r="B190" s="1290">
        <v>8514</v>
      </c>
      <c r="C190" s="157" t="s">
        <v>124</v>
      </c>
      <c r="D190" s="157"/>
      <c r="E190" s="157"/>
      <c r="F190" s="157"/>
      <c r="G190" s="897" t="s">
        <v>124</v>
      </c>
      <c r="H190" s="157"/>
      <c r="I190" s="157"/>
      <c r="J190" s="157"/>
      <c r="K190" s="897" t="s">
        <v>124</v>
      </c>
      <c r="L190" s="157"/>
      <c r="M190" s="157"/>
      <c r="N190" s="157"/>
      <c r="O190" s="897" t="s">
        <v>124</v>
      </c>
      <c r="P190" s="157"/>
      <c r="Q190" s="157"/>
      <c r="R190" s="157"/>
      <c r="S190" s="897" t="s">
        <v>562</v>
      </c>
      <c r="T190" s="157"/>
      <c r="U190" s="157"/>
      <c r="V190" s="157"/>
      <c r="W190" s="157"/>
      <c r="X190" s="897"/>
      <c r="Y190" s="157"/>
      <c r="Z190" s="568"/>
      <c r="AA190" s="121"/>
      <c r="AB190" s="157"/>
      <c r="AC190" s="157"/>
      <c r="AD190" s="569"/>
      <c r="AE190" s="121"/>
      <c r="AF190" s="157"/>
      <c r="AG190" s="157"/>
      <c r="AH190" s="569"/>
      <c r="AI190" s="490"/>
    </row>
    <row r="191" spans="1:35" ht="21.95" customHeight="1">
      <c r="A191" s="1"/>
      <c r="B191" s="1290">
        <v>8500</v>
      </c>
      <c r="C191" s="55" t="s">
        <v>11</v>
      </c>
      <c r="D191" s="55"/>
      <c r="E191" s="55"/>
      <c r="F191" s="55"/>
      <c r="G191" s="1293" t="s">
        <v>11</v>
      </c>
      <c r="H191" s="55"/>
      <c r="I191" s="55"/>
      <c r="J191" s="55"/>
      <c r="K191" s="1293" t="s">
        <v>11</v>
      </c>
      <c r="L191" s="55"/>
      <c r="M191" s="55"/>
      <c r="N191" s="55"/>
      <c r="O191" s="1293" t="s">
        <v>11</v>
      </c>
      <c r="P191" s="55"/>
      <c r="Q191" s="55"/>
      <c r="R191" s="55"/>
      <c r="S191" s="1293" t="s">
        <v>12</v>
      </c>
      <c r="T191" s="55"/>
      <c r="U191" s="55"/>
      <c r="V191" s="55"/>
      <c r="W191" s="55"/>
      <c r="X191" s="1293"/>
      <c r="Y191" s="55"/>
      <c r="Z191" s="615"/>
      <c r="AA191" s="614"/>
      <c r="AB191" s="55"/>
      <c r="AC191" s="55"/>
      <c r="AD191" s="615"/>
      <c r="AE191" s="614"/>
      <c r="AF191" s="55"/>
      <c r="AG191" s="55"/>
      <c r="AH191" s="598"/>
      <c r="AI191" s="611"/>
    </row>
    <row r="192" spans="1:35" ht="21.95" customHeight="1">
      <c r="A192" s="1"/>
      <c r="B192" s="1290">
        <v>8514</v>
      </c>
      <c r="C192" s="616" t="s">
        <v>124</v>
      </c>
      <c r="D192" s="616"/>
      <c r="E192" s="616"/>
      <c r="F192" s="616"/>
      <c r="G192" s="1294" t="s">
        <v>124</v>
      </c>
      <c r="H192" s="616"/>
      <c r="I192" s="616"/>
      <c r="J192" s="616"/>
      <c r="K192" s="1294" t="s">
        <v>124</v>
      </c>
      <c r="L192" s="616"/>
      <c r="M192" s="616"/>
      <c r="N192" s="616"/>
      <c r="O192" s="1294" t="s">
        <v>124</v>
      </c>
      <c r="P192" s="616"/>
      <c r="Q192" s="616"/>
      <c r="R192" s="616"/>
      <c r="S192" s="1294" t="s">
        <v>562</v>
      </c>
      <c r="T192" s="616"/>
      <c r="U192" s="616"/>
      <c r="V192" s="616"/>
      <c r="W192" s="616"/>
      <c r="X192" s="1297"/>
      <c r="Y192" s="55"/>
      <c r="Z192" s="608"/>
      <c r="AA192" s="14"/>
      <c r="AB192" s="609"/>
      <c r="AC192" s="55"/>
      <c r="AD192" s="55"/>
      <c r="AE192" s="610"/>
      <c r="AF192" s="55"/>
      <c r="AG192" s="55"/>
      <c r="AH192" s="55"/>
      <c r="AI192" s="611"/>
    </row>
    <row r="193" spans="1:35" ht="21.95" customHeight="1" thickBot="1">
      <c r="A193" s="1"/>
      <c r="B193" s="1291" t="s">
        <v>563</v>
      </c>
      <c r="C193" s="53" t="s">
        <v>564</v>
      </c>
      <c r="D193" s="53"/>
      <c r="E193" s="53"/>
      <c r="F193" s="53"/>
      <c r="G193" s="1295" t="s">
        <v>564</v>
      </c>
      <c r="H193" s="53"/>
      <c r="I193" s="53"/>
      <c r="J193" s="53"/>
      <c r="K193" s="53" t="s">
        <v>564</v>
      </c>
      <c r="L193" s="53"/>
      <c r="M193" s="53"/>
      <c r="N193" s="53"/>
      <c r="O193" s="1295" t="s">
        <v>564</v>
      </c>
      <c r="P193" s="53"/>
      <c r="Q193" s="53"/>
      <c r="R193" s="53"/>
      <c r="S193" s="1295" t="s">
        <v>565</v>
      </c>
      <c r="T193" s="53"/>
      <c r="U193" s="53"/>
      <c r="V193" s="53"/>
      <c r="W193" s="53"/>
      <c r="X193" s="1295"/>
      <c r="Y193" s="53"/>
      <c r="Z193" s="575"/>
      <c r="AA193" s="574"/>
      <c r="AB193" s="53"/>
      <c r="AC193" s="53"/>
      <c r="AD193" s="577"/>
      <c r="AE193" s="618"/>
      <c r="AF193" s="53"/>
      <c r="AG193" s="53" t="s">
        <v>28</v>
      </c>
      <c r="AH193" s="577"/>
      <c r="AI193" s="539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509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>
      <c r="A196" s="556"/>
      <c r="B196" s="297" t="s">
        <v>480</v>
      </c>
      <c r="C196" s="1235">
        <v>1</v>
      </c>
      <c r="D196" s="1235">
        <v>2</v>
      </c>
      <c r="E196" s="1234">
        <v>3</v>
      </c>
      <c r="F196" s="1234">
        <v>4</v>
      </c>
      <c r="G196" s="1234">
        <v>5</v>
      </c>
      <c r="H196" s="1234">
        <v>6</v>
      </c>
      <c r="I196" s="1213">
        <v>7</v>
      </c>
      <c r="J196" s="1330">
        <v>8</v>
      </c>
      <c r="K196" s="1235">
        <v>9</v>
      </c>
      <c r="L196" s="1234">
        <v>10</v>
      </c>
      <c r="M196" s="1234">
        <v>11</v>
      </c>
      <c r="N196" s="1234">
        <v>12</v>
      </c>
      <c r="O196" s="1234">
        <v>13</v>
      </c>
      <c r="P196" s="1213">
        <v>14</v>
      </c>
      <c r="Q196" s="1330">
        <v>15</v>
      </c>
      <c r="R196" s="1235">
        <v>16</v>
      </c>
      <c r="S196" s="1234">
        <v>17</v>
      </c>
      <c r="T196" s="1234">
        <v>18</v>
      </c>
      <c r="U196" s="1234">
        <v>19</v>
      </c>
      <c r="V196" s="1213">
        <v>20</v>
      </c>
      <c r="W196" s="1213">
        <v>21</v>
      </c>
      <c r="X196" s="1330">
        <v>22</v>
      </c>
      <c r="Y196" s="1235">
        <v>23</v>
      </c>
      <c r="Z196" s="1234">
        <v>24</v>
      </c>
      <c r="AA196" s="1234">
        <v>25</v>
      </c>
      <c r="AB196" s="1234">
        <v>26</v>
      </c>
      <c r="AC196" s="1234">
        <v>27</v>
      </c>
      <c r="AD196" s="1213">
        <v>28</v>
      </c>
      <c r="AE196" s="1213"/>
      <c r="AF196" s="1234"/>
      <c r="AG196" s="1234"/>
      <c r="AH196" s="498" t="s">
        <v>481</v>
      </c>
      <c r="AI196" s="499" t="s">
        <v>482</v>
      </c>
    </row>
    <row r="197" spans="1:35" ht="21.95" customHeight="1">
      <c r="A197" s="556"/>
      <c r="B197" s="1236" t="s">
        <v>768</v>
      </c>
      <c r="C197" s="1215"/>
      <c r="D197" s="1215"/>
      <c r="E197" s="1652" t="s">
        <v>535</v>
      </c>
      <c r="F197" s="1215" t="s">
        <v>535</v>
      </c>
      <c r="G197" s="1215" t="s">
        <v>535</v>
      </c>
      <c r="H197" s="1215" t="s">
        <v>535</v>
      </c>
      <c r="I197" s="1215" t="s">
        <v>535</v>
      </c>
      <c r="J197" s="1215"/>
      <c r="K197" s="1215"/>
      <c r="L197" s="1338" t="s">
        <v>535</v>
      </c>
      <c r="M197" s="1338" t="s">
        <v>535</v>
      </c>
      <c r="N197" s="1338" t="s">
        <v>535</v>
      </c>
      <c r="O197" s="1215" t="s">
        <v>535</v>
      </c>
      <c r="P197" s="1338" t="s">
        <v>535</v>
      </c>
      <c r="Q197" s="1215"/>
      <c r="R197" s="1215"/>
      <c r="S197" s="1215" t="s">
        <v>535</v>
      </c>
      <c r="T197" s="1215" t="s">
        <v>535</v>
      </c>
      <c r="U197" s="1215" t="s">
        <v>535</v>
      </c>
      <c r="V197" s="1215" t="s">
        <v>535</v>
      </c>
      <c r="W197" s="1215" t="s">
        <v>535</v>
      </c>
      <c r="X197" s="1215"/>
      <c r="Y197" s="1215"/>
      <c r="Z197" s="1215" t="s">
        <v>535</v>
      </c>
      <c r="AA197" s="1215" t="s">
        <v>535</v>
      </c>
      <c r="AB197" s="1215" t="s">
        <v>535</v>
      </c>
      <c r="AC197" s="1215" t="s">
        <v>535</v>
      </c>
      <c r="AD197" s="1215" t="s">
        <v>535</v>
      </c>
      <c r="AE197" s="1215"/>
      <c r="AF197" s="1215"/>
      <c r="AG197" s="1215"/>
      <c r="AH197" s="603">
        <v>37</v>
      </c>
      <c r="AI197" s="604">
        <v>37</v>
      </c>
    </row>
    <row r="198" spans="1:35" ht="21.95" customHeight="1">
      <c r="A198" s="620">
        <v>8500</v>
      </c>
      <c r="B198" s="1237" t="s">
        <v>151</v>
      </c>
      <c r="C198" s="1215"/>
      <c r="D198" s="1215"/>
      <c r="E198" s="1215" t="s">
        <v>535</v>
      </c>
      <c r="F198" s="1215" t="s">
        <v>535</v>
      </c>
      <c r="G198" s="1215" t="s">
        <v>535</v>
      </c>
      <c r="H198" s="1215" t="s">
        <v>535</v>
      </c>
      <c r="I198" s="1215" t="s">
        <v>535</v>
      </c>
      <c r="J198" s="1215"/>
      <c r="K198" s="1215"/>
      <c r="L198" s="1215" t="s">
        <v>535</v>
      </c>
      <c r="M198" s="1215" t="s">
        <v>535</v>
      </c>
      <c r="N198" s="1215" t="s">
        <v>535</v>
      </c>
      <c r="O198" s="1215" t="s">
        <v>535</v>
      </c>
      <c r="P198" s="1215" t="s">
        <v>535</v>
      </c>
      <c r="Q198" s="1215"/>
      <c r="R198" s="1215"/>
      <c r="S198" s="1215" t="s">
        <v>535</v>
      </c>
      <c r="T198" s="1215" t="s">
        <v>535</v>
      </c>
      <c r="U198" s="1215" t="s">
        <v>535</v>
      </c>
      <c r="V198" s="1500" t="s">
        <v>535</v>
      </c>
      <c r="W198" s="1500" t="s">
        <v>535</v>
      </c>
      <c r="X198" s="1215"/>
      <c r="Y198" s="1215"/>
      <c r="Z198" s="1215" t="s">
        <v>535</v>
      </c>
      <c r="AA198" s="1215" t="s">
        <v>535</v>
      </c>
      <c r="AB198" s="1215" t="s">
        <v>535</v>
      </c>
      <c r="AC198" s="1215" t="s">
        <v>535</v>
      </c>
      <c r="AD198" s="1215" t="s">
        <v>535</v>
      </c>
      <c r="AE198" s="1215"/>
      <c r="AF198" s="1215"/>
      <c r="AG198" s="1215"/>
      <c r="AH198" s="603">
        <v>37</v>
      </c>
      <c r="AI198" s="604">
        <v>37</v>
      </c>
    </row>
    <row r="199" spans="1:35" ht="21" customHeight="1">
      <c r="A199" s="442"/>
      <c r="B199" s="1236" t="s">
        <v>567</v>
      </c>
      <c r="C199" s="1215"/>
      <c r="D199" s="1215"/>
      <c r="E199" s="1215" t="s">
        <v>535</v>
      </c>
      <c r="F199" s="1215" t="s">
        <v>535</v>
      </c>
      <c r="G199" s="1215" t="s">
        <v>535</v>
      </c>
      <c r="H199" s="1215" t="s">
        <v>535</v>
      </c>
      <c r="I199" s="1346" t="s">
        <v>535</v>
      </c>
      <c r="J199" s="1215"/>
      <c r="K199" s="1215"/>
      <c r="L199" s="1215" t="s">
        <v>535</v>
      </c>
      <c r="M199" s="1215" t="s">
        <v>535</v>
      </c>
      <c r="N199" s="1215" t="s">
        <v>535</v>
      </c>
      <c r="O199" s="1215" t="s">
        <v>535</v>
      </c>
      <c r="P199" s="1215" t="s">
        <v>535</v>
      </c>
      <c r="Q199" s="1215"/>
      <c r="R199" s="1215"/>
      <c r="S199" s="1215" t="s">
        <v>535</v>
      </c>
      <c r="T199" s="1215" t="s">
        <v>535</v>
      </c>
      <c r="U199" s="1215" t="s">
        <v>535</v>
      </c>
      <c r="V199" s="1215" t="s">
        <v>535</v>
      </c>
      <c r="W199" s="1215" t="s">
        <v>535</v>
      </c>
      <c r="X199" s="1215"/>
      <c r="Y199" s="1215"/>
      <c r="Z199" s="1215" t="s">
        <v>535</v>
      </c>
      <c r="AA199" s="1215" t="s">
        <v>535</v>
      </c>
      <c r="AB199" s="1215" t="s">
        <v>535</v>
      </c>
      <c r="AC199" s="1215" t="s">
        <v>535</v>
      </c>
      <c r="AD199" s="1215" t="s">
        <v>535</v>
      </c>
      <c r="AE199" s="1215"/>
      <c r="AF199" s="1215"/>
      <c r="AG199" s="1215"/>
      <c r="AH199" s="603">
        <v>96</v>
      </c>
      <c r="AI199" s="604">
        <v>37</v>
      </c>
    </row>
    <row r="200" spans="1:35" ht="21" customHeight="1">
      <c r="A200" s="442">
        <v>8521</v>
      </c>
      <c r="B200" s="1236" t="s">
        <v>568</v>
      </c>
      <c r="C200" s="1215"/>
      <c r="D200" s="1215"/>
      <c r="E200" s="1215" t="s">
        <v>535</v>
      </c>
      <c r="F200" s="1215" t="s">
        <v>535</v>
      </c>
      <c r="G200" s="1215" t="s">
        <v>535</v>
      </c>
      <c r="H200" s="1215" t="s">
        <v>535</v>
      </c>
      <c r="I200" s="1215" t="s">
        <v>535</v>
      </c>
      <c r="J200" s="1215"/>
      <c r="K200" s="1215"/>
      <c r="L200" s="1215" t="s">
        <v>535</v>
      </c>
      <c r="M200" s="1215" t="s">
        <v>535</v>
      </c>
      <c r="N200" s="1338" t="s">
        <v>535</v>
      </c>
      <c r="O200" s="1338" t="s">
        <v>535</v>
      </c>
      <c r="P200" s="1338" t="s">
        <v>535</v>
      </c>
      <c r="Q200" s="1338"/>
      <c r="R200" s="1338"/>
      <c r="S200" s="1338" t="s">
        <v>535</v>
      </c>
      <c r="T200" s="1338" t="s">
        <v>535</v>
      </c>
      <c r="U200" s="1338" t="s">
        <v>535</v>
      </c>
      <c r="V200" s="1215" t="s">
        <v>535</v>
      </c>
      <c r="W200" s="1215" t="s">
        <v>535</v>
      </c>
      <c r="X200" s="1215"/>
      <c r="Y200" s="1215"/>
      <c r="Z200" s="1215" t="s">
        <v>535</v>
      </c>
      <c r="AA200" s="1215" t="s">
        <v>535</v>
      </c>
      <c r="AB200" s="1215" t="s">
        <v>535</v>
      </c>
      <c r="AC200" s="1215" t="s">
        <v>535</v>
      </c>
      <c r="AD200" s="1215" t="s">
        <v>535</v>
      </c>
      <c r="AE200" s="1215"/>
      <c r="AF200" s="1215"/>
      <c r="AG200" s="1215"/>
      <c r="AH200" s="603">
        <v>66</v>
      </c>
      <c r="AI200" s="604">
        <v>37</v>
      </c>
    </row>
    <row r="201" spans="1:35" ht="21" customHeight="1">
      <c r="A201" s="442"/>
      <c r="B201" s="1238" t="s">
        <v>569</v>
      </c>
      <c r="C201" s="1215"/>
      <c r="D201" s="1215"/>
      <c r="E201" s="1215" t="s">
        <v>535</v>
      </c>
      <c r="F201" s="1215" t="s">
        <v>535</v>
      </c>
      <c r="G201" s="1215" t="s">
        <v>535</v>
      </c>
      <c r="H201" s="1215" t="s">
        <v>535</v>
      </c>
      <c r="I201" s="1215" t="s">
        <v>535</v>
      </c>
      <c r="J201" s="1215"/>
      <c r="K201" s="1215"/>
      <c r="L201" s="1338" t="s">
        <v>535</v>
      </c>
      <c r="M201" s="1338" t="s">
        <v>535</v>
      </c>
      <c r="N201" s="1338" t="s">
        <v>535</v>
      </c>
      <c r="O201" s="1338" t="s">
        <v>535</v>
      </c>
      <c r="P201" s="1338" t="s">
        <v>535</v>
      </c>
      <c r="Q201" s="1338"/>
      <c r="R201" s="1338"/>
      <c r="S201" s="1215" t="s">
        <v>535</v>
      </c>
      <c r="T201" s="1215" t="s">
        <v>535</v>
      </c>
      <c r="U201" s="1215" t="s">
        <v>535</v>
      </c>
      <c r="V201" s="1344" t="s">
        <v>535</v>
      </c>
      <c r="W201" s="1344" t="s">
        <v>535</v>
      </c>
      <c r="X201" s="1215"/>
      <c r="Y201" s="1215"/>
      <c r="Z201" s="1215" t="s">
        <v>535</v>
      </c>
      <c r="AA201" s="1215" t="s">
        <v>535</v>
      </c>
      <c r="AB201" s="1215" t="s">
        <v>535</v>
      </c>
      <c r="AC201" s="1215" t="s">
        <v>535</v>
      </c>
      <c r="AD201" s="1335" t="s">
        <v>535</v>
      </c>
      <c r="AE201" s="1215"/>
      <c r="AF201" s="1215"/>
      <c r="AG201" s="1215"/>
      <c r="AH201" s="603">
        <v>4.45</v>
      </c>
      <c r="AI201" s="604">
        <v>37</v>
      </c>
    </row>
    <row r="202" spans="1:35" ht="21" customHeight="1">
      <c r="A202" s="442">
        <v>8514</v>
      </c>
      <c r="B202" s="545" t="s">
        <v>513</v>
      </c>
      <c r="C202" s="1215"/>
      <c r="D202" s="1215"/>
      <c r="E202" s="1215" t="s">
        <v>535</v>
      </c>
      <c r="F202" s="1215" t="s">
        <v>535</v>
      </c>
      <c r="G202" s="1215" t="s">
        <v>535</v>
      </c>
      <c r="H202" s="1215" t="s">
        <v>535</v>
      </c>
      <c r="I202" s="1345" t="s">
        <v>535</v>
      </c>
      <c r="J202" s="1215"/>
      <c r="K202" s="1215"/>
      <c r="L202" s="1345" t="s">
        <v>535</v>
      </c>
      <c r="M202" s="1345" t="s">
        <v>535</v>
      </c>
      <c r="N202" s="1215" t="s">
        <v>535</v>
      </c>
      <c r="O202" s="1215" t="s">
        <v>535</v>
      </c>
      <c r="P202" s="1215" t="s">
        <v>535</v>
      </c>
      <c r="Q202" s="1215"/>
      <c r="R202" s="1215"/>
      <c r="S202" s="1215" t="s">
        <v>535</v>
      </c>
      <c r="T202" s="1215" t="s">
        <v>535</v>
      </c>
      <c r="U202" s="1215" t="s">
        <v>535</v>
      </c>
      <c r="V202" s="1500" t="s">
        <v>535</v>
      </c>
      <c r="W202" s="1500" t="s">
        <v>535</v>
      </c>
      <c r="X202" s="1215"/>
      <c r="Y202" s="1215"/>
      <c r="Z202" s="1215" t="s">
        <v>535</v>
      </c>
      <c r="AA202" s="1215" t="s">
        <v>535</v>
      </c>
      <c r="AB202" s="1215" t="s">
        <v>535</v>
      </c>
      <c r="AC202" s="1215" t="s">
        <v>535</v>
      </c>
      <c r="AD202" s="1215" t="s">
        <v>535</v>
      </c>
      <c r="AE202" s="1215"/>
      <c r="AF202" s="1215"/>
      <c r="AG202" s="1215"/>
      <c r="AH202" s="603">
        <v>37</v>
      </c>
      <c r="AI202" s="604">
        <v>8.4499999999999993</v>
      </c>
    </row>
    <row r="203" spans="1:35" ht="21.95" customHeight="1">
      <c r="A203" s="442">
        <v>3701</v>
      </c>
      <c r="B203" s="1236" t="s">
        <v>345</v>
      </c>
      <c r="C203" s="1215"/>
      <c r="D203" s="1215"/>
      <c r="E203" s="1215" t="s">
        <v>535</v>
      </c>
      <c r="F203" s="1215" t="s">
        <v>535</v>
      </c>
      <c r="G203" s="1215" t="s">
        <v>535</v>
      </c>
      <c r="H203" s="1215" t="s">
        <v>535</v>
      </c>
      <c r="I203" s="1215" t="s">
        <v>535</v>
      </c>
      <c r="J203" s="1215"/>
      <c r="K203" s="1215"/>
      <c r="L203" s="1338" t="s">
        <v>535</v>
      </c>
      <c r="M203" s="1215" t="s">
        <v>535</v>
      </c>
      <c r="N203" s="1338" t="s">
        <v>535</v>
      </c>
      <c r="O203" s="1338" t="s">
        <v>535</v>
      </c>
      <c r="P203" s="1338" t="s">
        <v>535</v>
      </c>
      <c r="Q203" s="1215"/>
      <c r="R203" s="1215"/>
      <c r="S203" s="1215" t="s">
        <v>535</v>
      </c>
      <c r="T203" s="1215" t="s">
        <v>535</v>
      </c>
      <c r="U203" s="1215" t="s">
        <v>535</v>
      </c>
      <c r="V203" s="1500" t="s">
        <v>535</v>
      </c>
      <c r="W203" s="1500" t="s">
        <v>535</v>
      </c>
      <c r="X203" s="1215"/>
      <c r="Y203" s="1215"/>
      <c r="Z203" s="1215" t="s">
        <v>535</v>
      </c>
      <c r="AA203" s="1215" t="s">
        <v>535</v>
      </c>
      <c r="AB203" s="1215" t="s">
        <v>535</v>
      </c>
      <c r="AC203" s="1215" t="s">
        <v>535</v>
      </c>
      <c r="AD203" s="1215" t="s">
        <v>535</v>
      </c>
      <c r="AE203" s="1215"/>
      <c r="AF203" s="1215"/>
      <c r="AG203" s="1215"/>
      <c r="AH203" s="603">
        <v>21</v>
      </c>
      <c r="AI203" s="604">
        <v>37</v>
      </c>
    </row>
    <row r="204" spans="1:35" ht="21.95" customHeight="1">
      <c r="A204" s="442">
        <v>3701</v>
      </c>
      <c r="B204" s="1236" t="s">
        <v>348</v>
      </c>
      <c r="C204" s="1215"/>
      <c r="D204" s="1215"/>
      <c r="E204" s="1215" t="s">
        <v>535</v>
      </c>
      <c r="F204" s="1215" t="s">
        <v>535</v>
      </c>
      <c r="G204" s="1215" t="s">
        <v>535</v>
      </c>
      <c r="H204" s="1215" t="s">
        <v>535</v>
      </c>
      <c r="I204" s="1215" t="s">
        <v>535</v>
      </c>
      <c r="J204" s="1215"/>
      <c r="K204" s="1215"/>
      <c r="L204" s="1215" t="s">
        <v>535</v>
      </c>
      <c r="M204" s="1215" t="s">
        <v>535</v>
      </c>
      <c r="N204" s="1335" t="s">
        <v>535</v>
      </c>
      <c r="O204" s="1215" t="s">
        <v>535</v>
      </c>
      <c r="P204" s="1215" t="s">
        <v>535</v>
      </c>
      <c r="Q204" s="1215"/>
      <c r="R204" s="1215"/>
      <c r="S204" s="1215" t="s">
        <v>535</v>
      </c>
      <c r="T204" s="1215" t="s">
        <v>535</v>
      </c>
      <c r="U204" s="1215" t="s">
        <v>535</v>
      </c>
      <c r="V204" s="1500" t="s">
        <v>535</v>
      </c>
      <c r="W204" s="1500" t="s">
        <v>535</v>
      </c>
      <c r="X204" s="1215"/>
      <c r="Y204" s="1215"/>
      <c r="Z204" s="1215" t="s">
        <v>535</v>
      </c>
      <c r="AA204" s="1215" t="s">
        <v>535</v>
      </c>
      <c r="AB204" s="1215" t="s">
        <v>535</v>
      </c>
      <c r="AC204" s="1215" t="s">
        <v>535</v>
      </c>
      <c r="AD204" s="1215" t="s">
        <v>535</v>
      </c>
      <c r="AE204" s="1215"/>
      <c r="AF204" s="1215"/>
      <c r="AG204" s="1215"/>
      <c r="AH204" s="603">
        <v>45</v>
      </c>
      <c r="AI204" s="604">
        <v>0</v>
      </c>
    </row>
    <row r="205" spans="1:35" ht="21.95" customHeight="1">
      <c r="A205" s="442">
        <v>3701</v>
      </c>
      <c r="B205" s="1236" t="s">
        <v>350</v>
      </c>
      <c r="C205" s="1215"/>
      <c r="D205" s="1215"/>
      <c r="E205" s="1215" t="s">
        <v>535</v>
      </c>
      <c r="F205" s="1215" t="s">
        <v>535</v>
      </c>
      <c r="G205" s="1215" t="s">
        <v>535</v>
      </c>
      <c r="H205" s="1215" t="s">
        <v>535</v>
      </c>
      <c r="I205" s="1215" t="s">
        <v>535</v>
      </c>
      <c r="J205" s="1215"/>
      <c r="K205" s="1215"/>
      <c r="L205" s="1215">
        <v>19</v>
      </c>
      <c r="M205" s="1215">
        <v>19</v>
      </c>
      <c r="N205" s="1215">
        <v>19</v>
      </c>
      <c r="O205" s="1215">
        <v>19</v>
      </c>
      <c r="P205" s="1215">
        <v>19</v>
      </c>
      <c r="Q205" s="1215"/>
      <c r="R205" s="1215"/>
      <c r="S205" s="1335" t="s">
        <v>535</v>
      </c>
      <c r="T205" s="1335" t="s">
        <v>535</v>
      </c>
      <c r="U205" s="1215" t="s">
        <v>535</v>
      </c>
      <c r="V205" s="1500" t="s">
        <v>535</v>
      </c>
      <c r="W205" s="1500" t="s">
        <v>535</v>
      </c>
      <c r="X205" s="1215"/>
      <c r="Y205" s="1215"/>
      <c r="Z205" s="1215" t="s">
        <v>535</v>
      </c>
      <c r="AA205" s="1215" t="s">
        <v>535</v>
      </c>
      <c r="AB205" s="1215" t="s">
        <v>535</v>
      </c>
      <c r="AC205" s="1215" t="s">
        <v>535</v>
      </c>
      <c r="AD205" s="1215" t="s">
        <v>535</v>
      </c>
      <c r="AE205" s="1215"/>
      <c r="AF205" s="1215"/>
      <c r="AG205" s="1215"/>
      <c r="AH205" s="603">
        <v>45</v>
      </c>
      <c r="AI205" s="604">
        <v>1.3</v>
      </c>
    </row>
    <row r="206" spans="1:35" ht="21.95" customHeight="1">
      <c r="A206" s="442">
        <v>3701</v>
      </c>
      <c r="B206" s="1236" t="s">
        <v>351</v>
      </c>
      <c r="C206" s="1215"/>
      <c r="D206" s="1215"/>
      <c r="E206" s="1215" t="s">
        <v>535</v>
      </c>
      <c r="F206" s="1215" t="s">
        <v>535</v>
      </c>
      <c r="G206" s="1215" t="s">
        <v>535</v>
      </c>
      <c r="H206" s="1215" t="s">
        <v>535</v>
      </c>
      <c r="I206" s="1215" t="s">
        <v>535</v>
      </c>
      <c r="J206" s="1215"/>
      <c r="K206" s="1215"/>
      <c r="L206" s="1215" t="s">
        <v>535</v>
      </c>
      <c r="M206" s="1215" t="s">
        <v>535</v>
      </c>
      <c r="N206" s="1215" t="s">
        <v>535</v>
      </c>
      <c r="O206" s="1215" t="s">
        <v>535</v>
      </c>
      <c r="P206" s="1215" t="s">
        <v>535</v>
      </c>
      <c r="Q206" s="1215"/>
      <c r="R206" s="1215"/>
      <c r="S206" s="1215" t="s">
        <v>535</v>
      </c>
      <c r="T206" s="1215" t="s">
        <v>535</v>
      </c>
      <c r="U206" s="1215" t="s">
        <v>535</v>
      </c>
      <c r="V206" s="1500" t="s">
        <v>535</v>
      </c>
      <c r="W206" s="1500" t="s">
        <v>535</v>
      </c>
      <c r="X206" s="1215"/>
      <c r="Y206" s="1215"/>
      <c r="Z206" s="1215">
        <v>19</v>
      </c>
      <c r="AA206" s="1215">
        <v>19</v>
      </c>
      <c r="AB206" s="1215">
        <v>19</v>
      </c>
      <c r="AC206" s="1215">
        <v>19</v>
      </c>
      <c r="AD206" s="1215">
        <v>19</v>
      </c>
      <c r="AE206" s="1215"/>
      <c r="AF206" s="1215"/>
      <c r="AG206" s="1215"/>
      <c r="AH206" s="603">
        <v>2</v>
      </c>
      <c r="AI206" s="604">
        <v>37</v>
      </c>
    </row>
    <row r="207" spans="1:35" ht="21.95" customHeight="1">
      <c r="A207" s="442">
        <v>3701</v>
      </c>
      <c r="B207" s="1236" t="s">
        <v>571</v>
      </c>
      <c r="C207" s="1215"/>
      <c r="D207" s="1215"/>
      <c r="E207" s="1215" t="s">
        <v>535</v>
      </c>
      <c r="F207" s="1215" t="s">
        <v>535</v>
      </c>
      <c r="G207" s="1215" t="s">
        <v>535</v>
      </c>
      <c r="H207" s="1215" t="s">
        <v>535</v>
      </c>
      <c r="I207" s="1215" t="s">
        <v>535</v>
      </c>
      <c r="J207" s="1215"/>
      <c r="K207" s="1215"/>
      <c r="L207" s="1215" t="s">
        <v>535</v>
      </c>
      <c r="M207" s="1335" t="s">
        <v>535</v>
      </c>
      <c r="N207" s="1335" t="s">
        <v>535</v>
      </c>
      <c r="O207" s="1215" t="s">
        <v>535</v>
      </c>
      <c r="P207" s="1215" t="s">
        <v>535</v>
      </c>
      <c r="Q207" s="1215"/>
      <c r="R207" s="1215"/>
      <c r="S207" s="1215" t="s">
        <v>535</v>
      </c>
      <c r="T207" s="1215" t="s">
        <v>535</v>
      </c>
      <c r="U207" s="1215" t="s">
        <v>535</v>
      </c>
      <c r="V207" s="1500" t="s">
        <v>535</v>
      </c>
      <c r="W207" s="1500" t="s">
        <v>535</v>
      </c>
      <c r="X207" s="1215"/>
      <c r="Y207" s="1215"/>
      <c r="Z207" s="1215" t="s">
        <v>535</v>
      </c>
      <c r="AA207" s="1215" t="s">
        <v>535</v>
      </c>
      <c r="AB207" s="1215" t="s">
        <v>535</v>
      </c>
      <c r="AC207" s="1215" t="s">
        <v>535</v>
      </c>
      <c r="AD207" s="1215" t="s">
        <v>535</v>
      </c>
      <c r="AE207" s="1215"/>
      <c r="AF207" s="1215"/>
      <c r="AG207" s="1215"/>
      <c r="AH207" s="603">
        <v>0</v>
      </c>
      <c r="AI207" s="604">
        <v>37</v>
      </c>
    </row>
    <row r="208" spans="1:35" ht="21.95" customHeight="1">
      <c r="A208" s="442">
        <v>3701</v>
      </c>
      <c r="B208" s="545" t="s">
        <v>490</v>
      </c>
      <c r="C208" s="1215"/>
      <c r="D208" s="1215"/>
      <c r="E208" s="1215" t="s">
        <v>535</v>
      </c>
      <c r="F208" s="1215" t="s">
        <v>535</v>
      </c>
      <c r="G208" s="1215" t="s">
        <v>535</v>
      </c>
      <c r="H208" s="1215" t="s">
        <v>535</v>
      </c>
      <c r="I208" s="1215" t="s">
        <v>535</v>
      </c>
      <c r="J208" s="1215"/>
      <c r="K208" s="1215"/>
      <c r="L208" s="1215" t="s">
        <v>535</v>
      </c>
      <c r="M208" s="1215" t="s">
        <v>535</v>
      </c>
      <c r="N208" s="1215" t="s">
        <v>535</v>
      </c>
      <c r="O208" s="1215" t="s">
        <v>535</v>
      </c>
      <c r="P208" s="1215" t="s">
        <v>535</v>
      </c>
      <c r="Q208" s="1215"/>
      <c r="R208" s="1215"/>
      <c r="S208" s="1215">
        <v>19</v>
      </c>
      <c r="T208" s="1215">
        <v>19</v>
      </c>
      <c r="U208" s="1215">
        <v>19</v>
      </c>
      <c r="V208" s="1500">
        <v>19</v>
      </c>
      <c r="W208" s="1500">
        <v>19</v>
      </c>
      <c r="X208" s="1215"/>
      <c r="Y208" s="1215"/>
      <c r="Z208" s="1215" t="s">
        <v>535</v>
      </c>
      <c r="AA208" s="1215" t="s">
        <v>535</v>
      </c>
      <c r="AB208" s="1392" t="s">
        <v>535</v>
      </c>
      <c r="AC208" s="1392" t="s">
        <v>535</v>
      </c>
      <c r="AD208" s="1392" t="s">
        <v>570</v>
      </c>
      <c r="AE208" s="1215"/>
      <c r="AF208" s="1215"/>
      <c r="AG208" s="1215"/>
      <c r="AH208" s="603">
        <v>185</v>
      </c>
      <c r="AI208" s="604">
        <v>37</v>
      </c>
    </row>
    <row r="209" spans="1:35" ht="21.95" customHeight="1">
      <c r="A209" s="442">
        <v>3701</v>
      </c>
      <c r="B209" s="1319" t="s">
        <v>573</v>
      </c>
      <c r="C209" s="1215"/>
      <c r="D209" s="1215"/>
      <c r="E209" s="1215">
        <v>19</v>
      </c>
      <c r="F209" s="1215">
        <v>19</v>
      </c>
      <c r="G209" s="1215">
        <v>19</v>
      </c>
      <c r="H209" s="1215">
        <v>19</v>
      </c>
      <c r="I209" s="1215">
        <v>19</v>
      </c>
      <c r="J209" s="1215"/>
      <c r="K209" s="1215"/>
      <c r="L209" s="1215" t="s">
        <v>535</v>
      </c>
      <c r="M209" s="1215" t="s">
        <v>535</v>
      </c>
      <c r="N209" s="1215" t="s">
        <v>535</v>
      </c>
      <c r="O209" s="1335" t="s">
        <v>535</v>
      </c>
      <c r="P209" s="1215" t="s">
        <v>535</v>
      </c>
      <c r="Q209" s="1215"/>
      <c r="R209" s="1215"/>
      <c r="S209" s="1215" t="s">
        <v>535</v>
      </c>
      <c r="T209" s="1215" t="s">
        <v>535</v>
      </c>
      <c r="U209" s="1215" t="s">
        <v>535</v>
      </c>
      <c r="V209" s="1500" t="s">
        <v>535</v>
      </c>
      <c r="W209" s="1500" t="s">
        <v>535</v>
      </c>
      <c r="X209" s="1215"/>
      <c r="Y209" s="1215"/>
      <c r="Z209" s="1215" t="s">
        <v>535</v>
      </c>
      <c r="AA209" s="1215" t="s">
        <v>535</v>
      </c>
      <c r="AB209" s="1215" t="s">
        <v>535</v>
      </c>
      <c r="AC209" s="1215" t="s">
        <v>535</v>
      </c>
      <c r="AD209" s="1215" t="s">
        <v>535</v>
      </c>
      <c r="AE209" s="1215"/>
      <c r="AF209" s="1215"/>
      <c r="AG209" s="1215"/>
      <c r="AH209" s="603">
        <v>50</v>
      </c>
      <c r="AI209" s="604">
        <v>4</v>
      </c>
    </row>
    <row r="210" spans="1:35" ht="21.95" customHeight="1">
      <c r="A210" s="1318">
        <v>3701</v>
      </c>
      <c r="B210" s="1239" t="s">
        <v>575</v>
      </c>
      <c r="C210" s="1215"/>
      <c r="D210" s="1215"/>
      <c r="E210" s="1215" t="s">
        <v>535</v>
      </c>
      <c r="F210" s="1215" t="s">
        <v>535</v>
      </c>
      <c r="G210" s="1215" t="s">
        <v>535</v>
      </c>
      <c r="H210" s="1215" t="s">
        <v>535</v>
      </c>
      <c r="I210" s="1215" t="s">
        <v>535</v>
      </c>
      <c r="J210" s="1215"/>
      <c r="K210" s="1215"/>
      <c r="L210" s="1344" t="s">
        <v>535</v>
      </c>
      <c r="M210" s="1344" t="s">
        <v>535</v>
      </c>
      <c r="N210" s="1344" t="s">
        <v>535</v>
      </c>
      <c r="O210" s="1344" t="s">
        <v>535</v>
      </c>
      <c r="P210" s="1344" t="s">
        <v>535</v>
      </c>
      <c r="Q210" s="1344"/>
      <c r="R210" s="1344"/>
      <c r="S210" s="1344" t="s">
        <v>535</v>
      </c>
      <c r="T210" s="1215" t="s">
        <v>535</v>
      </c>
      <c r="U210" s="1215" t="s">
        <v>535</v>
      </c>
      <c r="V210" s="1500" t="s">
        <v>535</v>
      </c>
      <c r="W210" s="1500" t="s">
        <v>535</v>
      </c>
      <c r="X210" s="1215"/>
      <c r="Y210" s="1215"/>
      <c r="Z210" s="1215" t="s">
        <v>535</v>
      </c>
      <c r="AA210" s="1215" t="s">
        <v>535</v>
      </c>
      <c r="AB210" s="1215" t="s">
        <v>535</v>
      </c>
      <c r="AC210" s="1215" t="s">
        <v>535</v>
      </c>
      <c r="AD210" s="1215" t="s">
        <v>535</v>
      </c>
      <c r="AE210" s="1215"/>
      <c r="AF210" s="1215"/>
      <c r="AG210" s="1215"/>
      <c r="AH210" s="603">
        <v>43</v>
      </c>
      <c r="AI210" s="604">
        <v>37</v>
      </c>
    </row>
    <row r="211" spans="1:35" ht="21.95" customHeight="1">
      <c r="A211" s="442">
        <v>3701</v>
      </c>
      <c r="B211" s="1240" t="s">
        <v>576</v>
      </c>
      <c r="C211" s="1229"/>
      <c r="D211" s="1229"/>
      <c r="E211" s="1215" t="s">
        <v>535</v>
      </c>
      <c r="F211" s="1215" t="s">
        <v>535</v>
      </c>
      <c r="G211" s="1215" t="s">
        <v>535</v>
      </c>
      <c r="H211" s="1215" t="s">
        <v>535</v>
      </c>
      <c r="I211" s="1215" t="s">
        <v>535</v>
      </c>
      <c r="J211" s="1215"/>
      <c r="K211" s="1215"/>
      <c r="L211" s="1215" t="s">
        <v>535</v>
      </c>
      <c r="M211" s="1215" t="s">
        <v>535</v>
      </c>
      <c r="N211" s="1215" t="s">
        <v>535</v>
      </c>
      <c r="O211" s="1215" t="s">
        <v>535</v>
      </c>
      <c r="P211" s="1215" t="s">
        <v>535</v>
      </c>
      <c r="Q211" s="1215"/>
      <c r="R211" s="1215"/>
      <c r="S211" s="1215" t="s">
        <v>535</v>
      </c>
      <c r="T211" s="1215" t="s">
        <v>535</v>
      </c>
      <c r="U211" s="1215" t="s">
        <v>535</v>
      </c>
      <c r="V211" s="1500" t="s">
        <v>535</v>
      </c>
      <c r="W211" s="1500" t="s">
        <v>535</v>
      </c>
      <c r="X211" s="1215"/>
      <c r="Y211" s="1215"/>
      <c r="Z211" s="1215" t="s">
        <v>535</v>
      </c>
      <c r="AA211" s="1215" t="s">
        <v>535</v>
      </c>
      <c r="AB211" s="1215" t="s">
        <v>535</v>
      </c>
      <c r="AC211" s="1215" t="s">
        <v>535</v>
      </c>
      <c r="AD211" s="1215" t="s">
        <v>535</v>
      </c>
      <c r="AE211" s="1215"/>
      <c r="AF211" s="1215"/>
      <c r="AG211" s="1215"/>
      <c r="AH211" s="603">
        <v>0</v>
      </c>
      <c r="AI211" s="604">
        <v>0</v>
      </c>
    </row>
    <row r="212" spans="1:35" ht="21.95" customHeight="1">
      <c r="A212" s="442">
        <v>3701</v>
      </c>
      <c r="B212" s="1240"/>
      <c r="C212" s="1229"/>
      <c r="D212" s="1229"/>
      <c r="E212" s="1215"/>
      <c r="F212" s="1215"/>
      <c r="G212" s="1215"/>
      <c r="H212" s="1215"/>
      <c r="I212" s="1215"/>
      <c r="J212" s="1215"/>
      <c r="K212" s="1215"/>
      <c r="L212" s="1215"/>
      <c r="M212" s="1215"/>
      <c r="N212" s="1215"/>
      <c r="O212" s="1215"/>
      <c r="P212" s="1215"/>
      <c r="Q212" s="1215"/>
      <c r="R212" s="1215"/>
      <c r="S212" s="1215"/>
      <c r="T212" s="1215"/>
      <c r="U212" s="1215"/>
      <c r="V212" s="1500"/>
      <c r="W212" s="1500"/>
      <c r="X212" s="1215"/>
      <c r="Y212" s="1215"/>
      <c r="Z212" s="1215"/>
      <c r="AA212" s="1215"/>
      <c r="AB212" s="1215"/>
      <c r="AC212" s="1215"/>
      <c r="AD212" s="1215"/>
      <c r="AE212" s="1215"/>
      <c r="AF212" s="1215"/>
      <c r="AG212" s="1215"/>
      <c r="AH212" s="603"/>
      <c r="AI212" s="604"/>
    </row>
    <row r="213" spans="1:35" ht="21.95" customHeight="1">
      <c r="A213" s="442">
        <v>3701</v>
      </c>
      <c r="B213" s="1240"/>
      <c r="C213" s="1229"/>
      <c r="D213" s="1229"/>
      <c r="E213" s="1215"/>
      <c r="F213" s="1215"/>
      <c r="G213" s="1215"/>
      <c r="H213" s="1215"/>
      <c r="I213" s="1215"/>
      <c r="J213" s="1215"/>
      <c r="K213" s="1215"/>
      <c r="L213" s="1215"/>
      <c r="M213" s="1215"/>
      <c r="N213" s="1215"/>
      <c r="O213" s="1215"/>
      <c r="P213" s="1215"/>
      <c r="Q213" s="1215"/>
      <c r="R213" s="1215"/>
      <c r="S213" s="1215"/>
      <c r="T213" s="1215"/>
      <c r="U213" s="1215"/>
      <c r="V213" s="1344"/>
      <c r="W213" s="1344"/>
      <c r="X213" s="1215"/>
      <c r="Y213" s="1215"/>
      <c r="Z213" s="1215"/>
      <c r="AA213" s="1215"/>
      <c r="AB213" s="1215"/>
      <c r="AC213" s="1215"/>
      <c r="AD213" s="1215"/>
      <c r="AE213" s="1229"/>
      <c r="AF213" s="1229"/>
      <c r="AG213" s="1229"/>
      <c r="AH213" s="603"/>
      <c r="AI213" s="604"/>
    </row>
    <row r="214" spans="1:35" ht="21.95" customHeight="1">
      <c r="A214" s="903">
        <v>3701</v>
      </c>
      <c r="B214" s="1240"/>
      <c r="C214" s="1229"/>
      <c r="D214" s="1229"/>
      <c r="E214" s="1229"/>
      <c r="F214" s="1229"/>
      <c r="G214" s="1229"/>
      <c r="H214" s="1229"/>
      <c r="I214" s="1229"/>
      <c r="J214" s="1229"/>
      <c r="K214" s="1229"/>
      <c r="L214" s="1229"/>
      <c r="M214" s="1229"/>
      <c r="N214" s="1229"/>
      <c r="O214" s="1229"/>
      <c r="P214" s="1229"/>
      <c r="Q214" s="1229"/>
      <c r="R214" s="1229"/>
      <c r="S214" s="1229"/>
      <c r="T214" s="1229"/>
      <c r="U214" s="1229"/>
      <c r="V214" s="1229"/>
      <c r="W214" s="1229"/>
      <c r="X214" s="1229"/>
      <c r="Y214" s="1229"/>
      <c r="Z214" s="1229"/>
      <c r="AA214" s="1229"/>
      <c r="AB214" s="1229"/>
      <c r="AC214" s="1229"/>
      <c r="AD214" s="1229"/>
      <c r="AE214" s="1229"/>
      <c r="AF214" s="1229"/>
      <c r="AG214" s="1229"/>
      <c r="AH214" s="904"/>
      <c r="AI214" s="904"/>
    </row>
    <row r="215" spans="1:35" ht="21.95" customHeight="1">
      <c r="A215" s="578"/>
      <c r="B215" s="621"/>
      <c r="C215" s="559"/>
      <c r="D215" s="559"/>
      <c r="E215" s="559"/>
      <c r="F215" s="559"/>
      <c r="G215" s="559"/>
      <c r="H215" s="559"/>
      <c r="I215" s="559"/>
      <c r="J215" s="559"/>
      <c r="K215" s="520"/>
      <c r="L215" s="559"/>
      <c r="M215" s="559"/>
      <c r="N215" s="559"/>
      <c r="O215" s="559"/>
      <c r="P215" s="541"/>
      <c r="Q215" s="541"/>
      <c r="R215" s="541"/>
      <c r="S215" s="559"/>
      <c r="T215" s="559"/>
      <c r="U215" s="559"/>
      <c r="V215" s="559"/>
      <c r="W215" s="559"/>
      <c r="X215" s="559"/>
      <c r="Y215" s="559"/>
      <c r="Z215" s="559"/>
      <c r="AA215" s="559"/>
      <c r="AB215" s="559"/>
      <c r="AC215" s="559"/>
      <c r="AD215" s="559"/>
      <c r="AE215" s="559"/>
      <c r="AF215" s="559"/>
      <c r="AG215" s="559"/>
      <c r="AH215" s="560"/>
      <c r="AI215" s="560"/>
    </row>
    <row r="216" spans="1:35" ht="21" customHeight="1" thickBot="1">
      <c r="A216" s="1" t="s">
        <v>577</v>
      </c>
    </row>
    <row r="217" spans="1:35" ht="21" customHeight="1">
      <c r="B217" s="201" t="s">
        <v>516</v>
      </c>
      <c r="C217" s="7"/>
      <c r="D217" s="525" t="s">
        <v>2</v>
      </c>
      <c r="E217" s="51"/>
      <c r="F217" s="551"/>
      <c r="G217" s="7"/>
      <c r="H217" s="525" t="s">
        <v>3</v>
      </c>
      <c r="I217" s="51"/>
      <c r="J217" s="551"/>
      <c r="K217" s="7"/>
      <c r="L217" s="525" t="s">
        <v>4</v>
      </c>
      <c r="M217" s="51"/>
      <c r="N217" s="551"/>
      <c r="O217" s="7"/>
      <c r="P217" s="525" t="s">
        <v>5</v>
      </c>
      <c r="Q217" s="51"/>
      <c r="R217" s="551"/>
      <c r="S217" s="7"/>
      <c r="T217" s="525" t="s">
        <v>6</v>
      </c>
      <c r="U217" s="51"/>
      <c r="V217" s="551"/>
      <c r="W217" s="7"/>
      <c r="X217" s="525" t="s">
        <v>7</v>
      </c>
      <c r="Y217" s="51"/>
      <c r="Z217" s="551"/>
      <c r="AA217" s="7"/>
      <c r="AB217" s="525" t="s">
        <v>8</v>
      </c>
      <c r="AC217" s="51"/>
      <c r="AD217" s="51"/>
      <c r="AE217" s="425" t="s">
        <v>10</v>
      </c>
      <c r="AF217" s="51"/>
      <c r="AG217" s="51"/>
      <c r="AH217" s="51"/>
      <c r="AI217" s="526"/>
    </row>
    <row r="218" spans="1:35" ht="21" customHeight="1">
      <c r="B218" s="9">
        <v>8502</v>
      </c>
      <c r="C218" s="14" t="s">
        <v>11</v>
      </c>
      <c r="D218" s="609"/>
      <c r="E218" s="55"/>
      <c r="F218" s="608"/>
      <c r="G218" s="14" t="s">
        <v>11</v>
      </c>
      <c r="H218" s="609"/>
      <c r="I218" s="55"/>
      <c r="J218" s="608"/>
      <c r="K218" s="14" t="s">
        <v>11</v>
      </c>
      <c r="L218" s="609"/>
      <c r="M218" s="55"/>
      <c r="N218" s="608"/>
      <c r="O218" s="14" t="s">
        <v>11</v>
      </c>
      <c r="P218" s="609"/>
      <c r="Q218" s="55"/>
      <c r="R218" s="608"/>
      <c r="S218" s="14" t="s">
        <v>12</v>
      </c>
      <c r="T218" s="609"/>
      <c r="U218" s="55"/>
      <c r="V218" s="608"/>
      <c r="W218" s="14"/>
      <c r="X218" s="609"/>
      <c r="Y218" s="55"/>
      <c r="Z218" s="608"/>
      <c r="AA218" s="14"/>
      <c r="AB218" s="609"/>
      <c r="AC218" s="55"/>
      <c r="AD218" s="55"/>
      <c r="AE218" s="610"/>
      <c r="AF218" s="55"/>
      <c r="AG218" s="55"/>
      <c r="AH218" s="55"/>
      <c r="AI218" s="611"/>
    </row>
    <row r="219" spans="1:35" ht="21" customHeight="1">
      <c r="B219" s="612">
        <v>3701</v>
      </c>
      <c r="C219" s="121" t="s">
        <v>11</v>
      </c>
      <c r="D219" s="131"/>
      <c r="E219" s="55"/>
      <c r="F219" s="608"/>
      <c r="G219" s="121" t="s">
        <v>11</v>
      </c>
      <c r="H219" s="609"/>
      <c r="I219" s="55"/>
      <c r="J219" s="608"/>
      <c r="K219" s="121" t="s">
        <v>11</v>
      </c>
      <c r="L219" s="609"/>
      <c r="M219" s="55"/>
      <c r="N219" s="608"/>
      <c r="O219" s="121" t="s">
        <v>11</v>
      </c>
      <c r="P219" s="609"/>
      <c r="Q219" s="55"/>
      <c r="R219" s="608"/>
      <c r="S219" s="14" t="s">
        <v>12</v>
      </c>
      <c r="T219" s="609"/>
      <c r="U219" s="55"/>
      <c r="V219" s="608"/>
      <c r="W219" s="14"/>
      <c r="X219" s="609"/>
      <c r="Y219" s="55"/>
      <c r="Z219" s="608"/>
      <c r="AA219" s="14"/>
      <c r="AB219" s="609"/>
      <c r="AC219" s="55"/>
      <c r="AD219" s="55"/>
      <c r="AE219" s="610"/>
      <c r="AF219" s="55"/>
      <c r="AG219" s="55"/>
      <c r="AH219" s="55"/>
      <c r="AI219" s="611"/>
    </row>
    <row r="220" spans="1:35" ht="21" customHeight="1">
      <c r="B220" s="612">
        <v>3705</v>
      </c>
      <c r="C220" s="121" t="s">
        <v>147</v>
      </c>
      <c r="D220" s="131"/>
      <c r="E220" s="55"/>
      <c r="F220" s="608"/>
      <c r="G220" s="121" t="s">
        <v>147</v>
      </c>
      <c r="H220" s="609"/>
      <c r="I220" s="55"/>
      <c r="J220" s="608"/>
      <c r="K220" s="121" t="s">
        <v>147</v>
      </c>
      <c r="L220" s="609"/>
      <c r="M220" s="55"/>
      <c r="N220" s="608"/>
      <c r="O220" s="121" t="s">
        <v>147</v>
      </c>
      <c r="P220" s="609"/>
      <c r="Q220" s="55"/>
      <c r="R220" s="608"/>
      <c r="S220" s="121" t="s">
        <v>578</v>
      </c>
      <c r="T220" s="609"/>
      <c r="U220" s="55"/>
      <c r="V220" s="608"/>
      <c r="W220" s="14"/>
      <c r="X220" s="609"/>
      <c r="Y220" s="55"/>
      <c r="Z220" s="608"/>
      <c r="AA220" s="14"/>
      <c r="AB220" s="609"/>
      <c r="AC220" s="55"/>
      <c r="AD220" s="55"/>
      <c r="AE220" s="610"/>
      <c r="AF220" s="55"/>
      <c r="AG220" s="55"/>
      <c r="AH220" s="55"/>
      <c r="AI220" s="611"/>
    </row>
    <row r="221" spans="1:35" ht="21" customHeight="1">
      <c r="B221" s="612" t="s">
        <v>579</v>
      </c>
      <c r="C221" s="567" t="s">
        <v>580</v>
      </c>
      <c r="D221" s="131"/>
      <c r="E221" s="55"/>
      <c r="F221" s="608"/>
      <c r="G221" s="567" t="s">
        <v>580</v>
      </c>
      <c r="H221" s="609"/>
      <c r="I221" s="55"/>
      <c r="J221" s="608"/>
      <c r="K221" s="567" t="s">
        <v>580</v>
      </c>
      <c r="L221" s="609"/>
      <c r="M221" s="55"/>
      <c r="N221" s="608"/>
      <c r="O221" s="567" t="s">
        <v>580</v>
      </c>
      <c r="P221" s="609"/>
      <c r="Q221" s="55"/>
      <c r="R221" s="608"/>
      <c r="S221" s="567" t="s">
        <v>580</v>
      </c>
      <c r="T221" s="609"/>
      <c r="U221" s="55"/>
      <c r="V221" s="608"/>
      <c r="W221" s="14"/>
      <c r="X221" s="609"/>
      <c r="Y221" s="55"/>
      <c r="Z221" s="608"/>
      <c r="AA221" s="14"/>
      <c r="AB221" s="609"/>
      <c r="AC221" s="55"/>
      <c r="AD221" s="55"/>
      <c r="AE221" s="610"/>
      <c r="AF221" s="55"/>
      <c r="AG221" s="55"/>
      <c r="AH221" s="55"/>
      <c r="AI221" s="611"/>
    </row>
    <row r="222" spans="1:35" ht="21" customHeight="1">
      <c r="B222" s="612" t="s">
        <v>581</v>
      </c>
      <c r="C222" s="567" t="s">
        <v>582</v>
      </c>
      <c r="D222" s="131"/>
      <c r="E222" s="55"/>
      <c r="F222" s="608"/>
      <c r="G222" s="609" t="s">
        <v>583</v>
      </c>
      <c r="H222" s="609"/>
      <c r="I222" s="55"/>
      <c r="J222" s="608"/>
      <c r="K222" s="609" t="s">
        <v>584</v>
      </c>
      <c r="L222" s="609"/>
      <c r="M222" s="55"/>
      <c r="N222" s="608"/>
      <c r="O222" s="609" t="s">
        <v>584</v>
      </c>
      <c r="P222" s="609"/>
      <c r="Q222" s="55"/>
      <c r="R222" s="608"/>
      <c r="S222" s="609" t="s">
        <v>585</v>
      </c>
      <c r="T222" s="609"/>
      <c r="U222" s="55"/>
      <c r="V222" s="608"/>
      <c r="W222" s="14"/>
      <c r="X222" s="609"/>
      <c r="Y222" s="55"/>
      <c r="Z222" s="608"/>
      <c r="AA222" s="14"/>
      <c r="AB222" s="609"/>
      <c r="AC222" s="55"/>
      <c r="AD222" s="55"/>
      <c r="AE222" s="610"/>
      <c r="AF222" s="55"/>
      <c r="AG222" s="55"/>
      <c r="AH222" s="55"/>
      <c r="AI222" s="611"/>
    </row>
    <row r="223" spans="1:35" ht="21" customHeight="1">
      <c r="B223" s="612" t="s">
        <v>164</v>
      </c>
      <c r="C223" s="567" t="s">
        <v>518</v>
      </c>
      <c r="D223" s="131"/>
      <c r="E223" s="55"/>
      <c r="F223" s="608"/>
      <c r="G223" s="567" t="s">
        <v>518</v>
      </c>
      <c r="H223" s="131"/>
      <c r="I223" s="55"/>
      <c r="J223" s="608"/>
      <c r="K223" s="567" t="s">
        <v>518</v>
      </c>
      <c r="L223" s="131"/>
      <c r="M223" s="55"/>
      <c r="N223" s="608"/>
      <c r="O223" s="567" t="s">
        <v>518</v>
      </c>
      <c r="P223" s="131"/>
      <c r="Q223" s="55"/>
      <c r="R223" s="608"/>
      <c r="S223" s="609" t="s">
        <v>519</v>
      </c>
      <c r="T223" s="609"/>
      <c r="U223" s="55"/>
      <c r="V223" s="608"/>
      <c r="W223" s="14"/>
      <c r="X223" s="609"/>
      <c r="Y223" s="55"/>
      <c r="Z223" s="608"/>
      <c r="AA223" s="14"/>
      <c r="AB223" s="609"/>
      <c r="AC223" s="55"/>
      <c r="AD223" s="55"/>
      <c r="AE223" s="610"/>
      <c r="AF223" s="55"/>
      <c r="AG223" s="55"/>
      <c r="AH223" s="55"/>
      <c r="AI223" s="611"/>
    </row>
    <row r="224" spans="1:35" ht="21" customHeight="1">
      <c r="B224" s="612" t="s">
        <v>167</v>
      </c>
      <c r="C224" s="567" t="s">
        <v>521</v>
      </c>
      <c r="D224" s="131"/>
      <c r="E224" s="55"/>
      <c r="F224" s="608"/>
      <c r="G224" s="567" t="s">
        <v>521</v>
      </c>
      <c r="H224" s="131"/>
      <c r="I224" s="55"/>
      <c r="J224" s="608"/>
      <c r="K224" s="567" t="s">
        <v>521</v>
      </c>
      <c r="L224" s="131"/>
      <c r="M224" s="55"/>
      <c r="N224" s="608"/>
      <c r="O224" s="567" t="s">
        <v>521</v>
      </c>
      <c r="P224" s="131"/>
      <c r="Q224" s="55"/>
      <c r="R224" s="608"/>
      <c r="S224" s="609" t="s">
        <v>522</v>
      </c>
      <c r="T224" s="609"/>
      <c r="U224" s="55"/>
      <c r="V224" s="608"/>
      <c r="W224" s="14"/>
      <c r="X224" s="609"/>
      <c r="Y224" s="55"/>
      <c r="Z224" s="608"/>
      <c r="AA224" s="14"/>
      <c r="AB224" s="609"/>
      <c r="AC224" s="55"/>
      <c r="AD224" s="55"/>
      <c r="AE224" s="610"/>
      <c r="AF224" s="55"/>
      <c r="AG224" s="55"/>
      <c r="AH224" s="55"/>
      <c r="AI224" s="611"/>
    </row>
    <row r="225" spans="1:35" ht="21" customHeight="1" thickBot="1">
      <c r="B225" s="617" t="s">
        <v>170</v>
      </c>
      <c r="C225" s="574" t="s">
        <v>524</v>
      </c>
      <c r="D225" s="48"/>
      <c r="E225" s="622"/>
      <c r="F225" s="240"/>
      <c r="G225" s="574" t="s">
        <v>524</v>
      </c>
      <c r="H225" s="48"/>
      <c r="I225" s="622"/>
      <c r="J225" s="240"/>
      <c r="K225" s="574" t="s">
        <v>524</v>
      </c>
      <c r="L225" s="48"/>
      <c r="M225" s="622"/>
      <c r="N225" s="240"/>
      <c r="O225" s="574" t="s">
        <v>524</v>
      </c>
      <c r="P225" s="48"/>
      <c r="Q225" s="622"/>
      <c r="R225" s="240"/>
      <c r="S225" s="149" t="s">
        <v>525</v>
      </c>
      <c r="T225" s="149"/>
      <c r="U225" s="622"/>
      <c r="V225" s="240"/>
      <c r="W225" s="623"/>
      <c r="X225" s="149"/>
      <c r="Y225" s="622"/>
      <c r="Z225" s="240"/>
      <c r="AA225" s="623"/>
      <c r="AB225" s="149"/>
      <c r="AC225" s="622"/>
      <c r="AD225" s="622"/>
      <c r="AE225" s="624"/>
      <c r="AF225" s="622"/>
      <c r="AG225" s="622"/>
      <c r="AH225" s="622"/>
      <c r="AI225" s="625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6" t="s">
        <v>586</v>
      </c>
    </row>
    <row r="228" spans="1:35" ht="21" customHeight="1">
      <c r="A228" s="556"/>
      <c r="B228" s="297" t="s">
        <v>480</v>
      </c>
      <c r="C228" s="1235">
        <v>1</v>
      </c>
      <c r="D228" s="1235">
        <v>2</v>
      </c>
      <c r="E228" s="1234">
        <v>3</v>
      </c>
      <c r="F228" s="1234">
        <v>4</v>
      </c>
      <c r="G228" s="1234">
        <v>5</v>
      </c>
      <c r="H228" s="1234">
        <v>6</v>
      </c>
      <c r="I228" s="1213">
        <v>7</v>
      </c>
      <c r="J228" s="1330">
        <v>8</v>
      </c>
      <c r="K228" s="1235">
        <v>9</v>
      </c>
      <c r="L228" s="1234">
        <v>10</v>
      </c>
      <c r="M228" s="1234">
        <v>11</v>
      </c>
      <c r="N228" s="1234">
        <v>12</v>
      </c>
      <c r="O228" s="1234">
        <v>13</v>
      </c>
      <c r="P228" s="1213">
        <v>14</v>
      </c>
      <c r="Q228" s="1330">
        <v>15</v>
      </c>
      <c r="R228" s="1235">
        <v>16</v>
      </c>
      <c r="S228" s="1234">
        <v>17</v>
      </c>
      <c r="T228" s="1234">
        <v>18</v>
      </c>
      <c r="U228" s="1234">
        <v>19</v>
      </c>
      <c r="V228" s="1213">
        <v>20</v>
      </c>
      <c r="W228" s="1213">
        <v>21</v>
      </c>
      <c r="X228" s="1330">
        <v>22</v>
      </c>
      <c r="Y228" s="1235">
        <v>23</v>
      </c>
      <c r="Z228" s="1234">
        <v>24</v>
      </c>
      <c r="AA228" s="1234">
        <v>25</v>
      </c>
      <c r="AB228" s="1234">
        <v>26</v>
      </c>
      <c r="AC228" s="1234">
        <v>27</v>
      </c>
      <c r="AD228" s="1213">
        <v>28</v>
      </c>
      <c r="AE228" s="1213"/>
      <c r="AF228" s="1234"/>
      <c r="AG228" s="1234"/>
      <c r="AH228" s="498" t="s">
        <v>481</v>
      </c>
      <c r="AI228" s="499" t="s">
        <v>482</v>
      </c>
    </row>
    <row r="229" spans="1:35" ht="21" customHeight="1">
      <c r="A229" s="442">
        <v>3702</v>
      </c>
      <c r="B229" s="153" t="s">
        <v>587</v>
      </c>
      <c r="C229" s="1215"/>
      <c r="D229" s="1215"/>
      <c r="E229" s="557">
        <v>1</v>
      </c>
      <c r="F229" s="557">
        <v>1</v>
      </c>
      <c r="G229" s="557">
        <v>1</v>
      </c>
      <c r="H229" s="557">
        <v>1</v>
      </c>
      <c r="I229" s="557">
        <v>1</v>
      </c>
      <c r="J229" s="1208"/>
      <c r="K229" s="1208"/>
      <c r="L229" s="1365">
        <v>2</v>
      </c>
      <c r="M229" s="1365">
        <v>2</v>
      </c>
      <c r="N229" s="1365">
        <v>2</v>
      </c>
      <c r="O229" s="1365">
        <v>2</v>
      </c>
      <c r="P229" s="1365">
        <v>2</v>
      </c>
      <c r="Q229" s="1215"/>
      <c r="R229" s="1215"/>
      <c r="S229" s="557">
        <v>1</v>
      </c>
      <c r="T229" s="557">
        <v>1</v>
      </c>
      <c r="U229" s="557">
        <v>1</v>
      </c>
      <c r="V229" s="557">
        <v>1</v>
      </c>
      <c r="W229" s="557">
        <v>1</v>
      </c>
      <c r="X229" s="1208"/>
      <c r="Y229" s="1208"/>
      <c r="Z229" s="1208">
        <v>2</v>
      </c>
      <c r="AA229" s="1208">
        <v>2</v>
      </c>
      <c r="AB229" s="1208">
        <v>2</v>
      </c>
      <c r="AC229" s="1208">
        <v>2</v>
      </c>
      <c r="AD229" s="1347">
        <v>2</v>
      </c>
      <c r="AE229" s="1208"/>
      <c r="AF229" s="1208"/>
      <c r="AG229" s="1208"/>
      <c r="AH229" s="504">
        <v>15.3</v>
      </c>
      <c r="AI229" s="505">
        <v>37</v>
      </c>
    </row>
    <row r="230" spans="1:35" ht="21" customHeight="1">
      <c r="A230" s="442">
        <v>3701</v>
      </c>
      <c r="B230" s="153" t="s">
        <v>588</v>
      </c>
      <c r="C230" s="1215"/>
      <c r="D230" s="1215"/>
      <c r="E230" s="557" t="s">
        <v>535</v>
      </c>
      <c r="F230" s="557" t="s">
        <v>535</v>
      </c>
      <c r="G230" s="557" t="s">
        <v>535</v>
      </c>
      <c r="H230" s="557" t="s">
        <v>535</v>
      </c>
      <c r="I230" s="557" t="s">
        <v>535</v>
      </c>
      <c r="J230" s="1208"/>
      <c r="K230" s="1208"/>
      <c r="L230" s="1208" t="s">
        <v>535</v>
      </c>
      <c r="M230" s="1208" t="s">
        <v>535</v>
      </c>
      <c r="N230" s="557" t="s">
        <v>535</v>
      </c>
      <c r="O230" s="557" t="s">
        <v>535</v>
      </c>
      <c r="P230" s="557" t="s">
        <v>535</v>
      </c>
      <c r="Q230" s="1215"/>
      <c r="R230" s="1215"/>
      <c r="S230" s="557" t="s">
        <v>535</v>
      </c>
      <c r="T230" s="557" t="s">
        <v>535</v>
      </c>
      <c r="U230" s="557" t="s">
        <v>535</v>
      </c>
      <c r="V230" s="1439" t="s">
        <v>535</v>
      </c>
      <c r="W230" s="1439" t="s">
        <v>570</v>
      </c>
      <c r="X230" s="1208"/>
      <c r="Y230" s="1208"/>
      <c r="Z230" s="1208" t="s">
        <v>535</v>
      </c>
      <c r="AA230" s="1208" t="s">
        <v>535</v>
      </c>
      <c r="AB230" s="1208" t="s">
        <v>535</v>
      </c>
      <c r="AC230" s="1208" t="s">
        <v>535</v>
      </c>
      <c r="AD230" s="1208" t="s">
        <v>535</v>
      </c>
      <c r="AE230" s="1208"/>
      <c r="AF230" s="1208"/>
      <c r="AG230" s="1208"/>
      <c r="AH230" s="504">
        <v>0</v>
      </c>
      <c r="AI230" s="505">
        <v>37</v>
      </c>
    </row>
    <row r="231" spans="1:35" ht="21" customHeight="1">
      <c r="A231" s="442">
        <v>3702</v>
      </c>
      <c r="B231" s="153" t="s">
        <v>589</v>
      </c>
      <c r="C231" s="1215"/>
      <c r="D231" s="1215"/>
      <c r="E231" s="557">
        <v>2</v>
      </c>
      <c r="F231" s="557">
        <v>2</v>
      </c>
      <c r="G231" s="557">
        <v>2</v>
      </c>
      <c r="H231" s="557">
        <v>2</v>
      </c>
      <c r="I231" s="557">
        <v>2</v>
      </c>
      <c r="J231" s="1208"/>
      <c r="K231" s="1208"/>
      <c r="L231" s="1208">
        <v>1</v>
      </c>
      <c r="M231" s="1208">
        <v>1</v>
      </c>
      <c r="N231" s="557">
        <v>1</v>
      </c>
      <c r="O231" s="557">
        <v>1</v>
      </c>
      <c r="P231" s="557">
        <v>1</v>
      </c>
      <c r="Q231" s="1215"/>
      <c r="R231" s="1215"/>
      <c r="S231" s="557">
        <v>2</v>
      </c>
      <c r="T231" s="557">
        <v>2</v>
      </c>
      <c r="U231" s="557">
        <v>2</v>
      </c>
      <c r="V231" s="557">
        <v>2</v>
      </c>
      <c r="W231" s="557">
        <v>2</v>
      </c>
      <c r="X231" s="1208"/>
      <c r="Y231" s="1208"/>
      <c r="Z231" s="1208">
        <v>1</v>
      </c>
      <c r="AA231" s="1208">
        <v>1</v>
      </c>
      <c r="AB231" s="1208">
        <v>1</v>
      </c>
      <c r="AC231" s="1208">
        <v>1</v>
      </c>
      <c r="AD231" s="1208">
        <v>1</v>
      </c>
      <c r="AE231" s="1208"/>
      <c r="AF231" s="1208"/>
      <c r="AG231" s="1208"/>
      <c r="AH231" s="504">
        <v>71</v>
      </c>
      <c r="AI231" s="505">
        <v>37</v>
      </c>
    </row>
    <row r="232" spans="1:35" ht="21" customHeight="1">
      <c r="A232" s="627">
        <v>3706</v>
      </c>
      <c r="B232" s="1607" t="s">
        <v>791</v>
      </c>
      <c r="C232" s="1215"/>
      <c r="D232" s="1215"/>
      <c r="E232" s="1215"/>
      <c r="F232" s="1215"/>
      <c r="G232" s="1215"/>
      <c r="H232" s="1215"/>
      <c r="I232" s="1215"/>
      <c r="J232" s="1215"/>
      <c r="K232" s="1215"/>
      <c r="L232" s="1392"/>
      <c r="M232" s="1392"/>
      <c r="N232" s="1392"/>
      <c r="O232" s="1392"/>
      <c r="P232" s="1392"/>
      <c r="Q232" s="1215"/>
      <c r="R232" s="1215"/>
      <c r="S232" s="1215"/>
      <c r="T232" s="1215"/>
      <c r="U232" s="1215"/>
      <c r="V232" s="1215"/>
      <c r="W232" s="1215"/>
      <c r="X232" s="1215"/>
      <c r="Y232" s="1215"/>
      <c r="Z232" s="1215"/>
      <c r="AA232" s="1215"/>
      <c r="AB232" s="1215"/>
      <c r="AC232" s="1215"/>
      <c r="AD232" s="1215"/>
      <c r="AE232" s="1215"/>
      <c r="AF232" s="1215"/>
      <c r="AG232" s="1215"/>
      <c r="AH232" s="504">
        <v>185</v>
      </c>
      <c r="AI232" s="505">
        <v>37</v>
      </c>
    </row>
    <row r="233" spans="1:35" ht="21" customHeight="1">
      <c r="A233" s="628"/>
      <c r="B233" s="629" t="s">
        <v>590</v>
      </c>
      <c r="C233" s="630"/>
      <c r="D233" s="630"/>
      <c r="E233" s="630"/>
      <c r="F233" s="630"/>
      <c r="G233" s="630"/>
      <c r="H233" s="630"/>
      <c r="I233" s="630"/>
      <c r="J233" s="630"/>
      <c r="K233" s="630"/>
      <c r="L233" s="630"/>
      <c r="M233" s="630"/>
      <c r="N233" s="630"/>
      <c r="O233" s="630"/>
      <c r="P233" s="630"/>
      <c r="Q233" s="630"/>
      <c r="R233" s="630"/>
      <c r="S233" s="630"/>
      <c r="T233" s="630"/>
      <c r="U233" s="630"/>
      <c r="V233" s="630"/>
      <c r="W233" s="630"/>
      <c r="X233" s="630"/>
      <c r="Y233" s="630"/>
      <c r="Z233" s="630"/>
      <c r="AA233" s="630"/>
      <c r="AB233" s="630"/>
      <c r="AC233" s="630"/>
      <c r="AD233" s="630"/>
      <c r="AE233" s="630"/>
      <c r="AF233" s="630"/>
      <c r="AG233" s="631"/>
      <c r="AH233" s="632"/>
      <c r="AI233" s="633"/>
    </row>
    <row r="234" spans="1:35" ht="21" customHeight="1">
      <c r="A234" s="442">
        <v>3702</v>
      </c>
      <c r="B234" s="902" t="s">
        <v>520</v>
      </c>
      <c r="C234" s="502"/>
      <c r="D234" s="502"/>
      <c r="E234" s="557" t="s">
        <v>591</v>
      </c>
      <c r="F234" s="557" t="s">
        <v>591</v>
      </c>
      <c r="G234" s="557" t="s">
        <v>591</v>
      </c>
      <c r="H234" s="557" t="s">
        <v>591</v>
      </c>
      <c r="I234" s="557" t="s">
        <v>591</v>
      </c>
      <c r="J234" s="1231"/>
      <c r="K234" s="1215"/>
      <c r="L234" s="557" t="s">
        <v>591</v>
      </c>
      <c r="M234" s="557" t="s">
        <v>591</v>
      </c>
      <c r="N234" s="557" t="s">
        <v>591</v>
      </c>
      <c r="O234" s="557" t="s">
        <v>591</v>
      </c>
      <c r="P234" s="557" t="s">
        <v>591</v>
      </c>
      <c r="Q234" s="1215"/>
      <c r="R234" s="1215"/>
      <c r="S234" s="557" t="s">
        <v>591</v>
      </c>
      <c r="T234" s="557" t="s">
        <v>591</v>
      </c>
      <c r="U234" s="557" t="s">
        <v>591</v>
      </c>
      <c r="V234" s="557" t="s">
        <v>591</v>
      </c>
      <c r="W234" s="557" t="s">
        <v>591</v>
      </c>
      <c r="X234" s="502"/>
      <c r="Y234" s="502"/>
      <c r="Z234" s="557" t="s">
        <v>591</v>
      </c>
      <c r="AA234" s="557" t="s">
        <v>591</v>
      </c>
      <c r="AB234" s="557" t="s">
        <v>591</v>
      </c>
      <c r="AC234" s="557" t="s">
        <v>591</v>
      </c>
      <c r="AD234" s="557" t="s">
        <v>591</v>
      </c>
      <c r="AE234" s="557"/>
      <c r="AF234" s="557"/>
      <c r="AG234" s="557"/>
      <c r="AH234" s="504">
        <v>39</v>
      </c>
      <c r="AI234" s="505">
        <v>37</v>
      </c>
    </row>
    <row r="235" spans="1:35" ht="21" customHeight="1">
      <c r="A235" s="442"/>
      <c r="B235" s="153" t="s">
        <v>517</v>
      </c>
      <c r="C235" s="502"/>
      <c r="D235" s="502"/>
      <c r="E235" s="557" t="s">
        <v>592</v>
      </c>
      <c r="F235" s="557" t="s">
        <v>592</v>
      </c>
      <c r="G235" s="557" t="s">
        <v>592</v>
      </c>
      <c r="H235" s="557" t="s">
        <v>592</v>
      </c>
      <c r="I235" s="557" t="s">
        <v>592</v>
      </c>
      <c r="J235" s="1231"/>
      <c r="K235" s="1215"/>
      <c r="L235" s="557" t="s">
        <v>592</v>
      </c>
      <c r="M235" s="557" t="s">
        <v>592</v>
      </c>
      <c r="N235" s="1365" t="s">
        <v>592</v>
      </c>
      <c r="O235" s="557" t="s">
        <v>592</v>
      </c>
      <c r="P235" s="557" t="s">
        <v>592</v>
      </c>
      <c r="Q235" s="1215"/>
      <c r="R235" s="1215"/>
      <c r="S235" s="557" t="s">
        <v>592</v>
      </c>
      <c r="T235" s="557" t="s">
        <v>592</v>
      </c>
      <c r="U235" s="557" t="s">
        <v>592</v>
      </c>
      <c r="V235" s="557" t="s">
        <v>592</v>
      </c>
      <c r="W235" s="557" t="s">
        <v>592</v>
      </c>
      <c r="X235" s="502"/>
      <c r="Y235" s="502"/>
      <c r="Z235" s="557" t="s">
        <v>592</v>
      </c>
      <c r="AA235" s="557" t="s">
        <v>592</v>
      </c>
      <c r="AB235" s="557" t="s">
        <v>592</v>
      </c>
      <c r="AC235" s="557" t="s">
        <v>592</v>
      </c>
      <c r="AD235" s="557" t="s">
        <v>592</v>
      </c>
      <c r="AE235" s="557"/>
      <c r="AF235" s="557"/>
      <c r="AG235" s="557"/>
      <c r="AH235" s="504">
        <v>21.3</v>
      </c>
      <c r="AI235" s="505">
        <v>37</v>
      </c>
    </row>
    <row r="236" spans="1:35" ht="21" customHeight="1">
      <c r="A236" s="442"/>
      <c r="B236" s="153" t="s">
        <v>523</v>
      </c>
      <c r="C236" s="502"/>
      <c r="D236" s="502"/>
      <c r="E236" s="557" t="s">
        <v>556</v>
      </c>
      <c r="F236" s="557" t="s">
        <v>556</v>
      </c>
      <c r="G236" s="557" t="s">
        <v>556</v>
      </c>
      <c r="H236" s="557" t="s">
        <v>556</v>
      </c>
      <c r="I236" s="557" t="s">
        <v>556</v>
      </c>
      <c r="J236" s="1231"/>
      <c r="K236" s="1215"/>
      <c r="L236" s="557" t="s">
        <v>556</v>
      </c>
      <c r="M236" s="557" t="s">
        <v>556</v>
      </c>
      <c r="N236" s="557" t="s">
        <v>556</v>
      </c>
      <c r="O236" s="557" t="s">
        <v>556</v>
      </c>
      <c r="P236" s="557" t="s">
        <v>556</v>
      </c>
      <c r="Q236" s="1215"/>
      <c r="R236" s="1215"/>
      <c r="S236" s="557" t="s">
        <v>556</v>
      </c>
      <c r="T236" s="557" t="s">
        <v>556</v>
      </c>
      <c r="U236" s="557" t="s">
        <v>556</v>
      </c>
      <c r="V236" s="557" t="s">
        <v>556</v>
      </c>
      <c r="W236" s="557" t="s">
        <v>556</v>
      </c>
      <c r="X236" s="502"/>
      <c r="Y236" s="502"/>
      <c r="Z236" s="1365" t="s">
        <v>556</v>
      </c>
      <c r="AA236" s="1365" t="s">
        <v>556</v>
      </c>
      <c r="AB236" s="1365" t="s">
        <v>556</v>
      </c>
      <c r="AC236" s="1365" t="s">
        <v>556</v>
      </c>
      <c r="AD236" s="1365" t="s">
        <v>556</v>
      </c>
      <c r="AE236" s="557"/>
      <c r="AF236" s="557"/>
      <c r="AG236" s="557"/>
      <c r="AH236" s="504">
        <v>67</v>
      </c>
      <c r="AI236" s="505">
        <v>22</v>
      </c>
    </row>
    <row r="237" spans="1:35" ht="21" customHeight="1"/>
    <row r="238" spans="1:35" ht="21" customHeight="1"/>
    <row r="239" spans="1:35" ht="21" customHeight="1" thickBot="1">
      <c r="A239" s="1" t="s">
        <v>593</v>
      </c>
    </row>
    <row r="240" spans="1:35" ht="21" customHeight="1">
      <c r="B240" s="201" t="s">
        <v>516</v>
      </c>
      <c r="C240" s="7"/>
      <c r="D240" s="525" t="s">
        <v>2</v>
      </c>
      <c r="E240" s="51"/>
      <c r="F240" s="551"/>
      <c r="G240" s="7"/>
      <c r="H240" s="525" t="s">
        <v>3</v>
      </c>
      <c r="I240" s="51"/>
      <c r="J240" s="551"/>
      <c r="K240" s="7"/>
      <c r="L240" s="525" t="s">
        <v>4</v>
      </c>
      <c r="M240" s="51"/>
      <c r="N240" s="551"/>
      <c r="O240" s="7"/>
      <c r="P240" s="525" t="s">
        <v>5</v>
      </c>
      <c r="Q240" s="51"/>
      <c r="R240" s="551"/>
      <c r="S240" s="7"/>
      <c r="T240" s="525" t="s">
        <v>6</v>
      </c>
      <c r="U240" s="51"/>
      <c r="V240" s="551"/>
      <c r="W240" s="7"/>
      <c r="X240" s="525" t="s">
        <v>7</v>
      </c>
      <c r="Y240" s="51"/>
      <c r="Z240" s="551"/>
      <c r="AA240" s="7"/>
      <c r="AB240" s="525" t="s">
        <v>8</v>
      </c>
      <c r="AC240" s="51"/>
      <c r="AD240" s="51"/>
      <c r="AE240" s="425" t="s">
        <v>10</v>
      </c>
      <c r="AF240" s="51"/>
      <c r="AG240" s="51"/>
      <c r="AH240" s="51"/>
      <c r="AI240" s="526"/>
    </row>
    <row r="241" spans="1:35" ht="21" customHeight="1">
      <c r="B241" s="9">
        <v>8500</v>
      </c>
      <c r="C241" s="121" t="s">
        <v>33</v>
      </c>
      <c r="D241" s="609"/>
      <c r="E241" s="55"/>
      <c r="F241" s="608"/>
      <c r="G241" s="121" t="s">
        <v>33</v>
      </c>
      <c r="H241" s="609"/>
      <c r="I241" s="55"/>
      <c r="J241" s="608"/>
      <c r="K241" s="121" t="s">
        <v>33</v>
      </c>
      <c r="L241" s="609"/>
      <c r="M241" s="55"/>
      <c r="N241" s="608"/>
      <c r="O241" s="121" t="s">
        <v>33</v>
      </c>
      <c r="P241" s="609"/>
      <c r="Q241" s="55"/>
      <c r="R241" s="608"/>
      <c r="S241" s="121" t="s">
        <v>34</v>
      </c>
      <c r="T241" s="609"/>
      <c r="U241" s="55"/>
      <c r="V241" s="608"/>
      <c r="W241" s="14"/>
      <c r="X241" s="609"/>
      <c r="Y241" s="55"/>
      <c r="Z241" s="608"/>
      <c r="AA241" s="14"/>
      <c r="AB241" s="609"/>
      <c r="AC241" s="55"/>
      <c r="AD241" s="55"/>
      <c r="AE241" s="610"/>
      <c r="AF241" s="55"/>
      <c r="AG241" s="55"/>
      <c r="AH241" s="55"/>
      <c r="AI241" s="611"/>
    </row>
    <row r="242" spans="1:35" ht="21" customHeight="1" thickBot="1">
      <c r="B242" s="163" t="s">
        <v>594</v>
      </c>
      <c r="C242" s="634" t="s">
        <v>595</v>
      </c>
      <c r="D242" s="635"/>
      <c r="E242" s="622"/>
      <c r="F242" s="240"/>
      <c r="G242" s="634" t="s">
        <v>595</v>
      </c>
      <c r="H242" s="149"/>
      <c r="I242" s="622"/>
      <c r="J242" s="240"/>
      <c r="K242" s="634" t="s">
        <v>595</v>
      </c>
      <c r="L242" s="149"/>
      <c r="M242" s="622"/>
      <c r="N242" s="240"/>
      <c r="O242" s="634" t="s">
        <v>596</v>
      </c>
      <c r="P242" s="149"/>
      <c r="Q242" s="622"/>
      <c r="R242" s="240"/>
      <c r="S242" s="634" t="s">
        <v>16</v>
      </c>
      <c r="T242" s="149"/>
      <c r="U242" s="622"/>
      <c r="V242" s="240"/>
      <c r="W242" s="623"/>
      <c r="X242" s="149"/>
      <c r="Y242" s="622"/>
      <c r="Z242" s="240"/>
      <c r="AA242" s="623"/>
      <c r="AB242" s="149"/>
      <c r="AC242" s="622"/>
      <c r="AD242" s="622"/>
      <c r="AE242" s="624"/>
      <c r="AF242" s="622"/>
      <c r="AG242" s="622"/>
      <c r="AH242" s="622"/>
      <c r="AI242" s="625"/>
    </row>
    <row r="243" spans="1:35" ht="21" customHeight="1" thickBot="1">
      <c r="A243" s="60" t="s">
        <v>597</v>
      </c>
    </row>
    <row r="244" spans="1:35" ht="21" customHeight="1">
      <c r="A244" s="636"/>
      <c r="B244" s="297" t="s">
        <v>480</v>
      </c>
      <c r="C244" s="1235">
        <v>1</v>
      </c>
      <c r="D244" s="1235">
        <v>2</v>
      </c>
      <c r="E244" s="1234">
        <v>3</v>
      </c>
      <c r="F244" s="1234">
        <v>4</v>
      </c>
      <c r="G244" s="1234">
        <v>5</v>
      </c>
      <c r="H244" s="1234">
        <v>6</v>
      </c>
      <c r="I244" s="1213">
        <v>7</v>
      </c>
      <c r="J244" s="1330">
        <v>8</v>
      </c>
      <c r="K244" s="1235">
        <v>9</v>
      </c>
      <c r="L244" s="1234">
        <v>10</v>
      </c>
      <c r="M244" s="1234">
        <v>11</v>
      </c>
      <c r="N244" s="1234">
        <v>12</v>
      </c>
      <c r="O244" s="1234">
        <v>13</v>
      </c>
      <c r="P244" s="1213">
        <v>14</v>
      </c>
      <c r="Q244" s="1330">
        <v>15</v>
      </c>
      <c r="R244" s="1235">
        <v>16</v>
      </c>
      <c r="S244" s="1234">
        <v>17</v>
      </c>
      <c r="T244" s="1234">
        <v>18</v>
      </c>
      <c r="U244" s="1234">
        <v>19</v>
      </c>
      <c r="V244" s="1213">
        <v>20</v>
      </c>
      <c r="W244" s="1213">
        <v>21</v>
      </c>
      <c r="X244" s="1330">
        <v>22</v>
      </c>
      <c r="Y244" s="1235">
        <v>23</v>
      </c>
      <c r="Z244" s="1234">
        <v>24</v>
      </c>
      <c r="AA244" s="1234">
        <v>25</v>
      </c>
      <c r="AB244" s="1234">
        <v>26</v>
      </c>
      <c r="AC244" s="1234">
        <v>27</v>
      </c>
      <c r="AD244" s="1213">
        <v>28</v>
      </c>
      <c r="AE244" s="1213"/>
      <c r="AF244" s="1234"/>
      <c r="AG244" s="1234"/>
      <c r="AH244" s="498" t="s">
        <v>481</v>
      </c>
      <c r="AI244" s="499" t="s">
        <v>482</v>
      </c>
    </row>
    <row r="245" spans="1:35" ht="21" customHeight="1">
      <c r="A245" s="155">
        <v>8500</v>
      </c>
      <c r="B245" s="637" t="s">
        <v>598</v>
      </c>
      <c r="C245" s="1215"/>
      <c r="D245" s="1215"/>
      <c r="E245" s="557" t="s">
        <v>535</v>
      </c>
      <c r="F245" s="557" t="s">
        <v>535</v>
      </c>
      <c r="G245" s="557" t="s">
        <v>535</v>
      </c>
      <c r="H245" s="557" t="s">
        <v>535</v>
      </c>
      <c r="I245" s="557" t="s">
        <v>535</v>
      </c>
      <c r="J245" s="1208"/>
      <c r="K245" s="1208"/>
      <c r="L245" s="1208" t="s">
        <v>535</v>
      </c>
      <c r="M245" s="1208" t="s">
        <v>535</v>
      </c>
      <c r="N245" s="557" t="s">
        <v>535</v>
      </c>
      <c r="O245" s="557" t="s">
        <v>535</v>
      </c>
      <c r="P245" s="557" t="s">
        <v>535</v>
      </c>
      <c r="Q245" s="1215"/>
      <c r="R245" s="1215"/>
      <c r="S245" s="557" t="s">
        <v>535</v>
      </c>
      <c r="T245" s="557" t="s">
        <v>535</v>
      </c>
      <c r="U245" s="557" t="s">
        <v>535</v>
      </c>
      <c r="V245" s="557" t="s">
        <v>535</v>
      </c>
      <c r="W245" s="557" t="s">
        <v>535</v>
      </c>
      <c r="X245" s="1208"/>
      <c r="Y245" s="1208"/>
      <c r="Z245" s="1208" t="s">
        <v>535</v>
      </c>
      <c r="AA245" s="1208" t="s">
        <v>535</v>
      </c>
      <c r="AB245" s="1208" t="s">
        <v>535</v>
      </c>
      <c r="AC245" s="1208" t="s">
        <v>535</v>
      </c>
      <c r="AD245" s="1208" t="s">
        <v>535</v>
      </c>
      <c r="AE245" s="1208"/>
      <c r="AF245" s="1208"/>
      <c r="AG245" s="1208"/>
      <c r="AH245" s="638">
        <v>105</v>
      </c>
      <c r="AI245" s="639">
        <v>37</v>
      </c>
    </row>
    <row r="246" spans="1:35" ht="21" customHeight="1">
      <c r="A246" s="500" t="s">
        <v>599</v>
      </c>
      <c r="B246" s="153" t="s">
        <v>600</v>
      </c>
      <c r="C246" s="1215"/>
      <c r="D246" s="1215"/>
      <c r="E246" s="1387" t="s">
        <v>535</v>
      </c>
      <c r="F246" s="1387" t="s">
        <v>535</v>
      </c>
      <c r="G246" s="1387" t="s">
        <v>535</v>
      </c>
      <c r="H246" s="1387" t="s">
        <v>535</v>
      </c>
      <c r="I246" s="557" t="s">
        <v>535</v>
      </c>
      <c r="J246" s="1208"/>
      <c r="K246" s="1208"/>
      <c r="L246" s="1208" t="s">
        <v>535</v>
      </c>
      <c r="M246" s="1208" t="s">
        <v>535</v>
      </c>
      <c r="N246" s="557" t="s">
        <v>535</v>
      </c>
      <c r="O246" s="557" t="s">
        <v>535</v>
      </c>
      <c r="P246" s="557" t="s">
        <v>535</v>
      </c>
      <c r="Q246" s="1215"/>
      <c r="R246" s="1215"/>
      <c r="S246" s="557" t="s">
        <v>535</v>
      </c>
      <c r="T246" s="557" t="s">
        <v>535</v>
      </c>
      <c r="U246" s="557" t="s">
        <v>535</v>
      </c>
      <c r="V246" s="557" t="s">
        <v>535</v>
      </c>
      <c r="W246" s="557" t="s">
        <v>535</v>
      </c>
      <c r="X246" s="1208"/>
      <c r="Y246" s="1208"/>
      <c r="Z246" s="1208" t="s">
        <v>535</v>
      </c>
      <c r="AA246" s="1208" t="s">
        <v>535</v>
      </c>
      <c r="AB246" s="1208" t="s">
        <v>535</v>
      </c>
      <c r="AC246" s="1208" t="s">
        <v>535</v>
      </c>
      <c r="AD246" s="1208" t="s">
        <v>535</v>
      </c>
      <c r="AE246" s="1208"/>
      <c r="AF246" s="1208"/>
      <c r="AG246" s="1208"/>
      <c r="AH246" s="638">
        <v>32</v>
      </c>
      <c r="AI246" s="639">
        <v>3</v>
      </c>
    </row>
    <row r="247" spans="1:35" ht="21.95" customHeight="1">
      <c r="A247" s="442"/>
      <c r="B247" s="153" t="s">
        <v>601</v>
      </c>
      <c r="C247" s="1215"/>
      <c r="D247" s="1215"/>
      <c r="E247" s="557" t="s">
        <v>535</v>
      </c>
      <c r="F247" s="557" t="s">
        <v>535</v>
      </c>
      <c r="G247" s="557" t="s">
        <v>535</v>
      </c>
      <c r="H247" s="557" t="s">
        <v>535</v>
      </c>
      <c r="I247" s="557" t="s">
        <v>535</v>
      </c>
      <c r="J247" s="1208"/>
      <c r="K247" s="1208"/>
      <c r="L247" s="1208" t="s">
        <v>535</v>
      </c>
      <c r="M247" s="1208" t="s">
        <v>535</v>
      </c>
      <c r="N247" s="557" t="s">
        <v>535</v>
      </c>
      <c r="O247" s="557" t="s">
        <v>535</v>
      </c>
      <c r="P247" s="557" t="s">
        <v>535</v>
      </c>
      <c r="Q247" s="1215"/>
      <c r="R247" s="1215"/>
      <c r="S247" s="557" t="s">
        <v>535</v>
      </c>
      <c r="T247" s="557" t="s">
        <v>535</v>
      </c>
      <c r="U247" s="557" t="s">
        <v>535</v>
      </c>
      <c r="V247" s="557" t="s">
        <v>535</v>
      </c>
      <c r="W247" s="557" t="s">
        <v>535</v>
      </c>
      <c r="X247" s="1208"/>
      <c r="Y247" s="1208"/>
      <c r="Z247" s="1362" t="s">
        <v>535</v>
      </c>
      <c r="AA247" s="1362" t="s">
        <v>535</v>
      </c>
      <c r="AB247" s="1362" t="s">
        <v>535</v>
      </c>
      <c r="AC247" s="1362" t="s">
        <v>535</v>
      </c>
      <c r="AD247" s="1362" t="s">
        <v>535</v>
      </c>
      <c r="AE247" s="1208"/>
      <c r="AF247" s="1208"/>
      <c r="AG247" s="1208"/>
      <c r="AH247" s="638">
        <v>37</v>
      </c>
      <c r="AI247" s="639">
        <v>37</v>
      </c>
    </row>
    <row r="248" spans="1:35" ht="21.95" customHeight="1">
      <c r="A248" s="519">
        <v>3701</v>
      </c>
      <c r="B248" s="134" t="s">
        <v>603</v>
      </c>
      <c r="C248" s="1219"/>
      <c r="D248" s="1219"/>
      <c r="E248" s="1563" t="s">
        <v>535</v>
      </c>
      <c r="F248" s="1563" t="s">
        <v>535</v>
      </c>
      <c r="G248" s="1563" t="s">
        <v>535</v>
      </c>
      <c r="H248" s="1563" t="s">
        <v>535</v>
      </c>
      <c r="I248" s="1563" t="s">
        <v>535</v>
      </c>
      <c r="J248" s="1564"/>
      <c r="K248" s="1564"/>
      <c r="L248" s="1564" t="s">
        <v>535</v>
      </c>
      <c r="M248" s="1564" t="s">
        <v>535</v>
      </c>
      <c r="N248" s="1563" t="s">
        <v>535</v>
      </c>
      <c r="O248" s="1563" t="s">
        <v>535</v>
      </c>
      <c r="P248" s="1563" t="s">
        <v>535</v>
      </c>
      <c r="Q248" s="1219"/>
      <c r="R248" s="1219"/>
      <c r="S248" s="1563" t="s">
        <v>535</v>
      </c>
      <c r="T248" s="1563" t="s">
        <v>535</v>
      </c>
      <c r="U248" s="1563" t="s">
        <v>535</v>
      </c>
      <c r="V248" s="1563" t="s">
        <v>535</v>
      </c>
      <c r="W248" s="1563" t="s">
        <v>535</v>
      </c>
      <c r="X248" s="1564"/>
      <c r="Y248" s="1564"/>
      <c r="Z248" s="1589" t="s">
        <v>535</v>
      </c>
      <c r="AA248" s="1589" t="s">
        <v>535</v>
      </c>
      <c r="AB248" s="1589" t="s">
        <v>535</v>
      </c>
      <c r="AC248" s="1589" t="s">
        <v>535</v>
      </c>
      <c r="AD248" s="1589" t="s">
        <v>535</v>
      </c>
      <c r="AE248" s="1564"/>
      <c r="AF248" s="1564"/>
      <c r="AG248" s="1564"/>
      <c r="AH248" s="1565">
        <v>17</v>
      </c>
      <c r="AI248" s="1566">
        <v>37</v>
      </c>
    </row>
    <row r="249" spans="1:35" ht="21" customHeight="1">
      <c r="A249" s="902">
        <v>8500</v>
      </c>
      <c r="B249" s="1615" t="s">
        <v>793</v>
      </c>
      <c r="C249" s="1229"/>
      <c r="D249" s="1229"/>
      <c r="E249" s="1567" t="s">
        <v>535</v>
      </c>
      <c r="F249" s="1567" t="s">
        <v>535</v>
      </c>
      <c r="G249" s="1567" t="s">
        <v>535</v>
      </c>
      <c r="H249" s="1567" t="s">
        <v>535</v>
      </c>
      <c r="I249" s="1567" t="s">
        <v>535</v>
      </c>
      <c r="J249" s="1568"/>
      <c r="K249" s="1568"/>
      <c r="L249" s="1568" t="s">
        <v>535</v>
      </c>
      <c r="M249" s="1568" t="s">
        <v>535</v>
      </c>
      <c r="N249" s="1567" t="s">
        <v>535</v>
      </c>
      <c r="O249" s="1567" t="s">
        <v>535</v>
      </c>
      <c r="P249" s="1567" t="s">
        <v>535</v>
      </c>
      <c r="Q249" s="1229"/>
      <c r="R249" s="1229"/>
      <c r="S249" s="1567" t="s">
        <v>535</v>
      </c>
      <c r="T249" s="1567" t="s">
        <v>535</v>
      </c>
      <c r="U249" s="1580" t="s">
        <v>535</v>
      </c>
      <c r="V249" s="1580" t="s">
        <v>535</v>
      </c>
      <c r="W249" s="1580" t="s">
        <v>535</v>
      </c>
      <c r="X249" s="1568"/>
      <c r="Y249" s="1568"/>
      <c r="Z249" s="1568" t="s">
        <v>535</v>
      </c>
      <c r="AA249" s="1568" t="s">
        <v>535</v>
      </c>
      <c r="AB249" s="1568" t="s">
        <v>535</v>
      </c>
      <c r="AC249" s="1568" t="s">
        <v>535</v>
      </c>
      <c r="AD249" s="1568" t="s">
        <v>535</v>
      </c>
      <c r="AE249" s="1568"/>
      <c r="AF249" s="1568"/>
      <c r="AG249" s="1568"/>
      <c r="AH249" s="1565">
        <v>185</v>
      </c>
      <c r="AI249" s="1566">
        <v>37</v>
      </c>
    </row>
    <row r="250" spans="1:35" ht="21.95" customHeight="1">
      <c r="A250" s="1616">
        <v>3350</v>
      </c>
      <c r="B250" s="1615" t="s">
        <v>794</v>
      </c>
      <c r="C250" s="1229"/>
      <c r="D250" s="1229"/>
      <c r="E250" s="1567" t="s">
        <v>535</v>
      </c>
      <c r="F250" s="1567" t="s">
        <v>535</v>
      </c>
      <c r="G250" s="1567" t="s">
        <v>535</v>
      </c>
      <c r="H250" s="1567" t="s">
        <v>535</v>
      </c>
      <c r="I250" s="1567" t="s">
        <v>535</v>
      </c>
      <c r="J250" s="1568"/>
      <c r="K250" s="1568"/>
      <c r="L250" s="1568" t="s">
        <v>535</v>
      </c>
      <c r="M250" s="1568" t="s">
        <v>535</v>
      </c>
      <c r="N250" s="1567" t="s">
        <v>535</v>
      </c>
      <c r="O250" s="1567" t="s">
        <v>535</v>
      </c>
      <c r="P250" s="1567" t="s">
        <v>535</v>
      </c>
      <c r="Q250" s="1229"/>
      <c r="R250" s="1229"/>
      <c r="S250" s="1567" t="s">
        <v>535</v>
      </c>
      <c r="T250" s="1567" t="s">
        <v>535</v>
      </c>
      <c r="U250" s="1567" t="s">
        <v>535</v>
      </c>
      <c r="V250" s="1567" t="s">
        <v>535</v>
      </c>
      <c r="W250" s="1567" t="s">
        <v>535</v>
      </c>
      <c r="X250" s="1568"/>
      <c r="Y250" s="1568"/>
      <c r="Z250" s="1568" t="s">
        <v>535</v>
      </c>
      <c r="AA250" s="1568" t="s">
        <v>535</v>
      </c>
      <c r="AB250" s="1568" t="s">
        <v>535</v>
      </c>
      <c r="AC250" s="1580" t="s">
        <v>535</v>
      </c>
      <c r="AD250" s="1580" t="s">
        <v>570</v>
      </c>
      <c r="AE250" s="1568"/>
      <c r="AF250" s="1568"/>
      <c r="AG250" s="1568"/>
      <c r="AH250" s="1565">
        <v>185</v>
      </c>
      <c r="AI250" s="1566">
        <v>37</v>
      </c>
    </row>
    <row r="251" spans="1:35" ht="21.95" customHeight="1">
      <c r="A251" s="1616"/>
      <c r="B251" s="1654" t="s">
        <v>822</v>
      </c>
      <c r="C251" s="1229"/>
      <c r="D251" s="1229"/>
      <c r="E251" s="1567" t="s">
        <v>535</v>
      </c>
      <c r="F251" s="1567" t="s">
        <v>535</v>
      </c>
      <c r="G251" s="1567" t="s">
        <v>535</v>
      </c>
      <c r="H251" s="1676" t="s">
        <v>535</v>
      </c>
      <c r="I251" s="1676" t="s">
        <v>535</v>
      </c>
      <c r="J251" s="1676"/>
      <c r="K251" s="1676"/>
      <c r="L251" s="1676" t="s">
        <v>535</v>
      </c>
      <c r="M251" s="1676" t="s">
        <v>535</v>
      </c>
      <c r="N251" s="1676" t="s">
        <v>535</v>
      </c>
      <c r="O251" s="1676" t="s">
        <v>535</v>
      </c>
      <c r="P251" s="1676" t="s">
        <v>535</v>
      </c>
      <c r="Q251" s="1544"/>
      <c r="R251" s="1544"/>
      <c r="S251" s="1676" t="s">
        <v>535</v>
      </c>
      <c r="T251" s="1676" t="s">
        <v>535</v>
      </c>
      <c r="U251" s="1676" t="s">
        <v>535</v>
      </c>
      <c r="V251" s="1676" t="s">
        <v>535</v>
      </c>
      <c r="W251" s="1676" t="s">
        <v>535</v>
      </c>
      <c r="X251" s="1568"/>
      <c r="Y251" s="1568"/>
      <c r="Z251" s="1568" t="s">
        <v>535</v>
      </c>
      <c r="AA251" s="1568" t="s">
        <v>535</v>
      </c>
      <c r="AB251" s="1568" t="s">
        <v>535</v>
      </c>
      <c r="AC251" s="1568" t="s">
        <v>535</v>
      </c>
      <c r="AD251" s="1580" t="s">
        <v>570</v>
      </c>
      <c r="AE251" s="1568"/>
      <c r="AF251" s="1568"/>
      <c r="AG251" s="1568"/>
      <c r="AH251" s="1618"/>
      <c r="AI251" s="1619"/>
    </row>
    <row r="253" spans="1:35" ht="25.5" customHeight="1" thickBot="1">
      <c r="A253" s="1" t="s">
        <v>604</v>
      </c>
    </row>
    <row r="254" spans="1:35" ht="21" customHeight="1">
      <c r="A254" s="1"/>
      <c r="B254" s="201" t="s">
        <v>516</v>
      </c>
      <c r="C254" s="7"/>
      <c r="D254" s="525" t="s">
        <v>2</v>
      </c>
      <c r="E254" s="51"/>
      <c r="F254" s="551"/>
      <c r="G254" s="7"/>
      <c r="H254" s="525" t="s">
        <v>3</v>
      </c>
      <c r="I254" s="51"/>
      <c r="J254" s="551"/>
      <c r="K254" s="7"/>
      <c r="L254" s="525" t="s">
        <v>4</v>
      </c>
      <c r="M254" s="51"/>
      <c r="N254" s="551"/>
      <c r="O254" s="7"/>
      <c r="P254" s="525" t="s">
        <v>5</v>
      </c>
      <c r="Q254" s="51"/>
      <c r="R254" s="551"/>
      <c r="S254" s="7"/>
      <c r="T254" s="525" t="s">
        <v>6</v>
      </c>
      <c r="U254" s="51"/>
      <c r="V254" s="551"/>
      <c r="W254" s="7"/>
      <c r="X254" s="525" t="s">
        <v>7</v>
      </c>
      <c r="Y254" s="51"/>
      <c r="Z254" s="551"/>
      <c r="AA254" s="7"/>
      <c r="AB254" s="525" t="s">
        <v>8</v>
      </c>
      <c r="AC254" s="51"/>
      <c r="AD254" s="51"/>
      <c r="AE254" s="425" t="s">
        <v>10</v>
      </c>
      <c r="AF254" s="51"/>
      <c r="AG254" s="51"/>
      <c r="AH254" s="51"/>
      <c r="AI254" s="526"/>
    </row>
    <row r="255" spans="1:35" ht="21" customHeight="1">
      <c r="A255" s="1"/>
      <c r="B255" s="9"/>
      <c r="C255" s="14"/>
      <c r="D255" s="609"/>
      <c r="E255" s="55"/>
      <c r="F255" s="608"/>
      <c r="G255" s="14"/>
      <c r="H255" s="609"/>
      <c r="I255" s="55"/>
      <c r="J255" s="608"/>
      <c r="K255" s="14"/>
      <c r="L255" s="609"/>
      <c r="M255" s="55"/>
      <c r="N255" s="608"/>
      <c r="O255" s="14"/>
      <c r="P255" s="609"/>
      <c r="Q255" s="55"/>
      <c r="R255" s="608"/>
      <c r="S255" s="14"/>
      <c r="T255" s="609"/>
      <c r="U255" s="55"/>
      <c r="V255" s="608"/>
      <c r="W255" s="14"/>
      <c r="X255" s="609"/>
      <c r="Y255" s="55"/>
      <c r="Z255" s="608"/>
      <c r="AA255" s="14"/>
      <c r="AB255" s="609"/>
      <c r="AC255" s="55"/>
      <c r="AD255" s="55"/>
      <c r="AE255" s="610"/>
      <c r="AF255" s="55"/>
      <c r="AG255" s="55"/>
      <c r="AH255" s="55"/>
      <c r="AI255" s="611"/>
    </row>
    <row r="256" spans="1:35" ht="21" customHeight="1">
      <c r="B256" s="612"/>
      <c r="C256" s="121"/>
      <c r="D256" s="157"/>
      <c r="E256" s="157"/>
      <c r="F256" s="568"/>
      <c r="G256" s="121"/>
      <c r="H256" s="157"/>
      <c r="I256" s="157"/>
      <c r="J256" s="568"/>
      <c r="K256" s="121"/>
      <c r="L256" s="157"/>
      <c r="M256" s="157"/>
      <c r="N256" s="568"/>
      <c r="O256" s="121"/>
      <c r="P256" s="157"/>
      <c r="Q256" s="157"/>
      <c r="R256" s="568"/>
      <c r="S256" s="121"/>
      <c r="T256" s="157"/>
      <c r="U256" s="157"/>
      <c r="V256" s="568"/>
      <c r="W256" s="121"/>
      <c r="X256" s="157"/>
      <c r="Y256" s="157"/>
      <c r="Z256" s="568"/>
      <c r="AA256" s="567"/>
      <c r="AB256" s="157"/>
      <c r="AC256" s="157"/>
      <c r="AD256" s="569"/>
      <c r="AE256" s="613"/>
      <c r="AF256" s="157"/>
      <c r="AG256" s="157" t="s">
        <v>28</v>
      </c>
      <c r="AH256" s="569"/>
      <c r="AI256" s="490"/>
    </row>
    <row r="257" spans="1:35" ht="21" customHeight="1" thickBot="1">
      <c r="A257" s="1"/>
      <c r="B257" s="47"/>
      <c r="C257" s="574"/>
      <c r="D257" s="53"/>
      <c r="E257" s="53"/>
      <c r="F257" s="575"/>
      <c r="G257" s="574"/>
      <c r="H257" s="53"/>
      <c r="I257" s="53"/>
      <c r="J257" s="575"/>
      <c r="K257" s="574"/>
      <c r="L257" s="53"/>
      <c r="M257" s="53"/>
      <c r="N257" s="575"/>
      <c r="O257" s="574"/>
      <c r="P257" s="53"/>
      <c r="Q257" s="53"/>
      <c r="R257" s="575"/>
      <c r="S257" s="574"/>
      <c r="T257" s="53"/>
      <c r="U257" s="53"/>
      <c r="V257" s="575"/>
      <c r="W257" s="57"/>
      <c r="X257" s="53"/>
      <c r="Y257" s="53"/>
      <c r="Z257" s="575"/>
      <c r="AA257" s="57"/>
      <c r="AB257" s="53"/>
      <c r="AC257" s="53"/>
      <c r="AD257" s="577"/>
      <c r="AE257" s="57"/>
      <c r="AF257" s="53"/>
      <c r="AG257" s="53"/>
      <c r="AH257" s="577"/>
      <c r="AI257" s="539"/>
    </row>
    <row r="258" spans="1:35" ht="33" customHeight="1" thickBot="1">
      <c r="A258" s="1" t="s">
        <v>605</v>
      </c>
      <c r="B258" s="72"/>
      <c r="C258" s="312"/>
      <c r="F258" s="354"/>
      <c r="G258" s="312"/>
      <c r="J258" s="354"/>
      <c r="K258" s="312"/>
      <c r="N258" s="354"/>
      <c r="O258" s="312"/>
      <c r="R258" s="354"/>
      <c r="S258" s="312"/>
      <c r="V258" s="354"/>
      <c r="W258" s="354"/>
      <c r="Z258" s="354"/>
      <c r="AA258" s="354"/>
      <c r="AD258" s="354"/>
      <c r="AE258" s="354"/>
      <c r="AH258" s="354"/>
    </row>
    <row r="259" spans="1:35" ht="21" customHeight="1">
      <c r="A259" s="556" t="s">
        <v>528</v>
      </c>
      <c r="B259" s="297" t="s">
        <v>480</v>
      </c>
      <c r="C259" s="1235">
        <v>1</v>
      </c>
      <c r="D259" s="1235">
        <v>2</v>
      </c>
      <c r="E259" s="1234">
        <v>3</v>
      </c>
      <c r="F259" s="1234">
        <v>4</v>
      </c>
      <c r="G259" s="1234">
        <v>5</v>
      </c>
      <c r="H259" s="1234">
        <v>6</v>
      </c>
      <c r="I259" s="1213">
        <v>7</v>
      </c>
      <c r="J259" s="1330">
        <v>8</v>
      </c>
      <c r="K259" s="1235">
        <v>9</v>
      </c>
      <c r="L259" s="1234">
        <v>10</v>
      </c>
      <c r="M259" s="1234">
        <v>11</v>
      </c>
      <c r="N259" s="1234">
        <v>12</v>
      </c>
      <c r="O259" s="1234">
        <v>13</v>
      </c>
      <c r="P259" s="1213">
        <v>14</v>
      </c>
      <c r="Q259" s="1330">
        <v>15</v>
      </c>
      <c r="R259" s="1235">
        <v>16</v>
      </c>
      <c r="S259" s="1234">
        <v>17</v>
      </c>
      <c r="T259" s="1234">
        <v>18</v>
      </c>
      <c r="U259" s="1234">
        <v>19</v>
      </c>
      <c r="V259" s="1213">
        <v>20</v>
      </c>
      <c r="W259" s="1213">
        <v>21</v>
      </c>
      <c r="X259" s="1330">
        <v>22</v>
      </c>
      <c r="Y259" s="1235">
        <v>23</v>
      </c>
      <c r="Z259" s="1234">
        <v>24</v>
      </c>
      <c r="AA259" s="1234">
        <v>25</v>
      </c>
      <c r="AB259" s="1234">
        <v>26</v>
      </c>
      <c r="AC259" s="1234">
        <v>27</v>
      </c>
      <c r="AD259" s="1213">
        <v>28</v>
      </c>
      <c r="AE259" s="1213"/>
      <c r="AF259" s="1234"/>
      <c r="AG259" s="1234"/>
      <c r="AH259" s="498" t="s">
        <v>481</v>
      </c>
      <c r="AI259" s="499" t="s">
        <v>482</v>
      </c>
    </row>
    <row r="260" spans="1:35" ht="21" customHeight="1">
      <c r="A260" s="442"/>
      <c r="B260" s="619" t="s">
        <v>606</v>
      </c>
      <c r="C260" s="1215"/>
      <c r="D260" s="1215"/>
      <c r="E260" s="557" t="s">
        <v>535</v>
      </c>
      <c r="F260" s="557" t="s">
        <v>535</v>
      </c>
      <c r="G260" s="557" t="s">
        <v>535</v>
      </c>
      <c r="H260" s="557" t="s">
        <v>535</v>
      </c>
      <c r="I260" s="557" t="s">
        <v>535</v>
      </c>
      <c r="J260" s="1208"/>
      <c r="K260" s="1208"/>
      <c r="L260" s="1208" t="s">
        <v>535</v>
      </c>
      <c r="M260" s="1208" t="s">
        <v>535</v>
      </c>
      <c r="N260" s="557" t="s">
        <v>535</v>
      </c>
      <c r="O260" s="557" t="s">
        <v>535</v>
      </c>
      <c r="P260" s="557" t="s">
        <v>535</v>
      </c>
      <c r="Q260" s="1215"/>
      <c r="R260" s="1215"/>
      <c r="S260" s="557" t="s">
        <v>535</v>
      </c>
      <c r="T260" s="557" t="s">
        <v>535</v>
      </c>
      <c r="U260" s="557" t="s">
        <v>535</v>
      </c>
      <c r="V260" s="557" t="s">
        <v>535</v>
      </c>
      <c r="W260" s="557" t="s">
        <v>535</v>
      </c>
      <c r="X260" s="1208"/>
      <c r="Y260" s="1208"/>
      <c r="Z260" s="1208" t="s">
        <v>535</v>
      </c>
      <c r="AA260" s="1208" t="s">
        <v>535</v>
      </c>
      <c r="AB260" s="1208" t="s">
        <v>535</v>
      </c>
      <c r="AC260" s="1208" t="s">
        <v>535</v>
      </c>
      <c r="AD260" s="1208" t="s">
        <v>535</v>
      </c>
      <c r="AE260" s="1208"/>
      <c r="AF260" s="1208"/>
      <c r="AG260" s="1208"/>
      <c r="AH260" s="638">
        <v>74</v>
      </c>
      <c r="AI260" s="639">
        <v>37</v>
      </c>
    </row>
    <row r="261" spans="1:35" ht="21" customHeight="1">
      <c r="A261" s="442"/>
      <c r="B261" s="619" t="s">
        <v>607</v>
      </c>
      <c r="C261" s="1215"/>
      <c r="D261" s="1215"/>
      <c r="E261" s="557" t="s">
        <v>535</v>
      </c>
      <c r="F261" s="557" t="s">
        <v>535</v>
      </c>
      <c r="G261" s="557" t="s">
        <v>535</v>
      </c>
      <c r="H261" s="557" t="s">
        <v>535</v>
      </c>
      <c r="I261" s="557" t="s">
        <v>535</v>
      </c>
      <c r="J261" s="1208"/>
      <c r="K261" s="1208"/>
      <c r="L261" s="1365" t="s">
        <v>535</v>
      </c>
      <c r="M261" s="1365" t="s">
        <v>535</v>
      </c>
      <c r="N261" s="1365" t="s">
        <v>535</v>
      </c>
      <c r="O261" s="1365" t="s">
        <v>535</v>
      </c>
      <c r="P261" s="1365" t="s">
        <v>535</v>
      </c>
      <c r="Q261" s="1215"/>
      <c r="R261" s="1215"/>
      <c r="S261" s="557" t="s">
        <v>535</v>
      </c>
      <c r="T261" s="557" t="s">
        <v>535</v>
      </c>
      <c r="U261" s="557" t="s">
        <v>535</v>
      </c>
      <c r="V261" s="557" t="s">
        <v>535</v>
      </c>
      <c r="W261" s="557" t="s">
        <v>535</v>
      </c>
      <c r="X261" s="1208"/>
      <c r="Y261" s="1208"/>
      <c r="Z261" s="1208" t="s">
        <v>535</v>
      </c>
      <c r="AA261" s="1208" t="s">
        <v>535</v>
      </c>
      <c r="AB261" s="1208" t="s">
        <v>535</v>
      </c>
      <c r="AC261" s="1208" t="s">
        <v>535</v>
      </c>
      <c r="AD261" s="1208" t="s">
        <v>535</v>
      </c>
      <c r="AE261" s="1208"/>
      <c r="AF261" s="1208"/>
      <c r="AG261" s="1208"/>
      <c r="AH261" s="638">
        <v>25</v>
      </c>
      <c r="AI261" s="639">
        <v>0</v>
      </c>
    </row>
    <row r="262" spans="1:35" ht="21" customHeight="1">
      <c r="A262" s="442"/>
      <c r="B262" s="619" t="s">
        <v>608</v>
      </c>
      <c r="C262" s="1215"/>
      <c r="D262" s="1215"/>
      <c r="E262" s="557" t="s">
        <v>535</v>
      </c>
      <c r="F262" s="557" t="s">
        <v>535</v>
      </c>
      <c r="G262" s="557" t="s">
        <v>535</v>
      </c>
      <c r="H262" s="557" t="s">
        <v>535</v>
      </c>
      <c r="I262" s="557" t="s">
        <v>535</v>
      </c>
      <c r="J262" s="1208"/>
      <c r="K262" s="1208"/>
      <c r="L262" s="1208" t="s">
        <v>535</v>
      </c>
      <c r="M262" s="1208" t="s">
        <v>535</v>
      </c>
      <c r="N262" s="557" t="s">
        <v>535</v>
      </c>
      <c r="O262" s="557" t="s">
        <v>535</v>
      </c>
      <c r="P262" s="557" t="s">
        <v>535</v>
      </c>
      <c r="Q262" s="1215"/>
      <c r="R262" s="1215"/>
      <c r="S262" s="1439" t="s">
        <v>570</v>
      </c>
      <c r="T262" s="557" t="s">
        <v>535</v>
      </c>
      <c r="U262" s="557" t="s">
        <v>535</v>
      </c>
      <c r="V262" s="557" t="s">
        <v>535</v>
      </c>
      <c r="W262" s="557" t="s">
        <v>535</v>
      </c>
      <c r="X262" s="1208"/>
      <c r="Y262" s="1208"/>
      <c r="Z262" s="1208" t="s">
        <v>535</v>
      </c>
      <c r="AA262" s="1208" t="s">
        <v>535</v>
      </c>
      <c r="AB262" s="1208" t="s">
        <v>535</v>
      </c>
      <c r="AC262" s="1208" t="s">
        <v>535</v>
      </c>
      <c r="AD262" s="1208" t="s">
        <v>535</v>
      </c>
      <c r="AE262" s="1208"/>
      <c r="AF262" s="1208"/>
      <c r="AG262" s="1208"/>
      <c r="AH262" s="638">
        <v>37</v>
      </c>
      <c r="AI262" s="639">
        <v>10</v>
      </c>
    </row>
    <row r="263" spans="1:35" ht="21" customHeight="1">
      <c r="A263" s="442"/>
      <c r="B263" s="619" t="s">
        <v>609</v>
      </c>
      <c r="C263" s="1215"/>
      <c r="D263" s="1215"/>
      <c r="E263" s="557" t="s">
        <v>535</v>
      </c>
      <c r="F263" s="557" t="s">
        <v>535</v>
      </c>
      <c r="G263" s="557" t="s">
        <v>535</v>
      </c>
      <c r="H263" s="557" t="s">
        <v>535</v>
      </c>
      <c r="I263" s="557" t="s">
        <v>535</v>
      </c>
      <c r="J263" s="1208"/>
      <c r="K263" s="1208"/>
      <c r="L263" s="1208" t="s">
        <v>535</v>
      </c>
      <c r="M263" s="1208" t="s">
        <v>535</v>
      </c>
      <c r="N263" s="557" t="s">
        <v>535</v>
      </c>
      <c r="O263" s="557" t="s">
        <v>535</v>
      </c>
      <c r="P263" s="557" t="s">
        <v>535</v>
      </c>
      <c r="Q263" s="1215"/>
      <c r="R263" s="1215"/>
      <c r="S263" s="557" t="s">
        <v>535</v>
      </c>
      <c r="T263" s="557" t="s">
        <v>535</v>
      </c>
      <c r="U263" s="557" t="s">
        <v>535</v>
      </c>
      <c r="V263" s="557" t="s">
        <v>535</v>
      </c>
      <c r="W263" s="557" t="s">
        <v>535</v>
      </c>
      <c r="X263" s="1208"/>
      <c r="Y263" s="1208"/>
      <c r="Z263" s="1208" t="s">
        <v>535</v>
      </c>
      <c r="AA263" s="1208" t="s">
        <v>535</v>
      </c>
      <c r="AB263" s="1208" t="s">
        <v>535</v>
      </c>
      <c r="AC263" s="1208" t="s">
        <v>535</v>
      </c>
      <c r="AD263" s="1365" t="s">
        <v>535</v>
      </c>
      <c r="AE263" s="1208"/>
      <c r="AF263" s="1208"/>
      <c r="AG263" s="1208"/>
      <c r="AH263" s="638">
        <v>103</v>
      </c>
      <c r="AI263" s="639">
        <v>0</v>
      </c>
    </row>
    <row r="264" spans="1:35" ht="21" customHeight="1">
      <c r="A264" s="442"/>
      <c r="B264" s="619" t="s">
        <v>610</v>
      </c>
      <c r="C264" s="1215"/>
      <c r="D264" s="1215"/>
      <c r="E264" s="557" t="s">
        <v>535</v>
      </c>
      <c r="F264" s="557" t="s">
        <v>535</v>
      </c>
      <c r="G264" s="557" t="s">
        <v>535</v>
      </c>
      <c r="H264" s="557" t="s">
        <v>535</v>
      </c>
      <c r="I264" s="557" t="s">
        <v>535</v>
      </c>
      <c r="J264" s="1208"/>
      <c r="K264" s="1208"/>
      <c r="L264" s="1365" t="s">
        <v>535</v>
      </c>
      <c r="M264" s="1365" t="s">
        <v>535</v>
      </c>
      <c r="N264" s="1365" t="s">
        <v>535</v>
      </c>
      <c r="O264" s="1365" t="s">
        <v>535</v>
      </c>
      <c r="P264" s="1365" t="s">
        <v>535</v>
      </c>
      <c r="Q264" s="1215"/>
      <c r="R264" s="1215"/>
      <c r="S264" s="557" t="s">
        <v>535</v>
      </c>
      <c r="T264" s="557" t="s">
        <v>535</v>
      </c>
      <c r="U264" s="557" t="s">
        <v>535</v>
      </c>
      <c r="V264" s="557" t="s">
        <v>535</v>
      </c>
      <c r="W264" s="557" t="s">
        <v>535</v>
      </c>
      <c r="X264" s="1208"/>
      <c r="Y264" s="1208"/>
      <c r="Z264" s="1208" t="s">
        <v>535</v>
      </c>
      <c r="AA264" s="1208" t="s">
        <v>535</v>
      </c>
      <c r="AB264" s="1208" t="s">
        <v>535</v>
      </c>
      <c r="AC264" s="1208" t="s">
        <v>535</v>
      </c>
      <c r="AD264" s="1208" t="s">
        <v>535</v>
      </c>
      <c r="AE264" s="1208"/>
      <c r="AF264" s="1208"/>
      <c r="AG264" s="1208"/>
      <c r="AH264" s="638">
        <v>5</v>
      </c>
      <c r="AI264" s="639">
        <v>29</v>
      </c>
    </row>
    <row r="265" spans="1:35" ht="21" customHeight="1">
      <c r="A265" s="442"/>
      <c r="B265" s="619" t="s">
        <v>611</v>
      </c>
      <c r="C265" s="1215"/>
      <c r="D265" s="1215"/>
      <c r="E265" s="557" t="s">
        <v>535</v>
      </c>
      <c r="F265" s="557" t="s">
        <v>535</v>
      </c>
      <c r="G265" s="1365" t="s">
        <v>535</v>
      </c>
      <c r="H265" s="1365" t="s">
        <v>535</v>
      </c>
      <c r="I265" s="1365" t="s">
        <v>535</v>
      </c>
      <c r="J265" s="1365"/>
      <c r="K265" s="1365"/>
      <c r="L265" s="1365" t="s">
        <v>535</v>
      </c>
      <c r="M265" s="1365" t="s">
        <v>535</v>
      </c>
      <c r="N265" s="1365" t="s">
        <v>535</v>
      </c>
      <c r="O265" s="1365" t="s">
        <v>535</v>
      </c>
      <c r="P265" s="1365" t="s">
        <v>535</v>
      </c>
      <c r="Q265" s="1215"/>
      <c r="R265" s="1215"/>
      <c r="S265" s="557" t="s">
        <v>535</v>
      </c>
      <c r="T265" s="557" t="s">
        <v>535</v>
      </c>
      <c r="U265" s="557" t="s">
        <v>535</v>
      </c>
      <c r="V265" s="557" t="s">
        <v>535</v>
      </c>
      <c r="W265" s="557" t="s">
        <v>535</v>
      </c>
      <c r="X265" s="1208"/>
      <c r="Y265" s="1208"/>
      <c r="Z265" s="1208" t="s">
        <v>535</v>
      </c>
      <c r="AA265" s="1208" t="s">
        <v>535</v>
      </c>
      <c r="AB265" s="1208" t="s">
        <v>535</v>
      </c>
      <c r="AC265" s="1208" t="s">
        <v>535</v>
      </c>
      <c r="AD265" s="1365" t="s">
        <v>535</v>
      </c>
      <c r="AE265" s="1208"/>
      <c r="AF265" s="1208"/>
      <c r="AG265" s="1208"/>
      <c r="AH265" s="638">
        <v>41</v>
      </c>
      <c r="AI265" s="639">
        <v>37</v>
      </c>
    </row>
    <row r="266" spans="1:35" ht="21" customHeight="1">
      <c r="A266" s="442"/>
      <c r="B266" s="619" t="s">
        <v>612</v>
      </c>
      <c r="C266" s="1215"/>
      <c r="D266" s="1215"/>
      <c r="E266" s="557" t="s">
        <v>535</v>
      </c>
      <c r="F266" s="557" t="s">
        <v>535</v>
      </c>
      <c r="G266" s="557" t="s">
        <v>535</v>
      </c>
      <c r="H266" s="557" t="s">
        <v>535</v>
      </c>
      <c r="I266" s="557" t="s">
        <v>535</v>
      </c>
      <c r="J266" s="1208"/>
      <c r="K266" s="1208"/>
      <c r="L266" s="1208" t="s">
        <v>535</v>
      </c>
      <c r="M266" s="1208" t="s">
        <v>535</v>
      </c>
      <c r="N266" s="557" t="s">
        <v>535</v>
      </c>
      <c r="O266" s="557" t="s">
        <v>535</v>
      </c>
      <c r="P266" s="557" t="s">
        <v>535</v>
      </c>
      <c r="Q266" s="1215"/>
      <c r="R266" s="1215"/>
      <c r="S266" s="557" t="s">
        <v>535</v>
      </c>
      <c r="T266" s="557" t="s">
        <v>535</v>
      </c>
      <c r="U266" s="557" t="s">
        <v>535</v>
      </c>
      <c r="V266" s="557" t="s">
        <v>535</v>
      </c>
      <c r="W266" s="557" t="s">
        <v>535</v>
      </c>
      <c r="X266" s="1208"/>
      <c r="Y266" s="1208"/>
      <c r="Z266" s="1439" t="s">
        <v>535</v>
      </c>
      <c r="AA266" s="1439" t="s">
        <v>535</v>
      </c>
      <c r="AB266" s="1439" t="s">
        <v>535</v>
      </c>
      <c r="AC266" s="1439" t="s">
        <v>535</v>
      </c>
      <c r="AD266" s="1439" t="s">
        <v>514</v>
      </c>
      <c r="AE266" s="1208"/>
      <c r="AF266" s="1208"/>
      <c r="AG266" s="1208"/>
      <c r="AH266" s="638">
        <v>185</v>
      </c>
      <c r="AI266" s="639">
        <v>37</v>
      </c>
    </row>
    <row r="267" spans="1:35" ht="21" customHeight="1">
      <c r="A267" s="442"/>
      <c r="B267" s="619" t="s">
        <v>613</v>
      </c>
      <c r="C267" s="1215"/>
      <c r="D267" s="1215"/>
      <c r="E267" s="557" t="s">
        <v>535</v>
      </c>
      <c r="F267" s="557" t="s">
        <v>535</v>
      </c>
      <c r="G267" s="557" t="s">
        <v>535</v>
      </c>
      <c r="H267" s="557" t="s">
        <v>535</v>
      </c>
      <c r="I267" s="557" t="s">
        <v>535</v>
      </c>
      <c r="J267" s="1208"/>
      <c r="K267" s="1208"/>
      <c r="L267" s="1208" t="s">
        <v>535</v>
      </c>
      <c r="M267" s="1208" t="s">
        <v>535</v>
      </c>
      <c r="N267" s="557" t="s">
        <v>535</v>
      </c>
      <c r="O267" s="557" t="s">
        <v>535</v>
      </c>
      <c r="P267" s="557" t="s">
        <v>535</v>
      </c>
      <c r="Q267" s="1215"/>
      <c r="R267" s="1215"/>
      <c r="S267" s="557" t="s">
        <v>535</v>
      </c>
      <c r="T267" s="557" t="s">
        <v>535</v>
      </c>
      <c r="U267" s="557" t="s">
        <v>535</v>
      </c>
      <c r="V267" s="557" t="s">
        <v>535</v>
      </c>
      <c r="W267" s="557" t="s">
        <v>535</v>
      </c>
      <c r="X267" s="1208"/>
      <c r="Y267" s="1208"/>
      <c r="Z267" s="1208" t="s">
        <v>535</v>
      </c>
      <c r="AA267" s="1208" t="s">
        <v>535</v>
      </c>
      <c r="AB267" s="1208" t="s">
        <v>535</v>
      </c>
      <c r="AC267" s="1208" t="s">
        <v>535</v>
      </c>
      <c r="AD267" s="1208" t="s">
        <v>535</v>
      </c>
      <c r="AE267" s="1208"/>
      <c r="AF267" s="1208"/>
      <c r="AG267" s="1208"/>
      <c r="AH267" s="638">
        <v>185</v>
      </c>
      <c r="AI267" s="639">
        <v>37</v>
      </c>
    </row>
    <row r="268" spans="1:35" ht="21" customHeight="1">
      <c r="A268" s="442"/>
      <c r="B268" s="619" t="s">
        <v>614</v>
      </c>
      <c r="C268" s="1392"/>
      <c r="D268" s="1392"/>
      <c r="E268" s="1439" t="s">
        <v>535</v>
      </c>
      <c r="F268" s="1439" t="s">
        <v>535</v>
      </c>
      <c r="G268" s="1439" t="s">
        <v>535</v>
      </c>
      <c r="H268" s="1439" t="s">
        <v>535</v>
      </c>
      <c r="I268" s="1439" t="s">
        <v>535</v>
      </c>
      <c r="J268" s="1439"/>
      <c r="K268" s="1439"/>
      <c r="L268" s="1439" t="s">
        <v>535</v>
      </c>
      <c r="M268" s="1439" t="s">
        <v>535</v>
      </c>
      <c r="N268" s="1439" t="s">
        <v>535</v>
      </c>
      <c r="O268" s="1439" t="s">
        <v>535</v>
      </c>
      <c r="P268" s="1439" t="s">
        <v>535</v>
      </c>
      <c r="Q268" s="1392"/>
      <c r="R268" s="1392"/>
      <c r="S268" s="1439" t="s">
        <v>535</v>
      </c>
      <c r="T268" s="1439" t="s">
        <v>535</v>
      </c>
      <c r="U268" s="1439" t="s">
        <v>535</v>
      </c>
      <c r="V268" s="1439" t="s">
        <v>535</v>
      </c>
      <c r="W268" s="1439" t="s">
        <v>535</v>
      </c>
      <c r="X268" s="1439"/>
      <c r="Y268" s="1439"/>
      <c r="Z268" s="1439" t="s">
        <v>535</v>
      </c>
      <c r="AA268" s="1439" t="s">
        <v>535</v>
      </c>
      <c r="AB268" s="1439" t="s">
        <v>535</v>
      </c>
      <c r="AC268" s="1439" t="s">
        <v>570</v>
      </c>
      <c r="AD268" s="1208" t="s">
        <v>535</v>
      </c>
      <c r="AE268" s="1208"/>
      <c r="AF268" s="1208"/>
      <c r="AG268" s="1208"/>
      <c r="AH268" s="638">
        <v>185</v>
      </c>
      <c r="AI268" s="639">
        <v>37</v>
      </c>
    </row>
    <row r="269" spans="1:35" ht="21" customHeight="1">
      <c r="A269" s="442"/>
      <c r="B269" s="619" t="s">
        <v>615</v>
      </c>
      <c r="C269" s="1215"/>
      <c r="D269" s="1215"/>
      <c r="E269" s="557" t="s">
        <v>535</v>
      </c>
      <c r="F269" s="557" t="s">
        <v>535</v>
      </c>
      <c r="G269" s="557" t="s">
        <v>535</v>
      </c>
      <c r="H269" s="557" t="s">
        <v>535</v>
      </c>
      <c r="I269" s="1439" t="s">
        <v>535</v>
      </c>
      <c r="J269" s="1208"/>
      <c r="K269" s="1208"/>
      <c r="L269" s="1439" t="s">
        <v>535</v>
      </c>
      <c r="M269" s="1439" t="s">
        <v>535</v>
      </c>
      <c r="N269" s="1439" t="s">
        <v>535</v>
      </c>
      <c r="O269" s="1439" t="s">
        <v>535</v>
      </c>
      <c r="P269" s="1439" t="s">
        <v>570</v>
      </c>
      <c r="Q269" s="1215"/>
      <c r="R269" s="1215"/>
      <c r="S269" s="557" t="s">
        <v>535</v>
      </c>
      <c r="T269" s="557" t="s">
        <v>535</v>
      </c>
      <c r="U269" s="557" t="s">
        <v>535</v>
      </c>
      <c r="V269" s="557" t="s">
        <v>535</v>
      </c>
      <c r="W269" s="557" t="s">
        <v>535</v>
      </c>
      <c r="X269" s="1208"/>
      <c r="Y269" s="1208"/>
      <c r="Z269" s="1208" t="s">
        <v>535</v>
      </c>
      <c r="AA269" s="1208" t="s">
        <v>535</v>
      </c>
      <c r="AB269" s="1208" t="s">
        <v>535</v>
      </c>
      <c r="AC269" s="1208" t="s">
        <v>535</v>
      </c>
      <c r="AD269" s="1208" t="s">
        <v>535</v>
      </c>
      <c r="AE269" s="1208"/>
      <c r="AF269" s="1208"/>
      <c r="AG269" s="1208"/>
      <c r="AH269" s="638">
        <v>185</v>
      </c>
      <c r="AI269" s="639">
        <v>37</v>
      </c>
    </row>
    <row r="270" spans="1:35" ht="21" customHeight="1">
      <c r="A270" s="442"/>
      <c r="B270" s="153" t="s">
        <v>616</v>
      </c>
      <c r="C270" s="1215"/>
      <c r="D270" s="1215"/>
      <c r="E270" s="557" t="s">
        <v>535</v>
      </c>
      <c r="F270" s="557" t="s">
        <v>535</v>
      </c>
      <c r="G270" s="557" t="s">
        <v>535</v>
      </c>
      <c r="H270" s="557" t="s">
        <v>535</v>
      </c>
      <c r="I270" s="557" t="s">
        <v>535</v>
      </c>
      <c r="J270" s="1208"/>
      <c r="K270" s="1208"/>
      <c r="L270" s="1208" t="s">
        <v>535</v>
      </c>
      <c r="M270" s="1208" t="s">
        <v>535</v>
      </c>
      <c r="N270" s="557" t="s">
        <v>535</v>
      </c>
      <c r="O270" s="557" t="s">
        <v>535</v>
      </c>
      <c r="P270" s="557" t="s">
        <v>535</v>
      </c>
      <c r="Q270" s="1215"/>
      <c r="R270" s="1215"/>
      <c r="S270" s="1439" t="s">
        <v>535</v>
      </c>
      <c r="T270" s="1439" t="s">
        <v>535</v>
      </c>
      <c r="U270" s="1439" t="s">
        <v>535</v>
      </c>
      <c r="V270" s="1439" t="s">
        <v>535</v>
      </c>
      <c r="W270" s="1439" t="s">
        <v>570</v>
      </c>
      <c r="X270" s="1208"/>
      <c r="Y270" s="1208"/>
      <c r="Z270" s="1208" t="s">
        <v>535</v>
      </c>
      <c r="AA270" s="1208" t="s">
        <v>535</v>
      </c>
      <c r="AB270" s="1208" t="s">
        <v>535</v>
      </c>
      <c r="AC270" s="1208" t="s">
        <v>535</v>
      </c>
      <c r="AD270" s="1208" t="s">
        <v>535</v>
      </c>
      <c r="AE270" s="1208"/>
      <c r="AF270" s="1208"/>
      <c r="AG270" s="1208"/>
      <c r="AH270" s="638">
        <v>185</v>
      </c>
      <c r="AI270" s="639">
        <v>37</v>
      </c>
    </row>
    <row r="271" spans="1:35" ht="21" customHeight="1">
      <c r="A271" s="442"/>
      <c r="B271" s="153" t="s">
        <v>617</v>
      </c>
      <c r="C271" s="1215"/>
      <c r="D271" s="1215"/>
      <c r="E271" s="557" t="s">
        <v>535</v>
      </c>
      <c r="F271" s="557" t="s">
        <v>535</v>
      </c>
      <c r="G271" s="557" t="s">
        <v>535</v>
      </c>
      <c r="H271" s="1365" t="s">
        <v>535</v>
      </c>
      <c r="I271" s="1365" t="s">
        <v>535</v>
      </c>
      <c r="J271" s="1365"/>
      <c r="K271" s="1365"/>
      <c r="L271" s="1365" t="s">
        <v>535</v>
      </c>
      <c r="M271" s="1365" t="s">
        <v>535</v>
      </c>
      <c r="N271" s="557" t="s">
        <v>535</v>
      </c>
      <c r="O271" s="557" t="s">
        <v>535</v>
      </c>
      <c r="P271" s="557" t="s">
        <v>535</v>
      </c>
      <c r="Q271" s="1215"/>
      <c r="R271" s="1215"/>
      <c r="S271" s="557" t="s">
        <v>535</v>
      </c>
      <c r="T271" s="557" t="s">
        <v>535</v>
      </c>
      <c r="U271" s="557" t="s">
        <v>535</v>
      </c>
      <c r="V271" s="1365" t="s">
        <v>535</v>
      </c>
      <c r="W271" s="1365" t="s">
        <v>535</v>
      </c>
      <c r="X271" s="1208"/>
      <c r="Y271" s="1208"/>
      <c r="Z271" s="1208" t="s">
        <v>535</v>
      </c>
      <c r="AA271" s="1208" t="s">
        <v>535</v>
      </c>
      <c r="AB271" s="1208" t="s">
        <v>535</v>
      </c>
      <c r="AC271" s="1208" t="s">
        <v>535</v>
      </c>
      <c r="AD271" s="1208" t="s">
        <v>535</v>
      </c>
      <c r="AE271" s="1208"/>
      <c r="AF271" s="1208"/>
      <c r="AG271" s="1208"/>
      <c r="AH271" s="638">
        <v>19</v>
      </c>
      <c r="AI271" s="639">
        <v>20</v>
      </c>
    </row>
    <row r="272" spans="1:35" ht="21" customHeight="1">
      <c r="A272" s="134"/>
      <c r="B272" s="134" t="s">
        <v>619</v>
      </c>
      <c r="C272" s="1219"/>
      <c r="D272" s="1219"/>
      <c r="E272" s="1563" t="s">
        <v>535</v>
      </c>
      <c r="F272" s="1563" t="s">
        <v>535</v>
      </c>
      <c r="G272" s="1563" t="s">
        <v>535</v>
      </c>
      <c r="H272" s="1563" t="s">
        <v>535</v>
      </c>
      <c r="I272" s="1572" t="s">
        <v>749</v>
      </c>
      <c r="J272" s="1564"/>
      <c r="K272" s="1564"/>
      <c r="L272" s="1564" t="s">
        <v>535</v>
      </c>
      <c r="M272" s="1564" t="s">
        <v>535</v>
      </c>
      <c r="N272" s="1563" t="s">
        <v>535</v>
      </c>
      <c r="O272" s="1563" t="s">
        <v>535</v>
      </c>
      <c r="P272" s="1563" t="s">
        <v>535</v>
      </c>
      <c r="Q272" s="1219"/>
      <c r="R272" s="1219"/>
      <c r="S272" s="1563" t="s">
        <v>535</v>
      </c>
      <c r="T272" s="1563" t="s">
        <v>535</v>
      </c>
      <c r="U272" s="1563" t="s">
        <v>535</v>
      </c>
      <c r="V272" s="1563" t="s">
        <v>535</v>
      </c>
      <c r="W272" s="1563" t="s">
        <v>535</v>
      </c>
      <c r="X272" s="1564"/>
      <c r="Y272" s="1564"/>
      <c r="Z272" s="1564" t="s">
        <v>535</v>
      </c>
      <c r="AA272" s="1564" t="s">
        <v>535</v>
      </c>
      <c r="AB272" s="1564" t="s">
        <v>535</v>
      </c>
      <c r="AC272" s="1564" t="s">
        <v>535</v>
      </c>
      <c r="AD272" s="1564" t="s">
        <v>535</v>
      </c>
      <c r="AE272" s="1564"/>
      <c r="AF272" s="1564"/>
      <c r="AG272" s="1564"/>
      <c r="AH272" s="1565">
        <v>185</v>
      </c>
      <c r="AI272" s="1566">
        <v>37</v>
      </c>
    </row>
    <row r="273" spans="1:35" ht="21" customHeight="1">
      <c r="A273" s="902"/>
      <c r="B273" s="902" t="s">
        <v>618</v>
      </c>
      <c r="C273" s="1653"/>
      <c r="D273" s="1653"/>
      <c r="E273" s="1580" t="s">
        <v>535</v>
      </c>
      <c r="F273" s="1580" t="s">
        <v>535</v>
      </c>
      <c r="G273" s="1580" t="s">
        <v>535</v>
      </c>
      <c r="H273" s="1580" t="s">
        <v>535</v>
      </c>
      <c r="I273" s="1580" t="s">
        <v>535</v>
      </c>
      <c r="J273" s="1580"/>
      <c r="K273" s="1580"/>
      <c r="L273" s="1580" t="s">
        <v>535</v>
      </c>
      <c r="M273" s="1580" t="s">
        <v>535</v>
      </c>
      <c r="N273" s="1580" t="s">
        <v>535</v>
      </c>
      <c r="O273" s="1580" t="s">
        <v>535</v>
      </c>
      <c r="P273" s="1580" t="s">
        <v>535</v>
      </c>
      <c r="Q273" s="1636"/>
      <c r="R273" s="1636"/>
      <c r="S273" s="1580" t="s">
        <v>535</v>
      </c>
      <c r="T273" s="1580" t="s">
        <v>535</v>
      </c>
      <c r="U273" s="1580" t="s">
        <v>535</v>
      </c>
      <c r="V273" s="1580" t="s">
        <v>535</v>
      </c>
      <c r="W273" s="1580" t="s">
        <v>535</v>
      </c>
      <c r="X273" s="1580"/>
      <c r="Y273" s="1580"/>
      <c r="Z273" s="1580" t="s">
        <v>535</v>
      </c>
      <c r="AA273" s="1580" t="s">
        <v>535</v>
      </c>
      <c r="AB273" s="1580" t="s">
        <v>535</v>
      </c>
      <c r="AC273" s="1580" t="s">
        <v>535</v>
      </c>
      <c r="AD273" s="1580" t="s">
        <v>535</v>
      </c>
      <c r="AE273" s="1568"/>
      <c r="AF273" s="1568"/>
      <c r="AG273" s="1568"/>
      <c r="AH273" s="1569">
        <v>185</v>
      </c>
      <c r="AI273" s="1569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32"/>
  <dimension ref="A1:AL273"/>
  <sheetViews>
    <sheetView topLeftCell="A247" zoomScale="70" zoomScaleNormal="70" workbookViewId="0">
      <selection activeCell="E248" sqref="E248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620</v>
      </c>
      <c r="B6" s="157"/>
      <c r="C6" s="489"/>
      <c r="D6" s="488" t="s">
        <v>621</v>
      </c>
      <c r="E6" s="157"/>
      <c r="F6" s="157"/>
      <c r="G6" s="157"/>
      <c r="H6" s="490"/>
      <c r="I6" s="157"/>
      <c r="J6" s="157"/>
      <c r="K6" s="157"/>
      <c r="L6" s="488" t="s">
        <v>725</v>
      </c>
      <c r="M6" s="157"/>
      <c r="N6" s="157"/>
      <c r="O6" s="157"/>
      <c r="P6" s="157"/>
      <c r="Q6" s="157"/>
      <c r="R6" s="157"/>
      <c r="S6" s="489"/>
      <c r="T6" s="491" t="s">
        <v>623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624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625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626</v>
      </c>
      <c r="L8" s="496"/>
      <c r="AB8" s="1"/>
    </row>
    <row r="9" spans="1:35" ht="21.95" customHeight="1" thickBot="1">
      <c r="B9" s="497" t="s">
        <v>627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528</v>
      </c>
      <c r="B10" s="297" t="s">
        <v>480</v>
      </c>
      <c r="C10" s="1235">
        <v>1</v>
      </c>
      <c r="D10" s="1235">
        <v>2</v>
      </c>
      <c r="E10" s="1234">
        <v>3</v>
      </c>
      <c r="F10" s="1234">
        <v>4</v>
      </c>
      <c r="G10" s="1234">
        <v>5</v>
      </c>
      <c r="H10" s="1234">
        <v>6</v>
      </c>
      <c r="I10" s="1213">
        <v>7</v>
      </c>
      <c r="J10" s="1330">
        <v>8</v>
      </c>
      <c r="K10" s="1235">
        <v>9</v>
      </c>
      <c r="L10" s="1234">
        <v>10</v>
      </c>
      <c r="M10" s="1234">
        <v>11</v>
      </c>
      <c r="N10" s="1234">
        <v>12</v>
      </c>
      <c r="O10" s="1234">
        <v>13</v>
      </c>
      <c r="P10" s="1213">
        <v>14</v>
      </c>
      <c r="Q10" s="1330">
        <v>15</v>
      </c>
      <c r="R10" s="1235">
        <v>16</v>
      </c>
      <c r="S10" s="1234">
        <v>17</v>
      </c>
      <c r="T10" s="1234">
        <v>18</v>
      </c>
      <c r="U10" s="1234">
        <v>19</v>
      </c>
      <c r="V10" s="1213">
        <v>20</v>
      </c>
      <c r="W10" s="1213">
        <v>21</v>
      </c>
      <c r="X10" s="1330">
        <v>22</v>
      </c>
      <c r="Y10" s="1235">
        <v>23</v>
      </c>
      <c r="Z10" s="1234">
        <v>24</v>
      </c>
      <c r="AA10" s="1234">
        <v>25</v>
      </c>
      <c r="AB10" s="1234">
        <v>26</v>
      </c>
      <c r="AC10" s="1234">
        <v>27</v>
      </c>
      <c r="AD10" s="1213">
        <v>28</v>
      </c>
      <c r="AE10" s="1330">
        <v>29</v>
      </c>
      <c r="AF10" s="1235">
        <v>30</v>
      </c>
      <c r="AG10" s="1234">
        <v>31</v>
      </c>
      <c r="AH10" s="498" t="s">
        <v>481</v>
      </c>
      <c r="AI10" s="499" t="s">
        <v>482</v>
      </c>
    </row>
    <row r="11" spans="1:35" ht="21.95" customHeight="1">
      <c r="A11" s="500"/>
      <c r="B11" s="501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1215"/>
      <c r="N11" s="1215"/>
      <c r="O11" s="1215"/>
      <c r="P11" s="1215"/>
      <c r="Q11" s="1215"/>
      <c r="R11" s="1215"/>
      <c r="S11" s="1215"/>
      <c r="T11" s="1215"/>
      <c r="U11" s="1215"/>
      <c r="V11" s="1215"/>
      <c r="W11" s="1215"/>
      <c r="X11" s="1215"/>
      <c r="Y11" s="1215"/>
      <c r="Z11" s="1215"/>
      <c r="AA11" s="1215"/>
      <c r="AB11" s="1215"/>
      <c r="AC11" s="1215"/>
      <c r="AD11" s="1215"/>
      <c r="AE11" s="1215"/>
      <c r="AF11" s="1215"/>
      <c r="AG11" s="503"/>
      <c r="AH11" s="504"/>
      <c r="AI11" s="505"/>
    </row>
    <row r="12" spans="1:35" ht="21.95" customHeight="1">
      <c r="A12" s="506" t="s">
        <v>628</v>
      </c>
      <c r="B12" s="45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509"/>
      <c r="AI12" s="510"/>
    </row>
    <row r="13" spans="1:35" ht="21.95" customHeight="1">
      <c r="A13" s="511">
        <v>8546</v>
      </c>
      <c r="B13" s="512" t="s">
        <v>629</v>
      </c>
      <c r="C13" s="1211"/>
      <c r="D13" s="1211"/>
      <c r="E13" s="1394">
        <v>1</v>
      </c>
      <c r="F13" s="1394">
        <v>1</v>
      </c>
      <c r="G13" s="1394">
        <v>1</v>
      </c>
      <c r="H13" s="1335">
        <v>1</v>
      </c>
      <c r="I13" s="1394">
        <v>1</v>
      </c>
      <c r="J13" s="1211"/>
      <c r="K13" s="1211"/>
      <c r="L13" s="1211">
        <v>2</v>
      </c>
      <c r="M13" s="1211">
        <v>2</v>
      </c>
      <c r="N13" s="1211">
        <v>2</v>
      </c>
      <c r="O13" s="1211">
        <v>2</v>
      </c>
      <c r="P13" s="1211">
        <v>2</v>
      </c>
      <c r="Q13" s="1211" t="s">
        <v>631</v>
      </c>
      <c r="R13" s="1211" t="s">
        <v>631</v>
      </c>
      <c r="S13" s="1211" t="s">
        <v>487</v>
      </c>
      <c r="T13" s="1211" t="s">
        <v>487</v>
      </c>
      <c r="U13" s="1211" t="s">
        <v>487</v>
      </c>
      <c r="V13" s="1211" t="s">
        <v>487</v>
      </c>
      <c r="W13" s="1211" t="s">
        <v>487</v>
      </c>
      <c r="X13" s="1211"/>
      <c r="Y13" s="1211"/>
      <c r="Z13" s="1211">
        <v>3</v>
      </c>
      <c r="AA13" s="1211">
        <v>3</v>
      </c>
      <c r="AB13" s="1211">
        <v>3</v>
      </c>
      <c r="AC13" s="1211">
        <v>3</v>
      </c>
      <c r="AD13" s="1211">
        <v>3</v>
      </c>
      <c r="AE13" s="1211"/>
      <c r="AF13" s="1211"/>
      <c r="AG13" s="1218">
        <v>4</v>
      </c>
      <c r="AH13" s="513">
        <v>185</v>
      </c>
      <c r="AI13" s="514">
        <v>37</v>
      </c>
    </row>
    <row r="14" spans="1:35" ht="21.95" customHeight="1">
      <c r="A14" s="500">
        <v>8546</v>
      </c>
      <c r="B14" s="347" t="s">
        <v>632</v>
      </c>
      <c r="C14" s="1215"/>
      <c r="D14" s="1215"/>
      <c r="E14" s="1215">
        <v>4</v>
      </c>
      <c r="F14" s="1215">
        <v>4</v>
      </c>
      <c r="G14" s="1215">
        <v>4</v>
      </c>
      <c r="H14" s="1215">
        <v>4</v>
      </c>
      <c r="I14" s="1215">
        <v>4</v>
      </c>
      <c r="J14" s="1215" t="s">
        <v>630</v>
      </c>
      <c r="K14" s="1215" t="s">
        <v>630</v>
      </c>
      <c r="L14" s="1215" t="s">
        <v>487</v>
      </c>
      <c r="M14" s="1215" t="s">
        <v>487</v>
      </c>
      <c r="N14" s="1215" t="s">
        <v>487</v>
      </c>
      <c r="O14" s="1215" t="s">
        <v>487</v>
      </c>
      <c r="P14" s="1215" t="s">
        <v>487</v>
      </c>
      <c r="Q14" s="1215"/>
      <c r="R14" s="1215"/>
      <c r="S14" s="1215">
        <v>1</v>
      </c>
      <c r="T14" s="1215">
        <v>1</v>
      </c>
      <c r="U14" s="1215">
        <v>1</v>
      </c>
      <c r="V14" s="1215">
        <v>1</v>
      </c>
      <c r="W14" s="1215">
        <v>1</v>
      </c>
      <c r="X14" s="1215"/>
      <c r="Y14" s="1215"/>
      <c r="Z14" s="1215">
        <v>2</v>
      </c>
      <c r="AA14" s="1215">
        <v>2</v>
      </c>
      <c r="AB14" s="1215">
        <v>2</v>
      </c>
      <c r="AC14" s="1215">
        <v>2</v>
      </c>
      <c r="AD14" s="1215">
        <v>2</v>
      </c>
      <c r="AE14" s="1215" t="s">
        <v>631</v>
      </c>
      <c r="AF14" s="1215" t="s">
        <v>631</v>
      </c>
      <c r="AG14" s="1339" t="s">
        <v>487</v>
      </c>
      <c r="AH14" s="513">
        <v>185</v>
      </c>
      <c r="AI14" s="514">
        <v>37</v>
      </c>
    </row>
    <row r="15" spans="1:35" ht="21.95" customHeight="1">
      <c r="A15" s="500">
        <v>8546</v>
      </c>
      <c r="B15" s="347" t="s">
        <v>171</v>
      </c>
      <c r="C15" s="1392" t="s">
        <v>630</v>
      </c>
      <c r="D15" s="1392" t="s">
        <v>823</v>
      </c>
      <c r="E15" s="1344" t="s">
        <v>487</v>
      </c>
      <c r="F15" s="1215" t="s">
        <v>487</v>
      </c>
      <c r="G15" s="1215" t="s">
        <v>487</v>
      </c>
      <c r="H15" s="1215" t="s">
        <v>487</v>
      </c>
      <c r="I15" s="1215" t="s">
        <v>487</v>
      </c>
      <c r="J15" s="1215"/>
      <c r="K15" s="1215"/>
      <c r="L15" s="1215">
        <v>1</v>
      </c>
      <c r="M15" s="1215">
        <v>1</v>
      </c>
      <c r="N15" s="1215">
        <v>1</v>
      </c>
      <c r="O15" s="1335">
        <v>1</v>
      </c>
      <c r="P15" s="1335">
        <v>1</v>
      </c>
      <c r="Q15" s="1215"/>
      <c r="R15" s="1215"/>
      <c r="S15" s="1215">
        <v>2</v>
      </c>
      <c r="T15" s="1215">
        <v>2</v>
      </c>
      <c r="U15" s="1215">
        <v>2</v>
      </c>
      <c r="V15" s="1215" t="s">
        <v>514</v>
      </c>
      <c r="W15" s="1215">
        <v>2</v>
      </c>
      <c r="X15" s="1215" t="s">
        <v>631</v>
      </c>
      <c r="Y15" s="1215" t="s">
        <v>631</v>
      </c>
      <c r="Z15" s="1215" t="s">
        <v>487</v>
      </c>
      <c r="AA15" s="1215" t="s">
        <v>487</v>
      </c>
      <c r="AB15" s="1215" t="s">
        <v>487</v>
      </c>
      <c r="AC15" s="1215" t="s">
        <v>487</v>
      </c>
      <c r="AD15" s="1215" t="s">
        <v>487</v>
      </c>
      <c r="AE15" s="1215"/>
      <c r="AF15" s="1215"/>
      <c r="AG15" s="1216">
        <v>3</v>
      </c>
      <c r="AH15" s="513">
        <v>185</v>
      </c>
      <c r="AI15" s="514">
        <v>37</v>
      </c>
    </row>
    <row r="16" spans="1:35" ht="21.95" customHeight="1">
      <c r="A16" s="500">
        <v>8546</v>
      </c>
      <c r="B16" s="347" t="s">
        <v>633</v>
      </c>
      <c r="C16" s="1215" t="s">
        <v>631</v>
      </c>
      <c r="D16" s="1215" t="s">
        <v>631</v>
      </c>
      <c r="E16" s="1215" t="s">
        <v>487</v>
      </c>
      <c r="F16" s="1215" t="s">
        <v>487</v>
      </c>
      <c r="G16" s="1215" t="s">
        <v>487</v>
      </c>
      <c r="H16" s="1215" t="s">
        <v>487</v>
      </c>
      <c r="I16" s="1215" t="s">
        <v>487</v>
      </c>
      <c r="J16" s="1215"/>
      <c r="K16" s="1215"/>
      <c r="L16" s="1215">
        <v>3</v>
      </c>
      <c r="M16" s="1215">
        <v>3</v>
      </c>
      <c r="N16" s="1215">
        <v>3</v>
      </c>
      <c r="O16" s="1215">
        <v>3</v>
      </c>
      <c r="P16" s="1215">
        <v>3</v>
      </c>
      <c r="Q16" s="1215"/>
      <c r="R16" s="1215"/>
      <c r="S16" s="1215">
        <v>4</v>
      </c>
      <c r="T16" s="1215">
        <v>4</v>
      </c>
      <c r="U16" s="1215">
        <v>4</v>
      </c>
      <c r="V16" s="1215">
        <v>4</v>
      </c>
      <c r="W16" s="1215">
        <v>4</v>
      </c>
      <c r="X16" s="1215" t="s">
        <v>630</v>
      </c>
      <c r="Y16" s="1215" t="s">
        <v>630</v>
      </c>
      <c r="Z16" s="1215" t="s">
        <v>487</v>
      </c>
      <c r="AA16" s="1215" t="s">
        <v>487</v>
      </c>
      <c r="AB16" s="1215" t="s">
        <v>487</v>
      </c>
      <c r="AC16" s="1215" t="s">
        <v>487</v>
      </c>
      <c r="AD16" s="1215" t="s">
        <v>487</v>
      </c>
      <c r="AE16" s="1215"/>
      <c r="AF16" s="1215"/>
      <c r="AG16" s="1216">
        <v>1</v>
      </c>
      <c r="AH16" s="513">
        <v>185</v>
      </c>
      <c r="AI16" s="514">
        <v>37</v>
      </c>
    </row>
    <row r="17" spans="1:37" ht="21.95" customHeight="1">
      <c r="A17" s="500">
        <v>8546</v>
      </c>
      <c r="B17" s="347" t="s">
        <v>634</v>
      </c>
      <c r="C17" s="1215"/>
      <c r="D17" s="1215"/>
      <c r="E17" s="1215" t="s">
        <v>514</v>
      </c>
      <c r="F17" s="1215">
        <v>2</v>
      </c>
      <c r="G17" s="1215" t="s">
        <v>514</v>
      </c>
      <c r="H17" s="1215">
        <v>2</v>
      </c>
      <c r="I17" s="1335">
        <v>2</v>
      </c>
      <c r="J17" s="1215" t="s">
        <v>631</v>
      </c>
      <c r="K17" s="1215" t="s">
        <v>631</v>
      </c>
      <c r="L17" s="1215" t="s">
        <v>487</v>
      </c>
      <c r="M17" s="1215" t="s">
        <v>487</v>
      </c>
      <c r="N17" s="1215" t="s">
        <v>487</v>
      </c>
      <c r="O17" s="1215" t="s">
        <v>487</v>
      </c>
      <c r="P17" s="1215" t="s">
        <v>487</v>
      </c>
      <c r="Q17" s="1215"/>
      <c r="R17" s="1215"/>
      <c r="S17" s="1345">
        <v>3</v>
      </c>
      <c r="T17" s="1345">
        <v>3</v>
      </c>
      <c r="U17" s="1345">
        <v>3</v>
      </c>
      <c r="V17" s="1345">
        <v>3</v>
      </c>
      <c r="W17" s="1345">
        <v>3</v>
      </c>
      <c r="X17" s="1338"/>
      <c r="Y17" s="1338"/>
      <c r="Z17" s="1338">
        <v>4</v>
      </c>
      <c r="AA17" s="1338">
        <v>4</v>
      </c>
      <c r="AB17" s="1338">
        <v>4</v>
      </c>
      <c r="AC17" s="1338">
        <v>4</v>
      </c>
      <c r="AD17" s="1338">
        <v>4</v>
      </c>
      <c r="AE17" s="1338" t="s">
        <v>630</v>
      </c>
      <c r="AF17" s="1338" t="s">
        <v>630</v>
      </c>
      <c r="AG17" s="1216" t="s">
        <v>487</v>
      </c>
      <c r="AH17" s="513">
        <v>185</v>
      </c>
      <c r="AI17" s="514">
        <v>37</v>
      </c>
    </row>
    <row r="18" spans="1:37" ht="21.95" customHeight="1">
      <c r="A18" s="500">
        <v>8546</v>
      </c>
      <c r="B18" s="347" t="s">
        <v>635</v>
      </c>
      <c r="C18" s="1215"/>
      <c r="D18" s="1215"/>
      <c r="E18" s="1215">
        <v>3</v>
      </c>
      <c r="F18" s="1215">
        <v>3</v>
      </c>
      <c r="G18" s="1215">
        <v>3</v>
      </c>
      <c r="H18" s="1215">
        <v>3</v>
      </c>
      <c r="I18" s="1215">
        <v>3</v>
      </c>
      <c r="J18" s="1215"/>
      <c r="K18" s="1215"/>
      <c r="L18" s="1215">
        <v>4</v>
      </c>
      <c r="M18" s="1215">
        <v>4</v>
      </c>
      <c r="N18" s="1215">
        <v>4</v>
      </c>
      <c r="O18" s="1215">
        <v>4</v>
      </c>
      <c r="P18" s="1215">
        <v>4</v>
      </c>
      <c r="Q18" s="1215" t="s">
        <v>630</v>
      </c>
      <c r="R18" s="1215" t="s">
        <v>630</v>
      </c>
      <c r="S18" s="1215" t="s">
        <v>487</v>
      </c>
      <c r="T18" s="1215" t="s">
        <v>487</v>
      </c>
      <c r="U18" s="1215" t="s">
        <v>487</v>
      </c>
      <c r="V18" s="1215" t="s">
        <v>514</v>
      </c>
      <c r="W18" s="1215" t="s">
        <v>487</v>
      </c>
      <c r="X18" s="1215"/>
      <c r="Y18" s="1215"/>
      <c r="Z18" s="1215">
        <v>1</v>
      </c>
      <c r="AA18" s="1215">
        <v>1</v>
      </c>
      <c r="AB18" s="1215">
        <v>1</v>
      </c>
      <c r="AC18" s="1335">
        <v>1</v>
      </c>
      <c r="AD18" s="1335">
        <v>1</v>
      </c>
      <c r="AE18" s="1215"/>
      <c r="AF18" s="1215"/>
      <c r="AG18" s="1216">
        <v>2</v>
      </c>
      <c r="AH18" s="513">
        <v>185</v>
      </c>
      <c r="AI18" s="514">
        <v>37</v>
      </c>
    </row>
    <row r="19" spans="1:37" ht="21.95" customHeight="1">
      <c r="A19" s="515" t="s">
        <v>636</v>
      </c>
      <c r="B19" s="516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507"/>
      <c r="AE19" s="507"/>
      <c r="AF19" s="507"/>
      <c r="AG19" s="508"/>
      <c r="AH19" s="509"/>
      <c r="AI19" s="510"/>
    </row>
    <row r="20" spans="1:37" ht="21.95" customHeight="1">
      <c r="A20" s="500">
        <v>8500</v>
      </c>
      <c r="B20" s="186" t="s">
        <v>192</v>
      </c>
      <c r="C20" s="1215" t="s">
        <v>637</v>
      </c>
      <c r="D20" s="1215" t="s">
        <v>630</v>
      </c>
      <c r="E20" s="1215" t="s">
        <v>487</v>
      </c>
      <c r="F20" s="1215" t="s">
        <v>487</v>
      </c>
      <c r="G20" s="1215">
        <v>1</v>
      </c>
      <c r="H20" s="1215">
        <v>1</v>
      </c>
      <c r="I20" s="1215">
        <v>1</v>
      </c>
      <c r="J20" s="1215" t="s">
        <v>637</v>
      </c>
      <c r="K20" s="1215" t="s">
        <v>637</v>
      </c>
      <c r="L20" s="1215" t="s">
        <v>548</v>
      </c>
      <c r="M20" s="1215" t="s">
        <v>548</v>
      </c>
      <c r="N20" s="1345" t="s">
        <v>535</v>
      </c>
      <c r="O20" s="1345" t="s">
        <v>535</v>
      </c>
      <c r="P20" s="1345" t="s">
        <v>535</v>
      </c>
      <c r="Q20" s="1215"/>
      <c r="R20" s="1215"/>
      <c r="S20" s="1392">
        <v>3</v>
      </c>
      <c r="T20" s="1392">
        <v>3</v>
      </c>
      <c r="U20" s="1392">
        <v>3</v>
      </c>
      <c r="V20" s="1392" t="s">
        <v>514</v>
      </c>
      <c r="W20" s="1392" t="s">
        <v>777</v>
      </c>
      <c r="X20" s="1215"/>
      <c r="Y20" s="1215"/>
      <c r="Z20" s="1215">
        <v>4</v>
      </c>
      <c r="AA20" s="1215">
        <v>4</v>
      </c>
      <c r="AB20" s="1215">
        <v>4</v>
      </c>
      <c r="AC20" s="1215">
        <v>4</v>
      </c>
      <c r="AD20" s="1215">
        <v>4</v>
      </c>
      <c r="AE20" s="1215" t="s">
        <v>630</v>
      </c>
      <c r="AF20" s="1215" t="s">
        <v>630</v>
      </c>
      <c r="AG20" s="1215" t="s">
        <v>487</v>
      </c>
      <c r="AH20" s="504">
        <v>185</v>
      </c>
      <c r="AI20" s="505">
        <v>37</v>
      </c>
    </row>
    <row r="21" spans="1:37" ht="21.95" customHeight="1">
      <c r="A21" s="500">
        <v>8500</v>
      </c>
      <c r="B21" s="153" t="s">
        <v>638</v>
      </c>
      <c r="C21" s="1215" t="s">
        <v>630</v>
      </c>
      <c r="D21" s="1215"/>
      <c r="E21" s="1215">
        <v>2</v>
      </c>
      <c r="F21" s="1215">
        <v>1</v>
      </c>
      <c r="G21" s="1215">
        <v>2</v>
      </c>
      <c r="H21" s="1215" t="s">
        <v>535</v>
      </c>
      <c r="I21" s="1215">
        <v>2</v>
      </c>
      <c r="J21" s="1215"/>
      <c r="K21" s="1215"/>
      <c r="L21" s="1215" t="s">
        <v>535</v>
      </c>
      <c r="M21" s="1215" t="s">
        <v>535</v>
      </c>
      <c r="N21" s="1215" t="s">
        <v>535</v>
      </c>
      <c r="O21" s="1215">
        <v>1</v>
      </c>
      <c r="P21" s="1215">
        <v>1</v>
      </c>
      <c r="Q21" s="1215"/>
      <c r="R21" s="1215"/>
      <c r="S21" s="1215" t="s">
        <v>535</v>
      </c>
      <c r="T21" s="1215">
        <v>3</v>
      </c>
      <c r="U21" s="1215">
        <v>3</v>
      </c>
      <c r="V21" s="1215" t="s">
        <v>535</v>
      </c>
      <c r="W21" s="1215">
        <v>3</v>
      </c>
      <c r="X21" s="1215"/>
      <c r="Y21" s="1215"/>
      <c r="Z21" s="1215" t="s">
        <v>535</v>
      </c>
      <c r="AA21" s="1215" t="s">
        <v>535</v>
      </c>
      <c r="AB21" s="1215" t="s">
        <v>535</v>
      </c>
      <c r="AC21" s="1215">
        <v>1</v>
      </c>
      <c r="AD21" s="1215">
        <v>1</v>
      </c>
      <c r="AE21" s="1215"/>
      <c r="AF21" s="1215"/>
      <c r="AG21" s="1215" t="s">
        <v>535</v>
      </c>
      <c r="AH21" s="504">
        <v>185</v>
      </c>
      <c r="AI21" s="505">
        <v>37</v>
      </c>
    </row>
    <row r="22" spans="1:37" ht="21.95" customHeight="1" thickBot="1">
      <c r="A22" s="500"/>
      <c r="B22" s="153"/>
      <c r="C22" s="1215"/>
      <c r="D22" s="1215"/>
      <c r="E22" s="1215"/>
      <c r="F22" s="1215"/>
      <c r="G22" s="1215"/>
      <c r="H22" s="1215"/>
      <c r="I22" s="1215"/>
      <c r="J22" s="1215"/>
      <c r="K22" s="1215"/>
      <c r="L22" s="1215"/>
      <c r="M22" s="1215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15"/>
      <c r="AA22" s="1215"/>
      <c r="AB22" s="1215"/>
      <c r="AC22" s="1215"/>
      <c r="AD22" s="1215"/>
      <c r="AE22" s="1215"/>
      <c r="AF22" s="1215"/>
      <c r="AG22" s="1215"/>
      <c r="AH22" s="517">
        <v>185</v>
      </c>
      <c r="AI22" s="518">
        <v>37</v>
      </c>
    </row>
    <row r="23" spans="1:37" ht="21.95" customHeight="1">
      <c r="A23" s="519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</row>
    <row r="24" spans="1:37" ht="21.95" customHeight="1">
      <c r="A24" s="519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</row>
    <row r="25" spans="1:37" ht="21.95" customHeight="1">
      <c r="A25" s="519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</row>
    <row r="26" spans="1:37" ht="21.95" customHeight="1">
      <c r="A26" s="519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</row>
    <row r="27" spans="1:37" ht="21.95" customHeight="1">
      <c r="A27" s="519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</row>
    <row r="28" spans="1:37" ht="21.95" customHeight="1">
      <c r="A28" s="519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</row>
    <row r="29" spans="1:37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7" ht="21.95" customHeight="1" thickBot="1">
      <c r="A30" s="1" t="s">
        <v>639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640</v>
      </c>
      <c r="B31" s="521"/>
      <c r="C31" s="521"/>
      <c r="D31" s="425" t="s">
        <v>641</v>
      </c>
      <c r="E31" s="522"/>
      <c r="F31" s="522"/>
      <c r="G31" s="522"/>
      <c r="H31" s="522"/>
      <c r="I31" s="522"/>
      <c r="J31" s="522"/>
      <c r="K31" s="522"/>
      <c r="L31" s="522"/>
      <c r="M31" s="523" t="s">
        <v>642</v>
      </c>
      <c r="N31" s="522"/>
      <c r="O31" s="522"/>
      <c r="P31" s="522"/>
      <c r="Q31" s="522"/>
      <c r="R31" s="522"/>
      <c r="S31" s="524"/>
      <c r="T31" s="524" t="s">
        <v>643</v>
      </c>
      <c r="U31" s="522"/>
      <c r="V31" s="522"/>
      <c r="W31" s="522"/>
      <c r="X31" s="522"/>
      <c r="Y31" s="522"/>
      <c r="Z31" s="238"/>
      <c r="AA31" s="525" t="s">
        <v>644</v>
      </c>
      <c r="AB31" s="51"/>
      <c r="AC31" s="51"/>
      <c r="AD31" s="51"/>
      <c r="AE31" s="51"/>
      <c r="AF31" s="51"/>
      <c r="AG31" s="526"/>
      <c r="AK31" s="1"/>
    </row>
    <row r="32" spans="1:37" ht="21.95" customHeight="1">
      <c r="A32" s="527" t="s">
        <v>645</v>
      </c>
      <c r="B32" s="135"/>
      <c r="C32" s="135"/>
      <c r="D32" s="495" t="s">
        <v>646</v>
      </c>
      <c r="E32" s="491"/>
      <c r="F32" s="157"/>
      <c r="G32" s="157"/>
      <c r="H32" s="157"/>
      <c r="I32" s="157"/>
      <c r="J32" s="157"/>
      <c r="K32" s="157"/>
      <c r="L32" s="489"/>
      <c r="M32" s="528" t="s">
        <v>647</v>
      </c>
      <c r="N32" s="135"/>
      <c r="O32" s="529"/>
      <c r="P32" s="135"/>
      <c r="Q32" s="135"/>
      <c r="R32" s="135"/>
      <c r="S32" s="530"/>
      <c r="T32" s="495" t="s">
        <v>648</v>
      </c>
      <c r="U32" s="157"/>
      <c r="V32" s="491"/>
      <c r="W32" s="157"/>
      <c r="X32" s="157"/>
      <c r="Y32" s="157"/>
      <c r="Z32" s="489"/>
      <c r="AA32" s="1" t="s">
        <v>649</v>
      </c>
      <c r="AD32" s="496"/>
      <c r="AG32" s="531"/>
      <c r="AK32" s="1"/>
    </row>
    <row r="33" spans="1:38" ht="21.95" customHeight="1">
      <c r="A33" s="532" t="s">
        <v>650</v>
      </c>
      <c r="B33" s="157"/>
      <c r="C33" s="157"/>
      <c r="D33" s="157"/>
      <c r="E33" s="157"/>
      <c r="F33" s="157"/>
      <c r="G33" s="489"/>
      <c r="H33" s="495" t="s">
        <v>651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3" t="s">
        <v>652</v>
      </c>
      <c r="AA33" s="529"/>
      <c r="AB33" s="135"/>
      <c r="AC33" s="135"/>
      <c r="AD33" s="135"/>
      <c r="AE33" s="135"/>
      <c r="AF33" s="135"/>
      <c r="AG33" s="534"/>
      <c r="AK33" s="312"/>
    </row>
    <row r="34" spans="1:38" ht="21.95" customHeight="1" thickBot="1">
      <c r="A34" s="535" t="s">
        <v>653</v>
      </c>
      <c r="B34" s="53"/>
      <c r="C34" s="53"/>
      <c r="D34" s="53"/>
      <c r="E34" s="53"/>
      <c r="F34" s="53"/>
      <c r="G34" s="536"/>
      <c r="H34" s="537" t="s">
        <v>654</v>
      </c>
      <c r="I34" s="536"/>
      <c r="J34" s="53"/>
      <c r="K34" s="53"/>
      <c r="L34" s="53"/>
      <c r="M34" s="53"/>
      <c r="N34" s="53"/>
      <c r="O34" s="53"/>
      <c r="P34" s="53"/>
      <c r="Q34" s="538"/>
      <c r="R34" s="538"/>
      <c r="S34" s="538"/>
      <c r="T34" s="53"/>
      <c r="U34" s="537" t="s">
        <v>655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9"/>
      <c r="AK34" s="1"/>
    </row>
    <row r="35" spans="1:38" ht="21.95" customHeight="1" thickBot="1">
      <c r="B35" s="540" t="s">
        <v>627</v>
      </c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41"/>
      <c r="Y35" s="541"/>
      <c r="Z35" s="541"/>
      <c r="AA35" s="541"/>
      <c r="AB35" s="541"/>
      <c r="AC35" s="541"/>
      <c r="AD35" s="541"/>
      <c r="AE35" s="541"/>
      <c r="AF35" s="541"/>
      <c r="AG35" s="541"/>
      <c r="AH35" s="1"/>
    </row>
    <row r="36" spans="1:38" ht="21.95" customHeight="1" thickBot="1">
      <c r="A36" s="542" t="s">
        <v>528</v>
      </c>
      <c r="B36" s="182" t="s">
        <v>480</v>
      </c>
      <c r="C36" s="1235">
        <v>1</v>
      </c>
      <c r="D36" s="1235">
        <v>2</v>
      </c>
      <c r="E36" s="1234">
        <v>3</v>
      </c>
      <c r="F36" s="1234">
        <v>4</v>
      </c>
      <c r="G36" s="1234">
        <v>5</v>
      </c>
      <c r="H36" s="1234">
        <v>6</v>
      </c>
      <c r="I36" s="1213">
        <v>7</v>
      </c>
      <c r="J36" s="1330">
        <v>8</v>
      </c>
      <c r="K36" s="1235">
        <v>9</v>
      </c>
      <c r="L36" s="1234">
        <v>10</v>
      </c>
      <c r="M36" s="1234">
        <v>11</v>
      </c>
      <c r="N36" s="1234">
        <v>12</v>
      </c>
      <c r="O36" s="1234">
        <v>13</v>
      </c>
      <c r="P36" s="1213">
        <v>14</v>
      </c>
      <c r="Q36" s="1330">
        <v>15</v>
      </c>
      <c r="R36" s="1235">
        <v>16</v>
      </c>
      <c r="S36" s="1234">
        <v>17</v>
      </c>
      <c r="T36" s="1234">
        <v>18</v>
      </c>
      <c r="U36" s="1234">
        <v>19</v>
      </c>
      <c r="V36" s="1213">
        <v>20</v>
      </c>
      <c r="W36" s="1213">
        <v>21</v>
      </c>
      <c r="X36" s="1330">
        <v>22</v>
      </c>
      <c r="Y36" s="1235">
        <v>23</v>
      </c>
      <c r="Z36" s="1234">
        <v>24</v>
      </c>
      <c r="AA36" s="1234">
        <v>25</v>
      </c>
      <c r="AB36" s="1234">
        <v>26</v>
      </c>
      <c r="AC36" s="1234">
        <v>27</v>
      </c>
      <c r="AD36" s="1213">
        <v>28</v>
      </c>
      <c r="AE36" s="1330">
        <v>29</v>
      </c>
      <c r="AF36" s="1235">
        <v>30</v>
      </c>
      <c r="AG36" s="1234">
        <v>31</v>
      </c>
      <c r="AH36" s="498" t="s">
        <v>481</v>
      </c>
      <c r="AI36" s="499" t="s">
        <v>482</v>
      </c>
      <c r="AL36" t="s">
        <v>28</v>
      </c>
    </row>
    <row r="37" spans="1:38" ht="21.95" customHeight="1">
      <c r="A37" s="543">
        <v>1</v>
      </c>
      <c r="B37" s="45" t="s">
        <v>656</v>
      </c>
      <c r="C37" s="1209"/>
      <c r="D37" s="1209"/>
      <c r="E37" s="1209">
        <v>3</v>
      </c>
      <c r="F37" s="1209">
        <v>3</v>
      </c>
      <c r="G37" s="1209">
        <v>3</v>
      </c>
      <c r="H37" s="1209">
        <v>3</v>
      </c>
      <c r="I37" s="1209">
        <v>3</v>
      </c>
      <c r="J37" s="1209"/>
      <c r="K37" s="1209"/>
      <c r="L37" s="1209">
        <v>11</v>
      </c>
      <c r="M37" s="1209">
        <v>11</v>
      </c>
      <c r="N37" s="1209">
        <v>11</v>
      </c>
      <c r="O37" s="1209">
        <v>11</v>
      </c>
      <c r="P37" s="1209">
        <v>11</v>
      </c>
      <c r="Q37" s="1209" t="s">
        <v>657</v>
      </c>
      <c r="R37" s="1209" t="s">
        <v>657</v>
      </c>
      <c r="S37" s="1209" t="s">
        <v>487</v>
      </c>
      <c r="T37" s="1209" t="s">
        <v>487</v>
      </c>
      <c r="U37" s="1209" t="s">
        <v>487</v>
      </c>
      <c r="V37" s="1575">
        <v>10</v>
      </c>
      <c r="W37" s="1209" t="s">
        <v>487</v>
      </c>
      <c r="X37" s="1209"/>
      <c r="Y37" s="1209"/>
      <c r="Z37" s="1209">
        <v>8</v>
      </c>
      <c r="AA37" s="1209">
        <v>8</v>
      </c>
      <c r="AB37" s="1209">
        <v>8</v>
      </c>
      <c r="AC37" s="1209">
        <v>8</v>
      </c>
      <c r="AD37" s="1674">
        <v>8</v>
      </c>
      <c r="AE37" s="1438" t="s">
        <v>533</v>
      </c>
      <c r="AF37" s="1438" t="s">
        <v>824</v>
      </c>
      <c r="AG37" s="1220" t="s">
        <v>487</v>
      </c>
      <c r="AH37" s="504">
        <v>185</v>
      </c>
      <c r="AI37" s="505">
        <v>37</v>
      </c>
    </row>
    <row r="38" spans="1:38" ht="21.95" customHeight="1">
      <c r="A38" s="544">
        <v>6</v>
      </c>
      <c r="B38" s="545" t="s">
        <v>658</v>
      </c>
      <c r="C38" s="1215"/>
      <c r="D38" s="1215"/>
      <c r="E38" s="1376">
        <v>1</v>
      </c>
      <c r="F38" s="1376">
        <v>1</v>
      </c>
      <c r="G38" s="1376">
        <v>1</v>
      </c>
      <c r="H38" s="1376">
        <v>1</v>
      </c>
      <c r="I38" s="1376">
        <v>1</v>
      </c>
      <c r="J38" s="1376"/>
      <c r="K38" s="1376"/>
      <c r="L38" s="1376">
        <v>9</v>
      </c>
      <c r="M38" s="1376">
        <v>9</v>
      </c>
      <c r="N38" s="1376">
        <v>9</v>
      </c>
      <c r="O38" s="1376">
        <v>9</v>
      </c>
      <c r="P38" s="1376">
        <v>9</v>
      </c>
      <c r="Q38" s="1376" t="s">
        <v>543</v>
      </c>
      <c r="R38" s="1376" t="s">
        <v>555</v>
      </c>
      <c r="S38" s="1376" t="s">
        <v>487</v>
      </c>
      <c r="T38" s="1376" t="s">
        <v>487</v>
      </c>
      <c r="U38" s="1376" t="s">
        <v>487</v>
      </c>
      <c r="V38" s="1376" t="s">
        <v>487</v>
      </c>
      <c r="W38" s="1376" t="s">
        <v>487</v>
      </c>
      <c r="X38" s="1376"/>
      <c r="Y38" s="1376"/>
      <c r="Z38" s="1376">
        <v>6</v>
      </c>
      <c r="AA38" s="1376">
        <v>6</v>
      </c>
      <c r="AB38" s="1376">
        <v>6</v>
      </c>
      <c r="AC38" s="1376">
        <v>6</v>
      </c>
      <c r="AD38" s="1376">
        <v>6</v>
      </c>
      <c r="AE38" s="1376" t="s">
        <v>532</v>
      </c>
      <c r="AF38" s="1376" t="s">
        <v>533</v>
      </c>
      <c r="AG38" s="1221" t="s">
        <v>487</v>
      </c>
      <c r="AH38" s="504">
        <v>185</v>
      </c>
      <c r="AI38" s="505">
        <v>37</v>
      </c>
    </row>
    <row r="39" spans="1:38" ht="21.95" customHeight="1" thickBot="1">
      <c r="A39" s="546">
        <v>11</v>
      </c>
      <c r="B39" s="1242" t="s">
        <v>659</v>
      </c>
      <c r="C39" s="1207"/>
      <c r="D39" s="1207"/>
      <c r="E39" s="1207">
        <v>4</v>
      </c>
      <c r="F39" s="1207">
        <v>4</v>
      </c>
      <c r="G39" s="1207">
        <v>4</v>
      </c>
      <c r="H39" s="1207">
        <v>4</v>
      </c>
      <c r="I39" s="1207">
        <v>4</v>
      </c>
      <c r="J39" s="1207"/>
      <c r="K39" s="1207"/>
      <c r="L39" s="1207">
        <v>10</v>
      </c>
      <c r="M39" s="1207">
        <v>10</v>
      </c>
      <c r="N39" s="1207">
        <v>10</v>
      </c>
      <c r="O39" s="1207">
        <v>10</v>
      </c>
      <c r="P39" s="1207">
        <v>10</v>
      </c>
      <c r="Q39" s="1207" t="s">
        <v>555</v>
      </c>
      <c r="R39" s="1207" t="s">
        <v>555</v>
      </c>
      <c r="S39" s="1207" t="s">
        <v>487</v>
      </c>
      <c r="T39" s="1207" t="s">
        <v>487</v>
      </c>
      <c r="U39" s="1207" t="s">
        <v>487</v>
      </c>
      <c r="V39" s="1207" t="s">
        <v>487</v>
      </c>
      <c r="W39" s="1550" t="s">
        <v>487</v>
      </c>
      <c r="X39" s="1207" t="s">
        <v>660</v>
      </c>
      <c r="Y39" s="1207" t="s">
        <v>660</v>
      </c>
      <c r="Z39" s="1366">
        <v>7</v>
      </c>
      <c r="AA39" s="1366">
        <v>7</v>
      </c>
      <c r="AB39" s="1366">
        <v>7</v>
      </c>
      <c r="AC39" s="1366">
        <v>7</v>
      </c>
      <c r="AD39" s="1366">
        <v>7</v>
      </c>
      <c r="AE39" s="1366"/>
      <c r="AF39" s="1366"/>
      <c r="AG39" s="1649">
        <v>4</v>
      </c>
      <c r="AH39" s="504">
        <v>185</v>
      </c>
      <c r="AI39" s="505">
        <v>37</v>
      </c>
    </row>
    <row r="40" spans="1:38" ht="21.95" customHeight="1">
      <c r="A40" s="543">
        <v>2</v>
      </c>
      <c r="B40" s="45" t="s">
        <v>662</v>
      </c>
      <c r="C40" s="1209"/>
      <c r="D40" s="1209"/>
      <c r="E40" s="1209">
        <v>11</v>
      </c>
      <c r="F40" s="1223">
        <v>11</v>
      </c>
      <c r="G40" s="1223">
        <v>11</v>
      </c>
      <c r="H40" s="1209">
        <v>11</v>
      </c>
      <c r="I40" s="1209">
        <v>11</v>
      </c>
      <c r="J40" s="1209" t="s">
        <v>657</v>
      </c>
      <c r="K40" s="1209" t="s">
        <v>657</v>
      </c>
      <c r="L40" s="1209" t="s">
        <v>487</v>
      </c>
      <c r="M40" s="1209" t="s">
        <v>487</v>
      </c>
      <c r="N40" s="1209" t="s">
        <v>487</v>
      </c>
      <c r="O40" s="1209" t="s">
        <v>487</v>
      </c>
      <c r="P40" s="1209" t="s">
        <v>487</v>
      </c>
      <c r="Q40" s="1209"/>
      <c r="R40" s="1209"/>
      <c r="S40" s="1209">
        <v>8</v>
      </c>
      <c r="T40" s="1223">
        <v>8</v>
      </c>
      <c r="U40" s="1223">
        <v>8</v>
      </c>
      <c r="V40" s="1209">
        <v>8</v>
      </c>
      <c r="W40" s="1209">
        <v>8</v>
      </c>
      <c r="X40" s="1209" t="s">
        <v>533</v>
      </c>
      <c r="Y40" s="1209" t="s">
        <v>533</v>
      </c>
      <c r="Z40" s="1209" t="s">
        <v>487</v>
      </c>
      <c r="AA40" s="1209" t="s">
        <v>487</v>
      </c>
      <c r="AB40" s="1209" t="s">
        <v>487</v>
      </c>
      <c r="AC40" s="1209" t="s">
        <v>487</v>
      </c>
      <c r="AD40" s="1209" t="s">
        <v>487</v>
      </c>
      <c r="AE40" s="1209"/>
      <c r="AF40" s="1209"/>
      <c r="AG40" s="1209">
        <v>1</v>
      </c>
      <c r="AH40" s="504">
        <v>185</v>
      </c>
      <c r="AI40" s="505">
        <v>37</v>
      </c>
    </row>
    <row r="41" spans="1:38" ht="21.95" customHeight="1">
      <c r="A41" s="544">
        <v>7</v>
      </c>
      <c r="B41" s="153" t="s">
        <v>664</v>
      </c>
      <c r="C41" s="1215"/>
      <c r="D41" s="1215"/>
      <c r="E41" s="1215">
        <v>9</v>
      </c>
      <c r="F41" s="1215">
        <v>9</v>
      </c>
      <c r="G41" s="1215">
        <v>9</v>
      </c>
      <c r="H41" s="1215">
        <v>9</v>
      </c>
      <c r="I41" s="1215">
        <v>9</v>
      </c>
      <c r="J41" s="1215" t="s">
        <v>543</v>
      </c>
      <c r="K41" s="1215" t="s">
        <v>555</v>
      </c>
      <c r="L41" s="1215" t="s">
        <v>487</v>
      </c>
      <c r="M41" s="1215" t="s">
        <v>487</v>
      </c>
      <c r="N41" s="1215" t="s">
        <v>487</v>
      </c>
      <c r="O41" s="1215" t="s">
        <v>487</v>
      </c>
      <c r="P41" s="1215" t="s">
        <v>487</v>
      </c>
      <c r="Q41" s="1215"/>
      <c r="R41" s="1215"/>
      <c r="S41" s="1215">
        <v>6</v>
      </c>
      <c r="T41" s="1215">
        <v>6</v>
      </c>
      <c r="U41" s="1215">
        <v>6</v>
      </c>
      <c r="V41" s="1215">
        <v>2</v>
      </c>
      <c r="W41" s="1215">
        <v>6</v>
      </c>
      <c r="X41" s="1215" t="s">
        <v>532</v>
      </c>
      <c r="Y41" s="1215" t="s">
        <v>533</v>
      </c>
      <c r="Z41" s="1215" t="s">
        <v>487</v>
      </c>
      <c r="AA41" s="1215" t="s">
        <v>487</v>
      </c>
      <c r="AB41" s="1215" t="s">
        <v>487</v>
      </c>
      <c r="AC41" s="1215" t="s">
        <v>487</v>
      </c>
      <c r="AD41" s="1215" t="s">
        <v>487</v>
      </c>
      <c r="AE41" s="1215"/>
      <c r="AF41" s="1215"/>
      <c r="AG41" s="1543">
        <v>5</v>
      </c>
      <c r="AH41" s="504">
        <v>185</v>
      </c>
      <c r="AI41" s="505">
        <v>37</v>
      </c>
    </row>
    <row r="42" spans="1:38" ht="21.95" customHeight="1" thickBot="1">
      <c r="A42" s="546">
        <v>12</v>
      </c>
      <c r="B42" s="547" t="s">
        <v>665</v>
      </c>
      <c r="C42" s="1207"/>
      <c r="D42" s="1207"/>
      <c r="E42" s="1207">
        <v>10</v>
      </c>
      <c r="F42" s="1207">
        <v>10</v>
      </c>
      <c r="G42" s="1207">
        <v>10</v>
      </c>
      <c r="H42" s="1207">
        <v>10</v>
      </c>
      <c r="I42" s="1207">
        <v>10</v>
      </c>
      <c r="J42" s="1340" t="s">
        <v>555</v>
      </c>
      <c r="K42" s="1340" t="s">
        <v>555</v>
      </c>
      <c r="L42" s="1207" t="s">
        <v>487</v>
      </c>
      <c r="M42" s="1207" t="s">
        <v>487</v>
      </c>
      <c r="N42" s="1207" t="s">
        <v>487</v>
      </c>
      <c r="O42" s="1207" t="s">
        <v>487</v>
      </c>
      <c r="P42" s="1207" t="s">
        <v>487</v>
      </c>
      <c r="Q42" s="1207" t="s">
        <v>660</v>
      </c>
      <c r="R42" s="1207" t="s">
        <v>660</v>
      </c>
      <c r="S42" s="1207">
        <v>7</v>
      </c>
      <c r="T42" s="1207">
        <v>7</v>
      </c>
      <c r="U42" s="1207">
        <v>7</v>
      </c>
      <c r="V42" s="1207">
        <v>7</v>
      </c>
      <c r="W42" s="1207">
        <v>7</v>
      </c>
      <c r="X42" s="1207"/>
      <c r="Y42" s="1207"/>
      <c r="Z42" s="1583">
        <v>4</v>
      </c>
      <c r="AA42" s="1583">
        <v>4</v>
      </c>
      <c r="AB42" s="1583">
        <v>4</v>
      </c>
      <c r="AC42" s="1583">
        <v>4</v>
      </c>
      <c r="AD42" s="1583">
        <v>4</v>
      </c>
      <c r="AE42" s="1583"/>
      <c r="AF42" s="1583"/>
      <c r="AG42" s="1222">
        <v>3</v>
      </c>
      <c r="AH42" s="504">
        <v>185</v>
      </c>
      <c r="AI42" s="505">
        <v>37</v>
      </c>
    </row>
    <row r="43" spans="1:38" ht="21.95" customHeight="1">
      <c r="A43" s="548">
        <v>3</v>
      </c>
      <c r="B43" s="1373" t="s">
        <v>666</v>
      </c>
      <c r="C43" s="1211" t="s">
        <v>657</v>
      </c>
      <c r="D43" s="1211" t="s">
        <v>657</v>
      </c>
      <c r="E43" s="1211" t="s">
        <v>487</v>
      </c>
      <c r="F43" s="1211" t="s">
        <v>487</v>
      </c>
      <c r="G43" s="1211" t="s">
        <v>487</v>
      </c>
      <c r="H43" s="1211" t="s">
        <v>487</v>
      </c>
      <c r="I43" s="1211" t="s">
        <v>487</v>
      </c>
      <c r="J43" s="1211"/>
      <c r="K43" s="1211"/>
      <c r="L43" s="1349">
        <v>8</v>
      </c>
      <c r="M43" s="1349">
        <v>8</v>
      </c>
      <c r="N43" s="1349">
        <v>8</v>
      </c>
      <c r="O43" s="1349">
        <v>8</v>
      </c>
      <c r="P43" s="1349">
        <v>8</v>
      </c>
      <c r="Q43" s="1349" t="s">
        <v>533</v>
      </c>
      <c r="R43" s="1650" t="s">
        <v>533</v>
      </c>
      <c r="S43" s="1211" t="s">
        <v>487</v>
      </c>
      <c r="T43" s="1211" t="s">
        <v>487</v>
      </c>
      <c r="U43" s="1211" t="s">
        <v>487</v>
      </c>
      <c r="V43" s="1211" t="s">
        <v>487</v>
      </c>
      <c r="W43" s="1211" t="s">
        <v>487</v>
      </c>
      <c r="X43" s="1211"/>
      <c r="Y43" s="1211"/>
      <c r="Z43" s="1349">
        <v>1</v>
      </c>
      <c r="AA43" s="1349">
        <v>1</v>
      </c>
      <c r="AB43" s="1349">
        <v>1</v>
      </c>
      <c r="AC43" s="1349">
        <v>1</v>
      </c>
      <c r="AD43" s="1349">
        <v>1</v>
      </c>
      <c r="AE43" s="1211"/>
      <c r="AF43" s="1211"/>
      <c r="AG43" s="1224">
        <v>9</v>
      </c>
      <c r="AH43" s="504">
        <v>185</v>
      </c>
      <c r="AI43" s="505">
        <v>37</v>
      </c>
    </row>
    <row r="44" spans="1:38" ht="21.95" customHeight="1">
      <c r="A44" s="544">
        <v>8</v>
      </c>
      <c r="B44" s="319" t="s">
        <v>667</v>
      </c>
      <c r="C44" s="1215" t="s">
        <v>543</v>
      </c>
      <c r="D44" s="1215" t="s">
        <v>555</v>
      </c>
      <c r="E44" s="1215" t="s">
        <v>487</v>
      </c>
      <c r="F44" s="1215" t="s">
        <v>487</v>
      </c>
      <c r="G44" s="1225" t="s">
        <v>487</v>
      </c>
      <c r="H44" s="1215" t="s">
        <v>487</v>
      </c>
      <c r="I44" s="1215" t="s">
        <v>487</v>
      </c>
      <c r="J44" s="1215"/>
      <c r="K44" s="1215"/>
      <c r="L44" s="1215">
        <v>6</v>
      </c>
      <c r="M44" s="1215">
        <v>6</v>
      </c>
      <c r="N44" s="1215">
        <v>6</v>
      </c>
      <c r="O44" s="1215">
        <v>6</v>
      </c>
      <c r="P44" s="1215">
        <v>6</v>
      </c>
      <c r="Q44" s="1216" t="s">
        <v>532</v>
      </c>
      <c r="R44" s="1215" t="s">
        <v>533</v>
      </c>
      <c r="S44" s="1226" t="s">
        <v>487</v>
      </c>
      <c r="T44" s="1215" t="s">
        <v>487</v>
      </c>
      <c r="U44" s="1215" t="s">
        <v>487</v>
      </c>
      <c r="V44" s="1215" t="s">
        <v>487</v>
      </c>
      <c r="W44" s="1215" t="s">
        <v>487</v>
      </c>
      <c r="X44" s="1215"/>
      <c r="Y44" s="1215"/>
      <c r="Z44" s="1215">
        <v>5</v>
      </c>
      <c r="AA44" s="1215">
        <v>5</v>
      </c>
      <c r="AB44" s="1215">
        <v>5</v>
      </c>
      <c r="AC44" s="1215">
        <v>5</v>
      </c>
      <c r="AD44" s="1346">
        <v>5</v>
      </c>
      <c r="AE44" s="1215"/>
      <c r="AF44" s="1215"/>
      <c r="AG44" s="1215">
        <v>10</v>
      </c>
      <c r="AH44" s="504">
        <v>185</v>
      </c>
      <c r="AI44" s="505">
        <v>37</v>
      </c>
    </row>
    <row r="45" spans="1:38" ht="21.95" customHeight="1" thickBot="1">
      <c r="A45" s="546">
        <v>13</v>
      </c>
      <c r="B45" s="52" t="s">
        <v>668</v>
      </c>
      <c r="C45" s="1371" t="s">
        <v>555</v>
      </c>
      <c r="D45" s="1371" t="s">
        <v>555</v>
      </c>
      <c r="E45" s="1207" t="s">
        <v>487</v>
      </c>
      <c r="F45" s="1207" t="s">
        <v>487</v>
      </c>
      <c r="G45" s="1207" t="s">
        <v>487</v>
      </c>
      <c r="H45" s="1207" t="s">
        <v>487</v>
      </c>
      <c r="I45" s="1207" t="s">
        <v>487</v>
      </c>
      <c r="J45" s="1371" t="s">
        <v>660</v>
      </c>
      <c r="K45" s="1371" t="s">
        <v>660</v>
      </c>
      <c r="L45" s="1371">
        <v>7</v>
      </c>
      <c r="M45" s="1371">
        <v>7</v>
      </c>
      <c r="N45" s="1371">
        <v>7</v>
      </c>
      <c r="O45" s="1371">
        <v>7</v>
      </c>
      <c r="P45" s="1371">
        <v>7</v>
      </c>
      <c r="Q45" s="1207"/>
      <c r="R45" s="1217"/>
      <c r="S45" s="1366">
        <v>4</v>
      </c>
      <c r="T45" s="1366">
        <v>4</v>
      </c>
      <c r="U45" s="1366">
        <v>4</v>
      </c>
      <c r="V45" s="1366">
        <v>4</v>
      </c>
      <c r="W45" s="1366">
        <v>4</v>
      </c>
      <c r="X45" s="1207"/>
      <c r="Y45" s="1207"/>
      <c r="Z45" s="1366">
        <v>3</v>
      </c>
      <c r="AA45" s="1366">
        <v>3</v>
      </c>
      <c r="AB45" s="1366">
        <v>3</v>
      </c>
      <c r="AC45" s="1366">
        <v>3</v>
      </c>
      <c r="AD45" s="1366">
        <v>3</v>
      </c>
      <c r="AE45" s="1207"/>
      <c r="AF45" s="1207"/>
      <c r="AG45" s="1366">
        <v>11</v>
      </c>
      <c r="AH45" s="504">
        <v>185</v>
      </c>
      <c r="AI45" s="505">
        <v>37</v>
      </c>
    </row>
    <row r="46" spans="1:38" ht="21.95" customHeight="1">
      <c r="A46" s="548">
        <v>4</v>
      </c>
      <c r="B46" s="319" t="s">
        <v>669</v>
      </c>
      <c r="C46" s="1215"/>
      <c r="D46" s="1215"/>
      <c r="E46" s="1215">
        <v>8</v>
      </c>
      <c r="F46" s="1215">
        <v>8</v>
      </c>
      <c r="G46" s="1215">
        <v>8</v>
      </c>
      <c r="H46" s="1215">
        <v>8</v>
      </c>
      <c r="I46" s="1215">
        <v>8</v>
      </c>
      <c r="J46" s="1211" t="s">
        <v>533</v>
      </c>
      <c r="K46" s="1211" t="s">
        <v>533</v>
      </c>
      <c r="L46" s="1211" t="s">
        <v>487</v>
      </c>
      <c r="M46" s="1211" t="s">
        <v>487</v>
      </c>
      <c r="N46" s="1211" t="s">
        <v>487</v>
      </c>
      <c r="O46" s="1211" t="s">
        <v>487</v>
      </c>
      <c r="P46" s="1211" t="s">
        <v>487</v>
      </c>
      <c r="Q46" s="1211"/>
      <c r="R46" s="1211"/>
      <c r="S46" s="1211">
        <v>1</v>
      </c>
      <c r="T46" s="1211">
        <v>1</v>
      </c>
      <c r="U46" s="1211">
        <v>1</v>
      </c>
      <c r="V46" s="1211">
        <v>1</v>
      </c>
      <c r="W46" s="1211">
        <v>1</v>
      </c>
      <c r="X46" s="1211"/>
      <c r="Y46" s="1211"/>
      <c r="Z46" s="1211">
        <v>9</v>
      </c>
      <c r="AA46" s="1211">
        <v>9</v>
      </c>
      <c r="AB46" s="1211">
        <v>9</v>
      </c>
      <c r="AC46" s="1211">
        <v>9</v>
      </c>
      <c r="AD46" s="1211">
        <v>9</v>
      </c>
      <c r="AE46" s="1211" t="s">
        <v>543</v>
      </c>
      <c r="AF46" s="1211" t="s">
        <v>555</v>
      </c>
      <c r="AG46" s="1218" t="s">
        <v>487</v>
      </c>
      <c r="AH46" s="504">
        <v>185</v>
      </c>
      <c r="AI46" s="505">
        <v>37</v>
      </c>
    </row>
    <row r="47" spans="1:38" ht="21.95" customHeight="1">
      <c r="A47" s="544">
        <v>9</v>
      </c>
      <c r="B47" s="319" t="s">
        <v>670</v>
      </c>
      <c r="C47" s="1215"/>
      <c r="D47" s="1215"/>
      <c r="E47" s="1215">
        <v>6</v>
      </c>
      <c r="F47" s="1215">
        <v>6</v>
      </c>
      <c r="G47" s="1215">
        <v>6</v>
      </c>
      <c r="H47" s="1215">
        <v>6</v>
      </c>
      <c r="I47" s="1215">
        <v>6</v>
      </c>
      <c r="J47" s="1215" t="s">
        <v>532</v>
      </c>
      <c r="K47" s="1215" t="s">
        <v>533</v>
      </c>
      <c r="L47" s="1215" t="s">
        <v>487</v>
      </c>
      <c r="M47" s="1215" t="s">
        <v>487</v>
      </c>
      <c r="N47" s="1215" t="s">
        <v>487</v>
      </c>
      <c r="O47" s="1215" t="s">
        <v>487</v>
      </c>
      <c r="P47" s="1215" t="s">
        <v>487</v>
      </c>
      <c r="Q47" s="1215"/>
      <c r="R47" s="1215"/>
      <c r="S47" s="1345">
        <v>5</v>
      </c>
      <c r="T47" s="1345">
        <v>5</v>
      </c>
      <c r="U47" s="1345">
        <v>5</v>
      </c>
      <c r="V47" s="1345">
        <v>5</v>
      </c>
      <c r="W47" s="1345">
        <v>5</v>
      </c>
      <c r="X47" s="1215"/>
      <c r="Y47" s="1215"/>
      <c r="Z47" s="1215">
        <v>10</v>
      </c>
      <c r="AA47" s="1215">
        <v>10</v>
      </c>
      <c r="AB47" s="1215">
        <v>10</v>
      </c>
      <c r="AC47" s="1215">
        <v>10</v>
      </c>
      <c r="AD47" s="1215">
        <v>10</v>
      </c>
      <c r="AE47" s="1215" t="s">
        <v>555</v>
      </c>
      <c r="AF47" s="1215" t="s">
        <v>555</v>
      </c>
      <c r="AG47" s="1216" t="s">
        <v>487</v>
      </c>
      <c r="AH47" s="504">
        <v>185</v>
      </c>
      <c r="AI47" s="505">
        <v>37</v>
      </c>
    </row>
    <row r="48" spans="1:38" ht="21.95" customHeight="1" thickBot="1">
      <c r="A48" s="546">
        <v>14</v>
      </c>
      <c r="B48" s="547" t="s">
        <v>671</v>
      </c>
      <c r="C48" s="1207" t="s">
        <v>660</v>
      </c>
      <c r="D48" s="1207" t="s">
        <v>660</v>
      </c>
      <c r="E48" s="1211">
        <v>7</v>
      </c>
      <c r="F48" s="1211">
        <v>7</v>
      </c>
      <c r="G48" s="1211">
        <v>7</v>
      </c>
      <c r="H48" s="1211">
        <v>7</v>
      </c>
      <c r="I48" s="1211">
        <v>7</v>
      </c>
      <c r="J48" s="1211"/>
      <c r="K48" s="1211"/>
      <c r="L48" s="1371">
        <v>4</v>
      </c>
      <c r="M48" s="1371">
        <v>4</v>
      </c>
      <c r="N48" s="1371">
        <v>4</v>
      </c>
      <c r="O48" s="1371">
        <v>4</v>
      </c>
      <c r="P48" s="1371">
        <v>4</v>
      </c>
      <c r="Q48" s="1207"/>
      <c r="R48" s="1207"/>
      <c r="S48" s="1371">
        <v>3</v>
      </c>
      <c r="T48" s="1371">
        <v>3</v>
      </c>
      <c r="U48" s="1371">
        <v>3</v>
      </c>
      <c r="V48" s="1371">
        <v>3</v>
      </c>
      <c r="W48" s="1371">
        <v>3</v>
      </c>
      <c r="X48" s="1207"/>
      <c r="Y48" s="1207"/>
      <c r="Z48" s="1207">
        <v>11</v>
      </c>
      <c r="AA48" s="1207">
        <v>11</v>
      </c>
      <c r="AB48" s="1207">
        <v>11</v>
      </c>
      <c r="AC48" s="1207">
        <v>11</v>
      </c>
      <c r="AD48" s="1207">
        <v>11</v>
      </c>
      <c r="AE48" s="1207" t="s">
        <v>657</v>
      </c>
      <c r="AF48" s="1371" t="s">
        <v>657</v>
      </c>
      <c r="AG48" s="1227" t="s">
        <v>487</v>
      </c>
      <c r="AH48" s="504">
        <v>185</v>
      </c>
      <c r="AI48" s="505">
        <v>37</v>
      </c>
    </row>
    <row r="49" spans="1:35" ht="21.95" customHeight="1">
      <c r="A49" s="543">
        <v>5</v>
      </c>
      <c r="B49" s="545" t="s">
        <v>672</v>
      </c>
      <c r="C49" s="1209" t="s">
        <v>533</v>
      </c>
      <c r="D49" s="1209" t="s">
        <v>533</v>
      </c>
      <c r="E49" s="1209" t="s">
        <v>487</v>
      </c>
      <c r="F49" s="1209" t="s">
        <v>487</v>
      </c>
      <c r="G49" s="1209" t="s">
        <v>487</v>
      </c>
      <c r="H49" s="1209" t="s">
        <v>487</v>
      </c>
      <c r="I49" s="1209" t="s">
        <v>487</v>
      </c>
      <c r="J49" s="1209"/>
      <c r="K49" s="1209"/>
      <c r="L49" s="1351">
        <v>1</v>
      </c>
      <c r="M49" s="1351">
        <v>1</v>
      </c>
      <c r="N49" s="1351">
        <v>1</v>
      </c>
      <c r="O49" s="1351">
        <v>1</v>
      </c>
      <c r="P49" s="1351">
        <v>1</v>
      </c>
      <c r="Q49" s="1351"/>
      <c r="R49" s="1351"/>
      <c r="S49" s="1392">
        <v>9</v>
      </c>
      <c r="T49" s="1392">
        <v>9</v>
      </c>
      <c r="U49" s="1392">
        <v>9</v>
      </c>
      <c r="V49" s="1392">
        <v>9</v>
      </c>
      <c r="W49" s="1392">
        <v>9</v>
      </c>
      <c r="X49" s="1392" t="s">
        <v>543</v>
      </c>
      <c r="Y49" s="1392" t="s">
        <v>555</v>
      </c>
      <c r="Z49" s="1215" t="s">
        <v>487</v>
      </c>
      <c r="AA49" s="1215" t="s">
        <v>487</v>
      </c>
      <c r="AB49" s="1215" t="s">
        <v>487</v>
      </c>
      <c r="AC49" s="1215" t="s">
        <v>487</v>
      </c>
      <c r="AD49" s="1215" t="s">
        <v>487</v>
      </c>
      <c r="AE49" s="1228"/>
      <c r="AF49" s="1209"/>
      <c r="AG49" s="1228">
        <v>6</v>
      </c>
      <c r="AH49" s="504">
        <v>185</v>
      </c>
      <c r="AI49" s="505">
        <v>37</v>
      </c>
    </row>
    <row r="50" spans="1:35" ht="21.95" customHeight="1">
      <c r="A50" s="544">
        <v>10</v>
      </c>
      <c r="B50" s="319" t="s">
        <v>673</v>
      </c>
      <c r="C50" s="1338" t="s">
        <v>532</v>
      </c>
      <c r="D50" s="1338" t="s">
        <v>533</v>
      </c>
      <c r="E50" s="1215" t="s">
        <v>487</v>
      </c>
      <c r="F50" s="1215" t="s">
        <v>487</v>
      </c>
      <c r="G50" s="1215" t="s">
        <v>487</v>
      </c>
      <c r="H50" s="1215" t="s">
        <v>487</v>
      </c>
      <c r="I50" s="1215" t="s">
        <v>487</v>
      </c>
      <c r="J50" s="1215"/>
      <c r="K50" s="1215"/>
      <c r="L50" s="1215">
        <v>4</v>
      </c>
      <c r="M50" s="1215">
        <v>4</v>
      </c>
      <c r="N50" s="1215">
        <v>4</v>
      </c>
      <c r="O50" s="1215">
        <v>4</v>
      </c>
      <c r="P50" s="1215">
        <v>4</v>
      </c>
      <c r="Q50" s="1215"/>
      <c r="R50" s="1215"/>
      <c r="S50" s="1215">
        <v>10</v>
      </c>
      <c r="T50" s="1215">
        <v>10</v>
      </c>
      <c r="U50" s="1215">
        <v>10</v>
      </c>
      <c r="V50" s="1215">
        <v>4</v>
      </c>
      <c r="W50" s="1215">
        <v>10</v>
      </c>
      <c r="X50" s="1215" t="s">
        <v>555</v>
      </c>
      <c r="Y50" s="1215" t="s">
        <v>555</v>
      </c>
      <c r="Z50" s="1215" t="s">
        <v>487</v>
      </c>
      <c r="AA50" s="1215" t="s">
        <v>487</v>
      </c>
      <c r="AB50" s="1215" t="s">
        <v>487</v>
      </c>
      <c r="AC50" s="1215" t="s">
        <v>487</v>
      </c>
      <c r="AD50" s="1215" t="s">
        <v>487</v>
      </c>
      <c r="AE50" s="1216" t="s">
        <v>660</v>
      </c>
      <c r="AF50" s="1215" t="s">
        <v>660</v>
      </c>
      <c r="AG50" s="1216">
        <v>7</v>
      </c>
      <c r="AH50" s="504">
        <v>185</v>
      </c>
      <c r="AI50" s="505">
        <v>37</v>
      </c>
    </row>
    <row r="51" spans="1:35" ht="21.95" customHeight="1" thickBot="1">
      <c r="A51" s="546">
        <v>15</v>
      </c>
      <c r="B51" s="52" t="s">
        <v>674</v>
      </c>
      <c r="C51" s="1207"/>
      <c r="D51" s="1207"/>
      <c r="E51" s="1648">
        <v>4</v>
      </c>
      <c r="F51" s="1648">
        <v>4</v>
      </c>
      <c r="G51" s="1648">
        <v>4</v>
      </c>
      <c r="H51" s="1648">
        <v>4</v>
      </c>
      <c r="I51" s="1648">
        <v>4</v>
      </c>
      <c r="J51" s="1648"/>
      <c r="K51" s="1648"/>
      <c r="L51" s="1207">
        <v>3</v>
      </c>
      <c r="M51" s="1207">
        <v>3</v>
      </c>
      <c r="N51" s="1207">
        <v>3</v>
      </c>
      <c r="O51" s="1443">
        <v>3</v>
      </c>
      <c r="P51" s="1443" t="s">
        <v>777</v>
      </c>
      <c r="Q51" s="1445"/>
      <c r="R51" s="1445"/>
      <c r="S51" s="1445">
        <v>11</v>
      </c>
      <c r="T51" s="1445">
        <v>11</v>
      </c>
      <c r="U51" s="1445">
        <v>11</v>
      </c>
      <c r="V51" s="1207">
        <v>11</v>
      </c>
      <c r="W51" s="1207">
        <v>11</v>
      </c>
      <c r="X51" s="1207" t="s">
        <v>657</v>
      </c>
      <c r="Y51" s="1207" t="s">
        <v>657</v>
      </c>
      <c r="Z51" s="1207" t="s">
        <v>487</v>
      </c>
      <c r="AA51" s="1207" t="s">
        <v>487</v>
      </c>
      <c r="AB51" s="1207" t="s">
        <v>487</v>
      </c>
      <c r="AC51" s="1207" t="s">
        <v>487</v>
      </c>
      <c r="AD51" s="1207" t="s">
        <v>487</v>
      </c>
      <c r="AE51" s="1227"/>
      <c r="AF51" s="1207"/>
      <c r="AG51" s="1227">
        <v>8</v>
      </c>
      <c r="AH51" s="504">
        <v>185</v>
      </c>
      <c r="AI51" s="505">
        <v>37</v>
      </c>
    </row>
    <row r="52" spans="1:35" ht="21.95" customHeight="1">
      <c r="A52" s="519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  <c r="T52" s="541"/>
      <c r="U52" s="541"/>
      <c r="V52" s="541"/>
      <c r="W52" s="541"/>
      <c r="X52" s="541"/>
      <c r="Y52" s="541"/>
      <c r="Z52" s="541"/>
      <c r="AA52" s="541"/>
      <c r="AB52" s="541"/>
      <c r="AC52" s="541"/>
      <c r="AD52" s="541"/>
      <c r="AE52" s="541"/>
      <c r="AF52" s="541"/>
      <c r="AG52" s="541"/>
      <c r="AH52" s="1"/>
    </row>
    <row r="53" spans="1:35" ht="21.95" customHeight="1">
      <c r="A53" s="519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1"/>
      <c r="W53" s="541"/>
      <c r="X53" s="541"/>
      <c r="Y53" s="541"/>
      <c r="Z53" s="541"/>
      <c r="AA53" s="541"/>
      <c r="AB53" s="541"/>
      <c r="AC53" s="541"/>
      <c r="AD53" s="541"/>
      <c r="AE53" s="541"/>
      <c r="AF53" s="541"/>
      <c r="AG53" s="541"/>
      <c r="AH53" s="1"/>
    </row>
    <row r="54" spans="1:35" ht="21.95" customHeight="1">
      <c r="A54" s="519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1"/>
      <c r="AA54" s="541"/>
      <c r="AB54" s="541"/>
      <c r="AC54" s="541"/>
      <c r="AD54" s="541"/>
      <c r="AE54" s="541"/>
      <c r="AF54" s="541"/>
      <c r="AG54" s="541"/>
      <c r="AH54" s="1"/>
    </row>
    <row r="55" spans="1:35" ht="21.95" customHeight="1" thickBot="1">
      <c r="A55" s="558"/>
      <c r="C55" s="559"/>
      <c r="D55" s="559"/>
      <c r="E55" s="559"/>
      <c r="F55" s="559"/>
      <c r="G55" s="559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59"/>
      <c r="AA55" s="559"/>
      <c r="AB55" s="559"/>
      <c r="AC55" s="559"/>
      <c r="AD55" s="559"/>
      <c r="AE55" s="559"/>
      <c r="AF55" s="559"/>
      <c r="AG55" s="559"/>
      <c r="AH55" s="560"/>
      <c r="AI55" s="560"/>
    </row>
    <row r="56" spans="1:35" ht="21.95" customHeight="1">
      <c r="A56" s="361"/>
      <c r="B56" s="23" t="s">
        <v>675</v>
      </c>
      <c r="C56" s="7"/>
      <c r="D56" s="414" t="s">
        <v>2</v>
      </c>
      <c r="E56" s="550"/>
      <c r="F56" s="7"/>
      <c r="G56" s="6" t="s">
        <v>3</v>
      </c>
      <c r="H56" s="551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52"/>
      <c r="R56" s="118"/>
      <c r="S56" s="6" t="s">
        <v>7</v>
      </c>
      <c r="T56" s="553"/>
      <c r="U56" s="118"/>
      <c r="V56" s="6" t="s">
        <v>8</v>
      </c>
      <c r="W56" s="552"/>
      <c r="X56" s="349" t="s">
        <v>9</v>
      </c>
      <c r="Y56" s="561"/>
      <c r="Z56" s="561"/>
      <c r="AA56" s="562"/>
      <c r="AB56" s="27" t="s">
        <v>10</v>
      </c>
      <c r="AC56" s="554"/>
      <c r="AD56" s="554"/>
      <c r="AE56" s="563"/>
      <c r="AF56" s="563"/>
      <c r="AG56" s="564"/>
    </row>
    <row r="57" spans="1:35" ht="21.95" customHeight="1">
      <c r="A57" s="361"/>
      <c r="B57" s="306" t="s">
        <v>676</v>
      </c>
      <c r="C57" s="565" t="s">
        <v>512</v>
      </c>
      <c r="D57" s="483"/>
      <c r="E57" s="484"/>
      <c r="F57" s="565" t="s">
        <v>512</v>
      </c>
      <c r="G57" s="483"/>
      <c r="H57" s="484"/>
      <c r="I57" s="565" t="s">
        <v>512</v>
      </c>
      <c r="J57" s="483"/>
      <c r="K57" s="484"/>
      <c r="L57" s="565" t="s">
        <v>512</v>
      </c>
      <c r="M57" s="483"/>
      <c r="N57" s="484"/>
      <c r="O57" s="565" t="s">
        <v>116</v>
      </c>
      <c r="P57" s="483"/>
      <c r="Q57" s="484"/>
      <c r="R57" s="565"/>
      <c r="S57" s="483"/>
      <c r="T57" s="484"/>
      <c r="U57" s="565"/>
      <c r="V57" s="483"/>
      <c r="W57" s="484"/>
      <c r="X57" s="565"/>
      <c r="Y57" s="483"/>
      <c r="Z57" s="483"/>
      <c r="AA57" s="483"/>
      <c r="AB57" s="476"/>
      <c r="AC57" s="483"/>
      <c r="AD57" s="483"/>
      <c r="AE57" s="483"/>
      <c r="AF57" s="483"/>
      <c r="AG57" s="566"/>
    </row>
    <row r="58" spans="1:35" ht="21.95" customHeight="1">
      <c r="A58" s="361"/>
      <c r="B58" s="306" t="s">
        <v>677</v>
      </c>
      <c r="C58" s="565" t="s">
        <v>147</v>
      </c>
      <c r="D58" s="483"/>
      <c r="E58" s="484"/>
      <c r="F58" s="565" t="s">
        <v>147</v>
      </c>
      <c r="G58" s="483"/>
      <c r="H58" s="484"/>
      <c r="I58" s="565" t="s">
        <v>147</v>
      </c>
      <c r="J58" s="483"/>
      <c r="K58" s="484"/>
      <c r="L58" s="565" t="s">
        <v>147</v>
      </c>
      <c r="M58" s="483"/>
      <c r="N58" s="484"/>
      <c r="O58" s="565" t="s">
        <v>578</v>
      </c>
      <c r="P58" s="483"/>
      <c r="Q58" s="484"/>
      <c r="R58" s="565"/>
      <c r="S58" s="483"/>
      <c r="T58" s="484"/>
      <c r="U58" s="565"/>
      <c r="V58" s="483"/>
      <c r="W58" s="484"/>
      <c r="X58" s="565"/>
      <c r="Y58" s="483"/>
      <c r="Z58" s="483"/>
      <c r="AA58" s="483"/>
      <c r="AB58" s="476"/>
      <c r="AC58" s="483"/>
      <c r="AD58" s="483"/>
      <c r="AE58" s="483"/>
      <c r="AF58" s="483"/>
      <c r="AG58" s="566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>
      <c r="A60" s="556" t="s">
        <v>528</v>
      </c>
      <c r="B60" s="297" t="s">
        <v>480</v>
      </c>
      <c r="C60" s="1235">
        <v>1</v>
      </c>
      <c r="D60" s="1235">
        <v>2</v>
      </c>
      <c r="E60" s="1234">
        <v>3</v>
      </c>
      <c r="F60" s="1234">
        <v>4</v>
      </c>
      <c r="G60" s="1234">
        <v>5</v>
      </c>
      <c r="H60" s="1234">
        <v>6</v>
      </c>
      <c r="I60" s="1213">
        <v>7</v>
      </c>
      <c r="J60" s="1330">
        <v>8</v>
      </c>
      <c r="K60" s="1235">
        <v>9</v>
      </c>
      <c r="L60" s="1234">
        <v>10</v>
      </c>
      <c r="M60" s="1234">
        <v>11</v>
      </c>
      <c r="N60" s="1234">
        <v>12</v>
      </c>
      <c r="O60" s="1234">
        <v>13</v>
      </c>
      <c r="P60" s="1213">
        <v>14</v>
      </c>
      <c r="Q60" s="1330">
        <v>15</v>
      </c>
      <c r="R60" s="1235">
        <v>16</v>
      </c>
      <c r="S60" s="1234">
        <v>17</v>
      </c>
      <c r="T60" s="1234">
        <v>18</v>
      </c>
      <c r="U60" s="1234">
        <v>19</v>
      </c>
      <c r="V60" s="1213">
        <v>20</v>
      </c>
      <c r="W60" s="1213">
        <v>21</v>
      </c>
      <c r="X60" s="1330">
        <v>22</v>
      </c>
      <c r="Y60" s="1235">
        <v>23</v>
      </c>
      <c r="Z60" s="1234">
        <v>24</v>
      </c>
      <c r="AA60" s="1234">
        <v>25</v>
      </c>
      <c r="AB60" s="1234">
        <v>26</v>
      </c>
      <c r="AC60" s="1234">
        <v>27</v>
      </c>
      <c r="AD60" s="1213">
        <v>28</v>
      </c>
      <c r="AE60" s="1330">
        <v>29</v>
      </c>
      <c r="AF60" s="1235">
        <v>30</v>
      </c>
      <c r="AG60" s="1234">
        <v>31</v>
      </c>
      <c r="AH60" s="498" t="s">
        <v>481</v>
      </c>
      <c r="AI60" s="499" t="s">
        <v>482</v>
      </c>
    </row>
    <row r="61" spans="1:35" ht="21.95" customHeight="1">
      <c r="A61" s="186">
        <v>8520</v>
      </c>
      <c r="B61" s="186" t="s">
        <v>678</v>
      </c>
      <c r="C61" s="1215"/>
      <c r="D61" s="1215"/>
      <c r="E61" s="1215" t="s">
        <v>679</v>
      </c>
      <c r="F61" s="1215" t="s">
        <v>679</v>
      </c>
      <c r="G61" s="1215" t="s">
        <v>679</v>
      </c>
      <c r="H61" s="1215" t="s">
        <v>679</v>
      </c>
      <c r="I61" s="1215" t="s">
        <v>679</v>
      </c>
      <c r="J61" s="1215"/>
      <c r="K61" s="1215"/>
      <c r="L61" s="1338" t="s">
        <v>679</v>
      </c>
      <c r="M61" s="1338" t="s">
        <v>679</v>
      </c>
      <c r="N61" s="1338" t="s">
        <v>679</v>
      </c>
      <c r="O61" s="1344" t="s">
        <v>679</v>
      </c>
      <c r="P61" s="1344" t="s">
        <v>679</v>
      </c>
      <c r="Q61" s="1344"/>
      <c r="R61" s="1344"/>
      <c r="S61" s="1215" t="s">
        <v>679</v>
      </c>
      <c r="T61" s="1215" t="s">
        <v>679</v>
      </c>
      <c r="U61" s="1215" t="s">
        <v>679</v>
      </c>
      <c r="V61" s="1215" t="s">
        <v>679</v>
      </c>
      <c r="W61" s="1215" t="s">
        <v>679</v>
      </c>
      <c r="X61" s="1215"/>
      <c r="Y61" s="1215"/>
      <c r="Z61" s="1215" t="s">
        <v>679</v>
      </c>
      <c r="AA61" s="1215" t="s">
        <v>679</v>
      </c>
      <c r="AB61" s="1215" t="s">
        <v>679</v>
      </c>
      <c r="AC61" s="1215" t="s">
        <v>679</v>
      </c>
      <c r="AD61" s="1215" t="s">
        <v>679</v>
      </c>
      <c r="AE61" s="1215"/>
      <c r="AF61" s="1215"/>
      <c r="AG61" s="1215" t="s">
        <v>679</v>
      </c>
      <c r="AH61" s="504">
        <v>7.15</v>
      </c>
      <c r="AI61" s="505">
        <v>15.5</v>
      </c>
    </row>
    <row r="62" spans="1:35" ht="21.95" customHeight="1">
      <c r="A62" s="186">
        <v>8521</v>
      </c>
      <c r="B62" s="186"/>
      <c r="C62" s="1215"/>
      <c r="D62" s="1215"/>
      <c r="E62" s="1215" t="s">
        <v>550</v>
      </c>
      <c r="F62" s="1215" t="s">
        <v>550</v>
      </c>
      <c r="G62" s="1215" t="s">
        <v>550</v>
      </c>
      <c r="H62" s="1215" t="s">
        <v>550</v>
      </c>
      <c r="I62" s="1215" t="s">
        <v>550</v>
      </c>
      <c r="J62" s="1215"/>
      <c r="K62" s="1215"/>
      <c r="L62" s="1215" t="s">
        <v>550</v>
      </c>
      <c r="M62" s="1215" t="s">
        <v>550</v>
      </c>
      <c r="N62" s="1215" t="s">
        <v>550</v>
      </c>
      <c r="O62" s="1215" t="s">
        <v>550</v>
      </c>
      <c r="P62" s="1215" t="s">
        <v>550</v>
      </c>
      <c r="Q62" s="1215"/>
      <c r="R62" s="1215"/>
      <c r="S62" s="1215" t="s">
        <v>550</v>
      </c>
      <c r="T62" s="1215" t="s">
        <v>550</v>
      </c>
      <c r="U62" s="1215" t="s">
        <v>550</v>
      </c>
      <c r="V62" s="1215" t="s">
        <v>550</v>
      </c>
      <c r="W62" s="1215" t="s">
        <v>550</v>
      </c>
      <c r="X62" s="1215"/>
      <c r="Y62" s="1215"/>
      <c r="Z62" s="1215" t="s">
        <v>550</v>
      </c>
      <c r="AA62" s="1215" t="s">
        <v>550</v>
      </c>
      <c r="AB62" s="1215" t="s">
        <v>550</v>
      </c>
      <c r="AC62" s="1215" t="s">
        <v>550</v>
      </c>
      <c r="AD62" s="1215" t="s">
        <v>550</v>
      </c>
      <c r="AE62" s="1215"/>
      <c r="AF62" s="1215"/>
      <c r="AG62" s="1215" t="s">
        <v>550</v>
      </c>
      <c r="AH62" s="504">
        <v>185</v>
      </c>
      <c r="AI62" s="505">
        <v>37</v>
      </c>
    </row>
    <row r="63" spans="1:35" ht="21.95" customHeight="1">
      <c r="A63" s="361"/>
      <c r="B63" s="361"/>
      <c r="C63" s="541"/>
      <c r="D63" s="520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520"/>
      <c r="AE63" s="520"/>
      <c r="AF63" s="520"/>
      <c r="AG63" s="520"/>
      <c r="AH63" s="560"/>
      <c r="AI63" s="560"/>
    </row>
    <row r="64" spans="1:35" ht="21.95" customHeight="1">
      <c r="A64" s="361"/>
      <c r="B64" s="361"/>
      <c r="C64" s="541"/>
      <c r="D64" s="520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520"/>
      <c r="AE64" s="520"/>
      <c r="AF64" s="520"/>
      <c r="AG64" s="520"/>
      <c r="AH64" s="560"/>
      <c r="AI64" s="560"/>
    </row>
    <row r="65" spans="1:35" ht="21.95" customHeight="1">
      <c r="A65" s="361"/>
      <c r="B65" s="361"/>
      <c r="C65" s="541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60"/>
      <c r="AI65" s="560"/>
    </row>
    <row r="66" spans="1:35" ht="21.95" customHeight="1" thickBot="1">
      <c r="A66" s="1" t="s">
        <v>468</v>
      </c>
      <c r="D66" s="361"/>
      <c r="E66" s="361"/>
      <c r="F66" s="361"/>
      <c r="G66" s="549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726</v>
      </c>
      <c r="C67" s="7"/>
      <c r="D67" s="525" t="s">
        <v>2</v>
      </c>
      <c r="E67" s="51"/>
      <c r="F67" s="551"/>
      <c r="G67" s="7"/>
      <c r="H67" s="525" t="s">
        <v>3</v>
      </c>
      <c r="I67" s="51"/>
      <c r="J67" s="551"/>
      <c r="K67" s="7"/>
      <c r="L67" s="525" t="s">
        <v>4</v>
      </c>
      <c r="M67" s="51"/>
      <c r="N67" s="551"/>
      <c r="O67" s="7"/>
      <c r="P67" s="525" t="s">
        <v>5</v>
      </c>
      <c r="Q67" s="51"/>
      <c r="R67" s="551"/>
      <c r="S67" s="7"/>
      <c r="T67" s="525" t="s">
        <v>6</v>
      </c>
      <c r="U67" s="51"/>
      <c r="V67" s="551"/>
      <c r="W67" s="27"/>
      <c r="X67" s="898" t="s">
        <v>7</v>
      </c>
      <c r="Y67" s="522"/>
      <c r="Z67" s="238"/>
      <c r="AA67" s="7"/>
      <c r="AB67" s="525" t="s">
        <v>8</v>
      </c>
      <c r="AC67" s="51"/>
      <c r="AD67" s="51"/>
      <c r="AE67" s="349" t="s">
        <v>9</v>
      </c>
      <c r="AF67" s="51"/>
      <c r="AG67" s="51"/>
      <c r="AH67" s="51"/>
      <c r="AI67" s="526"/>
    </row>
    <row r="68" spans="1:35" ht="21.95" customHeight="1">
      <c r="A68" s="1"/>
      <c r="B68" s="129" t="s">
        <v>164</v>
      </c>
      <c r="C68" s="567" t="s">
        <v>740</v>
      </c>
      <c r="E68" s="157"/>
      <c r="F68" s="568"/>
      <c r="G68" s="567" t="s">
        <v>740</v>
      </c>
      <c r="H68" s="157"/>
      <c r="I68" s="157"/>
      <c r="J68" s="568"/>
      <c r="K68" s="567" t="s">
        <v>740</v>
      </c>
      <c r="L68" s="157"/>
      <c r="M68" s="157"/>
      <c r="N68" s="568"/>
      <c r="O68" s="567" t="s">
        <v>740</v>
      </c>
      <c r="P68" s="157"/>
      <c r="Q68" s="157"/>
      <c r="R68" s="568"/>
      <c r="S68" s="567" t="s">
        <v>741</v>
      </c>
      <c r="T68" s="157"/>
      <c r="U68" s="157"/>
      <c r="V68" s="569"/>
      <c r="W68" s="899"/>
      <c r="X68" s="900"/>
      <c r="Y68" s="900"/>
      <c r="Z68" s="901"/>
      <c r="AA68" s="569"/>
      <c r="AB68" s="157"/>
      <c r="AC68" s="157"/>
      <c r="AD68" s="569"/>
      <c r="AE68" s="121">
        <v>37</v>
      </c>
      <c r="AG68" s="157"/>
      <c r="AH68" s="569"/>
      <c r="AI68" s="490"/>
    </row>
    <row r="69" spans="1:35" ht="21.95" customHeight="1">
      <c r="A69" s="1"/>
      <c r="B69" s="129" t="s">
        <v>167</v>
      </c>
      <c r="C69" s="567" t="s">
        <v>474</v>
      </c>
      <c r="D69" s="157"/>
      <c r="E69" s="157"/>
      <c r="F69" s="568"/>
      <c r="G69" s="567" t="s">
        <v>474</v>
      </c>
      <c r="H69" s="157"/>
      <c r="I69" s="157"/>
      <c r="J69" s="568"/>
      <c r="K69" s="567" t="s">
        <v>474</v>
      </c>
      <c r="L69" s="157"/>
      <c r="M69" s="157"/>
      <c r="N69" s="568"/>
      <c r="O69" s="567" t="s">
        <v>475</v>
      </c>
      <c r="P69" s="157"/>
      <c r="Q69" s="157"/>
      <c r="R69" s="568"/>
      <c r="S69" s="567" t="s">
        <v>477</v>
      </c>
      <c r="T69" s="157"/>
      <c r="U69" s="157"/>
      <c r="V69" s="568"/>
      <c r="W69" s="610" t="s">
        <v>818</v>
      </c>
      <c r="X69" s="55"/>
      <c r="Y69" s="55"/>
      <c r="Z69" s="55"/>
      <c r="AA69" s="567" t="s">
        <v>479</v>
      </c>
      <c r="AB69" s="567"/>
      <c r="AC69" s="567"/>
      <c r="AD69" s="567"/>
      <c r="AE69" s="155">
        <v>68.25</v>
      </c>
      <c r="AF69" s="157"/>
      <c r="AG69" s="571"/>
      <c r="AH69" s="572"/>
      <c r="AI69" s="573"/>
    </row>
    <row r="70" spans="1:35" ht="21.95" customHeight="1">
      <c r="A70" s="1"/>
      <c r="B70" s="129" t="s">
        <v>170</v>
      </c>
      <c r="C70" s="897" t="s">
        <v>162</v>
      </c>
      <c r="D70" s="157"/>
      <c r="E70" s="157"/>
      <c r="F70" s="568"/>
      <c r="G70" s="157" t="s">
        <v>162</v>
      </c>
      <c r="H70" s="157"/>
      <c r="I70" s="157"/>
      <c r="J70" s="568"/>
      <c r="K70" s="157" t="s">
        <v>162</v>
      </c>
      <c r="L70" s="157"/>
      <c r="M70" s="157"/>
      <c r="N70" s="568"/>
      <c r="O70" s="157" t="s">
        <v>162</v>
      </c>
      <c r="P70" s="157"/>
      <c r="Q70" s="157"/>
      <c r="R70" s="568"/>
      <c r="S70" s="157" t="s">
        <v>162</v>
      </c>
      <c r="T70" s="157"/>
      <c r="U70" s="157"/>
      <c r="V70" s="568"/>
      <c r="W70" s="567"/>
      <c r="X70" s="157"/>
      <c r="Y70" s="157"/>
      <c r="Z70" s="568"/>
      <c r="AA70" s="567"/>
      <c r="AB70" s="157"/>
      <c r="AC70" s="157"/>
      <c r="AD70" s="569"/>
      <c r="AE70" s="570">
        <v>0</v>
      </c>
      <c r="AF70" s="571"/>
      <c r="AG70" s="157"/>
      <c r="AH70" s="569"/>
      <c r="AI70" s="490"/>
    </row>
    <row r="71" spans="1:35" ht="21.95" customHeight="1" thickBot="1">
      <c r="A71" s="1"/>
      <c r="B71" s="47"/>
      <c r="C71" s="574"/>
      <c r="D71" s="53"/>
      <c r="E71" s="53"/>
      <c r="F71" s="575"/>
      <c r="G71" s="574"/>
      <c r="H71" s="53"/>
      <c r="I71" s="53"/>
      <c r="J71" s="575"/>
      <c r="K71" s="574"/>
      <c r="L71" s="53"/>
      <c r="M71" s="53"/>
      <c r="N71" s="575"/>
      <c r="O71" s="574"/>
      <c r="P71" s="53"/>
      <c r="Q71" s="53"/>
      <c r="R71" s="575"/>
      <c r="S71" s="574"/>
      <c r="T71" s="53"/>
      <c r="U71" s="53"/>
      <c r="V71" s="575"/>
      <c r="W71" s="53"/>
      <c r="X71" s="53"/>
      <c r="Y71" s="53"/>
      <c r="Z71" s="53"/>
      <c r="AA71" s="53"/>
      <c r="AB71" s="53"/>
      <c r="AC71" s="53"/>
      <c r="AD71" s="53"/>
      <c r="AE71" s="576"/>
      <c r="AF71" s="53"/>
      <c r="AG71" s="53"/>
      <c r="AH71" s="577"/>
      <c r="AI71" s="539"/>
    </row>
    <row r="72" spans="1:35" ht="21.95" customHeight="1" thickBot="1">
      <c r="A72" s="578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>
      <c r="A73" s="556"/>
      <c r="B73" s="297" t="s">
        <v>480</v>
      </c>
      <c r="C73" s="1235">
        <v>1</v>
      </c>
      <c r="D73" s="1235">
        <v>2</v>
      </c>
      <c r="E73" s="1234">
        <v>3</v>
      </c>
      <c r="F73" s="1234">
        <v>4</v>
      </c>
      <c r="G73" s="1234">
        <v>5</v>
      </c>
      <c r="H73" s="1234">
        <v>6</v>
      </c>
      <c r="I73" s="1213">
        <v>7</v>
      </c>
      <c r="J73" s="1330">
        <v>8</v>
      </c>
      <c r="K73" s="1235">
        <v>9</v>
      </c>
      <c r="L73" s="1234">
        <v>10</v>
      </c>
      <c r="M73" s="1234">
        <v>11</v>
      </c>
      <c r="N73" s="1234">
        <v>12</v>
      </c>
      <c r="O73" s="1234">
        <v>13</v>
      </c>
      <c r="P73" s="1213">
        <v>14</v>
      </c>
      <c r="Q73" s="1330">
        <v>15</v>
      </c>
      <c r="R73" s="1235">
        <v>16</v>
      </c>
      <c r="S73" s="1234">
        <v>17</v>
      </c>
      <c r="T73" s="1234">
        <v>18</v>
      </c>
      <c r="U73" s="1234">
        <v>19</v>
      </c>
      <c r="V73" s="1213">
        <v>20</v>
      </c>
      <c r="W73" s="1213">
        <v>21</v>
      </c>
      <c r="X73" s="1330">
        <v>22</v>
      </c>
      <c r="Y73" s="1235">
        <v>23</v>
      </c>
      <c r="Z73" s="1234">
        <v>24</v>
      </c>
      <c r="AA73" s="1234">
        <v>25</v>
      </c>
      <c r="AB73" s="1234">
        <v>26</v>
      </c>
      <c r="AC73" s="1234">
        <v>27</v>
      </c>
      <c r="AD73" s="1213">
        <v>28</v>
      </c>
      <c r="AE73" s="1330">
        <v>29</v>
      </c>
      <c r="AF73" s="1235">
        <v>30</v>
      </c>
      <c r="AG73" s="1234">
        <v>31</v>
      </c>
      <c r="AH73" s="498" t="s">
        <v>481</v>
      </c>
      <c r="AI73" s="499" t="s">
        <v>482</v>
      </c>
    </row>
    <row r="74" spans="1:35" ht="21.95" customHeight="1" thickBot="1">
      <c r="A74" s="579">
        <v>1</v>
      </c>
      <c r="B74" s="153" t="s">
        <v>483</v>
      </c>
      <c r="C74" s="557"/>
      <c r="D74" s="557"/>
      <c r="E74" s="1387" t="s">
        <v>682</v>
      </c>
      <c r="F74" s="1387" t="s">
        <v>682</v>
      </c>
      <c r="G74" s="1387" t="s">
        <v>682</v>
      </c>
      <c r="H74" s="1387" t="s">
        <v>682</v>
      </c>
      <c r="I74" s="1387" t="s">
        <v>682</v>
      </c>
      <c r="J74" s="557"/>
      <c r="K74" s="1208"/>
      <c r="L74" s="1208" t="s">
        <v>484</v>
      </c>
      <c r="M74" s="557" t="s">
        <v>484</v>
      </c>
      <c r="N74" s="557" t="s">
        <v>484</v>
      </c>
      <c r="O74" s="557" t="s">
        <v>485</v>
      </c>
      <c r="P74" s="557" t="s">
        <v>485</v>
      </c>
      <c r="Q74" s="557" t="s">
        <v>486</v>
      </c>
      <c r="R74" s="1368" t="s">
        <v>486</v>
      </c>
      <c r="S74" s="557" t="s">
        <v>487</v>
      </c>
      <c r="T74" s="557" t="s">
        <v>487</v>
      </c>
      <c r="U74" s="557" t="s">
        <v>487</v>
      </c>
      <c r="V74" s="1215" t="s">
        <v>514</v>
      </c>
      <c r="W74" s="557" t="s">
        <v>487</v>
      </c>
      <c r="X74" s="557"/>
      <c r="Y74" s="557"/>
      <c r="Z74" s="557" t="s">
        <v>682</v>
      </c>
      <c r="AA74" s="557" t="s">
        <v>682</v>
      </c>
      <c r="AB74" s="557" t="s">
        <v>682</v>
      </c>
      <c r="AC74" s="557" t="s">
        <v>682</v>
      </c>
      <c r="AD74" s="557" t="s">
        <v>682</v>
      </c>
      <c r="AE74" s="557"/>
      <c r="AF74" s="557"/>
      <c r="AG74" s="557" t="s">
        <v>484</v>
      </c>
      <c r="AH74" s="504">
        <v>185</v>
      </c>
      <c r="AI74" s="505">
        <v>37</v>
      </c>
    </row>
    <row r="75" spans="1:35" ht="21.95" customHeight="1">
      <c r="A75" s="579">
        <v>2</v>
      </c>
      <c r="B75" s="45" t="s">
        <v>489</v>
      </c>
      <c r="C75" s="557"/>
      <c r="D75" s="557"/>
      <c r="E75" s="1511" t="s">
        <v>484</v>
      </c>
      <c r="F75" s="557" t="s">
        <v>484</v>
      </c>
      <c r="G75" s="557" t="s">
        <v>484</v>
      </c>
      <c r="H75" s="557" t="s">
        <v>485</v>
      </c>
      <c r="I75" s="557" t="s">
        <v>485</v>
      </c>
      <c r="J75" s="1368" t="s">
        <v>486</v>
      </c>
      <c r="K75" s="1368" t="s">
        <v>486</v>
      </c>
      <c r="L75" s="1511" t="s">
        <v>487</v>
      </c>
      <c r="M75" s="557" t="s">
        <v>487</v>
      </c>
      <c r="N75" s="557" t="s">
        <v>487</v>
      </c>
      <c r="O75" s="557" t="s">
        <v>487</v>
      </c>
      <c r="P75" s="557" t="s">
        <v>487</v>
      </c>
      <c r="Q75" s="557"/>
      <c r="R75" s="557"/>
      <c r="S75" s="1511" t="s">
        <v>682</v>
      </c>
      <c r="T75" s="557" t="s">
        <v>682</v>
      </c>
      <c r="U75" s="557" t="s">
        <v>685</v>
      </c>
      <c r="V75" s="1344">
        <v>1</v>
      </c>
      <c r="W75" s="557" t="s">
        <v>685</v>
      </c>
      <c r="X75" s="557"/>
      <c r="Y75" s="557"/>
      <c r="Z75" s="1511" t="s">
        <v>484</v>
      </c>
      <c r="AA75" s="557" t="s">
        <v>484</v>
      </c>
      <c r="AB75" s="557" t="s">
        <v>484</v>
      </c>
      <c r="AC75" s="1673" t="s">
        <v>485</v>
      </c>
      <c r="AD75" s="1673" t="s">
        <v>485</v>
      </c>
      <c r="AE75" s="557" t="s">
        <v>486</v>
      </c>
      <c r="AF75" s="557" t="s">
        <v>486</v>
      </c>
      <c r="AG75" s="1511" t="s">
        <v>487</v>
      </c>
      <c r="AH75" s="504">
        <v>185</v>
      </c>
      <c r="AI75" s="505">
        <v>37</v>
      </c>
    </row>
    <row r="76" spans="1:35" ht="21.95" customHeight="1">
      <c r="A76" s="579">
        <v>3</v>
      </c>
      <c r="B76" s="545" t="s">
        <v>721</v>
      </c>
      <c r="C76" s="557" t="s">
        <v>486</v>
      </c>
      <c r="D76" s="557" t="s">
        <v>486</v>
      </c>
      <c r="E76" s="557" t="s">
        <v>487</v>
      </c>
      <c r="F76" s="557" t="s">
        <v>487</v>
      </c>
      <c r="G76" s="557" t="s">
        <v>487</v>
      </c>
      <c r="H76" s="557" t="s">
        <v>487</v>
      </c>
      <c r="I76" s="557" t="s">
        <v>487</v>
      </c>
      <c r="J76" s="557"/>
      <c r="K76" s="557"/>
      <c r="L76" s="557" t="s">
        <v>682</v>
      </c>
      <c r="M76" s="557" t="s">
        <v>682</v>
      </c>
      <c r="N76" s="557" t="s">
        <v>682</v>
      </c>
      <c r="O76" s="557" t="s">
        <v>682</v>
      </c>
      <c r="P76" s="557" t="s">
        <v>682</v>
      </c>
      <c r="Q76" s="557"/>
      <c r="R76" s="557"/>
      <c r="S76" s="557" t="s">
        <v>484</v>
      </c>
      <c r="T76" s="557" t="s">
        <v>484</v>
      </c>
      <c r="U76" s="557" t="s">
        <v>484</v>
      </c>
      <c r="V76" s="557" t="s">
        <v>485</v>
      </c>
      <c r="W76" s="557" t="s">
        <v>485</v>
      </c>
      <c r="X76" s="557" t="s">
        <v>486</v>
      </c>
      <c r="Y76" s="557" t="s">
        <v>486</v>
      </c>
      <c r="Z76" s="557" t="s">
        <v>487</v>
      </c>
      <c r="AA76" s="557" t="s">
        <v>487</v>
      </c>
      <c r="AB76" s="557" t="s">
        <v>487</v>
      </c>
      <c r="AC76" s="557" t="s">
        <v>487</v>
      </c>
      <c r="AD76" s="557" t="s">
        <v>487</v>
      </c>
      <c r="AE76" s="557"/>
      <c r="AF76" s="557"/>
      <c r="AG76" s="557" t="s">
        <v>682</v>
      </c>
      <c r="AH76" s="504">
        <v>185</v>
      </c>
      <c r="AI76" s="505">
        <v>37</v>
      </c>
    </row>
    <row r="77" spans="1:35" ht="21" customHeight="1"/>
    <row r="78" spans="1:35" ht="21.95" customHeight="1" thickBot="1">
      <c r="A78" s="312" t="s">
        <v>491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  <c r="O78" s="559"/>
      <c r="P78" s="559"/>
      <c r="Q78" s="559"/>
      <c r="R78" s="559"/>
      <c r="S78" s="559"/>
      <c r="T78" s="559"/>
      <c r="U78" s="559"/>
      <c r="V78" s="559"/>
      <c r="W78" s="559"/>
      <c r="X78" s="559"/>
      <c r="Y78" s="559"/>
      <c r="Z78" s="559"/>
      <c r="AA78" s="559"/>
      <c r="AB78" s="559"/>
      <c r="AC78" s="559"/>
      <c r="AD78" s="559"/>
      <c r="AE78" s="559"/>
      <c r="AF78" s="559"/>
      <c r="AH78" s="560"/>
      <c r="AI78" s="560"/>
    </row>
    <row r="79" spans="1:35" ht="21.95" customHeight="1">
      <c r="A79" s="580"/>
      <c r="B79" s="23" t="s">
        <v>726</v>
      </c>
      <c r="C79" s="7"/>
      <c r="D79" s="525" t="s">
        <v>2</v>
      </c>
      <c r="E79" s="51"/>
      <c r="F79" s="551"/>
      <c r="G79" s="7"/>
      <c r="H79" s="525" t="s">
        <v>3</v>
      </c>
      <c r="I79" s="51"/>
      <c r="J79" s="551"/>
      <c r="K79" s="7"/>
      <c r="L79" s="525" t="s">
        <v>4</v>
      </c>
      <c r="M79" s="51"/>
      <c r="N79" s="551"/>
      <c r="O79" s="7"/>
      <c r="P79" s="525" t="s">
        <v>5</v>
      </c>
      <c r="Q79" s="51"/>
      <c r="R79" s="551"/>
      <c r="S79" s="7"/>
      <c r="T79" s="525" t="s">
        <v>6</v>
      </c>
      <c r="U79" s="51"/>
      <c r="V79" s="551"/>
      <c r="W79" s="27"/>
      <c r="X79" s="898" t="s">
        <v>7</v>
      </c>
      <c r="Y79" s="522"/>
      <c r="Z79" s="238"/>
      <c r="AA79" s="7"/>
      <c r="AB79" s="525" t="s">
        <v>8</v>
      </c>
      <c r="AC79" s="51"/>
      <c r="AD79" s="51"/>
      <c r="AE79" s="349" t="s">
        <v>9</v>
      </c>
      <c r="AF79" s="51"/>
      <c r="AG79" s="51"/>
      <c r="AH79" s="51"/>
      <c r="AI79" s="526"/>
    </row>
    <row r="80" spans="1:35" ht="21.95" customHeight="1">
      <c r="B80" s="129" t="s">
        <v>164</v>
      </c>
      <c r="C80" s="593" t="s">
        <v>492</v>
      </c>
      <c r="E80" s="157"/>
      <c r="F80" s="568"/>
      <c r="G80" s="567" t="s">
        <v>488</v>
      </c>
      <c r="H80" s="483" t="s">
        <v>493</v>
      </c>
      <c r="I80" s="157"/>
      <c r="J80" s="568"/>
      <c r="K80" s="593" t="s">
        <v>492</v>
      </c>
      <c r="L80" s="483"/>
      <c r="M80" s="483"/>
      <c r="N80" s="592"/>
      <c r="O80" s="593" t="s">
        <v>494</v>
      </c>
      <c r="P80" s="483"/>
      <c r="Q80" s="483"/>
      <c r="R80" s="592"/>
      <c r="S80" s="593" t="s">
        <v>495</v>
      </c>
      <c r="T80" s="483"/>
      <c r="U80" s="483"/>
      <c r="V80" s="477"/>
      <c r="W80" s="899"/>
      <c r="X80" s="900"/>
      <c r="Y80" s="900"/>
      <c r="Z80" s="901"/>
      <c r="AA80" s="569"/>
      <c r="AB80" s="157"/>
      <c r="AC80" s="157"/>
      <c r="AD80" s="569"/>
      <c r="AE80" s="121">
        <v>37</v>
      </c>
      <c r="AG80" s="157"/>
      <c r="AH80" s="569"/>
      <c r="AI80" s="490"/>
    </row>
    <row r="81" spans="1:35" ht="21.95" customHeight="1">
      <c r="B81" s="129" t="s">
        <v>167</v>
      </c>
      <c r="C81" s="593" t="s">
        <v>496</v>
      </c>
      <c r="E81" s="157"/>
      <c r="F81" s="568"/>
      <c r="G81" s="593" t="s">
        <v>496</v>
      </c>
      <c r="I81" s="157"/>
      <c r="J81" s="568"/>
      <c r="K81" s="593" t="s">
        <v>496</v>
      </c>
      <c r="L81" s="157"/>
      <c r="M81" s="157"/>
      <c r="N81" s="568"/>
      <c r="O81" s="593" t="s">
        <v>497</v>
      </c>
      <c r="P81" s="157"/>
      <c r="Q81" s="157"/>
      <c r="R81" s="568"/>
      <c r="S81" s="567" t="s">
        <v>498</v>
      </c>
      <c r="T81" s="157"/>
      <c r="U81" s="157"/>
      <c r="V81" s="568"/>
      <c r="W81" s="610" t="s">
        <v>414</v>
      </c>
      <c r="X81" s="55"/>
      <c r="Y81" s="55"/>
      <c r="Z81" s="55"/>
      <c r="AA81" s="567" t="s">
        <v>28</v>
      </c>
      <c r="AB81" s="567"/>
      <c r="AC81" s="567"/>
      <c r="AD81" s="567"/>
      <c r="AE81" s="155">
        <v>37</v>
      </c>
      <c r="AF81" s="157"/>
      <c r="AG81" s="571"/>
      <c r="AH81" s="572"/>
      <c r="AI81" s="573"/>
    </row>
    <row r="82" spans="1:35" ht="21.95" customHeight="1">
      <c r="B82" s="129" t="s">
        <v>170</v>
      </c>
      <c r="C82" s="1336" t="s">
        <v>499</v>
      </c>
      <c r="D82" s="157"/>
      <c r="E82" s="157"/>
      <c r="F82" s="568"/>
      <c r="G82" s="157" t="s">
        <v>500</v>
      </c>
      <c r="H82" s="157"/>
      <c r="I82" s="157"/>
      <c r="J82" s="568"/>
      <c r="K82" s="1337" t="s">
        <v>501</v>
      </c>
      <c r="L82" s="157"/>
      <c r="M82" s="157"/>
      <c r="N82" s="568"/>
      <c r="O82" s="581" t="s">
        <v>819</v>
      </c>
      <c r="P82" s="157"/>
      <c r="Q82" s="157"/>
      <c r="R82" s="568"/>
      <c r="S82" s="581" t="s">
        <v>819</v>
      </c>
      <c r="T82" s="157"/>
      <c r="U82" s="157"/>
      <c r="V82" s="568"/>
      <c r="W82" s="567"/>
      <c r="X82" s="157"/>
      <c r="Y82" s="157"/>
      <c r="Z82" s="568"/>
      <c r="AA82" s="567"/>
      <c r="AB82" s="157"/>
      <c r="AC82" s="157"/>
      <c r="AD82" s="569"/>
      <c r="AE82" s="570">
        <v>36</v>
      </c>
      <c r="AF82" s="571"/>
      <c r="AG82" s="157"/>
      <c r="AH82" s="569"/>
      <c r="AI82" s="490"/>
    </row>
    <row r="83" spans="1:35" ht="21.95" customHeight="1" thickBot="1">
      <c r="B83" s="47"/>
      <c r="C83" s="574"/>
      <c r="D83" s="53"/>
      <c r="E83" s="53"/>
      <c r="F83" s="575"/>
      <c r="G83" s="574"/>
      <c r="H83" s="53"/>
      <c r="I83" s="53"/>
      <c r="J83" s="575"/>
      <c r="K83" s="574"/>
      <c r="L83" s="53"/>
      <c r="M83" s="53"/>
      <c r="N83" s="575"/>
      <c r="O83" s="574"/>
      <c r="P83" s="53"/>
      <c r="Q83" s="53"/>
      <c r="R83" s="575"/>
      <c r="S83" s="574"/>
      <c r="T83" s="53"/>
      <c r="U83" s="53"/>
      <c r="V83" s="575"/>
      <c r="W83" s="53"/>
      <c r="X83" s="53"/>
      <c r="Y83" s="53"/>
      <c r="Z83" s="53"/>
      <c r="AA83" s="53"/>
      <c r="AB83" s="53"/>
      <c r="AC83" s="53"/>
      <c r="AD83" s="53"/>
      <c r="AE83" s="576"/>
      <c r="AF83" s="53"/>
      <c r="AG83" s="53"/>
      <c r="AH83" s="577"/>
      <c r="AI83" s="539"/>
    </row>
    <row r="84" spans="1:35" ht="21.95" customHeight="1" thickBot="1"/>
    <row r="85" spans="1:35" ht="21.95" customHeight="1">
      <c r="A85" s="556"/>
      <c r="B85" s="297" t="s">
        <v>480</v>
      </c>
      <c r="C85" s="1235">
        <v>1</v>
      </c>
      <c r="D85" s="1235">
        <v>2</v>
      </c>
      <c r="E85" s="1234">
        <v>3</v>
      </c>
      <c r="F85" s="1234">
        <v>4</v>
      </c>
      <c r="G85" s="1234">
        <v>5</v>
      </c>
      <c r="H85" s="1234">
        <v>6</v>
      </c>
      <c r="I85" s="1213">
        <v>7</v>
      </c>
      <c r="J85" s="1330">
        <v>8</v>
      </c>
      <c r="K85" s="1235">
        <v>9</v>
      </c>
      <c r="L85" s="1234">
        <v>10</v>
      </c>
      <c r="M85" s="1234">
        <v>11</v>
      </c>
      <c r="N85" s="1234">
        <v>12</v>
      </c>
      <c r="O85" s="1234">
        <v>13</v>
      </c>
      <c r="P85" s="1213">
        <v>14</v>
      </c>
      <c r="Q85" s="1330">
        <v>15</v>
      </c>
      <c r="R85" s="1235">
        <v>16</v>
      </c>
      <c r="S85" s="1234">
        <v>17</v>
      </c>
      <c r="T85" s="1234">
        <v>18</v>
      </c>
      <c r="U85" s="1234">
        <v>19</v>
      </c>
      <c r="V85" s="1213">
        <v>20</v>
      </c>
      <c r="W85" s="1213">
        <v>21</v>
      </c>
      <c r="X85" s="1330">
        <v>22</v>
      </c>
      <c r="Y85" s="1235">
        <v>23</v>
      </c>
      <c r="Z85" s="1234">
        <v>24</v>
      </c>
      <c r="AA85" s="1234">
        <v>25</v>
      </c>
      <c r="AB85" s="1234">
        <v>26</v>
      </c>
      <c r="AC85" s="1234">
        <v>27</v>
      </c>
      <c r="AD85" s="1213">
        <v>28</v>
      </c>
      <c r="AE85" s="1330">
        <v>29</v>
      </c>
      <c r="AF85" s="1235">
        <v>30</v>
      </c>
      <c r="AG85" s="1234">
        <v>31</v>
      </c>
      <c r="AH85" s="498" t="s">
        <v>481</v>
      </c>
      <c r="AI85" s="499" t="s">
        <v>482</v>
      </c>
    </row>
    <row r="86" spans="1:35" ht="21.95" customHeight="1">
      <c r="A86" s="579">
        <v>1</v>
      </c>
      <c r="B86" s="153" t="s">
        <v>508</v>
      </c>
      <c r="C86" s="557"/>
      <c r="D86" s="1344"/>
      <c r="E86" s="1365" t="s">
        <v>488</v>
      </c>
      <c r="F86" s="1365" t="s">
        <v>488</v>
      </c>
      <c r="G86" s="1365" t="s">
        <v>488</v>
      </c>
      <c r="H86" s="1365" t="s">
        <v>488</v>
      </c>
      <c r="I86" s="1365" t="s">
        <v>488</v>
      </c>
      <c r="J86" s="1365"/>
      <c r="K86" s="1365"/>
      <c r="L86" s="557" t="s">
        <v>506</v>
      </c>
      <c r="M86" s="557" t="s">
        <v>506</v>
      </c>
      <c r="N86" s="557" t="s">
        <v>506</v>
      </c>
      <c r="O86" s="557" t="s">
        <v>506</v>
      </c>
      <c r="P86" s="557" t="s">
        <v>506</v>
      </c>
      <c r="Q86" s="557"/>
      <c r="R86" s="557"/>
      <c r="S86" s="557" t="s">
        <v>485</v>
      </c>
      <c r="T86" s="557" t="s">
        <v>485</v>
      </c>
      <c r="U86" s="557" t="s">
        <v>485</v>
      </c>
      <c r="V86" s="557" t="s">
        <v>484</v>
      </c>
      <c r="W86" s="557" t="s">
        <v>484</v>
      </c>
      <c r="X86" s="557"/>
      <c r="Y86" s="557"/>
      <c r="Z86" s="557" t="s">
        <v>488</v>
      </c>
      <c r="AA86" s="557" t="s">
        <v>488</v>
      </c>
      <c r="AB86" s="557" t="s">
        <v>488</v>
      </c>
      <c r="AC86" s="557" t="s">
        <v>488</v>
      </c>
      <c r="AD86" s="557" t="s">
        <v>488</v>
      </c>
      <c r="AE86" s="557"/>
      <c r="AF86" s="557"/>
      <c r="AG86" s="557" t="s">
        <v>506</v>
      </c>
      <c r="AH86" s="504" t="s">
        <v>28</v>
      </c>
      <c r="AI86" s="505" t="s">
        <v>28</v>
      </c>
    </row>
    <row r="87" spans="1:35" ht="21.95" customHeight="1">
      <c r="A87" s="579">
        <v>2</v>
      </c>
      <c r="B87" s="1603" t="s">
        <v>507</v>
      </c>
      <c r="C87" s="1563"/>
      <c r="D87" s="1458"/>
      <c r="E87" s="557" t="s">
        <v>506</v>
      </c>
      <c r="F87" s="557" t="s">
        <v>506</v>
      </c>
      <c r="G87" s="557" t="s">
        <v>506</v>
      </c>
      <c r="H87" s="557" t="s">
        <v>506</v>
      </c>
      <c r="I87" s="557" t="s">
        <v>506</v>
      </c>
      <c r="J87" s="557"/>
      <c r="K87" s="557"/>
      <c r="L87" s="1208" t="s">
        <v>485</v>
      </c>
      <c r="M87" s="557" t="s">
        <v>485</v>
      </c>
      <c r="N87" s="557" t="s">
        <v>485</v>
      </c>
      <c r="O87" s="557" t="s">
        <v>484</v>
      </c>
      <c r="P87" s="557" t="s">
        <v>484</v>
      </c>
      <c r="Q87" s="557"/>
      <c r="R87" s="557"/>
      <c r="S87" s="1362" t="s">
        <v>488</v>
      </c>
      <c r="T87" s="1365" t="s">
        <v>488</v>
      </c>
      <c r="U87" s="1365" t="s">
        <v>488</v>
      </c>
      <c r="V87" s="1365" t="s">
        <v>488</v>
      </c>
      <c r="W87" s="1365" t="s">
        <v>488</v>
      </c>
      <c r="X87" s="557"/>
      <c r="Y87" s="557"/>
      <c r="Z87" s="557" t="s">
        <v>506</v>
      </c>
      <c r="AA87" s="557" t="s">
        <v>506</v>
      </c>
      <c r="AB87" s="557" t="s">
        <v>506</v>
      </c>
      <c r="AC87" s="557" t="s">
        <v>506</v>
      </c>
      <c r="AD87" s="557" t="s">
        <v>506</v>
      </c>
      <c r="AE87" s="557"/>
      <c r="AF87" s="557"/>
      <c r="AG87" s="1365" t="s">
        <v>485</v>
      </c>
      <c r="AH87" s="504" t="s">
        <v>28</v>
      </c>
      <c r="AI87" s="505" t="s">
        <v>28</v>
      </c>
    </row>
    <row r="88" spans="1:35" ht="21.95" customHeight="1">
      <c r="A88" s="1602">
        <v>3</v>
      </c>
      <c r="B88" s="1604" t="s">
        <v>505</v>
      </c>
      <c r="C88" s="1605"/>
      <c r="D88" s="1606"/>
      <c r="E88" s="1598" t="s">
        <v>485</v>
      </c>
      <c r="F88" s="1388" t="s">
        <v>485</v>
      </c>
      <c r="G88" s="1388" t="s">
        <v>485</v>
      </c>
      <c r="H88" s="1388" t="s">
        <v>484</v>
      </c>
      <c r="I88" s="1388" t="s">
        <v>484</v>
      </c>
      <c r="J88" s="557"/>
      <c r="K88" s="557"/>
      <c r="L88" s="557" t="s">
        <v>488</v>
      </c>
      <c r="M88" s="557" t="s">
        <v>488</v>
      </c>
      <c r="N88" s="557" t="s">
        <v>488</v>
      </c>
      <c r="O88" s="557" t="s">
        <v>488</v>
      </c>
      <c r="P88" s="557" t="s">
        <v>488</v>
      </c>
      <c r="Q88" s="557"/>
      <c r="R88" s="557"/>
      <c r="S88" s="557" t="s">
        <v>506</v>
      </c>
      <c r="T88" s="557" t="s">
        <v>506</v>
      </c>
      <c r="U88" s="557" t="s">
        <v>506</v>
      </c>
      <c r="V88" s="557" t="s">
        <v>506</v>
      </c>
      <c r="W88" s="1344" t="s">
        <v>506</v>
      </c>
      <c r="X88" s="557"/>
      <c r="Y88" s="557"/>
      <c r="Z88" s="557" t="s">
        <v>485</v>
      </c>
      <c r="AA88" s="557" t="s">
        <v>485</v>
      </c>
      <c r="AB88" s="557" t="s">
        <v>485</v>
      </c>
      <c r="AC88" s="557" t="s">
        <v>484</v>
      </c>
      <c r="AD88" s="557" t="s">
        <v>484</v>
      </c>
      <c r="AE88" s="557"/>
      <c r="AF88" s="557"/>
      <c r="AG88" s="1365" t="s">
        <v>488</v>
      </c>
      <c r="AH88" s="504" t="s">
        <v>28</v>
      </c>
      <c r="AI88" s="505" t="s">
        <v>28</v>
      </c>
    </row>
    <row r="89" spans="1:35" ht="21.95" customHeight="1">
      <c r="A89" s="580"/>
      <c r="B89" s="587"/>
      <c r="C89" s="587"/>
      <c r="D89" s="587"/>
      <c r="E89" s="1504"/>
      <c r="F89" s="559"/>
      <c r="G89" s="559"/>
      <c r="H89" s="559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H89" s="560"/>
      <c r="AI89" s="560"/>
    </row>
    <row r="90" spans="1:35" ht="21.95" customHeight="1">
      <c r="A90" s="580"/>
      <c r="B90" s="587"/>
      <c r="C90" s="559"/>
      <c r="D90" s="559"/>
      <c r="E90" s="559"/>
      <c r="F90" s="559"/>
      <c r="G90" s="559"/>
      <c r="H90" s="559"/>
      <c r="I90" s="559"/>
      <c r="J90" s="559"/>
      <c r="K90" s="559"/>
      <c r="L90" s="559"/>
      <c r="M90" s="559"/>
      <c r="N90" s="559"/>
      <c r="O90" s="559"/>
      <c r="P90" s="559"/>
      <c r="Q90" s="559"/>
      <c r="R90" s="559"/>
      <c r="S90" s="559"/>
      <c r="T90" s="559"/>
      <c r="U90" s="559"/>
      <c r="V90" s="559"/>
      <c r="W90" s="559"/>
      <c r="X90" s="559"/>
      <c r="Y90" s="559"/>
      <c r="Z90" s="559"/>
      <c r="AA90" s="559"/>
      <c r="AB90" s="559"/>
      <c r="AC90" s="559"/>
      <c r="AD90" s="559"/>
      <c r="AE90" s="559"/>
      <c r="AF90" s="559"/>
      <c r="AG90" s="559"/>
      <c r="AH90" s="560"/>
      <c r="AI90" s="560"/>
    </row>
    <row r="91" spans="1:35" ht="21.95" customHeight="1" thickBot="1">
      <c r="A91" s="1" t="s">
        <v>804</v>
      </c>
      <c r="D91" s="361"/>
      <c r="E91" s="361"/>
      <c r="F91" s="361"/>
      <c r="G91" s="549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687</v>
      </c>
      <c r="C92" s="7"/>
      <c r="D92" s="525" t="s">
        <v>2</v>
      </c>
      <c r="E92" s="51"/>
      <c r="F92" s="551"/>
      <c r="G92" s="7"/>
      <c r="H92" s="525" t="s">
        <v>3</v>
      </c>
      <c r="I92" s="51"/>
      <c r="J92" s="551"/>
      <c r="K92" s="7"/>
      <c r="L92" s="525" t="s">
        <v>4</v>
      </c>
      <c r="M92" s="51"/>
      <c r="N92" s="551"/>
      <c r="O92" s="7"/>
      <c r="P92" s="525" t="s">
        <v>5</v>
      </c>
      <c r="Q92" s="51"/>
      <c r="R92" s="551"/>
      <c r="S92" s="7"/>
      <c r="T92" s="525" t="s">
        <v>6</v>
      </c>
      <c r="U92" s="51"/>
      <c r="V92" s="551"/>
      <c r="W92" s="7"/>
      <c r="X92" s="525" t="s">
        <v>7</v>
      </c>
      <c r="Y92" s="51"/>
      <c r="Z92" s="551"/>
      <c r="AA92" s="7"/>
      <c r="AB92" s="525" t="s">
        <v>8</v>
      </c>
      <c r="AC92" s="51"/>
      <c r="AD92" s="51"/>
      <c r="AE92" s="425" t="s">
        <v>10</v>
      </c>
      <c r="AF92" s="51"/>
      <c r="AG92" s="51"/>
      <c r="AH92" s="51"/>
      <c r="AI92" s="526"/>
    </row>
    <row r="93" spans="1:35" ht="21.95" customHeight="1">
      <c r="A93" s="1"/>
      <c r="B93" s="129" t="s">
        <v>164</v>
      </c>
      <c r="C93" s="121" t="s">
        <v>691</v>
      </c>
      <c r="D93" s="157"/>
      <c r="E93" s="157"/>
      <c r="F93" s="568"/>
      <c r="G93" s="121" t="s">
        <v>691</v>
      </c>
      <c r="H93" s="157"/>
      <c r="I93" s="157"/>
      <c r="J93" s="568"/>
      <c r="K93" s="121" t="s">
        <v>691</v>
      </c>
      <c r="L93" s="157"/>
      <c r="M93" s="157"/>
      <c r="N93" s="568"/>
      <c r="O93" s="121" t="s">
        <v>805</v>
      </c>
      <c r="P93" s="157"/>
      <c r="Q93" s="157"/>
      <c r="R93" s="568"/>
      <c r="S93" s="121" t="s">
        <v>162</v>
      </c>
      <c r="T93" s="157"/>
      <c r="U93" s="157"/>
      <c r="V93" s="568"/>
      <c r="W93" s="1243"/>
      <c r="X93" s="581"/>
      <c r="Y93" s="581"/>
      <c r="Z93" s="582"/>
      <c r="AA93" s="567"/>
      <c r="AB93" s="157"/>
      <c r="AC93" s="157"/>
      <c r="AD93" s="569"/>
      <c r="AE93" s="128">
        <v>27</v>
      </c>
      <c r="AF93" s="157"/>
      <c r="AG93" s="157" t="s">
        <v>28</v>
      </c>
      <c r="AH93" s="569"/>
      <c r="AI93" s="490"/>
    </row>
    <row r="94" spans="1:35" ht="21.95" customHeight="1">
      <c r="A94" s="1"/>
      <c r="B94" s="129" t="s">
        <v>167</v>
      </c>
      <c r="C94" s="121" t="s">
        <v>688</v>
      </c>
      <c r="D94" s="157"/>
      <c r="E94" s="157"/>
      <c r="F94" s="568"/>
      <c r="G94" s="121" t="s">
        <v>688</v>
      </c>
      <c r="H94" s="157"/>
      <c r="I94" s="157"/>
      <c r="J94" s="568"/>
      <c r="K94" s="121" t="s">
        <v>688</v>
      </c>
      <c r="L94" s="157"/>
      <c r="M94" s="157"/>
      <c r="N94" s="568"/>
      <c r="O94" s="121" t="s">
        <v>688</v>
      </c>
      <c r="P94" s="157"/>
      <c r="Q94" s="157"/>
      <c r="R94" s="568"/>
      <c r="S94" s="121" t="s">
        <v>691</v>
      </c>
      <c r="T94" s="157"/>
      <c r="U94" s="157"/>
      <c r="V94" s="568"/>
      <c r="W94" s="121"/>
      <c r="X94" s="157"/>
      <c r="Y94" s="157"/>
      <c r="Z94" s="568"/>
      <c r="AA94" s="157"/>
      <c r="AB94" s="157"/>
      <c r="AC94" s="157"/>
      <c r="AD94" s="569"/>
      <c r="AE94" s="128">
        <v>39</v>
      </c>
      <c r="AF94" s="157"/>
      <c r="AG94" s="157"/>
      <c r="AH94" s="569"/>
      <c r="AI94" s="490"/>
    </row>
    <row r="95" spans="1:35" ht="21.95" customHeight="1">
      <c r="A95" s="1"/>
      <c r="B95" s="129" t="s">
        <v>170</v>
      </c>
      <c r="C95" s="121" t="s">
        <v>688</v>
      </c>
      <c r="D95" s="157"/>
      <c r="E95" s="157"/>
      <c r="F95" s="568"/>
      <c r="G95" s="121" t="s">
        <v>688</v>
      </c>
      <c r="H95" s="157"/>
      <c r="I95" s="157"/>
      <c r="J95" s="568"/>
      <c r="K95" s="121" t="s">
        <v>688</v>
      </c>
      <c r="L95" s="157"/>
      <c r="M95" s="157"/>
      <c r="N95" s="568"/>
      <c r="O95" s="121" t="s">
        <v>688</v>
      </c>
      <c r="P95" s="157"/>
      <c r="Q95" s="157"/>
      <c r="R95" s="568"/>
      <c r="S95" s="121" t="s">
        <v>688</v>
      </c>
      <c r="T95" s="157"/>
      <c r="U95" s="157"/>
      <c r="V95" s="568"/>
      <c r="W95" s="588" t="s">
        <v>689</v>
      </c>
      <c r="X95" s="135"/>
      <c r="Y95" s="135"/>
      <c r="Z95" s="584"/>
      <c r="AA95" s="583"/>
      <c r="AB95" s="135"/>
      <c r="AC95" s="135"/>
      <c r="AD95" s="585"/>
      <c r="AE95" s="128">
        <v>45</v>
      </c>
      <c r="AF95" s="157"/>
      <c r="AG95" s="157"/>
      <c r="AH95" s="569"/>
      <c r="AI95" s="490"/>
    </row>
    <row r="96" spans="1:35" ht="21.95" customHeight="1" thickBot="1">
      <c r="A96" s="1"/>
      <c r="B96" s="16" t="s">
        <v>173</v>
      </c>
      <c r="C96" s="57"/>
      <c r="D96" s="53"/>
      <c r="E96" s="53"/>
      <c r="F96" s="575"/>
      <c r="G96" s="57"/>
      <c r="H96" s="53"/>
      <c r="I96" s="53"/>
      <c r="J96" s="575"/>
      <c r="K96" s="57"/>
      <c r="L96" s="53"/>
      <c r="M96" s="53"/>
      <c r="N96" s="575"/>
      <c r="O96" s="57"/>
      <c r="P96" s="53"/>
      <c r="Q96" s="53"/>
      <c r="R96" s="575"/>
      <c r="S96" s="57"/>
      <c r="T96" s="53"/>
      <c r="U96" s="53"/>
      <c r="V96" s="577"/>
      <c r="W96" s="57"/>
      <c r="X96" s="577"/>
      <c r="Y96" s="53"/>
      <c r="Z96" s="575"/>
      <c r="AA96" s="57"/>
      <c r="AB96" s="577"/>
      <c r="AC96" s="53"/>
      <c r="AD96" s="575"/>
      <c r="AE96" s="586"/>
      <c r="AF96" s="53"/>
      <c r="AG96" s="53"/>
      <c r="AH96" s="577"/>
      <c r="AI96" s="539"/>
    </row>
    <row r="97" spans="1:35" ht="21.95" customHeight="1" thickBot="1">
      <c r="A97" s="578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>
      <c r="A98" s="556"/>
      <c r="B98" s="297" t="s">
        <v>480</v>
      </c>
      <c r="C98" s="1235">
        <v>1</v>
      </c>
      <c r="D98" s="1235">
        <v>2</v>
      </c>
      <c r="E98" s="1234">
        <v>3</v>
      </c>
      <c r="F98" s="1234">
        <v>4</v>
      </c>
      <c r="G98" s="1234">
        <v>5</v>
      </c>
      <c r="H98" s="1234">
        <v>6</v>
      </c>
      <c r="I98" s="1213">
        <v>7</v>
      </c>
      <c r="J98" s="1330">
        <v>8</v>
      </c>
      <c r="K98" s="1235">
        <v>9</v>
      </c>
      <c r="L98" s="1234">
        <v>10</v>
      </c>
      <c r="M98" s="1234">
        <v>11</v>
      </c>
      <c r="N98" s="1234">
        <v>12</v>
      </c>
      <c r="O98" s="1234">
        <v>13</v>
      </c>
      <c r="P98" s="1213">
        <v>14</v>
      </c>
      <c r="Q98" s="1330">
        <v>15</v>
      </c>
      <c r="R98" s="1235">
        <v>16</v>
      </c>
      <c r="S98" s="1234">
        <v>17</v>
      </c>
      <c r="T98" s="1234">
        <v>18</v>
      </c>
      <c r="U98" s="1234">
        <v>19</v>
      </c>
      <c r="V98" s="1213">
        <v>20</v>
      </c>
      <c r="W98" s="1213">
        <v>21</v>
      </c>
      <c r="X98" s="1330">
        <v>22</v>
      </c>
      <c r="Y98" s="1235">
        <v>23</v>
      </c>
      <c r="Z98" s="1234">
        <v>24</v>
      </c>
      <c r="AA98" s="1234">
        <v>25</v>
      </c>
      <c r="AB98" s="1234">
        <v>26</v>
      </c>
      <c r="AC98" s="1234">
        <v>27</v>
      </c>
      <c r="AD98" s="1213">
        <v>28</v>
      </c>
      <c r="AE98" s="1330">
        <v>29</v>
      </c>
      <c r="AF98" s="1235">
        <v>30</v>
      </c>
      <c r="AG98" s="1234">
        <v>31</v>
      </c>
      <c r="AH98" s="498" t="s">
        <v>481</v>
      </c>
      <c r="AI98" s="499" t="s">
        <v>482</v>
      </c>
    </row>
    <row r="99" spans="1:35" ht="21.95" customHeight="1">
      <c r="A99" s="579">
        <v>1</v>
      </c>
      <c r="B99" s="545" t="s">
        <v>692</v>
      </c>
      <c r="C99" s="1215" t="s">
        <v>808</v>
      </c>
      <c r="D99" s="1215"/>
      <c r="E99" s="1354" t="s">
        <v>694</v>
      </c>
      <c r="F99" s="1215" t="s">
        <v>806</v>
      </c>
      <c r="G99" s="1215" t="s">
        <v>806</v>
      </c>
      <c r="H99" s="1215" t="s">
        <v>806</v>
      </c>
      <c r="I99" s="1215" t="s">
        <v>487</v>
      </c>
      <c r="J99" s="1215"/>
      <c r="K99" s="1215"/>
      <c r="L99" s="1215" t="s">
        <v>807</v>
      </c>
      <c r="M99" s="1215" t="s">
        <v>807</v>
      </c>
      <c r="N99" s="1215" t="s">
        <v>807</v>
      </c>
      <c r="O99" s="1215" t="s">
        <v>807</v>
      </c>
      <c r="P99" s="1215" t="s">
        <v>807</v>
      </c>
      <c r="Q99" s="1215"/>
      <c r="R99" s="1215"/>
      <c r="S99" s="1335" t="s">
        <v>808</v>
      </c>
      <c r="T99" s="1335" t="s">
        <v>808</v>
      </c>
      <c r="U99" s="1215" t="s">
        <v>808</v>
      </c>
      <c r="V99" s="1215" t="s">
        <v>808</v>
      </c>
      <c r="W99" s="1354" t="s">
        <v>694</v>
      </c>
      <c r="X99" s="1215" t="s">
        <v>808</v>
      </c>
      <c r="Y99" s="1215"/>
      <c r="Z99" s="1215" t="s">
        <v>806</v>
      </c>
      <c r="AA99" s="1354" t="s">
        <v>694</v>
      </c>
      <c r="AB99" s="1215" t="s">
        <v>806</v>
      </c>
      <c r="AC99" s="1215" t="s">
        <v>806</v>
      </c>
      <c r="AD99" s="1215" t="s">
        <v>487</v>
      </c>
      <c r="AE99" s="1215"/>
      <c r="AF99" s="1215"/>
      <c r="AG99" s="1354" t="s">
        <v>694</v>
      </c>
      <c r="AH99" s="504">
        <v>185</v>
      </c>
      <c r="AI99" s="505">
        <v>37</v>
      </c>
    </row>
    <row r="100" spans="1:35" ht="21.95" customHeight="1" thickBot="1">
      <c r="A100" s="579">
        <v>2</v>
      </c>
      <c r="B100" s="545" t="s">
        <v>681</v>
      </c>
      <c r="C100" s="1215"/>
      <c r="D100" s="1215"/>
      <c r="E100" s="1215" t="s">
        <v>807</v>
      </c>
      <c r="F100" s="1215" t="s">
        <v>807</v>
      </c>
      <c r="G100" s="1215" t="s">
        <v>807</v>
      </c>
      <c r="H100" s="1215" t="s">
        <v>807</v>
      </c>
      <c r="I100" s="1215" t="s">
        <v>807</v>
      </c>
      <c r="J100" s="1215"/>
      <c r="K100" s="1215"/>
      <c r="L100" s="1215" t="s">
        <v>808</v>
      </c>
      <c r="M100" s="1215" t="s">
        <v>808</v>
      </c>
      <c r="N100" s="1215" t="s">
        <v>808</v>
      </c>
      <c r="O100" s="1215" t="s">
        <v>808</v>
      </c>
      <c r="P100" s="1215" t="s">
        <v>808</v>
      </c>
      <c r="Q100" s="1215" t="s">
        <v>808</v>
      </c>
      <c r="R100" s="1215"/>
      <c r="S100" s="1215" t="s">
        <v>806</v>
      </c>
      <c r="T100" s="1215" t="s">
        <v>806</v>
      </c>
      <c r="U100" s="1215" t="s">
        <v>806</v>
      </c>
      <c r="V100" s="1215" t="s">
        <v>806</v>
      </c>
      <c r="W100" s="1215" t="s">
        <v>487</v>
      </c>
      <c r="X100" s="1550" t="s">
        <v>487</v>
      </c>
      <c r="Y100" s="1215"/>
      <c r="Z100" s="1215" t="s">
        <v>807</v>
      </c>
      <c r="AA100" s="1215" t="s">
        <v>807</v>
      </c>
      <c r="AB100" s="1215" t="s">
        <v>807</v>
      </c>
      <c r="AC100" s="1215" t="s">
        <v>807</v>
      </c>
      <c r="AD100" s="1215" t="s">
        <v>807</v>
      </c>
      <c r="AE100" s="1215"/>
      <c r="AF100" s="1215"/>
      <c r="AG100" s="1215" t="s">
        <v>808</v>
      </c>
      <c r="AH100" s="504">
        <v>185</v>
      </c>
      <c r="AI100" s="505">
        <v>37</v>
      </c>
    </row>
    <row r="101" spans="1:35" ht="21.95" customHeight="1">
      <c r="A101" s="579">
        <v>3</v>
      </c>
      <c r="B101" s="545" t="s">
        <v>412</v>
      </c>
      <c r="C101" s="1215"/>
      <c r="D101" s="1215"/>
      <c r="E101" s="1215" t="s">
        <v>808</v>
      </c>
      <c r="F101" s="1215" t="s">
        <v>808</v>
      </c>
      <c r="G101" s="1215" t="s">
        <v>808</v>
      </c>
      <c r="H101" s="1215" t="s">
        <v>808</v>
      </c>
      <c r="I101" s="1215" t="s">
        <v>808</v>
      </c>
      <c r="J101" s="1215" t="s">
        <v>808</v>
      </c>
      <c r="K101" s="1215"/>
      <c r="L101" s="1215" t="s">
        <v>806</v>
      </c>
      <c r="M101" s="1215" t="s">
        <v>806</v>
      </c>
      <c r="N101" s="1215" t="s">
        <v>806</v>
      </c>
      <c r="O101" s="1346" t="s">
        <v>806</v>
      </c>
      <c r="P101" s="1215" t="s">
        <v>487</v>
      </c>
      <c r="Q101" s="1215"/>
      <c r="R101" s="1215"/>
      <c r="S101" s="1338" t="s">
        <v>807</v>
      </c>
      <c r="T101" s="1338" t="s">
        <v>807</v>
      </c>
      <c r="U101" s="1338" t="s">
        <v>807</v>
      </c>
      <c r="V101" s="1338" t="s">
        <v>807</v>
      </c>
      <c r="W101" s="1338" t="s">
        <v>807</v>
      </c>
      <c r="X101" s="1338"/>
      <c r="Y101" s="1338"/>
      <c r="Z101" s="1215" t="s">
        <v>808</v>
      </c>
      <c r="AA101" s="1215" t="s">
        <v>808</v>
      </c>
      <c r="AB101" s="1215" t="s">
        <v>808</v>
      </c>
      <c r="AC101" s="1215" t="s">
        <v>808</v>
      </c>
      <c r="AD101" s="1215" t="s">
        <v>808</v>
      </c>
      <c r="AE101" s="1215" t="s">
        <v>808</v>
      </c>
      <c r="AF101" s="1215"/>
      <c r="AG101" s="1215" t="s">
        <v>806</v>
      </c>
      <c r="AH101" s="504">
        <v>185</v>
      </c>
      <c r="AI101" s="505">
        <v>37</v>
      </c>
    </row>
    <row r="102" spans="1:35" ht="21.95" customHeight="1">
      <c r="A102" s="579">
        <v>4</v>
      </c>
      <c r="B102" s="545"/>
      <c r="C102" s="1215"/>
      <c r="D102" s="1215"/>
      <c r="E102" s="1215"/>
      <c r="F102" s="1215"/>
      <c r="G102" s="1208"/>
      <c r="H102" s="1215"/>
      <c r="I102" s="1215"/>
      <c r="J102" s="1215"/>
      <c r="K102" s="1215"/>
      <c r="L102" s="1215"/>
      <c r="M102" s="1208"/>
      <c r="N102" s="1208"/>
      <c r="O102" s="1215"/>
      <c r="P102" s="1215"/>
      <c r="Q102" s="1215"/>
      <c r="R102" s="1215"/>
      <c r="S102" s="1215"/>
      <c r="T102" s="1208"/>
      <c r="U102" s="1208"/>
      <c r="V102" s="1208"/>
      <c r="W102" s="1208"/>
      <c r="X102" s="1208"/>
      <c r="Y102" s="1208"/>
      <c r="Z102" s="1208"/>
      <c r="AA102" s="1208"/>
      <c r="AB102" s="1208"/>
      <c r="AC102" s="1215"/>
      <c r="AD102" s="1215"/>
      <c r="AE102" s="1215"/>
      <c r="AF102" s="1215"/>
      <c r="AG102" s="1215"/>
      <c r="AH102" s="504">
        <v>185</v>
      </c>
      <c r="AI102" s="505">
        <v>37</v>
      </c>
    </row>
    <row r="103" spans="1:35" ht="21.95" customHeight="1">
      <c r="A103" s="580"/>
      <c r="B103" s="587"/>
      <c r="C103" s="559"/>
      <c r="D103" s="541"/>
      <c r="E103" s="541"/>
      <c r="F103" s="541"/>
      <c r="G103" s="541"/>
      <c r="H103" s="541"/>
      <c r="I103" s="559"/>
      <c r="J103" s="559"/>
      <c r="K103" s="541"/>
      <c r="L103" s="541"/>
      <c r="M103" s="541"/>
      <c r="N103" s="541"/>
      <c r="O103" s="541"/>
      <c r="P103" s="541"/>
      <c r="Q103" s="559"/>
      <c r="R103" s="541"/>
      <c r="S103" s="1315"/>
      <c r="T103" s="1315"/>
      <c r="U103" s="1315"/>
      <c r="V103" s="1315"/>
      <c r="W103" s="559"/>
      <c r="X103" s="559"/>
      <c r="Y103" s="541"/>
      <c r="Z103" s="541"/>
      <c r="AA103" s="541"/>
      <c r="AB103" s="541"/>
      <c r="AC103" s="541"/>
      <c r="AD103" s="541"/>
      <c r="AE103" s="559"/>
      <c r="AF103" s="541"/>
      <c r="AG103" s="541"/>
      <c r="AH103" s="560"/>
      <c r="AI103" s="560"/>
    </row>
    <row r="104" spans="1:35" ht="21.95" customHeight="1" thickBot="1">
      <c r="A104" s="1303" t="s">
        <v>695</v>
      </c>
      <c r="B104" s="541"/>
      <c r="C104" s="559"/>
      <c r="D104" s="541"/>
      <c r="E104" s="541"/>
      <c r="F104" s="541"/>
      <c r="G104" s="541"/>
      <c r="H104" s="541"/>
      <c r="I104" s="559"/>
      <c r="J104" s="559"/>
      <c r="K104" s="541"/>
      <c r="L104" s="541"/>
      <c r="M104" s="541"/>
      <c r="N104" s="541"/>
      <c r="O104" s="541"/>
      <c r="P104" s="541"/>
      <c r="Q104" s="559"/>
      <c r="R104" s="541"/>
      <c r="S104" s="541"/>
      <c r="T104" s="541"/>
      <c r="U104" s="541"/>
      <c r="V104" s="541"/>
      <c r="W104" s="559"/>
      <c r="X104" s="559"/>
      <c r="Y104" s="541"/>
      <c r="Z104" s="541"/>
      <c r="AA104" s="541"/>
      <c r="AB104" s="541"/>
      <c r="AC104" s="541"/>
      <c r="AD104" s="541"/>
      <c r="AE104" s="559"/>
      <c r="AF104" s="541"/>
      <c r="AG104" s="541"/>
      <c r="AH104" s="560"/>
      <c r="AI104" s="560"/>
    </row>
    <row r="105" spans="1:35" ht="21.95" customHeight="1">
      <c r="A105" s="580"/>
      <c r="B105" s="1304" t="s">
        <v>696</v>
      </c>
      <c r="C105" s="1312"/>
      <c r="D105" s="1305" t="s">
        <v>2</v>
      </c>
      <c r="E105" s="1306"/>
      <c r="F105" s="1307"/>
      <c r="G105" s="1308"/>
      <c r="H105" s="1305" t="s">
        <v>3</v>
      </c>
      <c r="I105" s="1306"/>
      <c r="J105" s="1307"/>
      <c r="K105" s="1308"/>
      <c r="L105" s="1305" t="s">
        <v>4</v>
      </c>
      <c r="M105" s="1306"/>
      <c r="N105" s="1307"/>
      <c r="O105" s="1308"/>
      <c r="P105" s="1305" t="s">
        <v>5</v>
      </c>
      <c r="Q105" s="1306"/>
      <c r="R105" s="1307"/>
      <c r="S105" s="1308"/>
      <c r="T105" s="1305" t="s">
        <v>6</v>
      </c>
      <c r="U105" s="1306"/>
      <c r="V105" s="1307"/>
      <c r="W105" s="1308"/>
      <c r="X105" s="1305" t="s">
        <v>7</v>
      </c>
      <c r="Y105" s="1306"/>
      <c r="Z105" s="1307"/>
      <c r="AA105" s="1308"/>
      <c r="AB105" s="1305" t="s">
        <v>8</v>
      </c>
      <c r="AC105" s="1306"/>
      <c r="AD105" s="1306"/>
      <c r="AE105" s="1309" t="s">
        <v>10</v>
      </c>
      <c r="AF105" s="1306"/>
      <c r="AG105" s="1306"/>
      <c r="AH105" s="1306"/>
      <c r="AI105" s="1310"/>
    </row>
    <row r="106" spans="1:35" ht="21.95" customHeight="1">
      <c r="A106" s="580"/>
      <c r="B106" s="1332" t="s">
        <v>697</v>
      </c>
      <c r="C106" s="1313" t="s">
        <v>698</v>
      </c>
      <c r="D106" s="1331" t="s">
        <v>699</v>
      </c>
      <c r="E106" s="1314"/>
      <c r="F106" s="1311"/>
      <c r="G106" s="1313"/>
      <c r="H106" s="1331" t="s">
        <v>699</v>
      </c>
      <c r="I106" s="1314"/>
      <c r="J106" s="1311"/>
      <c r="K106" s="1313"/>
      <c r="L106" s="1331" t="s">
        <v>699</v>
      </c>
      <c r="M106" s="1314"/>
      <c r="N106" s="1311"/>
      <c r="O106" s="1313"/>
      <c r="P106" s="1331" t="s">
        <v>700</v>
      </c>
      <c r="Q106" s="1314"/>
      <c r="R106" s="1311"/>
      <c r="S106" s="1313"/>
      <c r="T106" s="1331" t="s">
        <v>701</v>
      </c>
      <c r="U106" s="1314"/>
      <c r="V106" s="1311"/>
      <c r="W106" s="1313"/>
      <c r="X106" s="1314"/>
      <c r="Y106" s="1314"/>
      <c r="Z106" s="1311"/>
      <c r="AA106" s="1313"/>
      <c r="AB106" s="1314"/>
      <c r="AC106" s="1314"/>
      <c r="AD106" s="1314"/>
      <c r="AE106" s="1313"/>
      <c r="AF106" s="1314"/>
      <c r="AG106" s="1314"/>
      <c r="AH106" s="1316"/>
      <c r="AI106" s="1317"/>
    </row>
    <row r="107" spans="1:35" ht="21.95" customHeight="1">
      <c r="A107" s="580"/>
      <c r="B107" s="1333" t="s">
        <v>702</v>
      </c>
      <c r="C107" s="1313" t="s">
        <v>683</v>
      </c>
      <c r="D107" s="1331" t="s">
        <v>699</v>
      </c>
      <c r="E107" s="1314"/>
      <c r="F107" s="1311"/>
      <c r="G107" s="1313"/>
      <c r="H107" s="1331" t="s">
        <v>699</v>
      </c>
      <c r="I107" s="1314"/>
      <c r="J107" s="1311"/>
      <c r="K107" s="1313"/>
      <c r="L107" s="1331" t="s">
        <v>699</v>
      </c>
      <c r="M107" s="1314"/>
      <c r="N107" s="1311"/>
      <c r="O107" s="1313"/>
      <c r="P107" s="1331" t="s">
        <v>700</v>
      </c>
      <c r="Q107" s="1314"/>
      <c r="R107" s="1311"/>
      <c r="S107" s="1313"/>
      <c r="T107" s="1331" t="s">
        <v>701</v>
      </c>
      <c r="U107" s="1314"/>
      <c r="V107" s="1311"/>
      <c r="W107" s="1313"/>
      <c r="X107" s="1314"/>
      <c r="Y107" s="1314"/>
      <c r="Z107" s="1311"/>
      <c r="AA107" s="1313"/>
      <c r="AB107" s="1314"/>
      <c r="AC107" s="1314"/>
      <c r="AD107" s="1314"/>
      <c r="AE107" s="1313"/>
      <c r="AF107" s="1314"/>
      <c r="AG107" s="1314"/>
      <c r="AH107" s="1316"/>
      <c r="AI107" s="1317"/>
    </row>
    <row r="108" spans="1:35" ht="21.95" customHeight="1">
      <c r="A108" s="580"/>
      <c r="B108" s="1333" t="s">
        <v>703</v>
      </c>
      <c r="C108" s="1313" t="s">
        <v>547</v>
      </c>
      <c r="D108" s="1331" t="s">
        <v>699</v>
      </c>
      <c r="E108" s="1314"/>
      <c r="F108" s="1311"/>
      <c r="G108" s="1313"/>
      <c r="H108" s="1331" t="s">
        <v>699</v>
      </c>
      <c r="I108" s="1314"/>
      <c r="J108" s="1311"/>
      <c r="K108" s="1313"/>
      <c r="L108" s="1331" t="s">
        <v>699</v>
      </c>
      <c r="M108" s="1314"/>
      <c r="N108" s="1311"/>
      <c r="O108" s="1313"/>
      <c r="P108" s="1331" t="s">
        <v>700</v>
      </c>
      <c r="Q108" s="1314"/>
      <c r="R108" s="1311"/>
      <c r="S108" s="1313"/>
      <c r="T108" s="1331" t="s">
        <v>701</v>
      </c>
      <c r="U108" s="1314"/>
      <c r="V108" s="1311"/>
      <c r="W108" s="1313"/>
      <c r="X108" s="1314"/>
      <c r="Y108" s="1314"/>
      <c r="Z108" s="1311"/>
      <c r="AA108" s="1313"/>
      <c r="AB108" s="1314"/>
      <c r="AC108" s="1314"/>
      <c r="AD108" s="1314"/>
      <c r="AE108" s="1313"/>
      <c r="AF108" s="1314"/>
      <c r="AG108" s="1314"/>
      <c r="AH108" s="1316"/>
      <c r="AI108" s="1317"/>
    </row>
    <row r="109" spans="1:35" ht="21.95" customHeight="1">
      <c r="A109" s="580"/>
      <c r="B109" s="1333" t="s">
        <v>704</v>
      </c>
      <c r="C109" s="1313" t="s">
        <v>685</v>
      </c>
      <c r="D109" s="1331" t="s">
        <v>699</v>
      </c>
      <c r="E109" s="1314"/>
      <c r="F109" s="1311"/>
      <c r="G109" s="1313"/>
      <c r="H109" s="1331" t="s">
        <v>699</v>
      </c>
      <c r="I109" s="1314"/>
      <c r="J109" s="1311"/>
      <c r="K109" s="1313"/>
      <c r="L109" s="1331" t="s">
        <v>699</v>
      </c>
      <c r="M109" s="1314"/>
      <c r="N109" s="1311"/>
      <c r="O109" s="1313"/>
      <c r="P109" s="1331" t="s">
        <v>700</v>
      </c>
      <c r="Q109" s="1314"/>
      <c r="R109" s="1311"/>
      <c r="S109" s="1313"/>
      <c r="T109" s="1331" t="s">
        <v>701</v>
      </c>
      <c r="U109" s="1314"/>
      <c r="V109" s="1311"/>
      <c r="W109" s="1313"/>
      <c r="X109" s="1314"/>
      <c r="Y109" s="1314"/>
      <c r="Z109" s="1311"/>
      <c r="AA109" s="1313"/>
      <c r="AB109" s="1314"/>
      <c r="AC109" s="1314"/>
      <c r="AD109" s="1314"/>
      <c r="AE109" s="1313"/>
      <c r="AF109" s="1314"/>
      <c r="AG109" s="1314"/>
      <c r="AH109" s="1316"/>
      <c r="AI109" s="1317"/>
    </row>
    <row r="110" spans="1:35" ht="21.95" customHeight="1">
      <c r="A110" s="580"/>
      <c r="B110" s="1333" t="s">
        <v>705</v>
      </c>
      <c r="C110" s="1313" t="s">
        <v>684</v>
      </c>
      <c r="D110" s="1331" t="s">
        <v>699</v>
      </c>
      <c r="E110" s="1314"/>
      <c r="F110" s="1311"/>
      <c r="G110" s="1313"/>
      <c r="H110" s="1331" t="s">
        <v>699</v>
      </c>
      <c r="I110" s="1314"/>
      <c r="J110" s="1311"/>
      <c r="K110" s="1313"/>
      <c r="L110" s="1331" t="s">
        <v>699</v>
      </c>
      <c r="M110" s="1314"/>
      <c r="N110" s="1311"/>
      <c r="O110" s="1313"/>
      <c r="P110" s="1331" t="s">
        <v>700</v>
      </c>
      <c r="Q110" s="1314"/>
      <c r="R110" s="1311"/>
      <c r="S110" s="1313"/>
      <c r="T110" s="1331" t="s">
        <v>701</v>
      </c>
      <c r="U110" s="1314"/>
      <c r="V110" s="1311"/>
      <c r="W110" s="1313"/>
      <c r="X110" s="1314"/>
      <c r="Y110" s="1314"/>
      <c r="Z110" s="1311"/>
      <c r="AA110" s="1313"/>
      <c r="AB110" s="1314"/>
      <c r="AC110" s="1314"/>
      <c r="AD110" s="1314"/>
      <c r="AE110" s="1313"/>
      <c r="AF110" s="1314"/>
      <c r="AG110" s="1314"/>
      <c r="AH110" s="1316"/>
      <c r="AI110" s="1317"/>
    </row>
    <row r="111" spans="1:35" ht="21.95" customHeight="1">
      <c r="A111" s="580"/>
      <c r="B111" s="1333" t="s">
        <v>706</v>
      </c>
      <c r="C111" s="1313" t="s">
        <v>539</v>
      </c>
      <c r="D111" s="1331" t="s">
        <v>699</v>
      </c>
      <c r="E111" s="1314"/>
      <c r="F111" s="1311"/>
      <c r="G111" s="1313"/>
      <c r="H111" s="1331" t="s">
        <v>699</v>
      </c>
      <c r="I111" s="1314"/>
      <c r="J111" s="1311"/>
      <c r="K111" s="1313"/>
      <c r="L111" s="1331" t="s">
        <v>699</v>
      </c>
      <c r="M111" s="1314"/>
      <c r="N111" s="1311"/>
      <c r="O111" s="1313"/>
      <c r="P111" s="1331" t="s">
        <v>700</v>
      </c>
      <c r="Q111" s="1314"/>
      <c r="R111" s="1311"/>
      <c r="S111" s="1313"/>
      <c r="T111" s="1331" t="s">
        <v>701</v>
      </c>
      <c r="U111" s="1314"/>
      <c r="V111" s="1311"/>
      <c r="W111" s="1313"/>
      <c r="X111" s="1314"/>
      <c r="Y111" s="1314"/>
      <c r="Z111" s="1311"/>
      <c r="AA111" s="1313"/>
      <c r="AB111" s="1314"/>
      <c r="AC111" s="1314"/>
      <c r="AD111" s="1314"/>
      <c r="AE111" s="1313"/>
      <c r="AF111" s="1314"/>
      <c r="AG111" s="1314"/>
      <c r="AH111" s="1316"/>
      <c r="AI111" s="1317"/>
    </row>
    <row r="112" spans="1:35" ht="21.95" customHeight="1">
      <c r="A112" s="580"/>
      <c r="B112" s="1333" t="s">
        <v>707</v>
      </c>
      <c r="C112" s="1313" t="s">
        <v>540</v>
      </c>
      <c r="D112" s="1331" t="s">
        <v>699</v>
      </c>
      <c r="E112" s="1314"/>
      <c r="F112" s="1311"/>
      <c r="G112" s="1313"/>
      <c r="H112" s="1331" t="s">
        <v>699</v>
      </c>
      <c r="I112" s="1314"/>
      <c r="J112" s="1311"/>
      <c r="K112" s="1313"/>
      <c r="L112" s="1331" t="s">
        <v>699</v>
      </c>
      <c r="M112" s="1314"/>
      <c r="N112" s="1311"/>
      <c r="O112" s="1313"/>
      <c r="P112" s="1331" t="s">
        <v>700</v>
      </c>
      <c r="Q112" s="1314"/>
      <c r="R112" s="1311"/>
      <c r="S112" s="1313"/>
      <c r="T112" s="1331" t="s">
        <v>701</v>
      </c>
      <c r="U112" s="1314"/>
      <c r="V112" s="1311"/>
      <c r="W112" s="1313"/>
      <c r="X112" s="1314"/>
      <c r="Y112" s="1314"/>
      <c r="Z112" s="1311"/>
      <c r="AA112" s="1313"/>
      <c r="AB112" s="1314"/>
      <c r="AC112" s="1314"/>
      <c r="AD112" s="1314"/>
      <c r="AE112" s="1313"/>
      <c r="AF112" s="1314"/>
      <c r="AG112" s="1314"/>
      <c r="AH112" s="1316"/>
      <c r="AI112" s="1317"/>
    </row>
    <row r="113" spans="1:35" ht="21.95" customHeight="1">
      <c r="A113" s="580"/>
      <c r="B113" s="1333" t="s">
        <v>707</v>
      </c>
      <c r="C113" s="1313" t="s">
        <v>708</v>
      </c>
      <c r="D113" s="1331" t="s">
        <v>699</v>
      </c>
      <c r="E113" s="1314"/>
      <c r="F113" s="1311"/>
      <c r="G113" s="1313"/>
      <c r="H113" s="1331" t="s">
        <v>699</v>
      </c>
      <c r="I113" s="1314"/>
      <c r="J113" s="1311"/>
      <c r="K113" s="1313"/>
      <c r="L113" s="1331" t="s">
        <v>699</v>
      </c>
      <c r="M113" s="1314"/>
      <c r="N113" s="1311"/>
      <c r="O113" s="1313"/>
      <c r="P113" s="1331" t="s">
        <v>700</v>
      </c>
      <c r="Q113" s="1314"/>
      <c r="R113" s="1311"/>
      <c r="S113" s="1313"/>
      <c r="T113" s="1331" t="s">
        <v>701</v>
      </c>
      <c r="U113" s="1314"/>
      <c r="V113" s="1311"/>
      <c r="W113" s="1313"/>
      <c r="X113" s="1314"/>
      <c r="Y113" s="1314"/>
      <c r="Z113" s="1311"/>
      <c r="AA113" s="1313"/>
      <c r="AB113" s="1314"/>
      <c r="AC113" s="1314"/>
      <c r="AD113" s="1314"/>
      <c r="AE113" s="1313"/>
      <c r="AF113" s="1314"/>
      <c r="AG113" s="1314"/>
      <c r="AH113" s="1316"/>
      <c r="AI113" s="1317"/>
    </row>
    <row r="114" spans="1:35" ht="21.95" customHeight="1">
      <c r="A114" s="580"/>
      <c r="B114" s="1333" t="s">
        <v>709</v>
      </c>
      <c r="C114" s="1313" t="s">
        <v>538</v>
      </c>
      <c r="D114" s="1331" t="s">
        <v>699</v>
      </c>
      <c r="E114" s="1314"/>
      <c r="F114" s="1311"/>
      <c r="G114" s="1313"/>
      <c r="H114" s="1331" t="s">
        <v>699</v>
      </c>
      <c r="I114" s="1314"/>
      <c r="J114" s="1311"/>
      <c r="K114" s="1313"/>
      <c r="L114" s="1331" t="s">
        <v>699</v>
      </c>
      <c r="M114" s="1314"/>
      <c r="N114" s="1311"/>
      <c r="O114" s="1313"/>
      <c r="P114" s="1331" t="s">
        <v>700</v>
      </c>
      <c r="Q114" s="1314"/>
      <c r="R114" s="1311"/>
      <c r="S114" s="1313"/>
      <c r="T114" s="1331" t="s">
        <v>701</v>
      </c>
      <c r="U114" s="1314"/>
      <c r="V114" s="1311"/>
      <c r="W114" s="1313"/>
      <c r="X114" s="1314"/>
      <c r="Y114" s="1314"/>
      <c r="Z114" s="1311"/>
      <c r="AA114" s="1313"/>
      <c r="AB114" s="1314"/>
      <c r="AC114" s="1314"/>
      <c r="AD114" s="1314"/>
      <c r="AE114" s="1313"/>
      <c r="AF114" s="1314"/>
      <c r="AG114" s="1314"/>
      <c r="AH114" s="1316"/>
      <c r="AI114" s="1317"/>
    </row>
    <row r="115" spans="1:35" ht="21.95" customHeight="1">
      <c r="A115" s="580"/>
      <c r="B115" s="1333" t="s">
        <v>710</v>
      </c>
      <c r="C115" s="1313" t="s">
        <v>711</v>
      </c>
      <c r="D115" s="1331" t="s">
        <v>699</v>
      </c>
      <c r="E115" s="1314"/>
      <c r="F115" s="1311"/>
      <c r="G115" s="1313"/>
      <c r="H115" s="1331" t="s">
        <v>699</v>
      </c>
      <c r="I115" s="1314"/>
      <c r="J115" s="1311"/>
      <c r="K115" s="1313"/>
      <c r="L115" s="1331" t="s">
        <v>699</v>
      </c>
      <c r="M115" s="1314"/>
      <c r="N115" s="1311"/>
      <c r="O115" s="1313"/>
      <c r="P115" s="1331" t="s">
        <v>700</v>
      </c>
      <c r="Q115" s="1314"/>
      <c r="R115" s="1311"/>
      <c r="S115" s="1313"/>
      <c r="T115" s="1331" t="s">
        <v>701</v>
      </c>
      <c r="U115" s="1314"/>
      <c r="V115" s="1311"/>
      <c r="W115" s="1313"/>
      <c r="X115" s="1314"/>
      <c r="Y115" s="1314"/>
      <c r="Z115" s="1311"/>
      <c r="AA115" s="1313"/>
      <c r="AB115" s="1314"/>
      <c r="AC115" s="1314"/>
      <c r="AD115" s="1314"/>
      <c r="AE115" s="1313"/>
      <c r="AF115" s="1314"/>
      <c r="AG115" s="1314"/>
      <c r="AH115" s="1316"/>
      <c r="AI115" s="1317"/>
    </row>
    <row r="116" spans="1:35" ht="21.95" customHeight="1">
      <c r="A116" s="580"/>
      <c r="B116" s="1333" t="s">
        <v>712</v>
      </c>
      <c r="C116" s="1313" t="s">
        <v>544</v>
      </c>
      <c r="D116" s="1331" t="s">
        <v>699</v>
      </c>
      <c r="E116" s="1314"/>
      <c r="F116" s="1311"/>
      <c r="G116" s="1313"/>
      <c r="H116" s="1331" t="s">
        <v>699</v>
      </c>
      <c r="I116" s="1314"/>
      <c r="J116" s="1311"/>
      <c r="K116" s="1313"/>
      <c r="L116" s="1331" t="s">
        <v>699</v>
      </c>
      <c r="M116" s="1314"/>
      <c r="N116" s="1311"/>
      <c r="O116" s="1313"/>
      <c r="P116" s="1331" t="s">
        <v>700</v>
      </c>
      <c r="Q116" s="1314"/>
      <c r="R116" s="1311"/>
      <c r="S116" s="1313"/>
      <c r="T116" s="1331" t="s">
        <v>701</v>
      </c>
      <c r="U116" s="1314"/>
      <c r="V116" s="1311"/>
      <c r="W116" s="1313"/>
      <c r="X116" s="1314"/>
      <c r="Y116" s="1314"/>
      <c r="Z116" s="1311"/>
      <c r="AA116" s="1313"/>
      <c r="AB116" s="1314"/>
      <c r="AC116" s="1314"/>
      <c r="AD116" s="1314"/>
      <c r="AE116" s="1313"/>
      <c r="AF116" s="1314"/>
      <c r="AG116" s="1314"/>
      <c r="AH116" s="1316"/>
      <c r="AI116" s="1317"/>
    </row>
    <row r="117" spans="1:35" ht="21.95" customHeight="1" thickBot="1">
      <c r="A117" s="580"/>
      <c r="B117" s="587"/>
      <c r="C117" s="559"/>
      <c r="D117" s="541"/>
      <c r="E117" s="541"/>
      <c r="F117" s="541"/>
      <c r="G117" s="541"/>
      <c r="H117" s="541"/>
      <c r="I117" s="559"/>
      <c r="J117" s="559"/>
      <c r="K117" s="541"/>
      <c r="L117" s="541"/>
      <c r="M117" s="541"/>
      <c r="N117" s="541"/>
      <c r="O117" s="541"/>
      <c r="P117" s="541"/>
      <c r="Q117" s="559"/>
      <c r="R117" s="541"/>
      <c r="S117" s="541"/>
      <c r="T117" s="541"/>
      <c r="U117" s="541"/>
      <c r="V117" s="541"/>
      <c r="W117" s="559"/>
      <c r="X117" s="559"/>
      <c r="Y117" s="541"/>
      <c r="Z117" s="541"/>
      <c r="AA117" s="541"/>
      <c r="AB117" s="541"/>
      <c r="AC117" s="541"/>
      <c r="AD117" s="541"/>
      <c r="AE117" s="559"/>
      <c r="AF117" s="541"/>
      <c r="AG117" s="541"/>
      <c r="AH117" s="560"/>
      <c r="AI117" s="560"/>
    </row>
    <row r="118" spans="1:35" ht="21.95" customHeight="1">
      <c r="A118" s="1232"/>
      <c r="B118" s="1298" t="s">
        <v>480</v>
      </c>
      <c r="C118" s="1235">
        <v>1</v>
      </c>
      <c r="D118" s="1235">
        <v>2</v>
      </c>
      <c r="E118" s="1234">
        <v>3</v>
      </c>
      <c r="F118" s="1234">
        <v>4</v>
      </c>
      <c r="G118" s="1234">
        <v>5</v>
      </c>
      <c r="H118" s="1234">
        <v>6</v>
      </c>
      <c r="I118" s="1213">
        <v>7</v>
      </c>
      <c r="J118" s="1330">
        <v>8</v>
      </c>
      <c r="K118" s="1235">
        <v>9</v>
      </c>
      <c r="L118" s="1234">
        <v>10</v>
      </c>
      <c r="M118" s="1234">
        <v>11</v>
      </c>
      <c r="N118" s="1234">
        <v>12</v>
      </c>
      <c r="O118" s="1234">
        <v>13</v>
      </c>
      <c r="P118" s="1213">
        <v>14</v>
      </c>
      <c r="Q118" s="1330">
        <v>15</v>
      </c>
      <c r="R118" s="1235">
        <v>16</v>
      </c>
      <c r="S118" s="1234">
        <v>17</v>
      </c>
      <c r="T118" s="1234">
        <v>18</v>
      </c>
      <c r="U118" s="1234">
        <v>19</v>
      </c>
      <c r="V118" s="1213">
        <v>20</v>
      </c>
      <c r="W118" s="1213">
        <v>21</v>
      </c>
      <c r="X118" s="1330">
        <v>22</v>
      </c>
      <c r="Y118" s="1235">
        <v>23</v>
      </c>
      <c r="Z118" s="1234">
        <v>24</v>
      </c>
      <c r="AA118" s="1234">
        <v>25</v>
      </c>
      <c r="AB118" s="1234">
        <v>26</v>
      </c>
      <c r="AC118" s="1234">
        <v>27</v>
      </c>
      <c r="AD118" s="1213">
        <v>28</v>
      </c>
      <c r="AE118" s="1330">
        <v>29</v>
      </c>
      <c r="AF118" s="1235">
        <v>30</v>
      </c>
      <c r="AG118" s="1234">
        <v>31</v>
      </c>
      <c r="AH118" s="1301" t="s">
        <v>481</v>
      </c>
      <c r="AI118" s="1302" t="s">
        <v>482</v>
      </c>
    </row>
    <row r="119" spans="1:35" ht="21.95" customHeight="1">
      <c r="A119" s="580"/>
      <c r="B119" s="1299" t="s">
        <v>713</v>
      </c>
      <c r="C119" s="1313"/>
      <c r="D119" s="1313"/>
      <c r="E119" s="1313" t="s">
        <v>698</v>
      </c>
      <c r="F119" s="1313" t="s">
        <v>698</v>
      </c>
      <c r="G119" s="1313" t="s">
        <v>698</v>
      </c>
      <c r="H119" s="1313" t="s">
        <v>698</v>
      </c>
      <c r="I119" s="1313" t="s">
        <v>698</v>
      </c>
      <c r="J119" s="1313"/>
      <c r="K119" s="1313"/>
      <c r="L119" s="1379" t="s">
        <v>698</v>
      </c>
      <c r="M119" s="1379" t="s">
        <v>698</v>
      </c>
      <c r="N119" s="1379" t="s">
        <v>698</v>
      </c>
      <c r="O119" s="1379" t="s">
        <v>698</v>
      </c>
      <c r="P119" s="1379" t="s">
        <v>698</v>
      </c>
      <c r="Q119" s="1379"/>
      <c r="R119" s="1379"/>
      <c r="S119" s="1446" t="s">
        <v>698</v>
      </c>
      <c r="T119" s="1446" t="s">
        <v>698</v>
      </c>
      <c r="U119" s="1446" t="s">
        <v>825</v>
      </c>
      <c r="V119" s="1313" t="s">
        <v>698</v>
      </c>
      <c r="W119" s="1313" t="s">
        <v>698</v>
      </c>
      <c r="X119" s="1313"/>
      <c r="Y119" s="1313"/>
      <c r="Z119" s="1313" t="s">
        <v>698</v>
      </c>
      <c r="AA119" s="1313" t="s">
        <v>698</v>
      </c>
      <c r="AB119" s="1313" t="s">
        <v>698</v>
      </c>
      <c r="AC119" s="1313" t="s">
        <v>698</v>
      </c>
      <c r="AD119" s="1313" t="s">
        <v>698</v>
      </c>
      <c r="AE119" s="1313"/>
      <c r="AF119" s="1313"/>
      <c r="AG119" s="1313" t="s">
        <v>698</v>
      </c>
      <c r="AH119" s="504">
        <v>185</v>
      </c>
      <c r="AI119" s="505">
        <v>37</v>
      </c>
    </row>
    <row r="120" spans="1:35" ht="21.95" customHeight="1">
      <c r="A120" s="580"/>
      <c r="B120" s="1299" t="s">
        <v>714</v>
      </c>
      <c r="C120" s="1313"/>
      <c r="D120" s="1313"/>
      <c r="E120" s="1313" t="s">
        <v>698</v>
      </c>
      <c r="F120" s="1313" t="s">
        <v>698</v>
      </c>
      <c r="G120" s="1313" t="s">
        <v>698</v>
      </c>
      <c r="H120" s="1313" t="s">
        <v>698</v>
      </c>
      <c r="I120" s="1313" t="s">
        <v>698</v>
      </c>
      <c r="J120" s="1313"/>
      <c r="K120" s="1313"/>
      <c r="L120" s="1313" t="s">
        <v>698</v>
      </c>
      <c r="M120" s="1313" t="s">
        <v>698</v>
      </c>
      <c r="N120" s="1313" t="s">
        <v>698</v>
      </c>
      <c r="O120" s="1313" t="s">
        <v>698</v>
      </c>
      <c r="P120" s="1313" t="s">
        <v>698</v>
      </c>
      <c r="Q120" s="1313"/>
      <c r="R120" s="1313"/>
      <c r="S120" s="1313" t="s">
        <v>698</v>
      </c>
      <c r="T120" s="1313" t="s">
        <v>698</v>
      </c>
      <c r="U120" s="1313" t="s">
        <v>698</v>
      </c>
      <c r="V120" s="1313" t="s">
        <v>698</v>
      </c>
      <c r="W120" s="1313" t="s">
        <v>698</v>
      </c>
      <c r="X120" s="1313"/>
      <c r="Y120" s="1313"/>
      <c r="Z120" s="1313" t="s">
        <v>698</v>
      </c>
      <c r="AA120" s="1313" t="s">
        <v>698</v>
      </c>
      <c r="AB120" s="1313" t="s">
        <v>698</v>
      </c>
      <c r="AC120" s="1313" t="s">
        <v>698</v>
      </c>
      <c r="AD120" s="1313" t="s">
        <v>698</v>
      </c>
      <c r="AE120" s="1313"/>
      <c r="AF120" s="1313"/>
      <c r="AG120" s="1313" t="s">
        <v>698</v>
      </c>
      <c r="AH120" s="504">
        <v>185</v>
      </c>
      <c r="AI120" s="505">
        <v>37</v>
      </c>
    </row>
    <row r="121" spans="1:35" ht="21.95" customHeight="1">
      <c r="A121" s="580"/>
      <c r="B121" s="1299" t="s">
        <v>715</v>
      </c>
      <c r="C121" s="1313"/>
      <c r="D121" s="1313"/>
      <c r="E121" s="1313" t="s">
        <v>683</v>
      </c>
      <c r="F121" s="1313" t="s">
        <v>683</v>
      </c>
      <c r="G121" s="1313" t="s">
        <v>683</v>
      </c>
      <c r="H121" s="1313" t="s">
        <v>683</v>
      </c>
      <c r="I121" s="1313" t="s">
        <v>683</v>
      </c>
      <c r="J121" s="1313"/>
      <c r="K121" s="1313"/>
      <c r="L121" s="1593" t="s">
        <v>683</v>
      </c>
      <c r="M121" s="1593" t="s">
        <v>683</v>
      </c>
      <c r="N121" s="1593" t="s">
        <v>683</v>
      </c>
      <c r="O121" s="1593" t="s">
        <v>683</v>
      </c>
      <c r="P121" s="1593" t="s">
        <v>683</v>
      </c>
      <c r="Q121" s="1593"/>
      <c r="R121" s="1593"/>
      <c r="S121" s="1313" t="s">
        <v>683</v>
      </c>
      <c r="T121" s="1313" t="s">
        <v>683</v>
      </c>
      <c r="U121" s="1313" t="s">
        <v>683</v>
      </c>
      <c r="V121" s="1313" t="s">
        <v>683</v>
      </c>
      <c r="W121" s="1313" t="s">
        <v>683</v>
      </c>
      <c r="X121" s="1313"/>
      <c r="Y121" s="1313"/>
      <c r="Z121" s="1313" t="s">
        <v>683</v>
      </c>
      <c r="AA121" s="1313" t="s">
        <v>683</v>
      </c>
      <c r="AB121" s="1313" t="s">
        <v>683</v>
      </c>
      <c r="AC121" s="1313" t="s">
        <v>683</v>
      </c>
      <c r="AD121" s="1313" t="s">
        <v>683</v>
      </c>
      <c r="AE121" s="1313"/>
      <c r="AF121" s="1313"/>
      <c r="AG121" s="1313" t="s">
        <v>683</v>
      </c>
      <c r="AH121" s="504">
        <v>185</v>
      </c>
      <c r="AI121" s="505">
        <v>37</v>
      </c>
    </row>
    <row r="122" spans="1:35" ht="21.95" customHeight="1">
      <c r="A122" s="580"/>
      <c r="B122" s="1299" t="s">
        <v>730</v>
      </c>
      <c r="C122" s="1555"/>
      <c r="D122" s="1555"/>
      <c r="E122" s="1555" t="s">
        <v>547</v>
      </c>
      <c r="F122" s="1555" t="s">
        <v>547</v>
      </c>
      <c r="G122" s="1555" t="s">
        <v>547</v>
      </c>
      <c r="H122" s="1555" t="s">
        <v>547</v>
      </c>
      <c r="I122" s="1555" t="s">
        <v>547</v>
      </c>
      <c r="J122" s="1555"/>
      <c r="K122" s="1555"/>
      <c r="L122" s="1555" t="s">
        <v>547</v>
      </c>
      <c r="M122" s="1555" t="s">
        <v>547</v>
      </c>
      <c r="N122" s="1555" t="s">
        <v>547</v>
      </c>
      <c r="O122" s="1555" t="s">
        <v>547</v>
      </c>
      <c r="P122" s="1555" t="s">
        <v>547</v>
      </c>
      <c r="Q122" s="1555"/>
      <c r="R122" s="1555"/>
      <c r="S122" s="1555" t="s">
        <v>547</v>
      </c>
      <c r="T122" s="1555" t="s">
        <v>547</v>
      </c>
      <c r="U122" s="1555" t="s">
        <v>547</v>
      </c>
      <c r="V122" s="1555" t="s">
        <v>547</v>
      </c>
      <c r="W122" s="1555" t="s">
        <v>547</v>
      </c>
      <c r="X122" s="1555"/>
      <c r="Y122" s="1555"/>
      <c r="Z122" s="1313" t="s">
        <v>547</v>
      </c>
      <c r="AA122" s="1313" t="s">
        <v>547</v>
      </c>
      <c r="AB122" s="1313" t="s">
        <v>547</v>
      </c>
      <c r="AC122" s="1313" t="s">
        <v>547</v>
      </c>
      <c r="AD122" s="1313" t="s">
        <v>547</v>
      </c>
      <c r="AE122" s="1313"/>
      <c r="AF122" s="1313"/>
      <c r="AG122" s="1313" t="s">
        <v>547</v>
      </c>
      <c r="AH122" s="504">
        <v>185</v>
      </c>
      <c r="AI122" s="505">
        <v>37</v>
      </c>
    </row>
    <row r="123" spans="1:35" ht="21.95" customHeight="1">
      <c r="A123" s="580"/>
      <c r="B123" s="1300" t="s">
        <v>717</v>
      </c>
      <c r="C123" s="1313"/>
      <c r="D123" s="1313"/>
      <c r="E123" s="1378" t="s">
        <v>685</v>
      </c>
      <c r="F123" s="1378" t="s">
        <v>685</v>
      </c>
      <c r="G123" s="1378" t="s">
        <v>685</v>
      </c>
      <c r="H123" s="1378" t="s">
        <v>685</v>
      </c>
      <c r="I123" s="1378" t="s">
        <v>685</v>
      </c>
      <c r="J123" s="1313"/>
      <c r="K123" s="1313"/>
      <c r="L123" s="1313" t="s">
        <v>685</v>
      </c>
      <c r="M123" s="1313" t="s">
        <v>685</v>
      </c>
      <c r="N123" s="1313" t="s">
        <v>685</v>
      </c>
      <c r="O123" s="1313" t="s">
        <v>685</v>
      </c>
      <c r="P123" s="1313" t="s">
        <v>685</v>
      </c>
      <c r="Q123" s="1313"/>
      <c r="R123" s="1313"/>
      <c r="S123" s="1313" t="s">
        <v>685</v>
      </c>
      <c r="T123" s="1313" t="s">
        <v>685</v>
      </c>
      <c r="U123" s="1446" t="s">
        <v>685</v>
      </c>
      <c r="V123" s="1446" t="s">
        <v>685</v>
      </c>
      <c r="W123" s="1446" t="s">
        <v>743</v>
      </c>
      <c r="X123" s="1313"/>
      <c r="Y123" s="1313"/>
      <c r="Z123" s="1379" t="s">
        <v>685</v>
      </c>
      <c r="AA123" s="1379" t="s">
        <v>685</v>
      </c>
      <c r="AB123" s="1379" t="s">
        <v>685</v>
      </c>
      <c r="AC123" s="1379" t="s">
        <v>685</v>
      </c>
      <c r="AD123" s="1379" t="s">
        <v>685</v>
      </c>
      <c r="AE123" s="1379"/>
      <c r="AF123" s="1379"/>
      <c r="AG123" s="1313" t="s">
        <v>685</v>
      </c>
      <c r="AH123" s="504">
        <v>185</v>
      </c>
      <c r="AI123" s="505">
        <v>37</v>
      </c>
    </row>
    <row r="124" spans="1:35" ht="21.95" customHeight="1">
      <c r="A124" s="580"/>
      <c r="B124" s="1299" t="s">
        <v>718</v>
      </c>
      <c r="C124" s="1313"/>
      <c r="D124" s="1313"/>
      <c r="E124" s="1313" t="s">
        <v>684</v>
      </c>
      <c r="F124" s="1313" t="s">
        <v>684</v>
      </c>
      <c r="G124" s="1313" t="s">
        <v>684</v>
      </c>
      <c r="H124" s="1313" t="s">
        <v>684</v>
      </c>
      <c r="I124" s="1313" t="s">
        <v>684</v>
      </c>
      <c r="J124" s="1313"/>
      <c r="K124" s="1313"/>
      <c r="L124" s="1379" t="s">
        <v>684</v>
      </c>
      <c r="M124" s="1379" t="s">
        <v>684</v>
      </c>
      <c r="N124" s="1379" t="s">
        <v>684</v>
      </c>
      <c r="O124" s="1379" t="s">
        <v>684</v>
      </c>
      <c r="P124" s="1379" t="s">
        <v>684</v>
      </c>
      <c r="Q124" s="1379"/>
      <c r="R124" s="1379"/>
      <c r="S124" s="1379" t="s">
        <v>684</v>
      </c>
      <c r="T124" s="1379" t="s">
        <v>684</v>
      </c>
      <c r="U124" s="1379" t="s">
        <v>684</v>
      </c>
      <c r="V124" s="1379" t="s">
        <v>684</v>
      </c>
      <c r="W124" s="1379" t="s">
        <v>684</v>
      </c>
      <c r="X124" s="1379"/>
      <c r="Y124" s="1379"/>
      <c r="Z124" s="1379" t="s">
        <v>684</v>
      </c>
      <c r="AA124" s="1379" t="s">
        <v>684</v>
      </c>
      <c r="AB124" s="1379" t="s">
        <v>684</v>
      </c>
      <c r="AC124" s="1379" t="s">
        <v>684</v>
      </c>
      <c r="AD124" s="1379" t="s">
        <v>684</v>
      </c>
      <c r="AE124" s="1379"/>
      <c r="AF124" s="1379"/>
      <c r="AG124" s="1379" t="s">
        <v>684</v>
      </c>
      <c r="AH124" s="504">
        <v>185</v>
      </c>
      <c r="AI124" s="505">
        <v>37</v>
      </c>
    </row>
    <row r="125" spans="1:35" ht="21.95" customHeight="1">
      <c r="A125" s="580"/>
      <c r="B125" s="1300" t="s">
        <v>719</v>
      </c>
      <c r="C125" s="1313"/>
      <c r="D125" s="1313"/>
      <c r="E125" s="1313" t="s">
        <v>539</v>
      </c>
      <c r="F125" s="1313" t="s">
        <v>539</v>
      </c>
      <c r="G125" s="1313" t="s">
        <v>539</v>
      </c>
      <c r="H125" s="1313" t="s">
        <v>539</v>
      </c>
      <c r="I125" s="1313" t="s">
        <v>539</v>
      </c>
      <c r="J125" s="1313"/>
      <c r="K125" s="1313"/>
      <c r="L125" s="1313" t="s">
        <v>539</v>
      </c>
      <c r="M125" s="1313" t="s">
        <v>539</v>
      </c>
      <c r="N125" s="1313" t="s">
        <v>539</v>
      </c>
      <c r="O125" s="1313" t="s">
        <v>539</v>
      </c>
      <c r="P125" s="1313" t="s">
        <v>539</v>
      </c>
      <c r="Q125" s="1313"/>
      <c r="R125" s="1313"/>
      <c r="S125" s="1313" t="s">
        <v>539</v>
      </c>
      <c r="T125" s="1313" t="s">
        <v>539</v>
      </c>
      <c r="U125" s="1313" t="s">
        <v>539</v>
      </c>
      <c r="V125" s="1313" t="s">
        <v>539</v>
      </c>
      <c r="W125" s="1313" t="s">
        <v>539</v>
      </c>
      <c r="X125" s="1313"/>
      <c r="Y125" s="1313"/>
      <c r="Z125" s="1313" t="s">
        <v>539</v>
      </c>
      <c r="AA125" s="1313" t="s">
        <v>539</v>
      </c>
      <c r="AB125" s="1313" t="s">
        <v>539</v>
      </c>
      <c r="AC125" s="1313" t="s">
        <v>539</v>
      </c>
      <c r="AD125" s="1313" t="s">
        <v>539</v>
      </c>
      <c r="AE125" s="1313"/>
      <c r="AF125" s="1313"/>
      <c r="AG125" s="1313" t="s">
        <v>539</v>
      </c>
      <c r="AH125" s="504">
        <v>185</v>
      </c>
      <c r="AI125" s="505">
        <v>37</v>
      </c>
    </row>
    <row r="126" spans="1:35" ht="21.95" customHeight="1">
      <c r="A126" s="580"/>
      <c r="B126" s="1299" t="s">
        <v>720</v>
      </c>
      <c r="C126" s="1313"/>
      <c r="D126" s="1313"/>
      <c r="E126" s="1313" t="s">
        <v>540</v>
      </c>
      <c r="F126" s="1313" t="s">
        <v>540</v>
      </c>
      <c r="G126" s="1313" t="s">
        <v>540</v>
      </c>
      <c r="H126" s="1313" t="s">
        <v>540</v>
      </c>
      <c r="I126" s="1313" t="s">
        <v>540</v>
      </c>
      <c r="J126" s="1313"/>
      <c r="K126" s="1313"/>
      <c r="L126" s="1313" t="s">
        <v>540</v>
      </c>
      <c r="M126" s="1313" t="s">
        <v>540</v>
      </c>
      <c r="N126" s="1313" t="s">
        <v>540</v>
      </c>
      <c r="O126" s="1313" t="s">
        <v>540</v>
      </c>
      <c r="P126" s="1313" t="s">
        <v>540</v>
      </c>
      <c r="Q126" s="1313"/>
      <c r="R126" s="1313"/>
      <c r="S126" s="1446" t="s">
        <v>731</v>
      </c>
      <c r="T126" s="1313" t="s">
        <v>540</v>
      </c>
      <c r="U126" s="1313" t="s">
        <v>540</v>
      </c>
      <c r="V126" s="1313" t="s">
        <v>540</v>
      </c>
      <c r="W126" s="1313" t="s">
        <v>540</v>
      </c>
      <c r="X126" s="1313"/>
      <c r="Y126" s="1313"/>
      <c r="Z126" s="1313" t="s">
        <v>540</v>
      </c>
      <c r="AA126" s="1313" t="s">
        <v>540</v>
      </c>
      <c r="AB126" s="1313" t="s">
        <v>540</v>
      </c>
      <c r="AC126" s="1313" t="s">
        <v>540</v>
      </c>
      <c r="AD126" s="1313" t="s">
        <v>540</v>
      </c>
      <c r="AE126" s="1313"/>
      <c r="AF126" s="1313"/>
      <c r="AG126" s="1313" t="s">
        <v>540</v>
      </c>
      <c r="AH126" s="504">
        <v>185</v>
      </c>
      <c r="AI126" s="505">
        <v>37</v>
      </c>
    </row>
    <row r="127" spans="1:35" ht="21.95" customHeight="1">
      <c r="A127" s="580"/>
      <c r="B127" s="1299" t="s">
        <v>572</v>
      </c>
      <c r="C127" s="1313"/>
      <c r="D127" s="1313"/>
      <c r="E127" s="1379" t="s">
        <v>708</v>
      </c>
      <c r="F127" s="1379" t="s">
        <v>708</v>
      </c>
      <c r="G127" s="1379" t="s">
        <v>708</v>
      </c>
      <c r="H127" s="1379" t="s">
        <v>708</v>
      </c>
      <c r="I127" s="1379" t="s">
        <v>708</v>
      </c>
      <c r="J127" s="1313"/>
      <c r="K127" s="1313"/>
      <c r="L127" s="1313" t="s">
        <v>708</v>
      </c>
      <c r="M127" s="1313" t="s">
        <v>708</v>
      </c>
      <c r="N127" s="1313" t="s">
        <v>708</v>
      </c>
      <c r="O127" s="1313" t="s">
        <v>708</v>
      </c>
      <c r="P127" s="1313" t="s">
        <v>708</v>
      </c>
      <c r="Q127" s="1313"/>
      <c r="R127" s="1313"/>
      <c r="S127" s="1313" t="s">
        <v>708</v>
      </c>
      <c r="T127" s="1313" t="s">
        <v>708</v>
      </c>
      <c r="U127" s="1313" t="s">
        <v>708</v>
      </c>
      <c r="V127" s="1313" t="s">
        <v>708</v>
      </c>
      <c r="W127" s="1313" t="s">
        <v>708</v>
      </c>
      <c r="X127" s="1313"/>
      <c r="Y127" s="1313"/>
      <c r="Z127" s="1313" t="s">
        <v>708</v>
      </c>
      <c r="AA127" s="1313" t="s">
        <v>708</v>
      </c>
      <c r="AB127" s="1313" t="s">
        <v>708</v>
      </c>
      <c r="AC127" s="1313" t="s">
        <v>708</v>
      </c>
      <c r="AD127" s="1313" t="s">
        <v>708</v>
      </c>
      <c r="AE127" s="1313"/>
      <c r="AF127" s="1313"/>
      <c r="AG127" s="1313" t="s">
        <v>708</v>
      </c>
      <c r="AH127" s="504">
        <v>185</v>
      </c>
      <c r="AI127" s="505">
        <v>37</v>
      </c>
    </row>
    <row r="128" spans="1:35" ht="21.95" customHeight="1">
      <c r="A128" s="580"/>
      <c r="B128" s="1299" t="s">
        <v>722</v>
      </c>
      <c r="C128" s="1313"/>
      <c r="D128" s="1313"/>
      <c r="E128" s="1379" t="s">
        <v>538</v>
      </c>
      <c r="F128" s="1379" t="s">
        <v>538</v>
      </c>
      <c r="G128" s="1379" t="s">
        <v>538</v>
      </c>
      <c r="H128" s="1379" t="s">
        <v>538</v>
      </c>
      <c r="I128" s="1379" t="s">
        <v>538</v>
      </c>
      <c r="J128" s="1379"/>
      <c r="K128" s="1379"/>
      <c r="L128" s="1313" t="s">
        <v>538</v>
      </c>
      <c r="M128" s="1313" t="s">
        <v>538</v>
      </c>
      <c r="N128" s="1313" t="s">
        <v>538</v>
      </c>
      <c r="O128" s="1313" t="s">
        <v>538</v>
      </c>
      <c r="P128" s="1313" t="s">
        <v>538</v>
      </c>
      <c r="Q128" s="1313"/>
      <c r="R128" s="1313"/>
      <c r="S128" s="1313" t="s">
        <v>538</v>
      </c>
      <c r="T128" s="1313" t="s">
        <v>538</v>
      </c>
      <c r="U128" s="1313" t="s">
        <v>538</v>
      </c>
      <c r="V128" s="1313" t="s">
        <v>538</v>
      </c>
      <c r="W128" s="1313" t="s">
        <v>538</v>
      </c>
      <c r="X128" s="1313"/>
      <c r="Y128" s="1313"/>
      <c r="Z128" s="1313" t="s">
        <v>538</v>
      </c>
      <c r="AA128" s="1313" t="s">
        <v>538</v>
      </c>
      <c r="AB128" s="1313" t="s">
        <v>538</v>
      </c>
      <c r="AC128" s="1313" t="s">
        <v>538</v>
      </c>
      <c r="AD128" s="1313" t="s">
        <v>538</v>
      </c>
      <c r="AE128" s="1313"/>
      <c r="AF128" s="1313"/>
      <c r="AG128" s="1313" t="s">
        <v>538</v>
      </c>
      <c r="AH128" s="504">
        <v>185</v>
      </c>
      <c r="AI128" s="505">
        <v>37</v>
      </c>
    </row>
    <row r="129" spans="1:35" ht="21.95" customHeight="1">
      <c r="A129" s="580"/>
      <c r="B129" s="1299" t="s">
        <v>723</v>
      </c>
      <c r="C129" s="1313"/>
      <c r="D129" s="1313"/>
      <c r="E129" s="1313" t="s">
        <v>711</v>
      </c>
      <c r="F129" s="1313" t="s">
        <v>711</v>
      </c>
      <c r="G129" s="1313" t="s">
        <v>711</v>
      </c>
      <c r="H129" s="1313" t="s">
        <v>711</v>
      </c>
      <c r="I129" s="1313" t="s">
        <v>711</v>
      </c>
      <c r="J129" s="1313"/>
      <c r="K129" s="1313"/>
      <c r="L129" s="1313" t="s">
        <v>711</v>
      </c>
      <c r="M129" s="1313" t="s">
        <v>711</v>
      </c>
      <c r="N129" s="1313" t="s">
        <v>711</v>
      </c>
      <c r="O129" s="1313" t="s">
        <v>711</v>
      </c>
      <c r="P129" s="1313" t="s">
        <v>711</v>
      </c>
      <c r="Q129" s="1313"/>
      <c r="R129" s="1313"/>
      <c r="S129" s="1628" t="s">
        <v>711</v>
      </c>
      <c r="T129" s="1313" t="s">
        <v>711</v>
      </c>
      <c r="U129" s="1313" t="s">
        <v>711</v>
      </c>
      <c r="V129" s="1313" t="s">
        <v>711</v>
      </c>
      <c r="W129" s="1313" t="s">
        <v>711</v>
      </c>
      <c r="X129" s="1313"/>
      <c r="Y129" s="1313"/>
      <c r="Z129" s="1313" t="s">
        <v>711</v>
      </c>
      <c r="AA129" s="1313" t="s">
        <v>711</v>
      </c>
      <c r="AB129" s="1313" t="s">
        <v>711</v>
      </c>
      <c r="AC129" s="1313" t="s">
        <v>711</v>
      </c>
      <c r="AD129" s="1313" t="s">
        <v>711</v>
      </c>
      <c r="AE129" s="1313"/>
      <c r="AF129" s="1313"/>
      <c r="AG129" s="1379" t="s">
        <v>711</v>
      </c>
      <c r="AH129" s="504">
        <v>185</v>
      </c>
      <c r="AI129" s="505">
        <v>37</v>
      </c>
    </row>
    <row r="130" spans="1:35" ht="21.95" customHeight="1">
      <c r="A130" s="580"/>
      <c r="B130" s="1299" t="s">
        <v>724</v>
      </c>
      <c r="C130" s="1379"/>
      <c r="D130" s="1379"/>
      <c r="E130" s="1313" t="s">
        <v>544</v>
      </c>
      <c r="F130" s="1313" t="s">
        <v>544</v>
      </c>
      <c r="G130" s="1313" t="s">
        <v>544</v>
      </c>
      <c r="H130" s="1313" t="s">
        <v>544</v>
      </c>
      <c r="I130" s="1313" t="s">
        <v>544</v>
      </c>
      <c r="J130" s="1313"/>
      <c r="K130" s="1313"/>
      <c r="L130" s="1313" t="s">
        <v>544</v>
      </c>
      <c r="M130" s="1313" t="s">
        <v>544</v>
      </c>
      <c r="N130" s="1313" t="s">
        <v>544</v>
      </c>
      <c r="O130" s="1313" t="s">
        <v>544</v>
      </c>
      <c r="P130" s="1313" t="s">
        <v>544</v>
      </c>
      <c r="Q130" s="1313"/>
      <c r="R130" s="1313"/>
      <c r="S130" s="1313" t="s">
        <v>544</v>
      </c>
      <c r="T130" s="1313" t="s">
        <v>544</v>
      </c>
      <c r="U130" s="1313" t="s">
        <v>544</v>
      </c>
      <c r="V130" s="1313" t="s">
        <v>544</v>
      </c>
      <c r="W130" s="1313" t="s">
        <v>544</v>
      </c>
      <c r="X130" s="1313"/>
      <c r="Y130" s="1313"/>
      <c r="Z130" s="1313" t="s">
        <v>544</v>
      </c>
      <c r="AA130" s="1313" t="s">
        <v>544</v>
      </c>
      <c r="AB130" s="1313" t="s">
        <v>544</v>
      </c>
      <c r="AC130" s="1313" t="s">
        <v>544</v>
      </c>
      <c r="AD130" s="1313" t="s">
        <v>544</v>
      </c>
      <c r="AE130" s="1313"/>
      <c r="AF130" s="1313"/>
      <c r="AG130" s="1313" t="s">
        <v>544</v>
      </c>
      <c r="AH130" s="504">
        <v>185</v>
      </c>
      <c r="AI130" s="505">
        <v>37</v>
      </c>
    </row>
    <row r="131" spans="1:35" ht="21.95" customHeight="1">
      <c r="A131" s="580"/>
      <c r="B131" s="1502"/>
      <c r="C131" s="559"/>
      <c r="D131" s="559"/>
      <c r="E131" s="559"/>
      <c r="F131" s="559"/>
      <c r="G131" s="559"/>
      <c r="H131" s="559"/>
      <c r="I131" s="559"/>
      <c r="J131" s="559"/>
      <c r="K131" s="559"/>
      <c r="L131" s="559"/>
      <c r="M131" s="559"/>
      <c r="N131" s="559"/>
      <c r="O131" s="559"/>
      <c r="P131" s="559"/>
      <c r="Q131" s="559"/>
      <c r="R131" s="559"/>
      <c r="S131" s="559"/>
      <c r="T131" s="559"/>
      <c r="U131" s="559"/>
      <c r="V131" s="559"/>
      <c r="W131" s="559"/>
      <c r="X131" s="559"/>
      <c r="Y131" s="559"/>
      <c r="Z131" s="559"/>
      <c r="AA131" s="559"/>
      <c r="AB131" s="559"/>
      <c r="AC131" s="559"/>
      <c r="AD131" s="559"/>
      <c r="AE131" s="559"/>
      <c r="AF131" s="559"/>
      <c r="AG131" s="559"/>
      <c r="AH131" s="560"/>
      <c r="AI131" s="560"/>
    </row>
    <row r="132" spans="1:35" ht="21.95" customHeight="1" thickBot="1">
      <c r="A132" s="1303" t="s">
        <v>744</v>
      </c>
      <c r="B132" s="541" t="s">
        <v>763</v>
      </c>
      <c r="C132" s="559"/>
      <c r="D132" s="541"/>
      <c r="E132" s="541"/>
      <c r="F132" s="541"/>
      <c r="G132" s="541"/>
      <c r="H132" s="541"/>
      <c r="I132" s="559"/>
      <c r="J132" s="559"/>
      <c r="K132" s="541"/>
      <c r="L132" s="541"/>
      <c r="M132" s="541"/>
      <c r="N132" s="541"/>
      <c r="O132" s="541"/>
      <c r="P132" s="541"/>
      <c r="Q132" s="559"/>
      <c r="R132" s="541"/>
      <c r="S132" s="541"/>
      <c r="T132" s="541"/>
      <c r="U132" s="541"/>
      <c r="V132" s="541"/>
      <c r="W132" s="559"/>
      <c r="X132" s="559"/>
      <c r="Y132" s="541"/>
      <c r="Z132" s="541"/>
      <c r="AA132" s="541"/>
      <c r="AB132" s="541"/>
      <c r="AC132" s="541"/>
      <c r="AD132" s="541"/>
      <c r="AE132" s="559"/>
      <c r="AF132" s="541"/>
      <c r="AG132" s="541"/>
      <c r="AH132" s="560"/>
      <c r="AI132" s="560"/>
    </row>
    <row r="133" spans="1:35" ht="21.95" customHeight="1">
      <c r="A133" s="580"/>
      <c r="B133" s="1304" t="s">
        <v>696</v>
      </c>
      <c r="C133" s="1312"/>
      <c r="D133" s="1305" t="s">
        <v>2</v>
      </c>
      <c r="E133" s="1306"/>
      <c r="F133" s="1307"/>
      <c r="G133" s="1308"/>
      <c r="H133" s="1305" t="s">
        <v>3</v>
      </c>
      <c r="I133" s="1306"/>
      <c r="J133" s="1307"/>
      <c r="K133" s="1308"/>
      <c r="L133" s="1305" t="s">
        <v>4</v>
      </c>
      <c r="M133" s="1306"/>
      <c r="N133" s="1307"/>
      <c r="O133" s="1308"/>
      <c r="P133" s="1305" t="s">
        <v>5</v>
      </c>
      <c r="Q133" s="1306"/>
      <c r="R133" s="1307"/>
      <c r="S133" s="1308"/>
      <c r="T133" s="1305" t="s">
        <v>6</v>
      </c>
      <c r="U133" s="1306"/>
      <c r="V133" s="1307"/>
      <c r="W133" s="1308"/>
      <c r="X133" s="1305" t="s">
        <v>7</v>
      </c>
      <c r="Y133" s="1306"/>
      <c r="Z133" s="1307"/>
      <c r="AA133" s="1308"/>
      <c r="AB133" s="1305" t="s">
        <v>8</v>
      </c>
      <c r="AC133" s="1306"/>
      <c r="AD133" s="1306"/>
      <c r="AE133" s="1309" t="s">
        <v>10</v>
      </c>
      <c r="AF133" s="1306"/>
      <c r="AG133" s="1306"/>
      <c r="AH133" s="1306"/>
      <c r="AI133" s="1310"/>
    </row>
    <row r="134" spans="1:35" ht="21.95" customHeight="1">
      <c r="A134" s="580"/>
      <c r="B134" s="1332"/>
      <c r="C134" s="1313"/>
      <c r="D134" s="1331"/>
      <c r="E134" s="1314"/>
      <c r="F134" s="1311"/>
      <c r="G134" s="1313"/>
      <c r="H134" s="1331"/>
      <c r="I134" s="1314"/>
      <c r="J134" s="1311"/>
      <c r="K134" s="1313"/>
      <c r="L134" s="1331"/>
      <c r="M134" s="1314"/>
      <c r="N134" s="1311"/>
      <c r="O134" s="1313"/>
      <c r="P134" s="1331"/>
      <c r="Q134" s="1314"/>
      <c r="R134" s="1311"/>
      <c r="S134" s="1313"/>
      <c r="T134" s="1331"/>
      <c r="U134" s="1314"/>
      <c r="V134" s="1311"/>
      <c r="W134" s="1313"/>
      <c r="X134" s="1314"/>
      <c r="Y134" s="1314"/>
      <c r="Z134" s="1311"/>
      <c r="AA134" s="1313"/>
      <c r="AB134" s="1314"/>
      <c r="AC134" s="1314"/>
      <c r="AD134" s="1314"/>
      <c r="AE134" s="1313"/>
      <c r="AF134" s="1314"/>
      <c r="AG134" s="1314"/>
      <c r="AH134" s="1316"/>
      <c r="AI134" s="1317"/>
    </row>
    <row r="135" spans="1:35" ht="21.95" customHeight="1">
      <c r="A135" s="580"/>
      <c r="B135" s="1333"/>
      <c r="C135" s="1313"/>
      <c r="D135" s="1331"/>
      <c r="E135" s="1314"/>
      <c r="F135" s="1311"/>
      <c r="G135" s="1313"/>
      <c r="H135" s="1331"/>
      <c r="I135" s="1314"/>
      <c r="J135" s="1311"/>
      <c r="K135" s="1313"/>
      <c r="L135" s="1331"/>
      <c r="M135" s="1314"/>
      <c r="N135" s="1311"/>
      <c r="O135" s="1313"/>
      <c r="P135" s="1331"/>
      <c r="Q135" s="1314"/>
      <c r="R135" s="1311"/>
      <c r="S135" s="1313"/>
      <c r="T135" s="1331"/>
      <c r="U135" s="1314"/>
      <c r="V135" s="1311"/>
      <c r="W135" s="1313"/>
      <c r="X135" s="1314"/>
      <c r="Y135" s="1314"/>
      <c r="Z135" s="1311"/>
      <c r="AA135" s="1313"/>
      <c r="AB135" s="1314"/>
      <c r="AC135" s="1314"/>
      <c r="AD135" s="1314"/>
      <c r="AE135" s="1313"/>
      <c r="AF135" s="1314"/>
      <c r="AG135" s="1314"/>
      <c r="AH135" s="1316"/>
      <c r="AI135" s="1317"/>
    </row>
    <row r="136" spans="1:35" ht="21.95" customHeight="1">
      <c r="A136" s="580"/>
      <c r="B136" s="1333"/>
      <c r="C136" s="1313"/>
      <c r="D136" s="1331"/>
      <c r="E136" s="1314"/>
      <c r="F136" s="1311"/>
      <c r="G136" s="1313"/>
      <c r="H136" s="1331"/>
      <c r="I136" s="1314"/>
      <c r="J136" s="1311"/>
      <c r="K136" s="1313"/>
      <c r="L136" s="1331"/>
      <c r="M136" s="1314"/>
      <c r="N136" s="1311"/>
      <c r="O136" s="1313"/>
      <c r="P136" s="1331"/>
      <c r="Q136" s="1314"/>
      <c r="R136" s="1311"/>
      <c r="S136" s="1313"/>
      <c r="T136" s="1331"/>
      <c r="U136" s="1314"/>
      <c r="V136" s="1311"/>
      <c r="W136" s="1313"/>
      <c r="X136" s="1314"/>
      <c r="Y136" s="1314"/>
      <c r="Z136" s="1311"/>
      <c r="AA136" s="1313"/>
      <c r="AB136" s="1314"/>
      <c r="AC136" s="1314"/>
      <c r="AD136" s="1314"/>
      <c r="AE136" s="1313"/>
      <c r="AF136" s="1314"/>
      <c r="AG136" s="1314"/>
      <c r="AH136" s="1316"/>
      <c r="AI136" s="1317"/>
    </row>
    <row r="137" spans="1:35" ht="21.95" customHeight="1" thickBot="1">
      <c r="A137" s="580"/>
      <c r="B137" s="1502"/>
      <c r="C137" s="559"/>
      <c r="D137" s="559"/>
      <c r="E137" s="559"/>
      <c r="F137" s="559"/>
      <c r="G137" s="559"/>
      <c r="H137" s="559"/>
      <c r="I137" s="559"/>
      <c r="J137" s="559"/>
      <c r="K137" s="559"/>
      <c r="L137" s="559"/>
      <c r="M137" s="559"/>
      <c r="N137" s="559"/>
      <c r="O137" s="559"/>
      <c r="P137" s="559"/>
      <c r="Q137" s="559"/>
      <c r="R137" s="559"/>
      <c r="S137" s="559"/>
      <c r="T137" s="559"/>
      <c r="U137" s="559"/>
      <c r="V137" s="559"/>
      <c r="W137" s="559"/>
      <c r="X137" s="559"/>
      <c r="Y137" s="559"/>
      <c r="Z137" s="559"/>
      <c r="AA137" s="559"/>
      <c r="AB137" s="559"/>
      <c r="AC137" s="559"/>
      <c r="AD137" s="559"/>
      <c r="AE137" s="559"/>
      <c r="AF137" s="559"/>
      <c r="AG137" s="559"/>
      <c r="AH137" s="560"/>
      <c r="AI137" s="560"/>
    </row>
    <row r="138" spans="1:35" ht="21.95" customHeight="1">
      <c r="A138" s="1232"/>
      <c r="B138" s="1298" t="s">
        <v>480</v>
      </c>
      <c r="C138" s="1235">
        <v>1</v>
      </c>
      <c r="D138" s="1235">
        <v>2</v>
      </c>
      <c r="E138" s="1234">
        <v>3</v>
      </c>
      <c r="F138" s="1234">
        <v>4</v>
      </c>
      <c r="G138" s="1234">
        <v>5</v>
      </c>
      <c r="H138" s="1234">
        <v>6</v>
      </c>
      <c r="I138" s="1213">
        <v>7</v>
      </c>
      <c r="J138" s="1330">
        <v>8</v>
      </c>
      <c r="K138" s="1235">
        <v>9</v>
      </c>
      <c r="L138" s="1234">
        <v>10</v>
      </c>
      <c r="M138" s="1234">
        <v>11</v>
      </c>
      <c r="N138" s="1234">
        <v>12</v>
      </c>
      <c r="O138" s="1234">
        <v>13</v>
      </c>
      <c r="P138" s="1213">
        <v>14</v>
      </c>
      <c r="Q138" s="1330">
        <v>15</v>
      </c>
      <c r="R138" s="1235">
        <v>16</v>
      </c>
      <c r="S138" s="1234">
        <v>17</v>
      </c>
      <c r="T138" s="1234">
        <v>18</v>
      </c>
      <c r="U138" s="1234">
        <v>19</v>
      </c>
      <c r="V138" s="1213">
        <v>20</v>
      </c>
      <c r="W138" s="1213">
        <v>21</v>
      </c>
      <c r="X138" s="1330">
        <v>22</v>
      </c>
      <c r="Y138" s="1235">
        <v>23</v>
      </c>
      <c r="Z138" s="1234">
        <v>24</v>
      </c>
      <c r="AA138" s="1234">
        <v>25</v>
      </c>
      <c r="AB138" s="1234">
        <v>26</v>
      </c>
      <c r="AC138" s="1234">
        <v>27</v>
      </c>
      <c r="AD138" s="1213">
        <v>28</v>
      </c>
      <c r="AE138" s="1330">
        <v>29</v>
      </c>
      <c r="AF138" s="1235">
        <v>30</v>
      </c>
      <c r="AG138" s="1234">
        <v>31</v>
      </c>
      <c r="AH138" s="1301" t="s">
        <v>481</v>
      </c>
      <c r="AI138" s="1302" t="s">
        <v>482</v>
      </c>
    </row>
    <row r="139" spans="1:35" ht="21.95" customHeight="1">
      <c r="A139" s="580"/>
      <c r="B139" s="1300" t="s">
        <v>746</v>
      </c>
      <c r="C139" s="1215"/>
      <c r="D139" s="1215"/>
      <c r="E139" s="1215" t="s">
        <v>535</v>
      </c>
      <c r="F139" s="1215" t="s">
        <v>535</v>
      </c>
      <c r="G139" s="1215" t="s">
        <v>535</v>
      </c>
      <c r="H139" s="1215" t="s">
        <v>535</v>
      </c>
      <c r="I139" s="1215" t="s">
        <v>535</v>
      </c>
      <c r="J139" s="1215"/>
      <c r="K139" s="1215"/>
      <c r="L139" s="1215" t="s">
        <v>535</v>
      </c>
      <c r="M139" s="1215" t="s">
        <v>535</v>
      </c>
      <c r="N139" s="1215" t="s">
        <v>535</v>
      </c>
      <c r="O139" s="1215" t="s">
        <v>535</v>
      </c>
      <c r="P139" s="1215" t="s">
        <v>535</v>
      </c>
      <c r="Q139" s="1215"/>
      <c r="R139" s="1215"/>
      <c r="S139" s="1215" t="s">
        <v>535</v>
      </c>
      <c r="T139" s="1215" t="s">
        <v>535</v>
      </c>
      <c r="U139" s="1215" t="s">
        <v>535</v>
      </c>
      <c r="V139" s="1215" t="s">
        <v>514</v>
      </c>
      <c r="W139" s="1215" t="s">
        <v>535</v>
      </c>
      <c r="X139" s="1215"/>
      <c r="Y139" s="1215"/>
      <c r="Z139" s="1215" t="s">
        <v>535</v>
      </c>
      <c r="AA139" s="1215" t="s">
        <v>535</v>
      </c>
      <c r="AB139" s="1215" t="s">
        <v>535</v>
      </c>
      <c r="AC139" s="1215" t="s">
        <v>535</v>
      </c>
      <c r="AD139" s="1215" t="s">
        <v>535</v>
      </c>
      <c r="AE139" s="1215"/>
      <c r="AF139" s="1215"/>
      <c r="AG139" s="1216" t="s">
        <v>535</v>
      </c>
      <c r="AH139" s="504">
        <v>185</v>
      </c>
      <c r="AI139" s="505">
        <v>37</v>
      </c>
    </row>
    <row r="140" spans="1:35" ht="21.95" customHeight="1">
      <c r="A140" s="580"/>
      <c r="B140" s="1300" t="s">
        <v>764</v>
      </c>
      <c r="C140" s="1215"/>
      <c r="D140" s="1215"/>
      <c r="E140" s="1215" t="s">
        <v>535</v>
      </c>
      <c r="F140" s="1215" t="s">
        <v>535</v>
      </c>
      <c r="G140" s="1215" t="s">
        <v>535</v>
      </c>
      <c r="H140" s="1215" t="s">
        <v>535</v>
      </c>
      <c r="I140" s="1215" t="s">
        <v>535</v>
      </c>
      <c r="J140" s="1215"/>
      <c r="K140" s="1215"/>
      <c r="L140" s="1215" t="s">
        <v>535</v>
      </c>
      <c r="M140" s="1215" t="s">
        <v>535</v>
      </c>
      <c r="N140" s="1215" t="s">
        <v>535</v>
      </c>
      <c r="O140" s="1215" t="s">
        <v>535</v>
      </c>
      <c r="P140" s="1215" t="s">
        <v>535</v>
      </c>
      <c r="Q140" s="1215"/>
      <c r="R140" s="1215"/>
      <c r="S140" s="1215" t="s">
        <v>535</v>
      </c>
      <c r="T140" s="1215" t="s">
        <v>535</v>
      </c>
      <c r="U140" s="1215" t="s">
        <v>535</v>
      </c>
      <c r="V140" s="1215" t="s">
        <v>535</v>
      </c>
      <c r="W140" s="1215" t="s">
        <v>535</v>
      </c>
      <c r="X140" s="1215"/>
      <c r="Y140" s="1215"/>
      <c r="Z140" s="1215" t="s">
        <v>535</v>
      </c>
      <c r="AA140" s="1215" t="s">
        <v>535</v>
      </c>
      <c r="AB140" s="1215" t="s">
        <v>535</v>
      </c>
      <c r="AC140" s="1215" t="s">
        <v>535</v>
      </c>
      <c r="AD140" s="1215" t="s">
        <v>535</v>
      </c>
      <c r="AE140" s="1215"/>
      <c r="AF140" s="1215"/>
      <c r="AG140" s="1216" t="s">
        <v>535</v>
      </c>
      <c r="AH140" s="504">
        <v>185</v>
      </c>
      <c r="AI140" s="505">
        <v>37</v>
      </c>
    </row>
    <row r="141" spans="1:35" ht="21.95" customHeight="1">
      <c r="A141" s="580"/>
      <c r="B141" s="1300" t="s">
        <v>748</v>
      </c>
      <c r="C141" s="1215"/>
      <c r="D141" s="1215"/>
      <c r="E141" s="1215" t="s">
        <v>535</v>
      </c>
      <c r="F141" s="1215" t="s">
        <v>535</v>
      </c>
      <c r="G141" s="1215" t="s">
        <v>535</v>
      </c>
      <c r="H141" s="1215" t="s">
        <v>535</v>
      </c>
      <c r="I141" s="1215" t="s">
        <v>535</v>
      </c>
      <c r="J141" s="1215"/>
      <c r="K141" s="1215"/>
      <c r="L141" s="1215" t="s">
        <v>535</v>
      </c>
      <c r="M141" s="1215" t="s">
        <v>535</v>
      </c>
      <c r="N141" s="1215" t="s">
        <v>535</v>
      </c>
      <c r="O141" s="1215" t="s">
        <v>535</v>
      </c>
      <c r="P141" s="1215" t="s">
        <v>535</v>
      </c>
      <c r="Q141" s="1215"/>
      <c r="R141" s="1215"/>
      <c r="S141" s="1215" t="s">
        <v>535</v>
      </c>
      <c r="T141" s="1215" t="s">
        <v>535</v>
      </c>
      <c r="U141" s="1215" t="s">
        <v>535</v>
      </c>
      <c r="V141" s="1215" t="s">
        <v>535</v>
      </c>
      <c r="W141" s="1215" t="s">
        <v>535</v>
      </c>
      <c r="X141" s="1215"/>
      <c r="Y141" s="1215"/>
      <c r="Z141" s="1215" t="s">
        <v>535</v>
      </c>
      <c r="AA141" s="1215" t="s">
        <v>535</v>
      </c>
      <c r="AB141" s="1215" t="s">
        <v>535</v>
      </c>
      <c r="AC141" s="1215" t="s">
        <v>535</v>
      </c>
      <c r="AD141" s="1215" t="s">
        <v>535</v>
      </c>
      <c r="AE141" s="1215"/>
      <c r="AF141" s="1215"/>
      <c r="AG141" s="1216" t="s">
        <v>535</v>
      </c>
      <c r="AH141" s="504">
        <v>185</v>
      </c>
      <c r="AI141" s="505">
        <v>37</v>
      </c>
    </row>
    <row r="142" spans="1:35" ht="21.95" customHeight="1">
      <c r="A142" s="580"/>
      <c r="B142" s="1664" t="s">
        <v>826</v>
      </c>
      <c r="C142" s="1215"/>
      <c r="D142" s="1215"/>
      <c r="E142" s="1215" t="s">
        <v>535</v>
      </c>
      <c r="F142" s="1215" t="s">
        <v>535</v>
      </c>
      <c r="G142" s="1215" t="s">
        <v>535</v>
      </c>
      <c r="H142" s="1215" t="s">
        <v>535</v>
      </c>
      <c r="I142" s="1215" t="s">
        <v>535</v>
      </c>
      <c r="J142" s="1215"/>
      <c r="K142" s="1215"/>
      <c r="L142" s="1215" t="s">
        <v>535</v>
      </c>
      <c r="M142" s="1215" t="s">
        <v>535</v>
      </c>
      <c r="N142" s="1215" t="s">
        <v>535</v>
      </c>
      <c r="O142" s="1215" t="s">
        <v>535</v>
      </c>
      <c r="P142" s="1215" t="s">
        <v>535</v>
      </c>
      <c r="Q142" s="1215"/>
      <c r="R142" s="1215"/>
      <c r="S142" s="1338" t="s">
        <v>535</v>
      </c>
      <c r="T142" s="1338" t="s">
        <v>535</v>
      </c>
      <c r="U142" s="1338" t="s">
        <v>535</v>
      </c>
      <c r="V142" s="1338" t="s">
        <v>535</v>
      </c>
      <c r="W142" s="1338" t="s">
        <v>535</v>
      </c>
      <c r="X142" s="1215"/>
      <c r="Y142" s="1215"/>
      <c r="Z142" s="1215" t="s">
        <v>535</v>
      </c>
      <c r="AA142" s="1637" t="s">
        <v>535</v>
      </c>
      <c r="AB142" s="1215" t="s">
        <v>535</v>
      </c>
      <c r="AC142" s="1215" t="s">
        <v>535</v>
      </c>
      <c r="AD142" s="1215" t="s">
        <v>535</v>
      </c>
      <c r="AE142" s="1215"/>
      <c r="AF142" s="1215"/>
      <c r="AG142" s="1216" t="s">
        <v>535</v>
      </c>
      <c r="AH142" s="504">
        <v>185</v>
      </c>
      <c r="AI142" s="505">
        <v>37</v>
      </c>
    </row>
    <row r="143" spans="1:35" ht="21.95" customHeight="1">
      <c r="A143" s="580"/>
      <c r="B143" s="1300" t="s">
        <v>786</v>
      </c>
      <c r="C143" s="1215"/>
      <c r="D143" s="1215"/>
      <c r="E143" s="1215" t="s">
        <v>535</v>
      </c>
      <c r="F143" s="1215" t="s">
        <v>535</v>
      </c>
      <c r="G143" s="1215" t="s">
        <v>535</v>
      </c>
      <c r="H143" s="1215" t="s">
        <v>535</v>
      </c>
      <c r="I143" s="1215" t="s">
        <v>535</v>
      </c>
      <c r="J143" s="1215"/>
      <c r="K143" s="1215"/>
      <c r="L143" s="1215" t="s">
        <v>535</v>
      </c>
      <c r="M143" s="1215" t="s">
        <v>535</v>
      </c>
      <c r="N143" s="1215" t="s">
        <v>535</v>
      </c>
      <c r="O143" s="1215" t="s">
        <v>535</v>
      </c>
      <c r="P143" s="1215" t="s">
        <v>535</v>
      </c>
      <c r="Q143" s="1215"/>
      <c r="R143" s="1215"/>
      <c r="S143" s="1392" t="s">
        <v>535</v>
      </c>
      <c r="T143" s="1392" t="s">
        <v>535</v>
      </c>
      <c r="U143" s="1392" t="s">
        <v>535</v>
      </c>
      <c r="V143" s="1392" t="s">
        <v>535</v>
      </c>
      <c r="W143" s="1392" t="s">
        <v>570</v>
      </c>
      <c r="X143" s="1215"/>
      <c r="Y143" s="1215"/>
      <c r="Z143" s="1215" t="s">
        <v>535</v>
      </c>
      <c r="AA143" s="1215" t="s">
        <v>535</v>
      </c>
      <c r="AB143" s="1215" t="s">
        <v>535</v>
      </c>
      <c r="AC143" s="1215" t="s">
        <v>535</v>
      </c>
      <c r="AD143" s="1215" t="s">
        <v>535</v>
      </c>
      <c r="AE143" s="1215"/>
      <c r="AF143" s="1215"/>
      <c r="AG143" s="1216" t="s">
        <v>535</v>
      </c>
      <c r="AH143" s="504">
        <v>185</v>
      </c>
      <c r="AI143" s="505">
        <v>37</v>
      </c>
    </row>
    <row r="144" spans="1:35" ht="21.95" customHeight="1">
      <c r="A144" s="580"/>
      <c r="B144" s="1663" t="s">
        <v>820</v>
      </c>
      <c r="C144" s="1219"/>
      <c r="D144" s="1219"/>
      <c r="E144" s="1219" t="s">
        <v>535</v>
      </c>
      <c r="F144" s="1219" t="s">
        <v>535</v>
      </c>
      <c r="G144" s="1219" t="s">
        <v>535</v>
      </c>
      <c r="H144" s="1219" t="s">
        <v>535</v>
      </c>
      <c r="I144" s="1219" t="s">
        <v>535</v>
      </c>
      <c r="J144" s="1219"/>
      <c r="K144" s="1219"/>
      <c r="L144" s="1219" t="s">
        <v>535</v>
      </c>
      <c r="M144" s="1219" t="s">
        <v>535</v>
      </c>
      <c r="N144" s="1219" t="s">
        <v>535</v>
      </c>
      <c r="O144" s="1219" t="s">
        <v>535</v>
      </c>
      <c r="P144" s="1219" t="s">
        <v>535</v>
      </c>
      <c r="Q144" s="1219"/>
      <c r="R144" s="1219"/>
      <c r="S144" s="1219" t="s">
        <v>535</v>
      </c>
      <c r="T144" s="1219" t="s">
        <v>535</v>
      </c>
      <c r="U144" s="1219" t="s">
        <v>535</v>
      </c>
      <c r="V144" s="1219" t="s">
        <v>535</v>
      </c>
      <c r="W144" s="1219" t="s">
        <v>535</v>
      </c>
      <c r="X144" s="1219"/>
      <c r="Y144" s="1219"/>
      <c r="Z144" s="1219" t="s">
        <v>535</v>
      </c>
      <c r="AA144" s="1219" t="s">
        <v>535</v>
      </c>
      <c r="AB144" s="1219" t="s">
        <v>535</v>
      </c>
      <c r="AC144" s="1677" t="s">
        <v>535</v>
      </c>
      <c r="AD144" s="1677" t="s">
        <v>535</v>
      </c>
      <c r="AE144" s="1219"/>
      <c r="AF144" s="1219"/>
      <c r="AG144" s="1678" t="s">
        <v>535</v>
      </c>
      <c r="AH144" s="603">
        <v>185</v>
      </c>
      <c r="AI144" s="604">
        <v>37</v>
      </c>
    </row>
    <row r="145" spans="1:36" ht="21.95" customHeight="1">
      <c r="A145" s="580"/>
      <c r="B145" s="1665" t="s">
        <v>552</v>
      </c>
      <c r="C145" s="1567"/>
      <c r="D145" s="1567"/>
      <c r="E145" s="1229" t="s">
        <v>535</v>
      </c>
      <c r="F145" s="1229" t="s">
        <v>535</v>
      </c>
      <c r="G145" s="1229" t="s">
        <v>535</v>
      </c>
      <c r="H145" s="1229" t="s">
        <v>535</v>
      </c>
      <c r="I145" s="1229" t="s">
        <v>535</v>
      </c>
      <c r="J145" s="1229"/>
      <c r="K145" s="1229"/>
      <c r="L145" s="1229" t="s">
        <v>535</v>
      </c>
      <c r="M145" s="1229" t="s">
        <v>535</v>
      </c>
      <c r="N145" s="1229" t="s">
        <v>535</v>
      </c>
      <c r="O145" s="1229" t="s">
        <v>535</v>
      </c>
      <c r="P145" s="1229" t="s">
        <v>535</v>
      </c>
      <c r="Q145" s="1229"/>
      <c r="R145" s="1229"/>
      <c r="S145" s="1229" t="s">
        <v>535</v>
      </c>
      <c r="T145" s="1229" t="s">
        <v>535</v>
      </c>
      <c r="U145" s="1229" t="s">
        <v>535</v>
      </c>
      <c r="V145" s="1229" t="s">
        <v>535</v>
      </c>
      <c r="W145" s="1229" t="s">
        <v>535</v>
      </c>
      <c r="X145" s="1229"/>
      <c r="Y145" s="1229"/>
      <c r="Z145" s="1229" t="s">
        <v>535</v>
      </c>
      <c r="AA145" s="1229" t="s">
        <v>535</v>
      </c>
      <c r="AB145" s="1229" t="s">
        <v>535</v>
      </c>
      <c r="AC145" s="1229" t="s">
        <v>535</v>
      </c>
      <c r="AD145" s="1229" t="s">
        <v>535</v>
      </c>
      <c r="AE145" s="1567"/>
      <c r="AF145" s="1567"/>
      <c r="AG145" s="1567"/>
      <c r="AH145" s="904"/>
      <c r="AI145" s="904"/>
    </row>
    <row r="146" spans="1:36" ht="21.95" customHeight="1" thickBot="1">
      <c r="A146" s="1303" t="s">
        <v>751</v>
      </c>
      <c r="B146" s="541"/>
      <c r="C146" s="559"/>
      <c r="D146" s="541"/>
      <c r="E146" s="541"/>
      <c r="F146" s="541"/>
      <c r="G146" s="541"/>
      <c r="H146" s="541"/>
      <c r="I146" s="559"/>
      <c r="J146" s="559"/>
      <c r="K146" s="541"/>
      <c r="L146" s="541"/>
      <c r="M146" s="541"/>
      <c r="N146" s="541"/>
      <c r="O146" s="541"/>
      <c r="P146" s="541"/>
      <c r="Q146" s="559"/>
      <c r="R146" s="541"/>
      <c r="S146" s="541"/>
      <c r="T146" s="541"/>
      <c r="U146" s="541"/>
      <c r="V146" s="541"/>
      <c r="W146" s="559"/>
      <c r="X146" s="559"/>
      <c r="Y146" s="541"/>
      <c r="Z146" s="541"/>
      <c r="AA146" s="541"/>
      <c r="AB146" s="541"/>
      <c r="AC146" s="541"/>
      <c r="AD146" s="541"/>
      <c r="AE146" s="559"/>
      <c r="AF146" s="541"/>
      <c r="AG146" s="541"/>
      <c r="AH146" s="560"/>
      <c r="AI146" s="560"/>
    </row>
    <row r="147" spans="1:36" ht="21.95" customHeight="1">
      <c r="A147" s="580"/>
      <c r="B147" s="1304" t="s">
        <v>696</v>
      </c>
      <c r="C147" s="1312"/>
      <c r="D147" s="1305" t="s">
        <v>2</v>
      </c>
      <c r="E147" s="1306"/>
      <c r="F147" s="1307"/>
      <c r="G147" s="1308"/>
      <c r="H147" s="1305" t="s">
        <v>3</v>
      </c>
      <c r="I147" s="1306"/>
      <c r="J147" s="1307"/>
      <c r="K147" s="1308"/>
      <c r="L147" s="1305" t="s">
        <v>4</v>
      </c>
      <c r="M147" s="1306"/>
      <c r="N147" s="1307"/>
      <c r="O147" s="1308"/>
      <c r="P147" s="1305" t="s">
        <v>5</v>
      </c>
      <c r="Q147" s="1306"/>
      <c r="R147" s="1307"/>
      <c r="S147" s="1308"/>
      <c r="T147" s="1305" t="s">
        <v>6</v>
      </c>
      <c r="U147" s="1306"/>
      <c r="V147" s="1307"/>
      <c r="W147" s="1308"/>
      <c r="X147" s="1305" t="s">
        <v>7</v>
      </c>
      <c r="Y147" s="1306"/>
      <c r="Z147" s="1307"/>
      <c r="AA147" s="1308"/>
      <c r="AB147" s="1305" t="s">
        <v>8</v>
      </c>
      <c r="AC147" s="1306"/>
      <c r="AD147" s="1306"/>
      <c r="AE147" s="1309" t="s">
        <v>10</v>
      </c>
      <c r="AF147" s="1306"/>
      <c r="AG147" s="1306"/>
      <c r="AH147" s="1306"/>
      <c r="AI147" s="1310"/>
    </row>
    <row r="148" spans="1:36" ht="21.95" customHeight="1">
      <c r="A148" s="580"/>
      <c r="B148" s="1332"/>
      <c r="C148" s="1313"/>
      <c r="D148" s="1331"/>
      <c r="E148" s="1314"/>
      <c r="F148" s="1311"/>
      <c r="G148" s="1313"/>
      <c r="H148" s="1331"/>
      <c r="I148" s="1314"/>
      <c r="J148" s="1311"/>
      <c r="K148" s="1313"/>
      <c r="L148" s="1331"/>
      <c r="M148" s="1314"/>
      <c r="N148" s="1311"/>
      <c r="O148" s="1313"/>
      <c r="P148" s="1331"/>
      <c r="Q148" s="1314"/>
      <c r="R148" s="1311"/>
      <c r="S148" s="1313"/>
      <c r="T148" s="1331"/>
      <c r="U148" s="1314"/>
      <c r="V148" s="1311"/>
      <c r="W148" s="1313"/>
      <c r="X148" s="1314"/>
      <c r="Y148" s="1314"/>
      <c r="Z148" s="1311"/>
      <c r="AA148" s="1313"/>
      <c r="AB148" s="1314"/>
      <c r="AC148" s="1314"/>
      <c r="AD148" s="1314"/>
      <c r="AE148" s="1313"/>
      <c r="AF148" s="1314"/>
      <c r="AG148" s="1314"/>
      <c r="AH148" s="1316"/>
      <c r="AI148" s="1317"/>
    </row>
    <row r="149" spans="1:36" ht="21.95" customHeight="1">
      <c r="A149" s="580"/>
      <c r="B149" s="1333"/>
      <c r="C149" s="1313"/>
      <c r="D149" s="1331"/>
      <c r="E149" s="1314"/>
      <c r="F149" s="1311"/>
      <c r="G149" s="1313"/>
      <c r="H149" s="1331"/>
      <c r="I149" s="1314"/>
      <c r="J149" s="1311"/>
      <c r="K149" s="1313"/>
      <c r="L149" s="1331"/>
      <c r="M149" s="1314"/>
      <c r="N149" s="1311"/>
      <c r="O149" s="1313"/>
      <c r="P149" s="1331"/>
      <c r="Q149" s="1314"/>
      <c r="R149" s="1311"/>
      <c r="S149" s="1313"/>
      <c r="T149" s="1331"/>
      <c r="U149" s="1314"/>
      <c r="V149" s="1311"/>
      <c r="W149" s="1313"/>
      <c r="X149" s="1314"/>
      <c r="Y149" s="1314"/>
      <c r="Z149" s="1311"/>
      <c r="AA149" s="1313"/>
      <c r="AB149" s="1314"/>
      <c r="AC149" s="1314"/>
      <c r="AD149" s="1314"/>
      <c r="AE149" s="1313"/>
      <c r="AF149" s="1314"/>
      <c r="AG149" s="1314"/>
      <c r="AH149" s="1316"/>
      <c r="AI149" s="1317"/>
    </row>
    <row r="150" spans="1:36" ht="21.95" customHeight="1">
      <c r="A150" s="580"/>
      <c r="B150" s="1333"/>
      <c r="C150" s="1313"/>
      <c r="D150" s="1331"/>
      <c r="E150" s="1314"/>
      <c r="F150" s="1311"/>
      <c r="G150" s="1313"/>
      <c r="H150" s="1331"/>
      <c r="I150" s="1314"/>
      <c r="J150" s="1311"/>
      <c r="K150" s="1313"/>
      <c r="L150" s="1331"/>
      <c r="M150" s="1314"/>
      <c r="N150" s="1311"/>
      <c r="O150" s="1313"/>
      <c r="P150" s="1331"/>
      <c r="Q150" s="1314"/>
      <c r="R150" s="1311"/>
      <c r="S150" s="1313"/>
      <c r="T150" s="1331"/>
      <c r="U150" s="1314"/>
      <c r="V150" s="1311"/>
      <c r="W150" s="1313"/>
      <c r="X150" s="1314"/>
      <c r="Y150" s="1314"/>
      <c r="Z150" s="1311"/>
      <c r="AA150" s="1313"/>
      <c r="AB150" s="1314"/>
      <c r="AC150" s="1314"/>
      <c r="AD150" s="1314"/>
      <c r="AE150" s="1313"/>
      <c r="AF150" s="1314"/>
      <c r="AG150" s="1314"/>
      <c r="AH150" s="1316"/>
      <c r="AI150" s="1317"/>
    </row>
    <row r="151" spans="1:36" ht="21.95" customHeight="1" thickBot="1">
      <c r="A151" s="580"/>
      <c r="B151" s="1502"/>
      <c r="C151" s="559"/>
      <c r="D151" s="559"/>
      <c r="E151" s="559"/>
      <c r="F151" s="559"/>
      <c r="G151" s="559"/>
      <c r="H151" s="559"/>
      <c r="I151" s="559"/>
      <c r="J151" s="559"/>
      <c r="K151" s="559"/>
      <c r="L151" s="559"/>
      <c r="M151" s="559"/>
      <c r="N151" s="559"/>
      <c r="O151" s="559"/>
      <c r="P151" s="559"/>
      <c r="Q151" s="559"/>
      <c r="R151" s="559"/>
      <c r="S151" s="559"/>
      <c r="T151" s="559"/>
      <c r="U151" s="559"/>
      <c r="V151" s="559"/>
      <c r="W151" s="559"/>
      <c r="X151" s="559"/>
      <c r="Y151" s="559"/>
      <c r="Z151" s="559"/>
      <c r="AA151" s="559"/>
      <c r="AB151" s="559"/>
      <c r="AC151" s="559"/>
      <c r="AD151" s="559"/>
      <c r="AE151" s="559"/>
      <c r="AF151" s="559"/>
      <c r="AG151" s="559"/>
      <c r="AH151" s="560"/>
      <c r="AI151" s="560"/>
    </row>
    <row r="152" spans="1:36" ht="21.95" customHeight="1">
      <c r="A152" s="1232"/>
      <c r="B152" s="1298" t="s">
        <v>480</v>
      </c>
      <c r="C152" s="1235">
        <v>1</v>
      </c>
      <c r="D152" s="1235">
        <v>2</v>
      </c>
      <c r="E152" s="1234">
        <v>3</v>
      </c>
      <c r="F152" s="1234">
        <v>4</v>
      </c>
      <c r="G152" s="1234">
        <v>5</v>
      </c>
      <c r="H152" s="1234">
        <v>6</v>
      </c>
      <c r="I152" s="1213">
        <v>7</v>
      </c>
      <c r="J152" s="1330">
        <v>8</v>
      </c>
      <c r="K152" s="1235">
        <v>9</v>
      </c>
      <c r="L152" s="1234">
        <v>10</v>
      </c>
      <c r="M152" s="1234">
        <v>11</v>
      </c>
      <c r="N152" s="1234">
        <v>12</v>
      </c>
      <c r="O152" s="1234">
        <v>13</v>
      </c>
      <c r="P152" s="1213">
        <v>14</v>
      </c>
      <c r="Q152" s="1330">
        <v>15</v>
      </c>
      <c r="R152" s="1235">
        <v>16</v>
      </c>
      <c r="S152" s="1234">
        <v>17</v>
      </c>
      <c r="T152" s="1234">
        <v>18</v>
      </c>
      <c r="U152" s="1234">
        <v>19</v>
      </c>
      <c r="V152" s="1213">
        <v>20</v>
      </c>
      <c r="W152" s="1213">
        <v>21</v>
      </c>
      <c r="X152" s="1330">
        <v>22</v>
      </c>
      <c r="Y152" s="1235">
        <v>23</v>
      </c>
      <c r="Z152" s="1234">
        <v>24</v>
      </c>
      <c r="AA152" s="1234">
        <v>25</v>
      </c>
      <c r="AB152" s="1234">
        <v>26</v>
      </c>
      <c r="AC152" s="1234">
        <v>27</v>
      </c>
      <c r="AD152" s="1213">
        <v>28</v>
      </c>
      <c r="AE152" s="1330">
        <v>29</v>
      </c>
      <c r="AF152" s="1235">
        <v>30</v>
      </c>
      <c r="AG152" s="1234">
        <v>31</v>
      </c>
      <c r="AH152" s="1301" t="s">
        <v>481</v>
      </c>
      <c r="AI152" s="1302" t="s">
        <v>482</v>
      </c>
    </row>
    <row r="153" spans="1:36" ht="21.95" customHeight="1">
      <c r="A153" s="580"/>
      <c r="B153" s="1319" t="s">
        <v>752</v>
      </c>
      <c r="C153" s="1215"/>
      <c r="D153" s="1215"/>
      <c r="E153" s="1215" t="s">
        <v>535</v>
      </c>
      <c r="F153" s="1215" t="s">
        <v>535</v>
      </c>
      <c r="G153" s="1215" t="s">
        <v>535</v>
      </c>
      <c r="H153" s="1215" t="s">
        <v>535</v>
      </c>
      <c r="I153" s="1215" t="s">
        <v>535</v>
      </c>
      <c r="J153" s="1215"/>
      <c r="K153" s="1215"/>
      <c r="L153" s="1215" t="s">
        <v>535</v>
      </c>
      <c r="M153" s="1215" t="s">
        <v>535</v>
      </c>
      <c r="N153" s="1215" t="s">
        <v>535</v>
      </c>
      <c r="O153" s="1215" t="s">
        <v>535</v>
      </c>
      <c r="P153" s="1215" t="s">
        <v>535</v>
      </c>
      <c r="Q153" s="1215"/>
      <c r="R153" s="1215"/>
      <c r="S153" s="1215" t="s">
        <v>535</v>
      </c>
      <c r="T153" s="1215" t="s">
        <v>535</v>
      </c>
      <c r="U153" s="1215" t="s">
        <v>535</v>
      </c>
      <c r="V153" s="1215" t="s">
        <v>514</v>
      </c>
      <c r="W153" s="1215" t="s">
        <v>535</v>
      </c>
      <c r="X153" s="1215"/>
      <c r="Y153" s="1215"/>
      <c r="Z153" s="1215" t="s">
        <v>535</v>
      </c>
      <c r="AA153" s="1215" t="s">
        <v>535</v>
      </c>
      <c r="AB153" s="1215" t="s">
        <v>535</v>
      </c>
      <c r="AC153" s="1215" t="s">
        <v>535</v>
      </c>
      <c r="AD153" s="1215" t="s">
        <v>535</v>
      </c>
      <c r="AE153" s="1215"/>
      <c r="AF153" s="1215"/>
      <c r="AG153" s="1651" t="s">
        <v>535</v>
      </c>
      <c r="AH153" s="504">
        <v>185</v>
      </c>
      <c r="AI153" s="505">
        <v>37</v>
      </c>
    </row>
    <row r="154" spans="1:36" ht="21.95" customHeight="1">
      <c r="A154" s="580"/>
      <c r="B154" s="1510" t="s">
        <v>750</v>
      </c>
      <c r="C154" s="1215"/>
      <c r="D154" s="1215"/>
      <c r="E154" s="1215" t="s">
        <v>535</v>
      </c>
      <c r="F154" s="1215" t="s">
        <v>535</v>
      </c>
      <c r="G154" s="1215" t="s">
        <v>535</v>
      </c>
      <c r="H154" s="1215" t="s">
        <v>535</v>
      </c>
      <c r="I154" s="1215" t="s">
        <v>535</v>
      </c>
      <c r="J154" s="1215"/>
      <c r="K154" s="1215"/>
      <c r="L154" s="1215" t="s">
        <v>535</v>
      </c>
      <c r="M154" s="1215" t="s">
        <v>535</v>
      </c>
      <c r="N154" s="1215" t="s">
        <v>535</v>
      </c>
      <c r="O154" s="1215" t="s">
        <v>535</v>
      </c>
      <c r="P154" s="1215" t="s">
        <v>535</v>
      </c>
      <c r="Q154" s="1215"/>
      <c r="R154" s="1215"/>
      <c r="S154" s="1215" t="s">
        <v>535</v>
      </c>
      <c r="T154" s="1215" t="s">
        <v>535</v>
      </c>
      <c r="U154" s="1215" t="s">
        <v>535</v>
      </c>
      <c r="V154" s="1215" t="s">
        <v>535</v>
      </c>
      <c r="W154" s="1215" t="s">
        <v>535</v>
      </c>
      <c r="X154" s="1215"/>
      <c r="Y154" s="1215"/>
      <c r="Z154" s="1215" t="s">
        <v>535</v>
      </c>
      <c r="AA154" s="1215" t="s">
        <v>535</v>
      </c>
      <c r="AB154" s="1215" t="s">
        <v>535</v>
      </c>
      <c r="AC154" s="1215" t="s">
        <v>535</v>
      </c>
      <c r="AD154" s="1215" t="s">
        <v>535</v>
      </c>
      <c r="AE154" s="1215"/>
      <c r="AF154" s="1215"/>
      <c r="AG154" s="1675" t="s">
        <v>535</v>
      </c>
      <c r="AH154" s="504">
        <v>185</v>
      </c>
      <c r="AI154" s="505">
        <v>37</v>
      </c>
    </row>
    <row r="155" spans="1:36" ht="21.95" customHeight="1">
      <c r="A155" s="580"/>
      <c r="B155" s="1510" t="s">
        <v>754</v>
      </c>
      <c r="C155" s="1215"/>
      <c r="D155" s="1215"/>
      <c r="E155" s="1215" t="s">
        <v>535</v>
      </c>
      <c r="F155" s="1215" t="s">
        <v>535</v>
      </c>
      <c r="G155" s="1215" t="s">
        <v>535</v>
      </c>
      <c r="H155" s="1215" t="s">
        <v>535</v>
      </c>
      <c r="I155" s="1215" t="s">
        <v>535</v>
      </c>
      <c r="J155" s="1215"/>
      <c r="K155" s="1215"/>
      <c r="L155" s="1215" t="s">
        <v>535</v>
      </c>
      <c r="M155" s="1215" t="s">
        <v>535</v>
      </c>
      <c r="N155" s="1215" t="s">
        <v>535</v>
      </c>
      <c r="O155" s="1215" t="s">
        <v>535</v>
      </c>
      <c r="P155" s="1215" t="s">
        <v>535</v>
      </c>
      <c r="Q155" s="1215"/>
      <c r="R155" s="1215"/>
      <c r="S155" s="1215" t="s">
        <v>535</v>
      </c>
      <c r="T155" s="1215" t="s">
        <v>535</v>
      </c>
      <c r="U155" s="1215" t="s">
        <v>535</v>
      </c>
      <c r="V155" s="1215" t="s">
        <v>535</v>
      </c>
      <c r="W155" s="1215" t="s">
        <v>535</v>
      </c>
      <c r="X155" s="1215"/>
      <c r="Y155" s="1215"/>
      <c r="Z155" s="1215" t="s">
        <v>535</v>
      </c>
      <c r="AA155" s="1215" t="s">
        <v>535</v>
      </c>
      <c r="AB155" s="1215" t="s">
        <v>535</v>
      </c>
      <c r="AC155" s="1215" t="s">
        <v>535</v>
      </c>
      <c r="AD155" s="1215" t="s">
        <v>535</v>
      </c>
      <c r="AE155" s="1215"/>
      <c r="AF155" s="1215"/>
      <c r="AG155" s="1216" t="s">
        <v>535</v>
      </c>
      <c r="AH155" s="504">
        <v>185</v>
      </c>
      <c r="AI155" s="505">
        <v>37</v>
      </c>
    </row>
    <row r="156" spans="1:36" ht="21.95" customHeight="1">
      <c r="A156" s="580"/>
      <c r="B156" s="1299" t="s">
        <v>755</v>
      </c>
      <c r="C156" s="1215"/>
      <c r="D156" s="1215"/>
      <c r="E156" s="1215" t="s">
        <v>535</v>
      </c>
      <c r="F156" s="1215" t="s">
        <v>535</v>
      </c>
      <c r="G156" s="1215" t="s">
        <v>535</v>
      </c>
      <c r="H156" s="1215" t="s">
        <v>535</v>
      </c>
      <c r="I156" s="1215" t="s">
        <v>535</v>
      </c>
      <c r="J156" s="1215"/>
      <c r="K156" s="1215"/>
      <c r="L156" s="1215" t="s">
        <v>535</v>
      </c>
      <c r="M156" s="1215" t="s">
        <v>535</v>
      </c>
      <c r="N156" s="1215" t="s">
        <v>535</v>
      </c>
      <c r="O156" s="1215" t="s">
        <v>535</v>
      </c>
      <c r="P156" s="1215" t="s">
        <v>535</v>
      </c>
      <c r="Q156" s="1215"/>
      <c r="R156" s="1215"/>
      <c r="S156" s="1215" t="s">
        <v>535</v>
      </c>
      <c r="T156" s="1215" t="s">
        <v>535</v>
      </c>
      <c r="U156" s="1215" t="s">
        <v>535</v>
      </c>
      <c r="V156" s="1215" t="s">
        <v>535</v>
      </c>
      <c r="W156" s="1215" t="s">
        <v>535</v>
      </c>
      <c r="X156" s="1215"/>
      <c r="Y156" s="1215"/>
      <c r="Z156" s="1215" t="s">
        <v>535</v>
      </c>
      <c r="AA156" s="1215" t="s">
        <v>535</v>
      </c>
      <c r="AB156" s="1215" t="s">
        <v>535</v>
      </c>
      <c r="AC156" s="1215" t="s">
        <v>535</v>
      </c>
      <c r="AD156" s="1215" t="s">
        <v>535</v>
      </c>
      <c r="AE156" s="1215"/>
      <c r="AF156" s="1215"/>
      <c r="AG156" s="1216" t="s">
        <v>535</v>
      </c>
      <c r="AH156" s="504">
        <v>185</v>
      </c>
      <c r="AI156" s="505">
        <v>37</v>
      </c>
    </row>
    <row r="157" spans="1:36" ht="21.95" customHeight="1">
      <c r="A157" s="580"/>
      <c r="B157" s="1300" t="s">
        <v>756</v>
      </c>
      <c r="C157" s="1215"/>
      <c r="D157" s="1215"/>
      <c r="E157" s="1215" t="s">
        <v>535</v>
      </c>
      <c r="F157" s="1215" t="s">
        <v>535</v>
      </c>
      <c r="G157" s="1215" t="s">
        <v>535</v>
      </c>
      <c r="H157" s="1215" t="s">
        <v>535</v>
      </c>
      <c r="I157" s="1215" t="s">
        <v>535</v>
      </c>
      <c r="J157" s="1215"/>
      <c r="K157" s="1215"/>
      <c r="L157" s="1215" t="s">
        <v>535</v>
      </c>
      <c r="M157" s="1215" t="s">
        <v>535</v>
      </c>
      <c r="N157" s="1215" t="s">
        <v>535</v>
      </c>
      <c r="O157" s="1215" t="s">
        <v>535</v>
      </c>
      <c r="P157" s="1215" t="s">
        <v>535</v>
      </c>
      <c r="Q157" s="1215"/>
      <c r="R157" s="1215"/>
      <c r="S157" s="1215" t="s">
        <v>535</v>
      </c>
      <c r="T157" s="1215" t="s">
        <v>535</v>
      </c>
      <c r="U157" s="1215" t="s">
        <v>535</v>
      </c>
      <c r="V157" s="1215" t="s">
        <v>535</v>
      </c>
      <c r="W157" s="1215" t="s">
        <v>535</v>
      </c>
      <c r="X157" s="1215"/>
      <c r="Y157" s="1215"/>
      <c r="Z157" s="1215" t="s">
        <v>535</v>
      </c>
      <c r="AA157" s="1215" t="s">
        <v>535</v>
      </c>
      <c r="AB157" s="1392" t="s">
        <v>535</v>
      </c>
      <c r="AC157" s="1392" t="s">
        <v>535</v>
      </c>
      <c r="AD157" s="1392" t="s">
        <v>535</v>
      </c>
      <c r="AE157" s="1392"/>
      <c r="AF157" s="1392"/>
      <c r="AG157" s="1651" t="s">
        <v>535</v>
      </c>
      <c r="AH157" s="504">
        <v>185</v>
      </c>
      <c r="AI157" s="505">
        <v>37</v>
      </c>
    </row>
    <row r="158" spans="1:36" ht="21.95" customHeight="1">
      <c r="A158" s="580"/>
      <c r="B158" s="1299"/>
      <c r="C158" s="1215"/>
      <c r="D158" s="1215"/>
      <c r="E158" s="1215" t="s">
        <v>535</v>
      </c>
      <c r="F158" s="1215" t="s">
        <v>535</v>
      </c>
      <c r="G158" s="1215" t="s">
        <v>535</v>
      </c>
      <c r="H158" s="1215" t="s">
        <v>535</v>
      </c>
      <c r="I158" s="1215" t="s">
        <v>535</v>
      </c>
      <c r="J158" s="1215"/>
      <c r="K158" s="1215"/>
      <c r="L158" s="1215" t="s">
        <v>535</v>
      </c>
      <c r="M158" s="1215" t="s">
        <v>535</v>
      </c>
      <c r="N158" s="1215" t="s">
        <v>535</v>
      </c>
      <c r="O158" s="1215" t="s">
        <v>535</v>
      </c>
      <c r="P158" s="1215" t="s">
        <v>535</v>
      </c>
      <c r="Q158" s="1215"/>
      <c r="R158" s="1215"/>
      <c r="S158" s="1215" t="s">
        <v>535</v>
      </c>
      <c r="T158" s="1215" t="s">
        <v>535</v>
      </c>
      <c r="U158" s="1215" t="s">
        <v>535</v>
      </c>
      <c r="V158" s="1215" t="s">
        <v>535</v>
      </c>
      <c r="W158" s="1215" t="s">
        <v>535</v>
      </c>
      <c r="X158" s="1215"/>
      <c r="Y158" s="1215"/>
      <c r="Z158" s="1215" t="s">
        <v>535</v>
      </c>
      <c r="AA158" s="1215" t="s">
        <v>535</v>
      </c>
      <c r="AB158" s="1215" t="s">
        <v>535</v>
      </c>
      <c r="AC158" s="1215" t="s">
        <v>535</v>
      </c>
      <c r="AD158" s="1215" t="s">
        <v>535</v>
      </c>
      <c r="AE158" s="1215"/>
      <c r="AF158" s="1215"/>
      <c r="AG158" s="1216" t="s">
        <v>535</v>
      </c>
      <c r="AH158" s="504">
        <v>185</v>
      </c>
      <c r="AI158" s="505">
        <v>37</v>
      </c>
    </row>
    <row r="159" spans="1:36" ht="21.95" customHeight="1">
      <c r="A159" s="580"/>
      <c r="B159" s="1502"/>
      <c r="C159" s="559"/>
      <c r="D159" s="559"/>
      <c r="E159" s="559"/>
      <c r="F159" s="559"/>
      <c r="G159" s="559"/>
      <c r="H159" s="559"/>
      <c r="I159" s="559"/>
      <c r="J159" s="559"/>
      <c r="K159" s="559"/>
      <c r="L159" s="559"/>
      <c r="M159" s="559"/>
      <c r="N159" s="559"/>
      <c r="O159" s="559"/>
      <c r="P159" s="559"/>
      <c r="Q159" s="559"/>
      <c r="R159" s="559"/>
      <c r="S159" s="559"/>
      <c r="T159" s="559"/>
      <c r="U159" s="559"/>
      <c r="V159" s="559"/>
      <c r="W159" s="559"/>
      <c r="X159" s="559"/>
      <c r="Y159" s="559"/>
      <c r="Z159" s="559"/>
      <c r="AA159" s="559"/>
      <c r="AB159" s="559"/>
      <c r="AC159" s="559"/>
      <c r="AD159" s="559"/>
      <c r="AE159" s="559"/>
      <c r="AF159" s="559"/>
      <c r="AG159" s="559"/>
      <c r="AH159" s="560"/>
      <c r="AI159" s="560"/>
    </row>
    <row r="160" spans="1:36" ht="21.95" customHeight="1">
      <c r="A160" s="312" t="s">
        <v>527</v>
      </c>
      <c r="C160" s="559"/>
      <c r="D160" s="559"/>
      <c r="E160" s="559"/>
      <c r="F160" s="559"/>
      <c r="G160" s="559"/>
      <c r="H160" s="559"/>
      <c r="I160" s="559"/>
      <c r="J160" s="559"/>
      <c r="K160" s="559"/>
      <c r="L160" s="559"/>
      <c r="M160" s="559"/>
      <c r="N160" s="559"/>
      <c r="O160" s="559"/>
      <c r="P160" s="559"/>
      <c r="Q160" s="559"/>
      <c r="R160" s="559"/>
      <c r="S160" s="559"/>
      <c r="T160" s="559"/>
      <c r="U160" s="559"/>
      <c r="V160" s="559"/>
      <c r="W160" s="559"/>
      <c r="X160" s="559"/>
      <c r="Y160" s="559"/>
      <c r="Z160" s="559"/>
      <c r="AA160" s="559"/>
      <c r="AB160" s="559"/>
      <c r="AC160" s="559"/>
      <c r="AD160" s="559"/>
      <c r="AE160" s="559"/>
      <c r="AF160" s="559"/>
      <c r="AG160" s="559"/>
      <c r="AH160" s="560"/>
      <c r="AI160" s="560"/>
      <c r="AJ160" s="361"/>
    </row>
    <row r="161" spans="1:36" ht="21.95" customHeight="1">
      <c r="A161" s="299" t="s">
        <v>528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9" t="s">
        <v>10</v>
      </c>
      <c r="Y161" s="186"/>
      <c r="Z161" s="186"/>
      <c r="AA161" s="565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529</v>
      </c>
      <c r="C162" s="588" t="s">
        <v>124</v>
      </c>
      <c r="D162" s="585"/>
      <c r="E162" s="590"/>
      <c r="F162" s="588" t="s">
        <v>124</v>
      </c>
      <c r="G162" s="591"/>
      <c r="H162" s="590"/>
      <c r="I162" s="121" t="s">
        <v>124</v>
      </c>
      <c r="J162" s="569"/>
      <c r="K162" s="592"/>
      <c r="L162" s="121" t="s">
        <v>124</v>
      </c>
      <c r="M162" s="569"/>
      <c r="N162" s="592"/>
      <c r="O162" s="121" t="s">
        <v>125</v>
      </c>
      <c r="P162" s="569"/>
      <c r="Q162" s="477"/>
      <c r="R162" s="593" t="s">
        <v>28</v>
      </c>
      <c r="S162" s="569"/>
      <c r="T162" s="592"/>
      <c r="U162" s="569" t="s">
        <v>28</v>
      </c>
      <c r="V162" s="569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4"/>
      <c r="AH162" s="361"/>
      <c r="AI162" s="361"/>
      <c r="AJ162" s="361"/>
    </row>
    <row r="163" spans="1:36" ht="21.95" customHeight="1">
      <c r="A163" s="595">
        <v>8502</v>
      </c>
      <c r="B163" s="596" t="s">
        <v>530</v>
      </c>
      <c r="C163" s="121" t="s">
        <v>11</v>
      </c>
      <c r="D163" s="569"/>
      <c r="E163" s="477"/>
      <c r="F163" s="121" t="s">
        <v>11</v>
      </c>
      <c r="G163" s="569"/>
      <c r="H163" s="592"/>
      <c r="I163" s="121" t="s">
        <v>11</v>
      </c>
      <c r="J163" s="569"/>
      <c r="K163" s="592"/>
      <c r="L163" s="121" t="s">
        <v>11</v>
      </c>
      <c r="M163" s="569"/>
      <c r="N163" s="592"/>
      <c r="O163" s="121" t="s">
        <v>12</v>
      </c>
      <c r="P163" s="569"/>
      <c r="Q163" s="477"/>
      <c r="R163" s="597"/>
      <c r="S163" s="598"/>
      <c r="T163" s="592"/>
      <c r="U163" s="569"/>
      <c r="V163" s="569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9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9"/>
      <c r="B165" s="182" t="s">
        <v>480</v>
      </c>
      <c r="C165" s="1235">
        <v>1</v>
      </c>
      <c r="D165" s="1235">
        <v>2</v>
      </c>
      <c r="E165" s="1234">
        <v>3</v>
      </c>
      <c r="F165" s="1234">
        <v>4</v>
      </c>
      <c r="G165" s="1234">
        <v>5</v>
      </c>
      <c r="H165" s="1234">
        <v>6</v>
      </c>
      <c r="I165" s="1213">
        <v>7</v>
      </c>
      <c r="J165" s="1330">
        <v>8</v>
      </c>
      <c r="K165" s="1235">
        <v>9</v>
      </c>
      <c r="L165" s="1234">
        <v>10</v>
      </c>
      <c r="M165" s="1234">
        <v>11</v>
      </c>
      <c r="N165" s="1234">
        <v>12</v>
      </c>
      <c r="O165" s="1234">
        <v>13</v>
      </c>
      <c r="P165" s="1213">
        <v>14</v>
      </c>
      <c r="Q165" s="1330">
        <v>15</v>
      </c>
      <c r="R165" s="1235">
        <v>16</v>
      </c>
      <c r="S165" s="1234">
        <v>17</v>
      </c>
      <c r="T165" s="1234">
        <v>18</v>
      </c>
      <c r="U165" s="1234">
        <v>19</v>
      </c>
      <c r="V165" s="1213">
        <v>20</v>
      </c>
      <c r="W165" s="1213">
        <v>21</v>
      </c>
      <c r="X165" s="1330">
        <v>22</v>
      </c>
      <c r="Y165" s="1235">
        <v>23</v>
      </c>
      <c r="Z165" s="1234">
        <v>24</v>
      </c>
      <c r="AA165" s="1234">
        <v>25</v>
      </c>
      <c r="AB165" s="1234">
        <v>26</v>
      </c>
      <c r="AC165" s="1234">
        <v>27</v>
      </c>
      <c r="AD165" s="1213">
        <v>28</v>
      </c>
      <c r="AE165" s="1330">
        <v>29</v>
      </c>
      <c r="AF165" s="1235">
        <v>30</v>
      </c>
      <c r="AG165" s="1234">
        <v>31</v>
      </c>
      <c r="AH165" s="600" t="s">
        <v>481</v>
      </c>
      <c r="AI165" s="601" t="s">
        <v>482</v>
      </c>
    </row>
    <row r="166" spans="1:36" ht="21.95" customHeight="1">
      <c r="A166" s="602">
        <v>1</v>
      </c>
      <c r="B166" s="153" t="s">
        <v>531</v>
      </c>
      <c r="C166" s="1392"/>
      <c r="D166" s="1392"/>
      <c r="E166" s="1392" t="s">
        <v>535</v>
      </c>
      <c r="F166" s="1392" t="s">
        <v>535</v>
      </c>
      <c r="G166" s="1392" t="s">
        <v>535</v>
      </c>
      <c r="H166" s="1392" t="s">
        <v>535</v>
      </c>
      <c r="I166" s="1392" t="s">
        <v>535</v>
      </c>
      <c r="J166" s="1392"/>
      <c r="K166" s="1392"/>
      <c r="L166" s="1392" t="s">
        <v>535</v>
      </c>
      <c r="M166" s="1392" t="s">
        <v>535</v>
      </c>
      <c r="N166" s="1392" t="s">
        <v>535</v>
      </c>
      <c r="O166" s="1392" t="s">
        <v>535</v>
      </c>
      <c r="P166" s="1392" t="s">
        <v>535</v>
      </c>
      <c r="Q166" s="1392"/>
      <c r="R166" s="1392"/>
      <c r="S166" s="1392" t="s">
        <v>535</v>
      </c>
      <c r="T166" s="1392" t="s">
        <v>535</v>
      </c>
      <c r="U166" s="1392" t="s">
        <v>535</v>
      </c>
      <c r="V166" s="1392" t="s">
        <v>535</v>
      </c>
      <c r="W166" s="1392" t="s">
        <v>535</v>
      </c>
      <c r="X166" s="1392"/>
      <c r="Y166" s="1392"/>
      <c r="Z166" s="1392" t="s">
        <v>535</v>
      </c>
      <c r="AA166" s="1392" t="s">
        <v>535</v>
      </c>
      <c r="AB166" s="1392" t="s">
        <v>535</v>
      </c>
      <c r="AC166" s="1392" t="s">
        <v>535</v>
      </c>
      <c r="AD166" s="1392" t="s">
        <v>535</v>
      </c>
      <c r="AE166" s="1392"/>
      <c r="AF166" s="1392"/>
      <c r="AG166" s="1651" t="s">
        <v>535</v>
      </c>
      <c r="AH166" s="1320">
        <v>185</v>
      </c>
      <c r="AI166" s="1321">
        <v>37</v>
      </c>
    </row>
    <row r="167" spans="1:36" ht="21.95" customHeight="1">
      <c r="A167" s="602">
        <v>2</v>
      </c>
      <c r="B167" s="153" t="s">
        <v>534</v>
      </c>
      <c r="C167" s="1215" t="s">
        <v>555</v>
      </c>
      <c r="D167" s="1215" t="s">
        <v>555</v>
      </c>
      <c r="E167" s="1215" t="s">
        <v>487</v>
      </c>
      <c r="F167" s="1215" t="s">
        <v>487</v>
      </c>
      <c r="G167" s="1215" t="s">
        <v>487</v>
      </c>
      <c r="H167" s="1215" t="s">
        <v>487</v>
      </c>
      <c r="I167" s="1215" t="s">
        <v>487</v>
      </c>
      <c r="J167" s="1215"/>
      <c r="K167" s="1215"/>
      <c r="L167" s="1215">
        <v>7</v>
      </c>
      <c r="M167" s="1215">
        <v>7</v>
      </c>
      <c r="N167" s="1215">
        <v>7</v>
      </c>
      <c r="O167" s="1215">
        <v>7</v>
      </c>
      <c r="P167" s="1215">
        <v>7</v>
      </c>
      <c r="Q167" s="1215"/>
      <c r="R167" s="1215"/>
      <c r="S167" s="1215" t="s">
        <v>807</v>
      </c>
      <c r="T167" s="1215" t="s">
        <v>807</v>
      </c>
      <c r="U167" s="1215" t="s">
        <v>807</v>
      </c>
      <c r="V167" s="1215">
        <v>6</v>
      </c>
      <c r="W167" s="1215" t="s">
        <v>807</v>
      </c>
      <c r="X167" s="1215"/>
      <c r="Y167" s="1215"/>
      <c r="Z167" s="1345" t="s">
        <v>514</v>
      </c>
      <c r="AA167" s="1345" t="s">
        <v>514</v>
      </c>
      <c r="AB167" s="1345" t="s">
        <v>514</v>
      </c>
      <c r="AC167" s="1345" t="s">
        <v>514</v>
      </c>
      <c r="AD167" s="1345" t="s">
        <v>514</v>
      </c>
      <c r="AE167" s="1215"/>
      <c r="AF167" s="1215"/>
      <c r="AG167" s="1339" t="s">
        <v>514</v>
      </c>
      <c r="AH167" s="1322">
        <v>185</v>
      </c>
      <c r="AI167" s="1323">
        <v>37</v>
      </c>
    </row>
    <row r="168" spans="1:36" ht="21.95" customHeight="1">
      <c r="A168" s="602">
        <v>3</v>
      </c>
      <c r="B168" s="153" t="s">
        <v>536</v>
      </c>
      <c r="C168" s="1215"/>
      <c r="D168" s="1215"/>
      <c r="E168" s="1344" t="s">
        <v>538</v>
      </c>
      <c r="F168" s="1344" t="s">
        <v>538</v>
      </c>
      <c r="G168" s="1344" t="s">
        <v>538</v>
      </c>
      <c r="H168" s="1344" t="s">
        <v>538</v>
      </c>
      <c r="I168" s="1344" t="s">
        <v>538</v>
      </c>
      <c r="J168" s="1344"/>
      <c r="K168" s="1344"/>
      <c r="L168" s="1344">
        <v>9</v>
      </c>
      <c r="M168" s="1344">
        <v>9</v>
      </c>
      <c r="N168" s="1344">
        <v>9</v>
      </c>
      <c r="O168" s="1344">
        <v>9</v>
      </c>
      <c r="P168" s="1344">
        <v>9</v>
      </c>
      <c r="Q168" s="1344" t="s">
        <v>543</v>
      </c>
      <c r="R168" s="1344" t="s">
        <v>555</v>
      </c>
      <c r="S168" s="1344" t="s">
        <v>487</v>
      </c>
      <c r="T168" s="1344" t="s">
        <v>487</v>
      </c>
      <c r="U168" s="1344" t="s">
        <v>487</v>
      </c>
      <c r="V168" s="1344" t="s">
        <v>487</v>
      </c>
      <c r="W168" s="1344" t="s">
        <v>487</v>
      </c>
      <c r="X168" s="1344"/>
      <c r="Y168" s="1344"/>
      <c r="Z168" s="1344">
        <v>6</v>
      </c>
      <c r="AA168" s="1344">
        <v>6</v>
      </c>
      <c r="AB168" s="1344">
        <v>6</v>
      </c>
      <c r="AC168" s="1344">
        <v>6</v>
      </c>
      <c r="AD168" s="1344">
        <v>6</v>
      </c>
      <c r="AE168" s="1344" t="s">
        <v>532</v>
      </c>
      <c r="AF168" s="1344" t="s">
        <v>533</v>
      </c>
      <c r="AG168" s="1216" t="s">
        <v>487</v>
      </c>
      <c r="AH168" s="1322">
        <v>117</v>
      </c>
      <c r="AI168" s="1323">
        <v>37</v>
      </c>
    </row>
    <row r="169" spans="1:36" ht="21.95" customHeight="1">
      <c r="A169" s="602">
        <v>4</v>
      </c>
      <c r="B169" s="1241" t="s">
        <v>542</v>
      </c>
      <c r="C169" s="1215"/>
      <c r="D169" s="1215"/>
      <c r="E169" s="1215" t="s">
        <v>550</v>
      </c>
      <c r="F169" s="1215" t="s">
        <v>550</v>
      </c>
      <c r="G169" s="1215" t="s">
        <v>550</v>
      </c>
      <c r="H169" s="1215" t="s">
        <v>550</v>
      </c>
      <c r="I169" s="1215" t="s">
        <v>550</v>
      </c>
      <c r="J169" s="1215"/>
      <c r="K169" s="1215"/>
      <c r="L169" s="1215" t="s">
        <v>550</v>
      </c>
      <c r="M169" s="1215" t="s">
        <v>550</v>
      </c>
      <c r="N169" s="1215" t="s">
        <v>550</v>
      </c>
      <c r="O169" s="1215" t="s">
        <v>550</v>
      </c>
      <c r="P169" s="1215" t="s">
        <v>550</v>
      </c>
      <c r="Q169" s="1215"/>
      <c r="R169" s="1215"/>
      <c r="S169" s="1215" t="s">
        <v>550</v>
      </c>
      <c r="T169" s="1215" t="s">
        <v>550</v>
      </c>
      <c r="U169" s="1215" t="s">
        <v>550</v>
      </c>
      <c r="V169" s="1215" t="s">
        <v>550</v>
      </c>
      <c r="W169" s="1215" t="s">
        <v>550</v>
      </c>
      <c r="X169" s="1215"/>
      <c r="Y169" s="1215"/>
      <c r="Z169" s="1215" t="s">
        <v>550</v>
      </c>
      <c r="AA169" s="1215" t="s">
        <v>550</v>
      </c>
      <c r="AB169" s="1215" t="s">
        <v>550</v>
      </c>
      <c r="AC169" s="1215" t="s">
        <v>550</v>
      </c>
      <c r="AD169" s="1215" t="s">
        <v>550</v>
      </c>
      <c r="AE169" s="1215"/>
      <c r="AF169" s="1215"/>
      <c r="AG169" s="1215" t="s">
        <v>550</v>
      </c>
      <c r="AH169" s="1322">
        <v>185</v>
      </c>
      <c r="AI169" s="1323">
        <v>37</v>
      </c>
    </row>
    <row r="170" spans="1:36" ht="21.95" customHeight="1">
      <c r="A170" s="602">
        <v>5</v>
      </c>
      <c r="B170" s="319" t="s">
        <v>771</v>
      </c>
      <c r="C170" s="1215"/>
      <c r="D170" s="1215"/>
      <c r="E170" s="1335" t="s">
        <v>535</v>
      </c>
      <c r="F170" s="1335" t="s">
        <v>535</v>
      </c>
      <c r="G170" s="1335" t="s">
        <v>535</v>
      </c>
      <c r="H170" s="1335" t="s">
        <v>535</v>
      </c>
      <c r="I170" s="1335" t="s">
        <v>535</v>
      </c>
      <c r="J170" s="1344" t="s">
        <v>637</v>
      </c>
      <c r="K170" s="1344" t="s">
        <v>637</v>
      </c>
      <c r="L170" s="1215" t="s">
        <v>484</v>
      </c>
      <c r="M170" s="1215" t="s">
        <v>484</v>
      </c>
      <c r="N170" s="1215" t="s">
        <v>484</v>
      </c>
      <c r="O170" s="1344">
        <v>1</v>
      </c>
      <c r="P170" s="1215" t="s">
        <v>485</v>
      </c>
      <c r="Q170" s="1215"/>
      <c r="R170" s="1215"/>
      <c r="S170" s="1215" t="s">
        <v>808</v>
      </c>
      <c r="T170" s="1344">
        <v>3</v>
      </c>
      <c r="U170" s="1640" t="s">
        <v>808</v>
      </c>
      <c r="V170" s="1344">
        <v>3</v>
      </c>
      <c r="W170" s="1215" t="s">
        <v>808</v>
      </c>
      <c r="X170" s="1215" t="s">
        <v>637</v>
      </c>
      <c r="Y170" s="1215"/>
      <c r="Z170" s="1215">
        <v>1</v>
      </c>
      <c r="AA170" s="1215">
        <v>1</v>
      </c>
      <c r="AB170" s="1215">
        <v>1</v>
      </c>
      <c r="AC170" s="1344">
        <v>1</v>
      </c>
      <c r="AD170" s="1215">
        <v>1</v>
      </c>
      <c r="AE170" s="1215"/>
      <c r="AF170" s="1215" t="s">
        <v>657</v>
      </c>
      <c r="AG170" s="1216" t="s">
        <v>487</v>
      </c>
      <c r="AH170" s="1324">
        <v>185</v>
      </c>
      <c r="AI170" s="1325">
        <v>37</v>
      </c>
    </row>
    <row r="171" spans="1:36" ht="21.95" customHeight="1">
      <c r="A171" s="602">
        <v>6</v>
      </c>
      <c r="B171" s="153" t="s">
        <v>773</v>
      </c>
      <c r="C171" s="1215"/>
      <c r="D171" s="1215"/>
      <c r="E171" s="1215" t="s">
        <v>708</v>
      </c>
      <c r="F171" s="1215" t="s">
        <v>708</v>
      </c>
      <c r="G171" s="1215" t="s">
        <v>708</v>
      </c>
      <c r="H171" s="1215" t="s">
        <v>708</v>
      </c>
      <c r="I171" s="1215" t="s">
        <v>708</v>
      </c>
      <c r="J171" s="1215" t="s">
        <v>486</v>
      </c>
      <c r="K171" s="1392" t="s">
        <v>783</v>
      </c>
      <c r="L171" s="1215" t="s">
        <v>487</v>
      </c>
      <c r="M171" s="1215" t="s">
        <v>487</v>
      </c>
      <c r="N171" s="1215" t="s">
        <v>487</v>
      </c>
      <c r="O171" s="1215" t="s">
        <v>485</v>
      </c>
      <c r="P171" s="1215">
        <v>1</v>
      </c>
      <c r="Q171" s="1215"/>
      <c r="R171" s="1215"/>
      <c r="S171" s="1215" t="s">
        <v>684</v>
      </c>
      <c r="T171" s="1215" t="s">
        <v>684</v>
      </c>
      <c r="U171" s="1215" t="s">
        <v>684</v>
      </c>
      <c r="V171" s="1215" t="s">
        <v>684</v>
      </c>
      <c r="W171" s="1215" t="s">
        <v>684</v>
      </c>
      <c r="X171" s="1215"/>
      <c r="Y171" s="1215"/>
      <c r="Z171" s="1215" t="s">
        <v>484</v>
      </c>
      <c r="AA171" s="1215" t="s">
        <v>487</v>
      </c>
      <c r="AB171" s="1215" t="s">
        <v>487</v>
      </c>
      <c r="AC171" s="1215" t="s">
        <v>487</v>
      </c>
      <c r="AD171" s="1215" t="s">
        <v>487</v>
      </c>
      <c r="AE171" s="1215"/>
      <c r="AF171" s="1215"/>
      <c r="AG171" s="1216" t="s">
        <v>485</v>
      </c>
      <c r="AH171" s="1326">
        <v>185</v>
      </c>
      <c r="AI171" s="1327">
        <v>37</v>
      </c>
    </row>
    <row r="172" spans="1:36" ht="21.95" customHeight="1">
      <c r="A172" s="602">
        <v>7</v>
      </c>
      <c r="B172" s="902" t="s">
        <v>778</v>
      </c>
      <c r="C172" s="1344" t="s">
        <v>532</v>
      </c>
      <c r="D172" s="1344" t="s">
        <v>533</v>
      </c>
      <c r="E172" s="1215" t="s">
        <v>487</v>
      </c>
      <c r="F172" s="1215" t="s">
        <v>487</v>
      </c>
      <c r="G172" s="1215" t="s">
        <v>487</v>
      </c>
      <c r="H172" s="1640">
        <v>1</v>
      </c>
      <c r="I172" s="1640">
        <v>1</v>
      </c>
      <c r="J172" s="1215"/>
      <c r="K172" s="1215"/>
      <c r="L172" s="1344">
        <v>1</v>
      </c>
      <c r="M172" s="1344">
        <v>1</v>
      </c>
      <c r="N172" s="1344" t="s">
        <v>514</v>
      </c>
      <c r="O172" s="1393">
        <v>3</v>
      </c>
      <c r="P172" s="1393">
        <v>3</v>
      </c>
      <c r="Q172" s="1215"/>
      <c r="R172" s="1215"/>
      <c r="S172" s="1344">
        <v>10</v>
      </c>
      <c r="T172" s="1344">
        <v>9</v>
      </c>
      <c r="U172" s="1344">
        <v>9</v>
      </c>
      <c r="V172" s="1344">
        <v>9</v>
      </c>
      <c r="W172" s="1344">
        <v>9</v>
      </c>
      <c r="X172" s="1344" t="s">
        <v>543</v>
      </c>
      <c r="Y172" s="1344" t="s">
        <v>543</v>
      </c>
      <c r="Z172" s="1215" t="s">
        <v>487</v>
      </c>
      <c r="AA172" s="1215" t="s">
        <v>487</v>
      </c>
      <c r="AB172" s="1215" t="s">
        <v>487</v>
      </c>
      <c r="AC172" s="1344" t="s">
        <v>514</v>
      </c>
      <c r="AD172" s="1335" t="s">
        <v>514</v>
      </c>
      <c r="AE172" s="1344"/>
      <c r="AF172" s="1344"/>
      <c r="AG172" s="1344" t="s">
        <v>514</v>
      </c>
      <c r="AH172" s="1326">
        <v>148</v>
      </c>
      <c r="AI172" s="1327">
        <v>37</v>
      </c>
    </row>
    <row r="173" spans="1:36" ht="21.95" customHeight="1">
      <c r="A173" s="602">
        <v>8</v>
      </c>
      <c r="B173" s="902"/>
      <c r="C173" s="1215"/>
      <c r="D173" s="1215"/>
      <c r="E173" s="1215"/>
      <c r="F173" s="1215"/>
      <c r="G173" s="1215"/>
      <c r="H173" s="1215"/>
      <c r="I173" s="1215"/>
      <c r="J173" s="1215"/>
      <c r="K173" s="1215"/>
      <c r="L173" s="1215"/>
      <c r="M173" s="1215"/>
      <c r="N173" s="1215"/>
      <c r="O173" s="1215"/>
      <c r="P173" s="1215"/>
      <c r="Q173" s="1215"/>
      <c r="R173" s="1215"/>
      <c r="S173" s="1215"/>
      <c r="T173" s="1215"/>
      <c r="U173" s="1215"/>
      <c r="V173" s="1215"/>
      <c r="W173" s="1215"/>
      <c r="X173" s="1215"/>
      <c r="Y173" s="1215"/>
      <c r="Z173" s="1215"/>
      <c r="AA173" s="1215"/>
      <c r="AB173" s="1215"/>
      <c r="AC173" s="1215"/>
      <c r="AD173" s="1215"/>
      <c r="AE173" s="1215"/>
      <c r="AF173" s="1215"/>
      <c r="AG173" s="1216"/>
      <c r="AH173" s="1326">
        <v>185</v>
      </c>
      <c r="AI173" s="1327">
        <v>37</v>
      </c>
    </row>
    <row r="174" spans="1:36" ht="21.95" customHeight="1">
      <c r="A174" s="602">
        <v>9</v>
      </c>
      <c r="B174" s="153"/>
      <c r="C174" s="1215"/>
      <c r="D174" s="1215"/>
      <c r="E174" s="1215"/>
      <c r="F174" s="1215"/>
      <c r="G174" s="1215"/>
      <c r="H174" s="1215"/>
      <c r="I174" s="1215"/>
      <c r="J174" s="1215"/>
      <c r="K174" s="1215"/>
      <c r="L174" s="1215"/>
      <c r="M174" s="1215"/>
      <c r="N174" s="1215"/>
      <c r="O174" s="1215"/>
      <c r="P174" s="1215"/>
      <c r="Q174" s="1215"/>
      <c r="R174" s="1215"/>
      <c r="S174" s="1215"/>
      <c r="T174" s="1215"/>
      <c r="U174" s="1215"/>
      <c r="V174" s="1215"/>
      <c r="W174" s="1215"/>
      <c r="X174" s="1215"/>
      <c r="Y174" s="1215"/>
      <c r="Z174" s="1215"/>
      <c r="AA174" s="1215"/>
      <c r="AB174" s="1215"/>
      <c r="AC174" s="1215"/>
      <c r="AD174" s="1215"/>
      <c r="AE174" s="1215"/>
      <c r="AF174" s="1215"/>
      <c r="AG174" s="1216"/>
      <c r="AH174" s="1326">
        <v>185</v>
      </c>
      <c r="AI174" s="1327">
        <v>37</v>
      </c>
    </row>
    <row r="175" spans="1:36" ht="21.95" customHeight="1">
      <c r="A175" s="602">
        <v>10</v>
      </c>
      <c r="B175" s="153"/>
      <c r="C175" s="1213"/>
      <c r="D175" s="1213"/>
      <c r="E175" s="1213"/>
      <c r="F175" s="1213"/>
      <c r="G175" s="1213"/>
      <c r="H175" s="1213"/>
      <c r="I175" s="1213"/>
      <c r="J175" s="1213"/>
      <c r="K175" s="1213"/>
      <c r="L175" s="1213"/>
      <c r="M175" s="1213"/>
      <c r="N175" s="1213"/>
      <c r="O175" s="1213"/>
      <c r="P175" s="1213"/>
      <c r="Q175" s="1213"/>
      <c r="R175" s="1213"/>
      <c r="S175" s="1213"/>
      <c r="T175" s="1213"/>
      <c r="U175" s="1213"/>
      <c r="V175" s="1213"/>
      <c r="W175" s="1215"/>
      <c r="X175" s="1213"/>
      <c r="Y175" s="1213"/>
      <c r="Z175" s="1213"/>
      <c r="AA175" s="1213"/>
      <c r="AB175" s="172"/>
      <c r="AC175" s="1213"/>
      <c r="AD175" s="1213"/>
      <c r="AE175" s="1213"/>
      <c r="AF175" s="1213"/>
      <c r="AG175" s="1230"/>
      <c r="AH175" s="1326">
        <v>185</v>
      </c>
      <c r="AI175" s="1327">
        <v>37</v>
      </c>
    </row>
    <row r="176" spans="1:36" ht="21.95" customHeight="1">
      <c r="A176" s="602">
        <v>11</v>
      </c>
      <c r="B176" s="153"/>
      <c r="C176" s="1213"/>
      <c r="D176" s="1213"/>
      <c r="E176" s="1213"/>
      <c r="F176" s="1213"/>
      <c r="G176" s="1213"/>
      <c r="H176" s="1213"/>
      <c r="I176" s="1213"/>
      <c r="J176" s="1213"/>
      <c r="K176" s="1213"/>
      <c r="L176" s="1213"/>
      <c r="M176" s="1213"/>
      <c r="N176" s="1213"/>
      <c r="O176" s="1213"/>
      <c r="P176" s="1213"/>
      <c r="Q176" s="1213"/>
      <c r="R176" s="1213"/>
      <c r="S176" s="1213"/>
      <c r="T176" s="1213"/>
      <c r="U176" s="1213"/>
      <c r="V176" s="1213"/>
      <c r="W176" s="1215"/>
      <c r="X176" s="1213"/>
      <c r="Y176" s="1213"/>
      <c r="Z176" s="1213"/>
      <c r="AA176" s="1213"/>
      <c r="AB176" s="1213"/>
      <c r="AC176" s="1213"/>
      <c r="AD176" s="1213"/>
      <c r="AE176" s="1213"/>
      <c r="AF176" s="1213"/>
      <c r="AG176" s="1230"/>
      <c r="AH176" s="1326">
        <v>185</v>
      </c>
      <c r="AI176" s="1327">
        <v>37</v>
      </c>
    </row>
    <row r="177" spans="1:35" ht="21.95" customHeight="1" thickBot="1">
      <c r="A177" s="602">
        <v>12</v>
      </c>
      <c r="B177" s="153"/>
      <c r="C177" s="1213"/>
      <c r="D177" s="1213"/>
      <c r="E177" s="1213"/>
      <c r="F177" s="1213"/>
      <c r="G177" s="1213"/>
      <c r="H177" s="1213"/>
      <c r="I177" s="1213"/>
      <c r="J177" s="1213"/>
      <c r="K177" s="1213"/>
      <c r="L177" s="1213"/>
      <c r="M177" s="1213"/>
      <c r="N177" s="1213"/>
      <c r="O177" s="1213"/>
      <c r="P177" s="1213"/>
      <c r="Q177" s="1213"/>
      <c r="R177" s="1213"/>
      <c r="S177" s="1213"/>
      <c r="T177" s="1213"/>
      <c r="U177" s="1213"/>
      <c r="V177" s="1213"/>
      <c r="W177" s="1215"/>
      <c r="X177" s="1213"/>
      <c r="Y177" s="1213"/>
      <c r="Z177" s="1213"/>
      <c r="AA177" s="1213"/>
      <c r="AB177" s="1213"/>
      <c r="AC177" s="1213"/>
      <c r="AD177" s="1213"/>
      <c r="AE177" s="1213"/>
      <c r="AF177" s="1213"/>
      <c r="AG177" s="1230"/>
      <c r="AH177" s="1328">
        <v>185</v>
      </c>
      <c r="AI177" s="1329">
        <v>37</v>
      </c>
    </row>
    <row r="178" spans="1:35" ht="21" customHeight="1">
      <c r="A178" s="312" t="s">
        <v>551</v>
      </c>
    </row>
    <row r="179" spans="1:35" ht="21" customHeight="1">
      <c r="A179" s="556"/>
      <c r="B179" s="297" t="s">
        <v>480</v>
      </c>
      <c r="C179" s="1235">
        <v>1</v>
      </c>
      <c r="D179" s="1235">
        <v>2</v>
      </c>
      <c r="E179" s="1234">
        <v>3</v>
      </c>
      <c r="F179" s="1234">
        <v>4</v>
      </c>
      <c r="G179" s="1234">
        <v>5</v>
      </c>
      <c r="H179" s="1234">
        <v>6</v>
      </c>
      <c r="I179" s="1213">
        <v>7</v>
      </c>
      <c r="J179" s="1330">
        <v>8</v>
      </c>
      <c r="K179" s="1235">
        <v>9</v>
      </c>
      <c r="L179" s="1234">
        <v>10</v>
      </c>
      <c r="M179" s="1234">
        <v>11</v>
      </c>
      <c r="N179" s="1234">
        <v>12</v>
      </c>
      <c r="O179" s="1234">
        <v>13</v>
      </c>
      <c r="P179" s="1213">
        <v>14</v>
      </c>
      <c r="Q179" s="1330">
        <v>15</v>
      </c>
      <c r="R179" s="1235">
        <v>16</v>
      </c>
      <c r="S179" s="1234">
        <v>17</v>
      </c>
      <c r="T179" s="1234">
        <v>18</v>
      </c>
      <c r="U179" s="1234">
        <v>19</v>
      </c>
      <c r="V179" s="1213">
        <v>20</v>
      </c>
      <c r="W179" s="1213">
        <v>21</v>
      </c>
      <c r="X179" s="1330">
        <v>22</v>
      </c>
      <c r="Y179" s="1235">
        <v>23</v>
      </c>
      <c r="Z179" s="1234">
        <v>24</v>
      </c>
      <c r="AA179" s="1234">
        <v>25</v>
      </c>
      <c r="AB179" s="1234">
        <v>26</v>
      </c>
      <c r="AC179" s="1234">
        <v>27</v>
      </c>
      <c r="AD179" s="1213">
        <v>28</v>
      </c>
      <c r="AE179" s="1330">
        <v>29</v>
      </c>
      <c r="AF179" s="1235">
        <v>30</v>
      </c>
      <c r="AG179" s="1234">
        <v>31</v>
      </c>
      <c r="AH179" s="606"/>
    </row>
    <row r="180" spans="1:35" ht="21" customHeight="1">
      <c r="A180" s="556">
        <v>1</v>
      </c>
      <c r="B180" s="319"/>
      <c r="C180" s="1213"/>
      <c r="D180" s="1213"/>
      <c r="E180" s="1213"/>
      <c r="F180" s="1213"/>
      <c r="G180" s="1213"/>
      <c r="H180" s="1213"/>
      <c r="I180" s="1213"/>
      <c r="J180" s="1213"/>
      <c r="K180" s="1213"/>
      <c r="L180" s="1213"/>
      <c r="M180" s="1213"/>
      <c r="N180" s="1213"/>
      <c r="O180" s="1213"/>
      <c r="P180" s="1213"/>
      <c r="Q180" s="1213"/>
      <c r="R180" s="1213"/>
      <c r="S180" s="1213"/>
      <c r="T180" s="1213"/>
      <c r="U180" s="1213"/>
      <c r="V180" s="1213"/>
      <c r="W180" s="1213"/>
      <c r="X180" s="1213"/>
      <c r="Y180" s="1213"/>
      <c r="Z180" s="1213"/>
      <c r="AA180" s="1213"/>
      <c r="AB180" s="1213"/>
      <c r="AC180" s="1213"/>
      <c r="AD180" s="1213"/>
      <c r="AE180" s="1213"/>
      <c r="AF180" s="1213"/>
      <c r="AG180" s="1213"/>
      <c r="AH180" s="606"/>
    </row>
    <row r="181" spans="1:35" ht="21" customHeight="1">
      <c r="A181" s="556">
        <v>2</v>
      </c>
      <c r="B181" s="545" t="s">
        <v>553</v>
      </c>
      <c r="C181" s="172"/>
      <c r="D181" s="172"/>
      <c r="E181" s="172">
        <v>1</v>
      </c>
      <c r="F181" s="172">
        <v>1</v>
      </c>
      <c r="G181" s="172">
        <v>1</v>
      </c>
      <c r="H181" s="172">
        <v>1</v>
      </c>
      <c r="I181" s="172">
        <v>1</v>
      </c>
      <c r="J181" s="172" t="s">
        <v>543</v>
      </c>
      <c r="K181" s="172" t="s">
        <v>555</v>
      </c>
      <c r="L181" s="172" t="s">
        <v>487</v>
      </c>
      <c r="M181" s="172" t="s">
        <v>487</v>
      </c>
      <c r="N181" s="172" t="s">
        <v>487</v>
      </c>
      <c r="O181" s="172" t="s">
        <v>487</v>
      </c>
      <c r="P181" s="172" t="s">
        <v>487</v>
      </c>
      <c r="Q181" s="172"/>
      <c r="R181" s="172" t="s">
        <v>486</v>
      </c>
      <c r="S181" s="172" t="s">
        <v>547</v>
      </c>
      <c r="T181" s="172" t="s">
        <v>547</v>
      </c>
      <c r="U181" s="172" t="s">
        <v>547</v>
      </c>
      <c r="V181" s="172" t="s">
        <v>547</v>
      </c>
      <c r="W181" s="172" t="s">
        <v>547</v>
      </c>
      <c r="X181" s="172"/>
      <c r="Y181" s="172"/>
      <c r="Z181" s="1508" t="s">
        <v>762</v>
      </c>
      <c r="AA181" s="1560"/>
      <c r="AB181" s="1455" t="s">
        <v>708</v>
      </c>
      <c r="AC181" s="1213" t="s">
        <v>485</v>
      </c>
      <c r="AD181" s="1213" t="s">
        <v>684</v>
      </c>
      <c r="AE181" s="172"/>
      <c r="AF181" s="172"/>
      <c r="AG181" s="172" t="s">
        <v>484</v>
      </c>
      <c r="AH181" s="606"/>
    </row>
    <row r="182" spans="1:35" ht="21" customHeight="1">
      <c r="A182" s="556">
        <v>3</v>
      </c>
      <c r="B182" s="545" t="s">
        <v>554</v>
      </c>
      <c r="C182" s="172"/>
      <c r="D182" s="172"/>
      <c r="E182" s="172" t="s">
        <v>547</v>
      </c>
      <c r="F182" s="172" t="s">
        <v>547</v>
      </c>
      <c r="G182" s="172" t="s">
        <v>547</v>
      </c>
      <c r="H182" s="172" t="s">
        <v>547</v>
      </c>
      <c r="I182" s="172" t="s">
        <v>547</v>
      </c>
      <c r="J182" s="172" t="s">
        <v>660</v>
      </c>
      <c r="K182" s="172" t="s">
        <v>660</v>
      </c>
      <c r="L182" s="172" t="s">
        <v>487</v>
      </c>
      <c r="M182" s="172" t="s">
        <v>487</v>
      </c>
      <c r="N182" s="607" t="s">
        <v>679</v>
      </c>
      <c r="O182" s="1455" t="s">
        <v>550</v>
      </c>
      <c r="P182" s="1455" t="s">
        <v>550</v>
      </c>
      <c r="Q182" s="172"/>
      <c r="R182" s="172"/>
      <c r="S182" s="172">
        <v>3</v>
      </c>
      <c r="T182" s="172" t="s">
        <v>514</v>
      </c>
      <c r="U182" s="172">
        <v>3</v>
      </c>
      <c r="V182" s="172">
        <v>3</v>
      </c>
      <c r="W182" s="172">
        <v>3</v>
      </c>
      <c r="X182" s="172"/>
      <c r="Y182" s="172"/>
      <c r="Z182" s="172">
        <v>3</v>
      </c>
      <c r="AA182" s="172">
        <v>3</v>
      </c>
      <c r="AB182" s="172">
        <v>3</v>
      </c>
      <c r="AC182" s="172">
        <v>3</v>
      </c>
      <c r="AD182" s="172">
        <v>3</v>
      </c>
      <c r="AE182" s="172"/>
      <c r="AF182" s="172"/>
      <c r="AG182" s="172">
        <v>11</v>
      </c>
      <c r="AH182" s="606"/>
    </row>
    <row r="183" spans="1:35" ht="21" customHeight="1">
      <c r="A183" s="556">
        <v>4</v>
      </c>
      <c r="B183" s="545" t="s">
        <v>788</v>
      </c>
      <c r="C183" s="172"/>
      <c r="D183" s="172"/>
      <c r="E183" s="1600"/>
      <c r="F183" s="1600"/>
      <c r="G183" s="1600"/>
      <c r="H183" s="1600"/>
      <c r="I183" s="1600"/>
      <c r="J183" s="172"/>
      <c r="K183" s="172"/>
      <c r="L183" s="172">
        <v>8</v>
      </c>
      <c r="M183" s="172">
        <v>8</v>
      </c>
      <c r="N183" s="172">
        <v>8</v>
      </c>
      <c r="O183" s="172">
        <v>8</v>
      </c>
      <c r="P183" s="172">
        <v>8</v>
      </c>
      <c r="Q183" s="172" t="s">
        <v>533</v>
      </c>
      <c r="R183" s="172" t="s">
        <v>533</v>
      </c>
      <c r="S183" s="172" t="s">
        <v>487</v>
      </c>
      <c r="T183" s="172" t="s">
        <v>487</v>
      </c>
      <c r="U183" s="172" t="s">
        <v>487</v>
      </c>
      <c r="V183" s="172">
        <v>6</v>
      </c>
      <c r="W183" s="172" t="s">
        <v>487</v>
      </c>
      <c r="X183" s="172"/>
      <c r="Y183" s="172"/>
      <c r="Z183" s="172">
        <v>7</v>
      </c>
      <c r="AA183" s="172">
        <v>7</v>
      </c>
      <c r="AB183" s="607">
        <v>7</v>
      </c>
      <c r="AC183" s="172">
        <v>7</v>
      </c>
      <c r="AD183" s="172">
        <v>7</v>
      </c>
      <c r="AE183" s="172"/>
      <c r="AF183" s="172"/>
      <c r="AG183" s="1455" t="s">
        <v>485</v>
      </c>
      <c r="AH183" s="606"/>
    </row>
    <row r="184" spans="1:35" ht="21" customHeight="1">
      <c r="A184" s="556">
        <v>5</v>
      </c>
      <c r="B184" s="545" t="s">
        <v>827</v>
      </c>
      <c r="C184" s="172"/>
      <c r="D184" s="172"/>
      <c r="E184" s="172" t="s">
        <v>514</v>
      </c>
      <c r="F184" s="172" t="s">
        <v>514</v>
      </c>
      <c r="G184" s="172" t="s">
        <v>514</v>
      </c>
      <c r="H184" s="172" t="s">
        <v>514</v>
      </c>
      <c r="I184" s="172" t="s">
        <v>514</v>
      </c>
      <c r="J184" s="172"/>
      <c r="K184" s="172"/>
      <c r="L184" s="172" t="s">
        <v>514</v>
      </c>
      <c r="M184" s="172" t="s">
        <v>514</v>
      </c>
      <c r="N184" s="172" t="s">
        <v>514</v>
      </c>
      <c r="O184" s="172" t="s">
        <v>514</v>
      </c>
      <c r="P184" s="172" t="s">
        <v>514</v>
      </c>
      <c r="Q184" s="172"/>
      <c r="R184" s="172"/>
      <c r="S184" s="172" t="s">
        <v>514</v>
      </c>
      <c r="T184" s="172" t="s">
        <v>514</v>
      </c>
      <c r="U184" s="172" t="s">
        <v>514</v>
      </c>
      <c r="V184" s="172" t="s">
        <v>514</v>
      </c>
      <c r="W184" s="172" t="s">
        <v>514</v>
      </c>
      <c r="X184" s="172"/>
      <c r="Y184" s="172"/>
      <c r="Z184" s="172" t="s">
        <v>514</v>
      </c>
      <c r="AA184" s="172" t="s">
        <v>514</v>
      </c>
      <c r="AB184" s="172" t="s">
        <v>514</v>
      </c>
      <c r="AC184" s="172" t="s">
        <v>514</v>
      </c>
      <c r="AD184" s="172" t="s">
        <v>514</v>
      </c>
      <c r="AE184" s="172"/>
      <c r="AF184" s="172"/>
      <c r="AG184" s="172"/>
      <c r="AH184" s="606"/>
    </row>
    <row r="185" spans="1:35" ht="21" customHeight="1">
      <c r="A185" s="1232"/>
      <c r="B185" s="354"/>
      <c r="C185" s="139"/>
      <c r="D185" s="139"/>
      <c r="E185" s="139"/>
      <c r="F185" s="139"/>
      <c r="G185" s="139"/>
      <c r="H185" s="139"/>
      <c r="I185" s="139"/>
      <c r="J185" s="139"/>
      <c r="K185" s="139"/>
      <c r="L185" s="139"/>
      <c r="M185" s="139"/>
      <c r="N185" s="1233"/>
      <c r="O185" s="139"/>
      <c r="P185" s="139"/>
      <c r="Q185" s="139"/>
      <c r="R185" s="139"/>
      <c r="S185" s="139"/>
      <c r="T185" s="139"/>
      <c r="U185" s="139"/>
      <c r="V185" s="139"/>
      <c r="W185" s="139"/>
      <c r="X185" s="139"/>
      <c r="Y185" s="139"/>
      <c r="Z185" s="139"/>
      <c r="AA185" s="139"/>
      <c r="AB185" s="139"/>
      <c r="AC185" s="139"/>
      <c r="AD185" s="139"/>
      <c r="AE185" s="139"/>
      <c r="AF185" s="139"/>
      <c r="AG185" s="139"/>
      <c r="AH185" s="606"/>
    </row>
    <row r="186" spans="1:35" ht="21.95" customHeight="1" thickBot="1">
      <c r="A186" s="1" t="s">
        <v>560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1290" t="s">
        <v>516</v>
      </c>
      <c r="C187" s="51" t="s">
        <v>2</v>
      </c>
      <c r="D187" s="51"/>
      <c r="E187" s="51"/>
      <c r="F187" s="51"/>
      <c r="G187" s="1292" t="s">
        <v>3</v>
      </c>
      <c r="H187" s="51"/>
      <c r="I187" s="51"/>
      <c r="J187" s="51"/>
      <c r="K187" s="1292" t="s">
        <v>4</v>
      </c>
      <c r="L187" s="51"/>
      <c r="M187" s="51"/>
      <c r="N187" s="51"/>
      <c r="O187" s="1292" t="s">
        <v>5</v>
      </c>
      <c r="P187" s="51"/>
      <c r="Q187" s="51"/>
      <c r="R187" s="51"/>
      <c r="S187" s="1292" t="s">
        <v>6</v>
      </c>
      <c r="T187" s="51"/>
      <c r="U187" s="51"/>
      <c r="V187" s="51"/>
      <c r="W187" s="51"/>
      <c r="X187" s="1296" t="s">
        <v>7</v>
      </c>
      <c r="Y187" s="51"/>
      <c r="Z187" s="551"/>
      <c r="AA187" s="7"/>
      <c r="AB187" s="525" t="s">
        <v>8</v>
      </c>
      <c r="AC187" s="51"/>
      <c r="AD187" s="51"/>
      <c r="AE187" s="425" t="s">
        <v>10</v>
      </c>
      <c r="AF187" s="51"/>
      <c r="AG187" s="51"/>
      <c r="AH187" s="51"/>
      <c r="AI187" s="526"/>
    </row>
    <row r="188" spans="1:35" ht="21.95" customHeight="1">
      <c r="A188" s="1"/>
      <c r="B188" s="1290">
        <v>3701</v>
      </c>
      <c r="C188" s="55" t="s">
        <v>561</v>
      </c>
      <c r="D188" s="55"/>
      <c r="E188" s="55"/>
      <c r="F188" s="55"/>
      <c r="G188" s="1293" t="s">
        <v>124</v>
      </c>
      <c r="H188" s="55"/>
      <c r="I188" s="55"/>
      <c r="J188" s="55"/>
      <c r="K188" s="1293" t="s">
        <v>124</v>
      </c>
      <c r="L188" s="55"/>
      <c r="M188" s="55"/>
      <c r="N188" s="55"/>
      <c r="O188" s="1293" t="s">
        <v>124</v>
      </c>
      <c r="P188" s="55"/>
      <c r="Q188" s="55"/>
      <c r="R188" s="55"/>
      <c r="S188" s="1293" t="s">
        <v>125</v>
      </c>
      <c r="T188" s="55"/>
      <c r="U188" s="55"/>
      <c r="V188" s="55"/>
      <c r="W188" s="55"/>
      <c r="X188" s="1297"/>
      <c r="Y188" s="55"/>
      <c r="Z188" s="608"/>
      <c r="AA188" s="14"/>
      <c r="AB188" s="609"/>
      <c r="AC188" s="55"/>
      <c r="AD188" s="55"/>
      <c r="AE188" s="610"/>
      <c r="AF188" s="55"/>
      <c r="AG188" s="55"/>
      <c r="AH188" s="55"/>
      <c r="AI188" s="611"/>
    </row>
    <row r="189" spans="1:35" ht="21.95" customHeight="1">
      <c r="B189" s="1290">
        <v>3700</v>
      </c>
      <c r="C189" s="157" t="s">
        <v>512</v>
      </c>
      <c r="D189" s="157"/>
      <c r="E189" s="157"/>
      <c r="F189" s="157"/>
      <c r="G189" s="897" t="s">
        <v>512</v>
      </c>
      <c r="H189" s="157"/>
      <c r="I189" s="157"/>
      <c r="J189" s="157"/>
      <c r="K189" s="897" t="s">
        <v>512</v>
      </c>
      <c r="L189" s="157"/>
      <c r="M189" s="157"/>
      <c r="N189" s="157"/>
      <c r="O189" s="897" t="s">
        <v>512</v>
      </c>
      <c r="P189" s="157"/>
      <c r="Q189" s="157"/>
      <c r="R189" s="157"/>
      <c r="S189" s="897" t="s">
        <v>116</v>
      </c>
      <c r="T189" s="157"/>
      <c r="U189" s="157"/>
      <c r="V189" s="157"/>
      <c r="W189" s="157"/>
      <c r="X189" s="897"/>
      <c r="Y189" s="157"/>
      <c r="Z189" s="568"/>
      <c r="AA189" s="567"/>
      <c r="AB189" s="157"/>
      <c r="AC189" s="157"/>
      <c r="AD189" s="569"/>
      <c r="AE189" s="613"/>
      <c r="AF189" s="157"/>
      <c r="AG189" s="157" t="s">
        <v>28</v>
      </c>
      <c r="AH189" s="569"/>
      <c r="AI189" s="490"/>
    </row>
    <row r="190" spans="1:35" ht="21.95" customHeight="1">
      <c r="A190" s="1"/>
      <c r="B190" s="1290">
        <v>8514</v>
      </c>
      <c r="C190" s="157" t="s">
        <v>124</v>
      </c>
      <c r="D190" s="157"/>
      <c r="E190" s="157"/>
      <c r="F190" s="157"/>
      <c r="G190" s="897" t="s">
        <v>124</v>
      </c>
      <c r="H190" s="157"/>
      <c r="I190" s="157"/>
      <c r="J190" s="157"/>
      <c r="K190" s="897" t="s">
        <v>124</v>
      </c>
      <c r="L190" s="157"/>
      <c r="M190" s="157"/>
      <c r="N190" s="157"/>
      <c r="O190" s="897" t="s">
        <v>124</v>
      </c>
      <c r="P190" s="157"/>
      <c r="Q190" s="157"/>
      <c r="R190" s="157"/>
      <c r="S190" s="897" t="s">
        <v>562</v>
      </c>
      <c r="T190" s="157"/>
      <c r="U190" s="157"/>
      <c r="V190" s="157"/>
      <c r="W190" s="157"/>
      <c r="X190" s="897"/>
      <c r="Y190" s="157"/>
      <c r="Z190" s="568"/>
      <c r="AA190" s="121"/>
      <c r="AB190" s="157"/>
      <c r="AC190" s="157"/>
      <c r="AD190" s="569"/>
      <c r="AE190" s="121"/>
      <c r="AF190" s="157"/>
      <c r="AG190" s="157"/>
      <c r="AH190" s="569"/>
      <c r="AI190" s="490"/>
    </row>
    <row r="191" spans="1:35" ht="21.95" customHeight="1">
      <c r="A191" s="1"/>
      <c r="B191" s="1290">
        <v>8500</v>
      </c>
      <c r="C191" s="55" t="s">
        <v>11</v>
      </c>
      <c r="D191" s="55"/>
      <c r="E191" s="55"/>
      <c r="F191" s="55"/>
      <c r="G191" s="1293" t="s">
        <v>11</v>
      </c>
      <c r="H191" s="55"/>
      <c r="I191" s="55"/>
      <c r="J191" s="55"/>
      <c r="K191" s="1293" t="s">
        <v>11</v>
      </c>
      <c r="L191" s="55"/>
      <c r="M191" s="55"/>
      <c r="N191" s="55"/>
      <c r="O191" s="1293" t="s">
        <v>11</v>
      </c>
      <c r="P191" s="55"/>
      <c r="Q191" s="55"/>
      <c r="R191" s="55"/>
      <c r="S191" s="1293" t="s">
        <v>12</v>
      </c>
      <c r="T191" s="55"/>
      <c r="U191" s="55"/>
      <c r="V191" s="55"/>
      <c r="W191" s="55"/>
      <c r="X191" s="1293"/>
      <c r="Y191" s="55"/>
      <c r="Z191" s="615"/>
      <c r="AA191" s="614"/>
      <c r="AB191" s="55"/>
      <c r="AC191" s="55"/>
      <c r="AD191" s="615"/>
      <c r="AE191" s="614"/>
      <c r="AF191" s="55"/>
      <c r="AG191" s="55"/>
      <c r="AH191" s="598"/>
      <c r="AI191" s="611"/>
    </row>
    <row r="192" spans="1:35" ht="21.95" customHeight="1">
      <c r="A192" s="1"/>
      <c r="B192" s="1290">
        <v>8514</v>
      </c>
      <c r="C192" s="616" t="s">
        <v>124</v>
      </c>
      <c r="D192" s="616"/>
      <c r="E192" s="616"/>
      <c r="F192" s="616"/>
      <c r="G192" s="1294" t="s">
        <v>124</v>
      </c>
      <c r="H192" s="616"/>
      <c r="I192" s="616"/>
      <c r="J192" s="616"/>
      <c r="K192" s="1294" t="s">
        <v>124</v>
      </c>
      <c r="L192" s="616"/>
      <c r="M192" s="616"/>
      <c r="N192" s="616"/>
      <c r="O192" s="1294" t="s">
        <v>124</v>
      </c>
      <c r="P192" s="616"/>
      <c r="Q192" s="616"/>
      <c r="R192" s="616"/>
      <c r="S192" s="1294" t="s">
        <v>562</v>
      </c>
      <c r="T192" s="616"/>
      <c r="U192" s="616"/>
      <c r="V192" s="616"/>
      <c r="W192" s="616"/>
      <c r="X192" s="1297"/>
      <c r="Y192" s="55"/>
      <c r="Z192" s="608"/>
      <c r="AA192" s="14"/>
      <c r="AB192" s="609"/>
      <c r="AC192" s="55"/>
      <c r="AD192" s="55"/>
      <c r="AE192" s="610"/>
      <c r="AF192" s="55"/>
      <c r="AG192" s="55"/>
      <c r="AH192" s="55"/>
      <c r="AI192" s="611"/>
    </row>
    <row r="193" spans="1:35" ht="21.95" customHeight="1" thickBot="1">
      <c r="A193" s="1"/>
      <c r="B193" s="1291" t="s">
        <v>563</v>
      </c>
      <c r="C193" s="53" t="s">
        <v>564</v>
      </c>
      <c r="D193" s="53"/>
      <c r="E193" s="53"/>
      <c r="F193" s="53"/>
      <c r="G193" s="1295" t="s">
        <v>564</v>
      </c>
      <c r="H193" s="53"/>
      <c r="I193" s="53"/>
      <c r="J193" s="53"/>
      <c r="K193" s="53" t="s">
        <v>564</v>
      </c>
      <c r="L193" s="53"/>
      <c r="M193" s="53"/>
      <c r="N193" s="53"/>
      <c r="O193" s="1295" t="s">
        <v>564</v>
      </c>
      <c r="P193" s="53"/>
      <c r="Q193" s="53"/>
      <c r="R193" s="53"/>
      <c r="S193" s="1295" t="s">
        <v>565</v>
      </c>
      <c r="T193" s="53"/>
      <c r="U193" s="53"/>
      <c r="V193" s="53"/>
      <c r="W193" s="53"/>
      <c r="X193" s="1295"/>
      <c r="Y193" s="53"/>
      <c r="Z193" s="575"/>
      <c r="AA193" s="574"/>
      <c r="AB193" s="53"/>
      <c r="AC193" s="53"/>
      <c r="AD193" s="577"/>
      <c r="AE193" s="618"/>
      <c r="AF193" s="53"/>
      <c r="AG193" s="53" t="s">
        <v>28</v>
      </c>
      <c r="AH193" s="577"/>
      <c r="AI193" s="539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509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>
      <c r="A196" s="556"/>
      <c r="B196" s="297" t="s">
        <v>480</v>
      </c>
      <c r="C196" s="1235">
        <v>1</v>
      </c>
      <c r="D196" s="1235">
        <v>2</v>
      </c>
      <c r="E196" s="1234">
        <v>3</v>
      </c>
      <c r="F196" s="1234">
        <v>4</v>
      </c>
      <c r="G196" s="1234">
        <v>5</v>
      </c>
      <c r="H196" s="1234">
        <v>6</v>
      </c>
      <c r="I196" s="1213">
        <v>7</v>
      </c>
      <c r="J196" s="1330">
        <v>8</v>
      </c>
      <c r="K196" s="1235">
        <v>9</v>
      </c>
      <c r="L196" s="1234">
        <v>10</v>
      </c>
      <c r="M196" s="1234">
        <v>11</v>
      </c>
      <c r="N196" s="1234">
        <v>12</v>
      </c>
      <c r="O196" s="1234">
        <v>13</v>
      </c>
      <c r="P196" s="1213">
        <v>14</v>
      </c>
      <c r="Q196" s="1330">
        <v>15</v>
      </c>
      <c r="R196" s="1235">
        <v>16</v>
      </c>
      <c r="S196" s="1234">
        <v>17</v>
      </c>
      <c r="T196" s="1234">
        <v>18</v>
      </c>
      <c r="U196" s="1234">
        <v>19</v>
      </c>
      <c r="V196" s="1213">
        <v>20</v>
      </c>
      <c r="W196" s="1213">
        <v>21</v>
      </c>
      <c r="X196" s="1330">
        <v>22</v>
      </c>
      <c r="Y196" s="1235">
        <v>23</v>
      </c>
      <c r="Z196" s="1234">
        <v>24</v>
      </c>
      <c r="AA196" s="1234">
        <v>25</v>
      </c>
      <c r="AB196" s="1234">
        <v>26</v>
      </c>
      <c r="AC196" s="1234">
        <v>27</v>
      </c>
      <c r="AD196" s="1213">
        <v>28</v>
      </c>
      <c r="AE196" s="1330">
        <v>29</v>
      </c>
      <c r="AF196" s="1235">
        <v>30</v>
      </c>
      <c r="AG196" s="1234">
        <v>31</v>
      </c>
      <c r="AH196" s="498" t="s">
        <v>481</v>
      </c>
      <c r="AI196" s="499" t="s">
        <v>482</v>
      </c>
    </row>
    <row r="197" spans="1:35" ht="21.95" customHeight="1">
      <c r="A197" s="556"/>
      <c r="B197" s="1236" t="s">
        <v>768</v>
      </c>
      <c r="C197" s="1215"/>
      <c r="D197" s="1215"/>
      <c r="E197" s="1215" t="s">
        <v>535</v>
      </c>
      <c r="F197" s="1215" t="s">
        <v>535</v>
      </c>
      <c r="G197" s="1215" t="s">
        <v>535</v>
      </c>
      <c r="H197" s="1215" t="s">
        <v>535</v>
      </c>
      <c r="I197" s="1215" t="s">
        <v>535</v>
      </c>
      <c r="J197" s="1215"/>
      <c r="K197" s="1215"/>
      <c r="L197" s="1344" t="s">
        <v>535</v>
      </c>
      <c r="M197" s="1344" t="s">
        <v>535</v>
      </c>
      <c r="N197" s="1344" t="s">
        <v>535</v>
      </c>
      <c r="O197" s="1215" t="s">
        <v>535</v>
      </c>
      <c r="P197" s="1215" t="s">
        <v>535</v>
      </c>
      <c r="Q197" s="1215"/>
      <c r="R197" s="1215"/>
      <c r="S197" s="1215" t="s">
        <v>535</v>
      </c>
      <c r="T197" s="1215" t="s">
        <v>535</v>
      </c>
      <c r="U197" s="1215" t="s">
        <v>535</v>
      </c>
      <c r="V197" s="1215" t="s">
        <v>514</v>
      </c>
      <c r="W197" s="1215" t="s">
        <v>535</v>
      </c>
      <c r="X197" s="1215"/>
      <c r="Y197" s="1215"/>
      <c r="Z197" s="1215" t="s">
        <v>535</v>
      </c>
      <c r="AA197" s="1215" t="s">
        <v>535</v>
      </c>
      <c r="AB197" s="1215" t="s">
        <v>535</v>
      </c>
      <c r="AC197" s="1215" t="s">
        <v>535</v>
      </c>
      <c r="AD197" s="1215" t="s">
        <v>535</v>
      </c>
      <c r="AE197" s="1215"/>
      <c r="AF197" s="1215"/>
      <c r="AG197" s="1216" t="s">
        <v>535</v>
      </c>
      <c r="AH197" s="603">
        <v>185</v>
      </c>
      <c r="AI197" s="604">
        <v>37</v>
      </c>
    </row>
    <row r="198" spans="1:35" ht="21.95" customHeight="1">
      <c r="A198" s="620">
        <v>8500</v>
      </c>
      <c r="B198" s="1237" t="s">
        <v>151</v>
      </c>
      <c r="C198" s="1215"/>
      <c r="D198" s="1215"/>
      <c r="E198" s="1215" t="s">
        <v>535</v>
      </c>
      <c r="F198" s="1215" t="s">
        <v>535</v>
      </c>
      <c r="G198" s="1215" t="s">
        <v>535</v>
      </c>
      <c r="H198" s="1215" t="s">
        <v>535</v>
      </c>
      <c r="I198" s="1215" t="s">
        <v>535</v>
      </c>
      <c r="J198" s="1215"/>
      <c r="K198" s="1215"/>
      <c r="L198" s="1215" t="s">
        <v>535</v>
      </c>
      <c r="M198" s="1215" t="s">
        <v>535</v>
      </c>
      <c r="N198" s="1215" t="s">
        <v>535</v>
      </c>
      <c r="O198" s="1215" t="s">
        <v>535</v>
      </c>
      <c r="P198" s="1215" t="s">
        <v>535</v>
      </c>
      <c r="Q198" s="1215"/>
      <c r="R198" s="1215"/>
      <c r="S198" s="1215" t="s">
        <v>535</v>
      </c>
      <c r="T198" s="1215" t="s">
        <v>535</v>
      </c>
      <c r="U198" s="1215" t="s">
        <v>535</v>
      </c>
      <c r="V198" s="1215" t="s">
        <v>514</v>
      </c>
      <c r="W198" s="1215" t="s">
        <v>535</v>
      </c>
      <c r="X198" s="1215"/>
      <c r="Y198" s="1215"/>
      <c r="Z198" s="1215" t="s">
        <v>535</v>
      </c>
      <c r="AA198" s="1215" t="s">
        <v>535</v>
      </c>
      <c r="AB198" s="1215" t="s">
        <v>535</v>
      </c>
      <c r="AC198" s="1215" t="s">
        <v>535</v>
      </c>
      <c r="AD198" s="1215" t="s">
        <v>535</v>
      </c>
      <c r="AE198" s="1215"/>
      <c r="AF198" s="1215"/>
      <c r="AG198" s="1216" t="s">
        <v>535</v>
      </c>
      <c r="AH198" s="603">
        <v>185</v>
      </c>
      <c r="AI198" s="604">
        <v>37</v>
      </c>
    </row>
    <row r="199" spans="1:35" ht="21" customHeight="1">
      <c r="A199" s="442"/>
      <c r="B199" s="1236" t="s">
        <v>567</v>
      </c>
      <c r="C199" s="1215"/>
      <c r="D199" s="1215"/>
      <c r="E199" s="1215" t="s">
        <v>535</v>
      </c>
      <c r="F199" s="1215" t="s">
        <v>535</v>
      </c>
      <c r="G199" s="1215" t="s">
        <v>535</v>
      </c>
      <c r="H199" s="1215" t="s">
        <v>535</v>
      </c>
      <c r="I199" s="1215" t="s">
        <v>535</v>
      </c>
      <c r="J199" s="1215"/>
      <c r="K199" s="1215"/>
      <c r="L199" s="1215" t="s">
        <v>535</v>
      </c>
      <c r="M199" s="1215" t="s">
        <v>535</v>
      </c>
      <c r="N199" s="1215" t="s">
        <v>535</v>
      </c>
      <c r="O199" s="1215" t="s">
        <v>535</v>
      </c>
      <c r="P199" s="1215" t="s">
        <v>535</v>
      </c>
      <c r="Q199" s="1215"/>
      <c r="R199" s="1215"/>
      <c r="S199" s="1215" t="s">
        <v>535</v>
      </c>
      <c r="T199" s="1215" t="s">
        <v>535</v>
      </c>
      <c r="U199" s="1215" t="s">
        <v>535</v>
      </c>
      <c r="V199" s="1215" t="s">
        <v>535</v>
      </c>
      <c r="W199" s="1215" t="s">
        <v>535</v>
      </c>
      <c r="X199" s="1215"/>
      <c r="Y199" s="1215"/>
      <c r="Z199" s="1215" t="s">
        <v>535</v>
      </c>
      <c r="AA199" s="1215" t="s">
        <v>535</v>
      </c>
      <c r="AB199" s="1215" t="s">
        <v>535</v>
      </c>
      <c r="AC199" s="1215" t="s">
        <v>535</v>
      </c>
      <c r="AD199" s="1215" t="s">
        <v>535</v>
      </c>
      <c r="AE199" s="1215"/>
      <c r="AF199" s="1215"/>
      <c r="AG199" s="1651" t="s">
        <v>535</v>
      </c>
      <c r="AH199" s="603">
        <v>185</v>
      </c>
      <c r="AI199" s="604">
        <v>37</v>
      </c>
    </row>
    <row r="200" spans="1:35" ht="21" customHeight="1">
      <c r="A200" s="442">
        <v>8521</v>
      </c>
      <c r="B200" s="1236" t="s">
        <v>568</v>
      </c>
      <c r="C200" s="1215"/>
      <c r="D200" s="1215"/>
      <c r="E200" s="1215" t="s">
        <v>535</v>
      </c>
      <c r="F200" s="1215" t="s">
        <v>535</v>
      </c>
      <c r="G200" s="1215" t="s">
        <v>535</v>
      </c>
      <c r="H200" s="1215" t="s">
        <v>535</v>
      </c>
      <c r="I200" s="1215" t="s">
        <v>535</v>
      </c>
      <c r="J200" s="1215"/>
      <c r="K200" s="1215"/>
      <c r="L200" s="1215" t="s">
        <v>535</v>
      </c>
      <c r="M200" s="1215" t="s">
        <v>535</v>
      </c>
      <c r="N200" s="1215" t="s">
        <v>535</v>
      </c>
      <c r="O200" s="1215" t="s">
        <v>535</v>
      </c>
      <c r="P200" s="1215" t="s">
        <v>535</v>
      </c>
      <c r="Q200" s="1215"/>
      <c r="R200" s="1215"/>
      <c r="S200" s="1215" t="s">
        <v>535</v>
      </c>
      <c r="T200" s="1392" t="s">
        <v>535</v>
      </c>
      <c r="U200" s="1392" t="s">
        <v>535</v>
      </c>
      <c r="V200" s="1392" t="s">
        <v>535</v>
      </c>
      <c r="W200" s="1392" t="s">
        <v>535</v>
      </c>
      <c r="X200" s="1215"/>
      <c r="Y200" s="1215"/>
      <c r="Z200" s="1392" t="s">
        <v>535</v>
      </c>
      <c r="AA200" s="1392" t="s">
        <v>535</v>
      </c>
      <c r="AB200" s="1392" t="s">
        <v>535</v>
      </c>
      <c r="AC200" s="1392" t="s">
        <v>535</v>
      </c>
      <c r="AD200" s="1392" t="s">
        <v>535</v>
      </c>
      <c r="AE200" s="1392"/>
      <c r="AF200" s="1392"/>
      <c r="AG200" s="1216" t="s">
        <v>535</v>
      </c>
      <c r="AH200" s="603">
        <v>185</v>
      </c>
      <c r="AI200" s="604">
        <v>37</v>
      </c>
    </row>
    <row r="201" spans="1:35" ht="21" customHeight="1">
      <c r="A201" s="442"/>
      <c r="B201" s="1236"/>
      <c r="C201" s="1215"/>
      <c r="D201" s="1215"/>
      <c r="E201" s="1215" t="s">
        <v>535</v>
      </c>
      <c r="F201" s="1215" t="s">
        <v>535</v>
      </c>
      <c r="G201" s="1215" t="s">
        <v>535</v>
      </c>
      <c r="H201" s="1215" t="s">
        <v>535</v>
      </c>
      <c r="I201" s="1215" t="s">
        <v>535</v>
      </c>
      <c r="J201" s="1215"/>
      <c r="K201" s="1215"/>
      <c r="L201" s="1215" t="s">
        <v>535</v>
      </c>
      <c r="M201" s="1215" t="s">
        <v>535</v>
      </c>
      <c r="N201" s="1215" t="s">
        <v>535</v>
      </c>
      <c r="O201" s="1215" t="s">
        <v>535</v>
      </c>
      <c r="P201" s="1215" t="s">
        <v>535</v>
      </c>
      <c r="Q201" s="1215"/>
      <c r="R201" s="1215"/>
      <c r="S201" s="1215" t="s">
        <v>535</v>
      </c>
      <c r="T201" s="1215" t="s">
        <v>535</v>
      </c>
      <c r="U201" s="1215" t="s">
        <v>535</v>
      </c>
      <c r="V201" s="1215" t="s">
        <v>535</v>
      </c>
      <c r="W201" s="1215" t="s">
        <v>535</v>
      </c>
      <c r="X201" s="1215"/>
      <c r="Y201" s="1215"/>
      <c r="Z201" s="1215" t="s">
        <v>535</v>
      </c>
      <c r="AA201" s="1215" t="s">
        <v>535</v>
      </c>
      <c r="AB201" s="1215" t="s">
        <v>535</v>
      </c>
      <c r="AC201" s="1215" t="s">
        <v>535</v>
      </c>
      <c r="AD201" s="1215" t="s">
        <v>535</v>
      </c>
      <c r="AE201" s="1215"/>
      <c r="AF201" s="1215"/>
      <c r="AG201" s="1216" t="s">
        <v>535</v>
      </c>
      <c r="AH201" s="603">
        <v>185</v>
      </c>
      <c r="AI201" s="604">
        <v>37</v>
      </c>
    </row>
    <row r="202" spans="1:35" ht="21" customHeight="1">
      <c r="A202" s="442">
        <v>8514</v>
      </c>
      <c r="B202" s="1238" t="s">
        <v>569</v>
      </c>
      <c r="C202" s="1215"/>
      <c r="D202" s="1215"/>
      <c r="E202" s="1215" t="s">
        <v>535</v>
      </c>
      <c r="F202" s="1215" t="s">
        <v>535</v>
      </c>
      <c r="G202" s="1215" t="s">
        <v>535</v>
      </c>
      <c r="H202" s="1215" t="s">
        <v>535</v>
      </c>
      <c r="I202" s="1215" t="s">
        <v>535</v>
      </c>
      <c r="J202" s="1215"/>
      <c r="K202" s="1215"/>
      <c r="L202" s="1215" t="s">
        <v>535</v>
      </c>
      <c r="M202" s="1215" t="s">
        <v>535</v>
      </c>
      <c r="N202" s="1215" t="s">
        <v>535</v>
      </c>
      <c r="O202" s="1215" t="s">
        <v>535</v>
      </c>
      <c r="P202" s="1215" t="s">
        <v>535</v>
      </c>
      <c r="Q202" s="1215"/>
      <c r="R202" s="1215"/>
      <c r="S202" s="1215" t="s">
        <v>535</v>
      </c>
      <c r="T202" s="1215" t="s">
        <v>535</v>
      </c>
      <c r="U202" s="1215" t="s">
        <v>535</v>
      </c>
      <c r="V202" s="1215" t="s">
        <v>514</v>
      </c>
      <c r="W202" s="1215" t="s">
        <v>535</v>
      </c>
      <c r="X202" s="1215"/>
      <c r="Y202" s="1215"/>
      <c r="Z202" s="1392" t="s">
        <v>535</v>
      </c>
      <c r="AA202" s="1392" t="s">
        <v>535</v>
      </c>
      <c r="AB202" s="1392" t="s">
        <v>749</v>
      </c>
      <c r="AC202" s="1215" t="s">
        <v>535</v>
      </c>
      <c r="AD202" s="1215" t="s">
        <v>535</v>
      </c>
      <c r="AE202" s="1215"/>
      <c r="AF202" s="1215"/>
      <c r="AG202" s="1672" t="s">
        <v>535</v>
      </c>
      <c r="AH202" s="603">
        <v>185</v>
      </c>
      <c r="AI202" s="604">
        <v>37</v>
      </c>
    </row>
    <row r="203" spans="1:35" ht="21.95" customHeight="1">
      <c r="A203" s="442">
        <v>3701</v>
      </c>
      <c r="B203" s="1236" t="s">
        <v>513</v>
      </c>
      <c r="C203" s="1215"/>
      <c r="D203" s="1215"/>
      <c r="E203" s="1215" t="s">
        <v>535</v>
      </c>
      <c r="F203" s="1215" t="s">
        <v>535</v>
      </c>
      <c r="G203" s="1215" t="s">
        <v>535</v>
      </c>
      <c r="H203" s="1215" t="s">
        <v>535</v>
      </c>
      <c r="I203" s="1215" t="s">
        <v>535</v>
      </c>
      <c r="J203" s="1215"/>
      <c r="K203" s="1215"/>
      <c r="L203" s="1215" t="s">
        <v>535</v>
      </c>
      <c r="M203" s="1215" t="s">
        <v>535</v>
      </c>
      <c r="N203" s="1215" t="s">
        <v>535</v>
      </c>
      <c r="O203" s="1662" t="s">
        <v>535</v>
      </c>
      <c r="P203" s="1215" t="s">
        <v>535</v>
      </c>
      <c r="Q203" s="1215"/>
      <c r="R203" s="1215"/>
      <c r="S203" s="1215" t="s">
        <v>535</v>
      </c>
      <c r="T203" s="1215" t="s">
        <v>535</v>
      </c>
      <c r="U203" s="1215" t="s">
        <v>535</v>
      </c>
      <c r="V203" s="1215" t="s">
        <v>514</v>
      </c>
      <c r="W203" s="1215" t="s">
        <v>535</v>
      </c>
      <c r="X203" s="1215"/>
      <c r="Y203" s="1215"/>
      <c r="Z203" s="1215" t="s">
        <v>535</v>
      </c>
      <c r="AA203" s="1215" t="s">
        <v>535</v>
      </c>
      <c r="AB203" s="1215" t="s">
        <v>535</v>
      </c>
      <c r="AC203" s="1215" t="s">
        <v>535</v>
      </c>
      <c r="AD203" s="1215" t="s">
        <v>535</v>
      </c>
      <c r="AE203" s="1215"/>
      <c r="AF203" s="1215"/>
      <c r="AG203" s="1216" t="s">
        <v>535</v>
      </c>
      <c r="AH203" s="603">
        <v>185</v>
      </c>
      <c r="AI203" s="604">
        <v>37</v>
      </c>
    </row>
    <row r="204" spans="1:35" ht="21.95" customHeight="1">
      <c r="A204" s="442">
        <v>3701</v>
      </c>
      <c r="B204" s="1236" t="s">
        <v>345</v>
      </c>
      <c r="C204" s="1215"/>
      <c r="D204" s="1215"/>
      <c r="E204" s="1215" t="s">
        <v>535</v>
      </c>
      <c r="F204" s="1215" t="s">
        <v>535</v>
      </c>
      <c r="G204" s="1215" t="s">
        <v>535</v>
      </c>
      <c r="H204" s="1215" t="s">
        <v>535</v>
      </c>
      <c r="I204" s="1215" t="s">
        <v>535</v>
      </c>
      <c r="J204" s="1215"/>
      <c r="K204" s="1215"/>
      <c r="L204" s="1215" t="s">
        <v>535</v>
      </c>
      <c r="M204" s="1215" t="s">
        <v>535</v>
      </c>
      <c r="N204" s="1215" t="s">
        <v>535</v>
      </c>
      <c r="O204" s="1215" t="s">
        <v>535</v>
      </c>
      <c r="P204" s="1215" t="s">
        <v>535</v>
      </c>
      <c r="Q204" s="1215"/>
      <c r="R204" s="1215"/>
      <c r="S204" s="1215" t="s">
        <v>535</v>
      </c>
      <c r="T204" s="1215" t="s">
        <v>535</v>
      </c>
      <c r="U204" s="1215" t="s">
        <v>535</v>
      </c>
      <c r="V204" s="1215" t="s">
        <v>514</v>
      </c>
      <c r="W204" s="1215" t="s">
        <v>535</v>
      </c>
      <c r="X204" s="1215"/>
      <c r="Y204" s="1215"/>
      <c r="Z204" s="1215" t="s">
        <v>535</v>
      </c>
      <c r="AA204" s="1215" t="s">
        <v>535</v>
      </c>
      <c r="AB204" s="1215" t="s">
        <v>535</v>
      </c>
      <c r="AC204" s="1215" t="s">
        <v>535</v>
      </c>
      <c r="AD204" s="1215" t="s">
        <v>535</v>
      </c>
      <c r="AE204" s="1215"/>
      <c r="AF204" s="1215"/>
      <c r="AG204" s="1216" t="s">
        <v>535</v>
      </c>
      <c r="AH204" s="603">
        <v>185</v>
      </c>
      <c r="AI204" s="604">
        <v>37</v>
      </c>
    </row>
    <row r="205" spans="1:35" ht="21.95" customHeight="1">
      <c r="A205" s="442">
        <v>3701</v>
      </c>
      <c r="B205" s="1236" t="s">
        <v>348</v>
      </c>
      <c r="C205" s="1215"/>
      <c r="D205" s="1215"/>
      <c r="E205" s="1215">
        <v>19</v>
      </c>
      <c r="F205" s="1215">
        <v>19</v>
      </c>
      <c r="G205" s="1215">
        <v>19</v>
      </c>
      <c r="H205" s="1215">
        <v>19</v>
      </c>
      <c r="I205" s="1215">
        <v>19</v>
      </c>
      <c r="J205" s="1215"/>
      <c r="K205" s="1215"/>
      <c r="L205" s="1215" t="s">
        <v>535</v>
      </c>
      <c r="M205" s="1215" t="s">
        <v>535</v>
      </c>
      <c r="N205" s="1215" t="s">
        <v>535</v>
      </c>
      <c r="O205" s="1215" t="s">
        <v>535</v>
      </c>
      <c r="P205" s="1215" t="s">
        <v>535</v>
      </c>
      <c r="Q205" s="1215"/>
      <c r="R205" s="1215"/>
      <c r="S205" s="1215" t="s">
        <v>535</v>
      </c>
      <c r="T205" s="1215" t="s">
        <v>535</v>
      </c>
      <c r="U205" s="1215" t="s">
        <v>535</v>
      </c>
      <c r="V205" s="1215" t="s">
        <v>535</v>
      </c>
      <c r="W205" s="1215" t="s">
        <v>535</v>
      </c>
      <c r="X205" s="1215"/>
      <c r="Y205" s="1215"/>
      <c r="Z205" s="1215" t="s">
        <v>535</v>
      </c>
      <c r="AA205" s="1215" t="s">
        <v>535</v>
      </c>
      <c r="AB205" s="1215" t="s">
        <v>535</v>
      </c>
      <c r="AC205" s="1215" t="s">
        <v>535</v>
      </c>
      <c r="AD205" s="1215" t="s">
        <v>535</v>
      </c>
      <c r="AE205" s="1215"/>
      <c r="AF205" s="1215"/>
      <c r="AG205" s="1216" t="s">
        <v>535</v>
      </c>
      <c r="AH205" s="603">
        <v>185</v>
      </c>
      <c r="AI205" s="604">
        <v>37</v>
      </c>
    </row>
    <row r="206" spans="1:35" ht="21.95" customHeight="1">
      <c r="A206" s="442">
        <v>3701</v>
      </c>
      <c r="B206" s="1236" t="s">
        <v>350</v>
      </c>
      <c r="C206" s="1215"/>
      <c r="D206" s="1215"/>
      <c r="E206" s="1215" t="s">
        <v>535</v>
      </c>
      <c r="F206" s="1215" t="s">
        <v>535</v>
      </c>
      <c r="G206" s="1215" t="s">
        <v>535</v>
      </c>
      <c r="H206" s="1335" t="s">
        <v>535</v>
      </c>
      <c r="I206" s="1215" t="s">
        <v>535</v>
      </c>
      <c r="J206" s="1215"/>
      <c r="K206" s="1215"/>
      <c r="L206" s="1392" t="s">
        <v>535</v>
      </c>
      <c r="M206" s="1392" t="s">
        <v>570</v>
      </c>
      <c r="N206" s="1215" t="s">
        <v>535</v>
      </c>
      <c r="O206" s="1215" t="s">
        <v>535</v>
      </c>
      <c r="P206" s="1215" t="s">
        <v>535</v>
      </c>
      <c r="Q206" s="1215"/>
      <c r="R206" s="1215"/>
      <c r="S206" s="1215" t="s">
        <v>535</v>
      </c>
      <c r="T206" s="1215" t="s">
        <v>535</v>
      </c>
      <c r="U206" s="1215" t="s">
        <v>535</v>
      </c>
      <c r="V206" s="1215" t="s">
        <v>535</v>
      </c>
      <c r="W206" s="1215" t="s">
        <v>535</v>
      </c>
      <c r="X206" s="1215"/>
      <c r="Y206" s="1215"/>
      <c r="Z206" s="1215">
        <v>19</v>
      </c>
      <c r="AA206" s="1215">
        <v>19</v>
      </c>
      <c r="AB206" s="1215">
        <v>19</v>
      </c>
      <c r="AC206" s="1344">
        <v>19</v>
      </c>
      <c r="AD206" s="1344">
        <v>19</v>
      </c>
      <c r="AE206" s="1344"/>
      <c r="AF206" s="1344"/>
      <c r="AG206" s="1672" t="s">
        <v>535</v>
      </c>
      <c r="AH206" s="603">
        <v>185</v>
      </c>
      <c r="AI206" s="604">
        <v>37</v>
      </c>
    </row>
    <row r="207" spans="1:35" ht="21.95" customHeight="1">
      <c r="A207" s="442">
        <v>3701</v>
      </c>
      <c r="B207" s="1236" t="s">
        <v>351</v>
      </c>
      <c r="C207" s="1215"/>
      <c r="D207" s="1215"/>
      <c r="E207" s="1215" t="s">
        <v>535</v>
      </c>
      <c r="F207" s="1215" t="s">
        <v>535</v>
      </c>
      <c r="G207" s="1215" t="s">
        <v>535</v>
      </c>
      <c r="H207" s="1215" t="s">
        <v>535</v>
      </c>
      <c r="I207" s="1215" t="s">
        <v>535</v>
      </c>
      <c r="J207" s="1215"/>
      <c r="K207" s="1215"/>
      <c r="L207" s="1215" t="s">
        <v>535</v>
      </c>
      <c r="M207" s="1335" t="s">
        <v>535</v>
      </c>
      <c r="N207" s="1215" t="s">
        <v>535</v>
      </c>
      <c r="O207" s="1215" t="s">
        <v>535</v>
      </c>
      <c r="P207" s="1215" t="s">
        <v>535</v>
      </c>
      <c r="Q207" s="1215"/>
      <c r="R207" s="1215"/>
      <c r="S207" s="1215" t="s">
        <v>535</v>
      </c>
      <c r="T207" s="1215" t="s">
        <v>535</v>
      </c>
      <c r="U207" s="1215" t="s">
        <v>535</v>
      </c>
      <c r="V207" s="1215" t="s">
        <v>535</v>
      </c>
      <c r="W207" s="1215" t="s">
        <v>535</v>
      </c>
      <c r="X207" s="1215"/>
      <c r="Y207" s="1215"/>
      <c r="Z207" s="1215" t="s">
        <v>535</v>
      </c>
      <c r="AA207" s="1215" t="s">
        <v>535</v>
      </c>
      <c r="AB207" s="1215" t="s">
        <v>535</v>
      </c>
      <c r="AC207" s="1345" t="s">
        <v>535</v>
      </c>
      <c r="AD207" s="1345" t="s">
        <v>535</v>
      </c>
      <c r="AE207" s="1215"/>
      <c r="AF207" s="1215"/>
      <c r="AG207" s="1670" t="s">
        <v>535</v>
      </c>
      <c r="AH207" s="603">
        <v>185</v>
      </c>
      <c r="AI207" s="604">
        <v>37</v>
      </c>
    </row>
    <row r="208" spans="1:35" ht="21.95" customHeight="1">
      <c r="A208" s="442">
        <v>3701</v>
      </c>
      <c r="B208" s="1236" t="s">
        <v>571</v>
      </c>
      <c r="C208" s="1215"/>
      <c r="D208" s="1215"/>
      <c r="E208" s="1215" t="s">
        <v>535</v>
      </c>
      <c r="F208" s="1215" t="s">
        <v>535</v>
      </c>
      <c r="G208" s="1215" t="s">
        <v>535</v>
      </c>
      <c r="H208" s="1215" t="s">
        <v>535</v>
      </c>
      <c r="I208" s="1215" t="s">
        <v>535</v>
      </c>
      <c r="J208" s="1215"/>
      <c r="K208" s="1215"/>
      <c r="L208" s="1338" t="s">
        <v>535</v>
      </c>
      <c r="M208" s="1338" t="s">
        <v>535</v>
      </c>
      <c r="N208" s="1338" t="s">
        <v>535</v>
      </c>
      <c r="O208" s="1338" t="s">
        <v>535</v>
      </c>
      <c r="P208" s="1338" t="s">
        <v>535</v>
      </c>
      <c r="Q208" s="1215"/>
      <c r="R208" s="1215"/>
      <c r="S208" s="1215" t="s">
        <v>535</v>
      </c>
      <c r="T208" s="1215" t="s">
        <v>535</v>
      </c>
      <c r="U208" s="1215" t="s">
        <v>535</v>
      </c>
      <c r="V208" s="1215" t="s">
        <v>535</v>
      </c>
      <c r="W208" s="1215" t="s">
        <v>535</v>
      </c>
      <c r="X208" s="1215"/>
      <c r="Y208" s="1215"/>
      <c r="Z208" s="1215" t="s">
        <v>535</v>
      </c>
      <c r="AA208" s="1215" t="s">
        <v>535</v>
      </c>
      <c r="AB208" s="1215" t="s">
        <v>535</v>
      </c>
      <c r="AC208" s="1215" t="s">
        <v>535</v>
      </c>
      <c r="AD208" s="1215" t="s">
        <v>535</v>
      </c>
      <c r="AE208" s="1215"/>
      <c r="AF208" s="1215"/>
      <c r="AG208" s="1216" t="s">
        <v>535</v>
      </c>
      <c r="AH208" s="603">
        <v>185</v>
      </c>
      <c r="AI208" s="604">
        <v>37</v>
      </c>
    </row>
    <row r="209" spans="1:35" ht="21.95" customHeight="1">
      <c r="A209" s="442">
        <v>3701</v>
      </c>
      <c r="B209" s="1236" t="s">
        <v>490</v>
      </c>
      <c r="C209" s="1215"/>
      <c r="D209" s="1215"/>
      <c r="E209" s="1215" t="s">
        <v>535</v>
      </c>
      <c r="F209" s="1215" t="s">
        <v>535</v>
      </c>
      <c r="G209" s="1215" t="s">
        <v>535</v>
      </c>
      <c r="H209" s="1215" t="s">
        <v>535</v>
      </c>
      <c r="I209" s="1215" t="s">
        <v>535</v>
      </c>
      <c r="J209" s="1215"/>
      <c r="K209" s="1215"/>
      <c r="L209" s="1215">
        <v>19</v>
      </c>
      <c r="M209" s="1215">
        <v>19</v>
      </c>
      <c r="N209" s="1215">
        <v>19</v>
      </c>
      <c r="O209" s="1215">
        <v>19</v>
      </c>
      <c r="P209" s="1215">
        <v>19</v>
      </c>
      <c r="Q209" s="1215"/>
      <c r="R209" s="1215"/>
      <c r="S209" s="1215" t="s">
        <v>535</v>
      </c>
      <c r="T209" s="1215" t="s">
        <v>535</v>
      </c>
      <c r="U209" s="1215" t="s">
        <v>535</v>
      </c>
      <c r="V209" s="1215" t="s">
        <v>535</v>
      </c>
      <c r="W209" s="1215" t="s">
        <v>535</v>
      </c>
      <c r="X209" s="1215"/>
      <c r="Y209" s="1215"/>
      <c r="Z209" s="1215" t="s">
        <v>535</v>
      </c>
      <c r="AA209" s="1215" t="s">
        <v>535</v>
      </c>
      <c r="AB209" s="1215" t="s">
        <v>535</v>
      </c>
      <c r="AC209" s="1215" t="s">
        <v>535</v>
      </c>
      <c r="AD209" s="1215" t="s">
        <v>535</v>
      </c>
      <c r="AE209" s="1215"/>
      <c r="AF209" s="1215"/>
      <c r="AG209" s="1215">
        <v>19</v>
      </c>
      <c r="AH209" s="603">
        <v>185</v>
      </c>
      <c r="AI209" s="604">
        <v>37</v>
      </c>
    </row>
    <row r="210" spans="1:35" ht="21.95" customHeight="1">
      <c r="A210" s="1318">
        <v>3701</v>
      </c>
      <c r="B210" s="1240" t="s">
        <v>573</v>
      </c>
      <c r="C210" s="1215"/>
      <c r="D210" s="1215"/>
      <c r="E210" s="1215" t="s">
        <v>535</v>
      </c>
      <c r="F210" s="1215" t="s">
        <v>535</v>
      </c>
      <c r="G210" s="1215" t="s">
        <v>535</v>
      </c>
      <c r="H210" s="1215" t="s">
        <v>535</v>
      </c>
      <c r="I210" s="1215" t="s">
        <v>535</v>
      </c>
      <c r="J210" s="1215"/>
      <c r="K210" s="1215"/>
      <c r="L210" s="1215" t="s">
        <v>535</v>
      </c>
      <c r="M210" s="1215" t="s">
        <v>535</v>
      </c>
      <c r="N210" s="1215" t="s">
        <v>535</v>
      </c>
      <c r="O210" s="1215" t="s">
        <v>535</v>
      </c>
      <c r="P210" s="1215" t="s">
        <v>535</v>
      </c>
      <c r="Q210" s="1215"/>
      <c r="R210" s="1215"/>
      <c r="S210" s="1215">
        <v>19</v>
      </c>
      <c r="T210" s="1215">
        <v>19</v>
      </c>
      <c r="U210" s="1215">
        <v>19</v>
      </c>
      <c r="V210" s="1215">
        <v>19</v>
      </c>
      <c r="W210" s="1215">
        <v>19</v>
      </c>
      <c r="X210" s="1215"/>
      <c r="Y210" s="1215"/>
      <c r="Z210" s="1215" t="s">
        <v>535</v>
      </c>
      <c r="AA210" s="1215" t="s">
        <v>535</v>
      </c>
      <c r="AB210" s="1215" t="s">
        <v>535</v>
      </c>
      <c r="AC210" s="1215" t="s">
        <v>535</v>
      </c>
      <c r="AD210" s="1215" t="s">
        <v>535</v>
      </c>
      <c r="AE210" s="1215"/>
      <c r="AF210" s="1215"/>
      <c r="AG210" s="1216" t="s">
        <v>535</v>
      </c>
      <c r="AH210" s="603">
        <v>185</v>
      </c>
      <c r="AI210" s="604">
        <v>37</v>
      </c>
    </row>
    <row r="211" spans="1:35" ht="21.95" customHeight="1">
      <c r="A211" s="442">
        <v>3701</v>
      </c>
      <c r="B211" s="1236"/>
      <c r="C211" s="1215"/>
      <c r="D211" s="1215"/>
      <c r="E211" s="1215" t="s">
        <v>535</v>
      </c>
      <c r="F211" s="1215" t="s">
        <v>535</v>
      </c>
      <c r="G211" s="1215" t="s">
        <v>535</v>
      </c>
      <c r="H211" s="1215" t="s">
        <v>535</v>
      </c>
      <c r="I211" s="1215" t="s">
        <v>535</v>
      </c>
      <c r="J211" s="1215"/>
      <c r="K211" s="1215"/>
      <c r="L211" s="1215" t="s">
        <v>535</v>
      </c>
      <c r="M211" s="1215" t="s">
        <v>535</v>
      </c>
      <c r="N211" s="1215" t="s">
        <v>535</v>
      </c>
      <c r="O211" s="1215" t="s">
        <v>535</v>
      </c>
      <c r="P211" s="1215" t="s">
        <v>535</v>
      </c>
      <c r="Q211" s="1215"/>
      <c r="R211" s="1215"/>
      <c r="S211" s="1215" t="s">
        <v>535</v>
      </c>
      <c r="T211" s="1215" t="s">
        <v>535</v>
      </c>
      <c r="U211" s="1215" t="s">
        <v>535</v>
      </c>
      <c r="V211" s="1215" t="s">
        <v>535</v>
      </c>
      <c r="W211" s="1215" t="s">
        <v>535</v>
      </c>
      <c r="X211" s="1215"/>
      <c r="Y211" s="1215"/>
      <c r="Z211" s="1215" t="s">
        <v>535</v>
      </c>
      <c r="AA211" s="1215" t="s">
        <v>535</v>
      </c>
      <c r="AB211" s="1215" t="s">
        <v>535</v>
      </c>
      <c r="AC211" s="1215" t="s">
        <v>535</v>
      </c>
      <c r="AD211" s="1215" t="s">
        <v>535</v>
      </c>
      <c r="AE211" s="1215"/>
      <c r="AF211" s="1215"/>
      <c r="AG211" s="1216" t="s">
        <v>535</v>
      </c>
      <c r="AH211" s="603">
        <v>185</v>
      </c>
      <c r="AI211" s="604">
        <v>37</v>
      </c>
    </row>
    <row r="212" spans="1:35" ht="21.95" customHeight="1">
      <c r="A212" s="442">
        <v>3701</v>
      </c>
      <c r="B212" s="1239" t="s">
        <v>575</v>
      </c>
      <c r="C212" s="1215"/>
      <c r="D212" s="1215"/>
      <c r="E212" s="1215" t="s">
        <v>535</v>
      </c>
      <c r="F212" s="1215" t="s">
        <v>535</v>
      </c>
      <c r="G212" s="1215" t="s">
        <v>535</v>
      </c>
      <c r="H212" s="1215" t="s">
        <v>535</v>
      </c>
      <c r="I212" s="1215" t="s">
        <v>535</v>
      </c>
      <c r="J212" s="1215"/>
      <c r="K212" s="1215"/>
      <c r="L212" s="1338" t="s">
        <v>535</v>
      </c>
      <c r="M212" s="1338" t="s">
        <v>535</v>
      </c>
      <c r="N212" s="1338" t="s">
        <v>535</v>
      </c>
      <c r="O212" s="1215" t="s">
        <v>535</v>
      </c>
      <c r="P212" s="1215" t="s">
        <v>535</v>
      </c>
      <c r="Q212" s="1215"/>
      <c r="R212" s="1215"/>
      <c r="S212" s="1215" t="s">
        <v>535</v>
      </c>
      <c r="T212" s="1215" t="s">
        <v>535</v>
      </c>
      <c r="U212" s="1215" t="s">
        <v>535</v>
      </c>
      <c r="V212" s="1215" t="s">
        <v>535</v>
      </c>
      <c r="W212" s="1215" t="s">
        <v>535</v>
      </c>
      <c r="X212" s="1215"/>
      <c r="Y212" s="1215"/>
      <c r="Z212" s="1215" t="s">
        <v>535</v>
      </c>
      <c r="AA212" s="1215" t="s">
        <v>535</v>
      </c>
      <c r="AB212" s="1215" t="s">
        <v>535</v>
      </c>
      <c r="AC212" s="1215" t="s">
        <v>535</v>
      </c>
      <c r="AD212" s="1215" t="s">
        <v>535</v>
      </c>
      <c r="AE212" s="1215"/>
      <c r="AF212" s="1215"/>
      <c r="AG212" s="1216" t="s">
        <v>535</v>
      </c>
      <c r="AH212" s="603">
        <v>185</v>
      </c>
      <c r="AI212" s="604">
        <v>37</v>
      </c>
    </row>
    <row r="213" spans="1:35" ht="21.95" customHeight="1">
      <c r="A213" s="442">
        <v>3701</v>
      </c>
      <c r="B213" s="1240" t="s">
        <v>576</v>
      </c>
      <c r="C213" s="1229"/>
      <c r="D213" s="1229"/>
      <c r="E213" s="1215" t="s">
        <v>535</v>
      </c>
      <c r="F213" s="1215" t="s">
        <v>535</v>
      </c>
      <c r="G213" s="1215" t="s">
        <v>535</v>
      </c>
      <c r="H213" s="1215" t="s">
        <v>535</v>
      </c>
      <c r="I213" s="1215" t="s">
        <v>535</v>
      </c>
      <c r="J213" s="1215"/>
      <c r="K213" s="1215"/>
      <c r="L213" s="1215" t="s">
        <v>535</v>
      </c>
      <c r="M213" s="1215" t="s">
        <v>535</v>
      </c>
      <c r="N213" s="1215" t="s">
        <v>535</v>
      </c>
      <c r="O213" s="1215" t="s">
        <v>535</v>
      </c>
      <c r="P213" s="1215" t="s">
        <v>535</v>
      </c>
      <c r="Q213" s="1215"/>
      <c r="R213" s="1215"/>
      <c r="S213" s="1215" t="s">
        <v>535</v>
      </c>
      <c r="T213" s="1215" t="s">
        <v>535</v>
      </c>
      <c r="U213" s="1215" t="s">
        <v>535</v>
      </c>
      <c r="V213" s="1215" t="s">
        <v>535</v>
      </c>
      <c r="W213" s="1215" t="s">
        <v>535</v>
      </c>
      <c r="X213" s="1215"/>
      <c r="Y213" s="1215"/>
      <c r="Z213" s="1338" t="s">
        <v>535</v>
      </c>
      <c r="AA213" s="1338" t="s">
        <v>535</v>
      </c>
      <c r="AB213" s="1338" t="s">
        <v>535</v>
      </c>
      <c r="AC213" s="1338" t="s">
        <v>535</v>
      </c>
      <c r="AD213" s="1338" t="s">
        <v>535</v>
      </c>
      <c r="AE213" s="1338"/>
      <c r="AF213" s="1338"/>
      <c r="AG213" s="1339" t="s">
        <v>535</v>
      </c>
      <c r="AH213" s="603">
        <v>185</v>
      </c>
      <c r="AI213" s="604">
        <v>37</v>
      </c>
    </row>
    <row r="214" spans="1:35" ht="21.95" customHeight="1">
      <c r="A214" s="903">
        <v>3701</v>
      </c>
      <c r="B214" s="1240"/>
      <c r="C214" s="1229"/>
      <c r="D214" s="1229"/>
      <c r="E214" s="1229"/>
      <c r="F214" s="1229"/>
      <c r="G214" s="1229"/>
      <c r="H214" s="1229"/>
      <c r="I214" s="1229"/>
      <c r="J214" s="1229"/>
      <c r="K214" s="1229"/>
      <c r="L214" s="1229"/>
      <c r="M214" s="1229"/>
      <c r="N214" s="1229"/>
      <c r="O214" s="1229"/>
      <c r="P214" s="1229"/>
      <c r="Q214" s="1229"/>
      <c r="R214" s="1229"/>
      <c r="S214" s="1229"/>
      <c r="T214" s="1229"/>
      <c r="U214" s="1229"/>
      <c r="V214" s="1229"/>
      <c r="W214" s="1229"/>
      <c r="X214" s="1229"/>
      <c r="Y214" s="1229"/>
      <c r="Z214" s="1229"/>
      <c r="AA214" s="1229"/>
      <c r="AB214" s="1229"/>
      <c r="AC214" s="1229"/>
      <c r="AD214" s="1229"/>
      <c r="AE214" s="1229"/>
      <c r="AF214" s="1229"/>
      <c r="AG214" s="1229"/>
      <c r="AH214" s="904"/>
      <c r="AI214" s="904"/>
    </row>
    <row r="215" spans="1:35" ht="21.95" customHeight="1">
      <c r="A215" s="578"/>
      <c r="B215" s="621"/>
      <c r="C215" s="559"/>
      <c r="D215" s="559"/>
      <c r="E215" s="559"/>
      <c r="F215" s="559"/>
      <c r="G215" s="559"/>
      <c r="H215" s="559"/>
      <c r="I215" s="559"/>
      <c r="J215" s="559"/>
      <c r="K215" s="520"/>
      <c r="L215" s="559"/>
      <c r="M215" s="559"/>
      <c r="N215" s="559"/>
      <c r="O215" s="559"/>
      <c r="P215" s="541"/>
      <c r="Q215" s="541"/>
      <c r="R215" s="541"/>
      <c r="S215" s="559"/>
      <c r="T215" s="559"/>
      <c r="U215" s="559"/>
      <c r="V215" s="559"/>
      <c r="W215" s="559"/>
      <c r="X215" s="559"/>
      <c r="Y215" s="559"/>
      <c r="Z215" s="559"/>
      <c r="AA215" s="559"/>
      <c r="AB215" s="559"/>
      <c r="AC215" s="559"/>
      <c r="AD215" s="559"/>
      <c r="AE215" s="559"/>
      <c r="AF215" s="559"/>
      <c r="AG215" s="559"/>
      <c r="AH215" s="560"/>
      <c r="AI215" s="560"/>
    </row>
    <row r="216" spans="1:35" ht="21" customHeight="1" thickBot="1">
      <c r="A216" s="1" t="s">
        <v>577</v>
      </c>
    </row>
    <row r="217" spans="1:35" ht="21" customHeight="1">
      <c r="B217" s="201" t="s">
        <v>516</v>
      </c>
      <c r="C217" s="7"/>
      <c r="D217" s="525" t="s">
        <v>2</v>
      </c>
      <c r="E217" s="51"/>
      <c r="F217" s="551"/>
      <c r="G217" s="7"/>
      <c r="H217" s="525" t="s">
        <v>3</v>
      </c>
      <c r="I217" s="51"/>
      <c r="J217" s="551"/>
      <c r="K217" s="7"/>
      <c r="L217" s="525" t="s">
        <v>4</v>
      </c>
      <c r="M217" s="51"/>
      <c r="N217" s="551"/>
      <c r="O217" s="7"/>
      <c r="P217" s="525" t="s">
        <v>5</v>
      </c>
      <c r="Q217" s="51"/>
      <c r="R217" s="551"/>
      <c r="S217" s="7"/>
      <c r="T217" s="525" t="s">
        <v>6</v>
      </c>
      <c r="U217" s="51"/>
      <c r="V217" s="551"/>
      <c r="W217" s="7"/>
      <c r="X217" s="525" t="s">
        <v>7</v>
      </c>
      <c r="Y217" s="51"/>
      <c r="Z217" s="551"/>
      <c r="AA217" s="7"/>
      <c r="AB217" s="525" t="s">
        <v>8</v>
      </c>
      <c r="AC217" s="51"/>
      <c r="AD217" s="51"/>
      <c r="AE217" s="425" t="s">
        <v>10</v>
      </c>
      <c r="AF217" s="51"/>
      <c r="AG217" s="51"/>
      <c r="AH217" s="51"/>
      <c r="AI217" s="526"/>
    </row>
    <row r="218" spans="1:35" ht="21" customHeight="1">
      <c r="B218" s="9">
        <v>8502</v>
      </c>
      <c r="C218" s="14" t="s">
        <v>11</v>
      </c>
      <c r="D218" s="609"/>
      <c r="E218" s="55"/>
      <c r="F218" s="608"/>
      <c r="G218" s="14" t="s">
        <v>11</v>
      </c>
      <c r="H218" s="609"/>
      <c r="I218" s="55"/>
      <c r="J218" s="608"/>
      <c r="K218" s="14" t="s">
        <v>11</v>
      </c>
      <c r="L218" s="609"/>
      <c r="M218" s="55"/>
      <c r="N218" s="608"/>
      <c r="O218" s="14" t="s">
        <v>11</v>
      </c>
      <c r="P218" s="609"/>
      <c r="Q218" s="55"/>
      <c r="R218" s="608"/>
      <c r="S218" s="14" t="s">
        <v>12</v>
      </c>
      <c r="T218" s="609"/>
      <c r="U218" s="55"/>
      <c r="V218" s="608"/>
      <c r="W218" s="14"/>
      <c r="X218" s="609"/>
      <c r="Y218" s="55"/>
      <c r="Z218" s="608"/>
      <c r="AA218" s="14"/>
      <c r="AB218" s="609"/>
      <c r="AC218" s="55"/>
      <c r="AD218" s="55"/>
      <c r="AE218" s="610"/>
      <c r="AF218" s="55"/>
      <c r="AG218" s="55"/>
      <c r="AH218" s="55"/>
      <c r="AI218" s="611"/>
    </row>
    <row r="219" spans="1:35" ht="21" customHeight="1">
      <c r="B219" s="612">
        <v>3701</v>
      </c>
      <c r="C219" s="121" t="s">
        <v>11</v>
      </c>
      <c r="D219" s="131"/>
      <c r="E219" s="55"/>
      <c r="F219" s="608"/>
      <c r="G219" s="121" t="s">
        <v>11</v>
      </c>
      <c r="H219" s="609"/>
      <c r="I219" s="55"/>
      <c r="J219" s="608"/>
      <c r="K219" s="121" t="s">
        <v>11</v>
      </c>
      <c r="L219" s="609"/>
      <c r="M219" s="55"/>
      <c r="N219" s="608"/>
      <c r="O219" s="121" t="s">
        <v>11</v>
      </c>
      <c r="P219" s="609"/>
      <c r="Q219" s="55"/>
      <c r="R219" s="608"/>
      <c r="S219" s="14" t="s">
        <v>12</v>
      </c>
      <c r="T219" s="609"/>
      <c r="U219" s="55"/>
      <c r="V219" s="608"/>
      <c r="W219" s="14"/>
      <c r="X219" s="609"/>
      <c r="Y219" s="55"/>
      <c r="Z219" s="608"/>
      <c r="AA219" s="14"/>
      <c r="AB219" s="609"/>
      <c r="AC219" s="55"/>
      <c r="AD219" s="55"/>
      <c r="AE219" s="610"/>
      <c r="AF219" s="55"/>
      <c r="AG219" s="55"/>
      <c r="AH219" s="55"/>
      <c r="AI219" s="611"/>
    </row>
    <row r="220" spans="1:35" ht="21" customHeight="1">
      <c r="B220" s="612">
        <v>3705</v>
      </c>
      <c r="C220" s="121" t="s">
        <v>147</v>
      </c>
      <c r="D220" s="131"/>
      <c r="E220" s="55"/>
      <c r="F220" s="608"/>
      <c r="G220" s="121" t="s">
        <v>147</v>
      </c>
      <c r="H220" s="609"/>
      <c r="I220" s="55"/>
      <c r="J220" s="608"/>
      <c r="K220" s="121" t="s">
        <v>147</v>
      </c>
      <c r="L220" s="609"/>
      <c r="M220" s="55"/>
      <c r="N220" s="608"/>
      <c r="O220" s="121" t="s">
        <v>147</v>
      </c>
      <c r="P220" s="609"/>
      <c r="Q220" s="55"/>
      <c r="R220" s="608"/>
      <c r="S220" s="121" t="s">
        <v>578</v>
      </c>
      <c r="T220" s="609"/>
      <c r="U220" s="55"/>
      <c r="V220" s="608"/>
      <c r="W220" s="14"/>
      <c r="X220" s="609"/>
      <c r="Y220" s="55"/>
      <c r="Z220" s="608"/>
      <c r="AA220" s="14"/>
      <c r="AB220" s="609"/>
      <c r="AC220" s="55"/>
      <c r="AD220" s="55"/>
      <c r="AE220" s="610"/>
      <c r="AF220" s="55"/>
      <c r="AG220" s="55"/>
      <c r="AH220" s="55"/>
      <c r="AI220" s="611"/>
    </row>
    <row r="221" spans="1:35" ht="21" customHeight="1">
      <c r="B221" s="612">
        <v>3702</v>
      </c>
      <c r="C221" s="567" t="s">
        <v>828</v>
      </c>
      <c r="D221" s="131"/>
      <c r="E221" s="55"/>
      <c r="F221" s="608"/>
      <c r="G221" s="567" t="s">
        <v>828</v>
      </c>
      <c r="H221" s="131"/>
      <c r="I221" s="55"/>
      <c r="J221" s="608"/>
      <c r="K221" s="567" t="s">
        <v>828</v>
      </c>
      <c r="L221" s="131"/>
      <c r="M221" s="55"/>
      <c r="N221" s="608"/>
      <c r="O221" s="567" t="s">
        <v>828</v>
      </c>
      <c r="P221" s="131"/>
      <c r="Q221" s="55"/>
      <c r="R221" s="608"/>
      <c r="S221" s="567" t="s">
        <v>829</v>
      </c>
      <c r="T221" s="131"/>
      <c r="U221" s="55"/>
      <c r="V221" s="608"/>
      <c r="W221" s="14"/>
      <c r="X221" s="609"/>
      <c r="Y221" s="55"/>
      <c r="Z221" s="608"/>
      <c r="AA221" s="14"/>
      <c r="AB221" s="609"/>
      <c r="AC221" s="55"/>
      <c r="AD221" s="55"/>
      <c r="AE221" s="610"/>
      <c r="AF221" s="55"/>
      <c r="AG221" s="55"/>
      <c r="AH221" s="55"/>
      <c r="AI221" s="611"/>
    </row>
    <row r="222" spans="1:35" ht="21" customHeight="1">
      <c r="B222" s="612"/>
      <c r="C222" s="567"/>
      <c r="D222" s="131"/>
      <c r="E222" s="55"/>
      <c r="F222" s="608"/>
      <c r="G222" s="567"/>
      <c r="H222" s="131"/>
      <c r="I222" s="55"/>
      <c r="J222" s="608"/>
      <c r="K222" s="567"/>
      <c r="L222" s="131"/>
      <c r="M222" s="55"/>
      <c r="N222" s="608"/>
      <c r="O222" s="567"/>
      <c r="P222" s="131"/>
      <c r="Q222" s="55"/>
      <c r="R222" s="608"/>
      <c r="S222" s="567"/>
      <c r="T222" s="131"/>
      <c r="U222" s="55"/>
      <c r="V222" s="608"/>
      <c r="W222" s="14"/>
      <c r="X222" s="609"/>
      <c r="Y222" s="55"/>
      <c r="Z222" s="608"/>
      <c r="AA222" s="14"/>
      <c r="AB222" s="609"/>
      <c r="AC222" s="55"/>
      <c r="AD222" s="55"/>
      <c r="AE222" s="610"/>
      <c r="AF222" s="55"/>
      <c r="AG222" s="55"/>
      <c r="AH222" s="55"/>
      <c r="AI222" s="611"/>
    </row>
    <row r="223" spans="1:35" ht="21" customHeight="1">
      <c r="B223" s="612" t="s">
        <v>164</v>
      </c>
      <c r="C223" s="567" t="s">
        <v>518</v>
      </c>
      <c r="D223" s="131"/>
      <c r="E223" s="55"/>
      <c r="F223" s="608"/>
      <c r="G223" s="567" t="s">
        <v>518</v>
      </c>
      <c r="H223" s="131"/>
      <c r="I223" s="55"/>
      <c r="J223" s="608"/>
      <c r="K223" s="567" t="s">
        <v>518</v>
      </c>
      <c r="L223" s="131"/>
      <c r="M223" s="55"/>
      <c r="N223" s="608"/>
      <c r="O223" s="567" t="s">
        <v>518</v>
      </c>
      <c r="P223" s="131"/>
      <c r="Q223" s="55"/>
      <c r="R223" s="608"/>
      <c r="S223" s="609" t="s">
        <v>519</v>
      </c>
      <c r="T223" s="609"/>
      <c r="U223" s="55"/>
      <c r="V223" s="608"/>
      <c r="W223" s="14"/>
      <c r="X223" s="609"/>
      <c r="Y223" s="55"/>
      <c r="Z223" s="608"/>
      <c r="AA223" s="14"/>
      <c r="AB223" s="609"/>
      <c r="AC223" s="55"/>
      <c r="AD223" s="55"/>
      <c r="AE223" s="610"/>
      <c r="AF223" s="55"/>
      <c r="AG223" s="55"/>
      <c r="AH223" s="55"/>
      <c r="AI223" s="611"/>
    </row>
    <row r="224" spans="1:35" ht="21" customHeight="1">
      <c r="B224" s="612" t="s">
        <v>167</v>
      </c>
      <c r="C224" s="567" t="s">
        <v>521</v>
      </c>
      <c r="D224" s="131"/>
      <c r="E224" s="55"/>
      <c r="F224" s="608"/>
      <c r="G224" s="567" t="s">
        <v>521</v>
      </c>
      <c r="H224" s="131"/>
      <c r="I224" s="55"/>
      <c r="J224" s="608"/>
      <c r="K224" s="567" t="s">
        <v>521</v>
      </c>
      <c r="L224" s="131"/>
      <c r="M224" s="55"/>
      <c r="N224" s="608"/>
      <c r="O224" s="567" t="s">
        <v>521</v>
      </c>
      <c r="P224" s="131"/>
      <c r="Q224" s="55"/>
      <c r="R224" s="608"/>
      <c r="S224" s="609" t="s">
        <v>522</v>
      </c>
      <c r="T224" s="609"/>
      <c r="U224" s="55"/>
      <c r="V224" s="608"/>
      <c r="W224" s="14"/>
      <c r="X224" s="609"/>
      <c r="Y224" s="55"/>
      <c r="Z224" s="608"/>
      <c r="AA224" s="14"/>
      <c r="AB224" s="609"/>
      <c r="AC224" s="55"/>
      <c r="AD224" s="55"/>
      <c r="AE224" s="610"/>
      <c r="AF224" s="55"/>
      <c r="AG224" s="55"/>
      <c r="AH224" s="55"/>
      <c r="AI224" s="611"/>
    </row>
    <row r="225" spans="1:35" ht="21" customHeight="1" thickBot="1">
      <c r="B225" s="617" t="s">
        <v>170</v>
      </c>
      <c r="C225" s="574" t="s">
        <v>524</v>
      </c>
      <c r="D225" s="48"/>
      <c r="E225" s="622"/>
      <c r="F225" s="240"/>
      <c r="G225" s="574" t="s">
        <v>524</v>
      </c>
      <c r="H225" s="48"/>
      <c r="I225" s="622"/>
      <c r="J225" s="240"/>
      <c r="K225" s="574" t="s">
        <v>524</v>
      </c>
      <c r="L225" s="48"/>
      <c r="M225" s="622"/>
      <c r="N225" s="240"/>
      <c r="O225" s="574" t="s">
        <v>524</v>
      </c>
      <c r="P225" s="48"/>
      <c r="Q225" s="622"/>
      <c r="R225" s="240"/>
      <c r="S225" s="149" t="s">
        <v>525</v>
      </c>
      <c r="T225" s="149"/>
      <c r="U225" s="622"/>
      <c r="V225" s="240"/>
      <c r="W225" s="623"/>
      <c r="X225" s="149"/>
      <c r="Y225" s="622"/>
      <c r="Z225" s="240"/>
      <c r="AA225" s="623"/>
      <c r="AB225" s="149"/>
      <c r="AC225" s="622"/>
      <c r="AD225" s="622"/>
      <c r="AE225" s="624"/>
      <c r="AF225" s="622"/>
      <c r="AG225" s="622"/>
      <c r="AH225" s="622"/>
      <c r="AI225" s="625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6" t="s">
        <v>586</v>
      </c>
    </row>
    <row r="228" spans="1:35" ht="21" customHeight="1">
      <c r="A228" s="556"/>
      <c r="B228" s="297" t="s">
        <v>480</v>
      </c>
      <c r="C228" s="1235">
        <v>1</v>
      </c>
      <c r="D228" s="1235">
        <v>2</v>
      </c>
      <c r="E228" s="1234">
        <v>3</v>
      </c>
      <c r="F228" s="1234">
        <v>4</v>
      </c>
      <c r="G228" s="1234">
        <v>5</v>
      </c>
      <c r="H228" s="1234">
        <v>6</v>
      </c>
      <c r="I228" s="1213">
        <v>7</v>
      </c>
      <c r="J228" s="1330">
        <v>8</v>
      </c>
      <c r="K228" s="1235">
        <v>9</v>
      </c>
      <c r="L228" s="1234">
        <v>10</v>
      </c>
      <c r="M228" s="1234">
        <v>11</v>
      </c>
      <c r="N228" s="1234">
        <v>12</v>
      </c>
      <c r="O228" s="1234">
        <v>13</v>
      </c>
      <c r="P228" s="1213">
        <v>14</v>
      </c>
      <c r="Q228" s="1330">
        <v>15</v>
      </c>
      <c r="R228" s="1235">
        <v>16</v>
      </c>
      <c r="S228" s="1234">
        <v>17</v>
      </c>
      <c r="T228" s="1234">
        <v>18</v>
      </c>
      <c r="U228" s="1234">
        <v>19</v>
      </c>
      <c r="V228" s="1213">
        <v>20</v>
      </c>
      <c r="W228" s="1213">
        <v>21</v>
      </c>
      <c r="X228" s="1330">
        <v>22</v>
      </c>
      <c r="Y228" s="1235">
        <v>23</v>
      </c>
      <c r="Z228" s="1234">
        <v>24</v>
      </c>
      <c r="AA228" s="1234">
        <v>25</v>
      </c>
      <c r="AB228" s="1234">
        <v>26</v>
      </c>
      <c r="AC228" s="1234">
        <v>27</v>
      </c>
      <c r="AD228" s="1213">
        <v>28</v>
      </c>
      <c r="AE228" s="1330">
        <v>29</v>
      </c>
      <c r="AF228" s="1235">
        <v>30</v>
      </c>
      <c r="AG228" s="1234">
        <v>31</v>
      </c>
      <c r="AH228" s="498" t="s">
        <v>481</v>
      </c>
      <c r="AI228" s="499" t="s">
        <v>482</v>
      </c>
    </row>
    <row r="229" spans="1:35" ht="21" customHeight="1">
      <c r="A229" s="442">
        <v>3702</v>
      </c>
      <c r="B229" s="153" t="s">
        <v>587</v>
      </c>
      <c r="C229" s="1215"/>
      <c r="D229" s="1215"/>
      <c r="E229" s="1439">
        <v>1</v>
      </c>
      <c r="F229" s="1439">
        <v>1</v>
      </c>
      <c r="G229" s="1439">
        <v>1</v>
      </c>
      <c r="H229" s="1439" t="s">
        <v>769</v>
      </c>
      <c r="I229" s="1208">
        <v>1</v>
      </c>
      <c r="J229" s="1208"/>
      <c r="K229" s="1208"/>
      <c r="L229" s="557">
        <v>1</v>
      </c>
      <c r="M229" s="557">
        <v>1</v>
      </c>
      <c r="N229" s="557">
        <v>1</v>
      </c>
      <c r="O229" s="557">
        <v>1</v>
      </c>
      <c r="P229" s="557">
        <v>1</v>
      </c>
      <c r="Q229" s="1215"/>
      <c r="R229" s="1215"/>
      <c r="S229" s="557">
        <v>1</v>
      </c>
      <c r="T229" s="557">
        <v>1</v>
      </c>
      <c r="U229" s="557">
        <v>1</v>
      </c>
      <c r="V229" s="557">
        <v>1</v>
      </c>
      <c r="W229" s="557">
        <v>1</v>
      </c>
      <c r="X229" s="1208"/>
      <c r="Y229" s="1208"/>
      <c r="Z229" s="557">
        <v>1</v>
      </c>
      <c r="AA229" s="557">
        <v>1</v>
      </c>
      <c r="AB229" s="557">
        <v>1</v>
      </c>
      <c r="AC229" s="557">
        <v>1</v>
      </c>
      <c r="AD229" s="557">
        <v>1</v>
      </c>
      <c r="AE229" s="1215"/>
      <c r="AF229" s="1215"/>
      <c r="AG229" s="557">
        <v>1</v>
      </c>
      <c r="AH229" s="504">
        <v>185</v>
      </c>
      <c r="AI229" s="505">
        <v>37</v>
      </c>
    </row>
    <row r="230" spans="1:35" ht="21" customHeight="1">
      <c r="A230" s="442">
        <v>3701</v>
      </c>
      <c r="B230" s="153" t="s">
        <v>588</v>
      </c>
      <c r="C230" s="1215"/>
      <c r="D230" s="1215"/>
      <c r="E230" s="557" t="s">
        <v>535</v>
      </c>
      <c r="F230" s="557" t="s">
        <v>535</v>
      </c>
      <c r="G230" s="557" t="s">
        <v>535</v>
      </c>
      <c r="H230" s="557" t="s">
        <v>535</v>
      </c>
      <c r="I230" s="557" t="s">
        <v>535</v>
      </c>
      <c r="J230" s="1208"/>
      <c r="K230" s="1208"/>
      <c r="L230" s="1208" t="s">
        <v>535</v>
      </c>
      <c r="M230" s="1208" t="s">
        <v>535</v>
      </c>
      <c r="N230" s="557" t="s">
        <v>535</v>
      </c>
      <c r="O230" s="557" t="s">
        <v>535</v>
      </c>
      <c r="P230" s="557" t="s">
        <v>535</v>
      </c>
      <c r="Q230" s="1215"/>
      <c r="R230" s="1215"/>
      <c r="S230" s="557" t="s">
        <v>535</v>
      </c>
      <c r="T230" s="557" t="s">
        <v>535</v>
      </c>
      <c r="U230" s="557" t="s">
        <v>535</v>
      </c>
      <c r="V230" s="557" t="s">
        <v>535</v>
      </c>
      <c r="W230" s="557" t="s">
        <v>535</v>
      </c>
      <c r="X230" s="1208"/>
      <c r="Y230" s="1208"/>
      <c r="Z230" s="1208" t="s">
        <v>535</v>
      </c>
      <c r="AA230" s="1208" t="s">
        <v>535</v>
      </c>
      <c r="AB230" s="1208" t="s">
        <v>535</v>
      </c>
      <c r="AC230" s="1208" t="s">
        <v>535</v>
      </c>
      <c r="AD230" s="1208" t="s">
        <v>535</v>
      </c>
      <c r="AE230" s="1215"/>
      <c r="AF230" s="1215"/>
      <c r="AG230" s="557" t="s">
        <v>535</v>
      </c>
      <c r="AH230" s="504">
        <v>185</v>
      </c>
      <c r="AI230" s="505">
        <v>37</v>
      </c>
    </row>
    <row r="231" spans="1:35" ht="21" customHeight="1">
      <c r="A231" s="442">
        <v>3702</v>
      </c>
      <c r="B231" s="153" t="s">
        <v>589</v>
      </c>
      <c r="C231" s="1215"/>
      <c r="D231" s="1215"/>
      <c r="E231" s="557">
        <v>1</v>
      </c>
      <c r="F231" s="557">
        <v>1</v>
      </c>
      <c r="G231" s="557">
        <v>1</v>
      </c>
      <c r="H231" s="557">
        <v>1</v>
      </c>
      <c r="I231" s="557">
        <v>1</v>
      </c>
      <c r="J231" s="1208"/>
      <c r="K231" s="1208"/>
      <c r="L231" s="1208">
        <v>1</v>
      </c>
      <c r="M231" s="1208">
        <v>1</v>
      </c>
      <c r="N231" s="1439">
        <v>1</v>
      </c>
      <c r="O231" s="1439">
        <v>1</v>
      </c>
      <c r="P231" s="1439" t="s">
        <v>769</v>
      </c>
      <c r="Q231" s="1215"/>
      <c r="R231" s="1215"/>
      <c r="S231" s="557">
        <v>1</v>
      </c>
      <c r="T231" s="557">
        <v>1</v>
      </c>
      <c r="U231" s="557">
        <v>1</v>
      </c>
      <c r="V231" s="557">
        <v>1</v>
      </c>
      <c r="W231" s="557">
        <v>1</v>
      </c>
      <c r="X231" s="1208"/>
      <c r="Y231" s="1208"/>
      <c r="Z231" s="1208">
        <v>1</v>
      </c>
      <c r="AA231" s="1208">
        <v>1</v>
      </c>
      <c r="AB231" s="1208">
        <v>1</v>
      </c>
      <c r="AC231" s="1208">
        <v>1</v>
      </c>
      <c r="AD231" s="1208">
        <v>1</v>
      </c>
      <c r="AE231" s="1215"/>
      <c r="AF231" s="1215"/>
      <c r="AG231" s="557">
        <v>1</v>
      </c>
      <c r="AH231" s="504">
        <v>185</v>
      </c>
      <c r="AI231" s="505">
        <v>37</v>
      </c>
    </row>
    <row r="232" spans="1:35" ht="21" customHeight="1">
      <c r="A232" s="627">
        <v>3706</v>
      </c>
      <c r="B232" s="1607" t="s">
        <v>791</v>
      </c>
      <c r="C232" s="1215"/>
      <c r="D232" s="1215"/>
      <c r="E232" s="1392"/>
      <c r="F232" s="1392" t="s">
        <v>796</v>
      </c>
      <c r="G232" s="1344" t="s">
        <v>514</v>
      </c>
      <c r="H232" s="1344" t="s">
        <v>514</v>
      </c>
      <c r="I232" s="1344" t="s">
        <v>514</v>
      </c>
      <c r="J232" s="1215"/>
      <c r="K232" s="1215"/>
      <c r="L232" s="1215" t="s">
        <v>514</v>
      </c>
      <c r="M232" s="1215" t="s">
        <v>514</v>
      </c>
      <c r="N232" s="1215" t="s">
        <v>514</v>
      </c>
      <c r="O232" s="1215" t="s">
        <v>514</v>
      </c>
      <c r="P232" s="1215" t="s">
        <v>514</v>
      </c>
      <c r="Q232" s="1215"/>
      <c r="R232" s="1215"/>
      <c r="S232" s="1215" t="s">
        <v>514</v>
      </c>
      <c r="T232" s="1215" t="s">
        <v>514</v>
      </c>
      <c r="U232" s="1392" t="s">
        <v>514</v>
      </c>
      <c r="V232" s="1392" t="s">
        <v>514</v>
      </c>
      <c r="W232" s="1392" t="s">
        <v>514</v>
      </c>
      <c r="X232" s="1392"/>
      <c r="Y232" s="1392"/>
      <c r="Z232" s="1392" t="s">
        <v>514</v>
      </c>
      <c r="AA232" s="1392" t="s">
        <v>514</v>
      </c>
      <c r="AB232" s="1392" t="s">
        <v>514</v>
      </c>
      <c r="AC232" s="1392" t="s">
        <v>570</v>
      </c>
      <c r="AD232" s="1215" t="s">
        <v>514</v>
      </c>
      <c r="AE232" s="1215"/>
      <c r="AF232" s="1215"/>
      <c r="AG232" s="1215"/>
      <c r="AH232" s="504">
        <v>185</v>
      </c>
      <c r="AI232" s="505">
        <v>37</v>
      </c>
    </row>
    <row r="233" spans="1:35" ht="21" customHeight="1">
      <c r="A233" s="628"/>
      <c r="B233" s="629" t="s">
        <v>590</v>
      </c>
      <c r="C233" s="630"/>
      <c r="D233" s="630"/>
      <c r="E233" s="630"/>
      <c r="F233" s="630"/>
      <c r="G233" s="630"/>
      <c r="H233" s="630"/>
      <c r="I233" s="630"/>
      <c r="J233" s="630"/>
      <c r="K233" s="630"/>
      <c r="L233" s="630"/>
      <c r="M233" s="630"/>
      <c r="N233" s="630"/>
      <c r="O233" s="630"/>
      <c r="P233" s="630"/>
      <c r="Q233" s="630"/>
      <c r="R233" s="630"/>
      <c r="S233" s="630"/>
      <c r="T233" s="630"/>
      <c r="U233" s="630"/>
      <c r="V233" s="630"/>
      <c r="W233" s="630"/>
      <c r="X233" s="630"/>
      <c r="Y233" s="630"/>
      <c r="Z233" s="630"/>
      <c r="AA233" s="630"/>
      <c r="AB233" s="630"/>
      <c r="AC233" s="630"/>
      <c r="AD233" s="630"/>
      <c r="AE233" s="630"/>
      <c r="AF233" s="630"/>
      <c r="AG233" s="631"/>
      <c r="AH233" s="632"/>
      <c r="AI233" s="633"/>
    </row>
    <row r="234" spans="1:35" ht="21" customHeight="1">
      <c r="A234" s="442">
        <v>3702</v>
      </c>
      <c r="B234" s="902" t="s">
        <v>520</v>
      </c>
      <c r="C234" s="1231"/>
      <c r="D234" s="1215"/>
      <c r="E234" s="557" t="s">
        <v>591</v>
      </c>
      <c r="F234" s="1439" t="s">
        <v>774</v>
      </c>
      <c r="G234" s="557" t="s">
        <v>591</v>
      </c>
      <c r="H234" s="557" t="s">
        <v>591</v>
      </c>
      <c r="I234" s="557" t="s">
        <v>591</v>
      </c>
      <c r="J234" s="1215"/>
      <c r="K234" s="1215"/>
      <c r="L234" s="557" t="s">
        <v>591</v>
      </c>
      <c r="M234" s="557" t="s">
        <v>591</v>
      </c>
      <c r="N234" s="557" t="s">
        <v>591</v>
      </c>
      <c r="O234" s="557" t="s">
        <v>591</v>
      </c>
      <c r="P234" s="557" t="s">
        <v>591</v>
      </c>
      <c r="Q234" s="502"/>
      <c r="R234" s="502"/>
      <c r="S234" s="557" t="s">
        <v>591</v>
      </c>
      <c r="T234" s="557" t="s">
        <v>591</v>
      </c>
      <c r="U234" s="557" t="s">
        <v>591</v>
      </c>
      <c r="V234" s="557" t="s">
        <v>591</v>
      </c>
      <c r="W234" s="557" t="s">
        <v>591</v>
      </c>
      <c r="X234" s="1231"/>
      <c r="Y234" s="1215"/>
      <c r="Z234" s="557" t="s">
        <v>591</v>
      </c>
      <c r="AA234" s="557" t="s">
        <v>591</v>
      </c>
      <c r="AB234" s="557" t="s">
        <v>591</v>
      </c>
      <c r="AC234" s="557" t="s">
        <v>591</v>
      </c>
      <c r="AD234" s="557" t="s">
        <v>591</v>
      </c>
      <c r="AE234" s="1215"/>
      <c r="AF234" s="1215"/>
      <c r="AG234" s="557" t="s">
        <v>591</v>
      </c>
      <c r="AH234" s="504">
        <v>185</v>
      </c>
      <c r="AI234" s="505">
        <v>37</v>
      </c>
    </row>
    <row r="235" spans="1:35" ht="21" customHeight="1">
      <c r="A235" s="442"/>
      <c r="B235" s="153" t="s">
        <v>517</v>
      </c>
      <c r="C235" s="1231"/>
      <c r="D235" s="1215"/>
      <c r="E235" s="557" t="s">
        <v>592</v>
      </c>
      <c r="F235" s="557" t="s">
        <v>592</v>
      </c>
      <c r="G235" s="557" t="s">
        <v>592</v>
      </c>
      <c r="H235" s="557" t="s">
        <v>592</v>
      </c>
      <c r="I235" s="557" t="s">
        <v>592</v>
      </c>
      <c r="J235" s="1215"/>
      <c r="K235" s="1215"/>
      <c r="L235" s="557" t="s">
        <v>592</v>
      </c>
      <c r="M235" s="557" t="s">
        <v>592</v>
      </c>
      <c r="N235" s="557" t="s">
        <v>592</v>
      </c>
      <c r="O235" s="557" t="s">
        <v>592</v>
      </c>
      <c r="P235" s="557" t="s">
        <v>592</v>
      </c>
      <c r="Q235" s="502"/>
      <c r="R235" s="502"/>
      <c r="S235" s="557" t="s">
        <v>592</v>
      </c>
      <c r="T235" s="557" t="s">
        <v>592</v>
      </c>
      <c r="U235" s="557" t="s">
        <v>592</v>
      </c>
      <c r="V235" s="557" t="s">
        <v>592</v>
      </c>
      <c r="W235" s="557" t="s">
        <v>592</v>
      </c>
      <c r="X235" s="1231"/>
      <c r="Y235" s="1215"/>
      <c r="Z235" s="557" t="s">
        <v>592</v>
      </c>
      <c r="AA235" s="557" t="s">
        <v>592</v>
      </c>
      <c r="AB235" s="557" t="s">
        <v>592</v>
      </c>
      <c r="AC235" s="557" t="s">
        <v>592</v>
      </c>
      <c r="AD235" s="557" t="s">
        <v>592</v>
      </c>
      <c r="AE235" s="1215"/>
      <c r="AF235" s="1215"/>
      <c r="AG235" s="557" t="s">
        <v>592</v>
      </c>
      <c r="AH235" s="504">
        <v>185</v>
      </c>
      <c r="AI235" s="505">
        <v>37</v>
      </c>
    </row>
    <row r="236" spans="1:35" ht="21" customHeight="1">
      <c r="A236" s="442"/>
      <c r="B236" s="134" t="s">
        <v>523</v>
      </c>
      <c r="C236" s="1656"/>
      <c r="D236" s="1219"/>
      <c r="E236" s="1563" t="s">
        <v>556</v>
      </c>
      <c r="F236" s="1563" t="s">
        <v>556</v>
      </c>
      <c r="G236" s="1563" t="s">
        <v>556</v>
      </c>
      <c r="H236" s="1563" t="s">
        <v>556</v>
      </c>
      <c r="I236" s="1563" t="s">
        <v>556</v>
      </c>
      <c r="J236" s="1219"/>
      <c r="K236" s="1219"/>
      <c r="L236" s="1660" t="s">
        <v>556</v>
      </c>
      <c r="M236" s="1660" t="s">
        <v>556</v>
      </c>
      <c r="N236" s="1660" t="s">
        <v>556</v>
      </c>
      <c r="O236" s="1563" t="s">
        <v>556</v>
      </c>
      <c r="P236" s="1563" t="s">
        <v>556</v>
      </c>
      <c r="Q236" s="1655"/>
      <c r="R236" s="1655"/>
      <c r="S236" s="1563" t="s">
        <v>556</v>
      </c>
      <c r="T236" s="1563" t="s">
        <v>556</v>
      </c>
      <c r="U236" s="1563" t="s">
        <v>556</v>
      </c>
      <c r="V236" s="1563" t="s">
        <v>556</v>
      </c>
      <c r="W236" s="1563" t="s">
        <v>556</v>
      </c>
      <c r="X236" s="1656"/>
      <c r="Y236" s="1219"/>
      <c r="Z236" s="1563" t="s">
        <v>556</v>
      </c>
      <c r="AA236" s="1563" t="s">
        <v>556</v>
      </c>
      <c r="AB236" s="1563" t="s">
        <v>556</v>
      </c>
      <c r="AC236" s="1563" t="s">
        <v>556</v>
      </c>
      <c r="AD236" s="1563" t="s">
        <v>556</v>
      </c>
      <c r="AE236" s="1219"/>
      <c r="AF236" s="1219"/>
      <c r="AG236" s="1632" t="s">
        <v>556</v>
      </c>
      <c r="AH236" s="603">
        <v>185</v>
      </c>
      <c r="AI236" s="604">
        <v>37</v>
      </c>
    </row>
    <row r="237" spans="1:35" ht="21" customHeight="1">
      <c r="B237" s="1661" t="s">
        <v>830</v>
      </c>
      <c r="C237" s="902"/>
      <c r="D237" s="902"/>
      <c r="E237" s="902"/>
      <c r="F237" s="902"/>
      <c r="G237" s="902"/>
      <c r="H237" s="902"/>
      <c r="I237" s="902"/>
      <c r="J237" s="902"/>
      <c r="K237" s="902"/>
      <c r="L237" s="902"/>
      <c r="M237" s="902"/>
      <c r="N237" s="902"/>
      <c r="O237" s="902"/>
      <c r="P237" s="902"/>
      <c r="Q237" s="902"/>
      <c r="R237" s="902"/>
      <c r="S237" s="902"/>
      <c r="T237" s="902"/>
      <c r="U237" s="902"/>
      <c r="V237" s="902"/>
      <c r="W237" s="902"/>
      <c r="X237" s="902"/>
      <c r="Y237" s="902"/>
      <c r="Z237" s="902"/>
      <c r="AA237" s="902"/>
      <c r="AB237" s="902"/>
      <c r="AC237" s="902"/>
      <c r="AD237" s="902"/>
      <c r="AE237" s="902"/>
      <c r="AF237" s="902"/>
      <c r="AG237" s="902"/>
      <c r="AH237" s="902"/>
      <c r="AI237" s="902"/>
    </row>
    <row r="238" spans="1:35" ht="21" customHeight="1"/>
    <row r="239" spans="1:35" ht="21" customHeight="1" thickBot="1">
      <c r="A239" s="1" t="s">
        <v>593</v>
      </c>
    </row>
    <row r="240" spans="1:35" ht="21" customHeight="1">
      <c r="B240" s="201" t="s">
        <v>516</v>
      </c>
      <c r="C240" s="7"/>
      <c r="D240" s="525" t="s">
        <v>2</v>
      </c>
      <c r="E240" s="51"/>
      <c r="F240" s="551"/>
      <c r="G240" s="7"/>
      <c r="H240" s="525" t="s">
        <v>3</v>
      </c>
      <c r="I240" s="51"/>
      <c r="J240" s="551"/>
      <c r="K240" s="7"/>
      <c r="L240" s="525" t="s">
        <v>4</v>
      </c>
      <c r="M240" s="51"/>
      <c r="N240" s="551"/>
      <c r="O240" s="7"/>
      <c r="P240" s="525" t="s">
        <v>5</v>
      </c>
      <c r="Q240" s="51"/>
      <c r="R240" s="551"/>
      <c r="S240" s="7"/>
      <c r="T240" s="525" t="s">
        <v>6</v>
      </c>
      <c r="U240" s="51"/>
      <c r="V240" s="551"/>
      <c r="W240" s="7"/>
      <c r="X240" s="525" t="s">
        <v>7</v>
      </c>
      <c r="Y240" s="51"/>
      <c r="Z240" s="551"/>
      <c r="AA240" s="7"/>
      <c r="AB240" s="525" t="s">
        <v>8</v>
      </c>
      <c r="AC240" s="51"/>
      <c r="AD240" s="51"/>
      <c r="AE240" s="425" t="s">
        <v>10</v>
      </c>
      <c r="AF240" s="51"/>
      <c r="AG240" s="51"/>
      <c r="AH240" s="51"/>
      <c r="AI240" s="526"/>
    </row>
    <row r="241" spans="1:35" ht="21" customHeight="1">
      <c r="B241" s="9">
        <v>8500</v>
      </c>
      <c r="C241" s="121" t="s">
        <v>33</v>
      </c>
      <c r="D241" s="609"/>
      <c r="E241" s="55"/>
      <c r="F241" s="608"/>
      <c r="G241" s="121" t="s">
        <v>33</v>
      </c>
      <c r="H241" s="609"/>
      <c r="I241" s="55"/>
      <c r="J241" s="608"/>
      <c r="K241" s="121" t="s">
        <v>33</v>
      </c>
      <c r="L241" s="609"/>
      <c r="M241" s="55"/>
      <c r="N241" s="608"/>
      <c r="O241" s="121" t="s">
        <v>33</v>
      </c>
      <c r="P241" s="609"/>
      <c r="Q241" s="55"/>
      <c r="R241" s="608"/>
      <c r="S241" s="121" t="s">
        <v>34</v>
      </c>
      <c r="T241" s="609"/>
      <c r="U241" s="55"/>
      <c r="V241" s="608"/>
      <c r="W241" s="14"/>
      <c r="X241" s="609"/>
      <c r="Y241" s="55"/>
      <c r="Z241" s="608"/>
      <c r="AA241" s="14"/>
      <c r="AB241" s="609"/>
      <c r="AC241" s="55"/>
      <c r="AD241" s="55"/>
      <c r="AE241" s="610"/>
      <c r="AF241" s="55"/>
      <c r="AG241" s="55"/>
      <c r="AH241" s="55"/>
      <c r="AI241" s="611"/>
    </row>
    <row r="242" spans="1:35" ht="21" customHeight="1" thickBot="1">
      <c r="B242" s="163" t="s">
        <v>594</v>
      </c>
      <c r="C242" s="634" t="s">
        <v>595</v>
      </c>
      <c r="D242" s="635"/>
      <c r="E242" s="622"/>
      <c r="F242" s="240"/>
      <c r="G242" s="634" t="s">
        <v>595</v>
      </c>
      <c r="H242" s="149"/>
      <c r="I242" s="622"/>
      <c r="J242" s="240"/>
      <c r="K242" s="634" t="s">
        <v>595</v>
      </c>
      <c r="L242" s="149"/>
      <c r="M242" s="622"/>
      <c r="N242" s="240"/>
      <c r="O242" s="634" t="s">
        <v>596</v>
      </c>
      <c r="P242" s="149"/>
      <c r="Q242" s="622"/>
      <c r="R242" s="240"/>
      <c r="S242" s="634" t="s">
        <v>16</v>
      </c>
      <c r="T242" s="149"/>
      <c r="U242" s="622"/>
      <c r="V242" s="240"/>
      <c r="W242" s="623"/>
      <c r="X242" s="149"/>
      <c r="Y242" s="622"/>
      <c r="Z242" s="240"/>
      <c r="AA242" s="623"/>
      <c r="AB242" s="149"/>
      <c r="AC242" s="622"/>
      <c r="AD242" s="622"/>
      <c r="AE242" s="624"/>
      <c r="AF242" s="622"/>
      <c r="AG242" s="622"/>
      <c r="AH242" s="622"/>
      <c r="AI242" s="625"/>
    </row>
    <row r="243" spans="1:35" ht="21" customHeight="1" thickBot="1">
      <c r="A243" s="60" t="s">
        <v>597</v>
      </c>
    </row>
    <row r="244" spans="1:35" ht="21" customHeight="1">
      <c r="A244" s="636"/>
      <c r="B244" s="297" t="s">
        <v>480</v>
      </c>
      <c r="C244" s="1235">
        <v>1</v>
      </c>
      <c r="D244" s="1235">
        <v>2</v>
      </c>
      <c r="E244" s="1234">
        <v>3</v>
      </c>
      <c r="F244" s="1234">
        <v>4</v>
      </c>
      <c r="G244" s="1234">
        <v>5</v>
      </c>
      <c r="H244" s="1234">
        <v>6</v>
      </c>
      <c r="I244" s="1213">
        <v>7</v>
      </c>
      <c r="J244" s="1330">
        <v>8</v>
      </c>
      <c r="K244" s="1235">
        <v>9</v>
      </c>
      <c r="L244" s="1234">
        <v>10</v>
      </c>
      <c r="M244" s="1234">
        <v>11</v>
      </c>
      <c r="N244" s="1234">
        <v>12</v>
      </c>
      <c r="O244" s="1234">
        <v>13</v>
      </c>
      <c r="P244" s="1213">
        <v>14</v>
      </c>
      <c r="Q244" s="1330">
        <v>15</v>
      </c>
      <c r="R244" s="1235">
        <v>16</v>
      </c>
      <c r="S244" s="1234">
        <v>17</v>
      </c>
      <c r="T244" s="1234">
        <v>18</v>
      </c>
      <c r="U244" s="1234">
        <v>19</v>
      </c>
      <c r="V244" s="1213">
        <v>20</v>
      </c>
      <c r="W244" s="1213">
        <v>21</v>
      </c>
      <c r="X244" s="1330">
        <v>22</v>
      </c>
      <c r="Y244" s="1235">
        <v>23</v>
      </c>
      <c r="Z244" s="1234">
        <v>24</v>
      </c>
      <c r="AA244" s="1234">
        <v>25</v>
      </c>
      <c r="AB244" s="1234">
        <v>26</v>
      </c>
      <c r="AC244" s="1234">
        <v>27</v>
      </c>
      <c r="AD244" s="1213">
        <v>28</v>
      </c>
      <c r="AE244" s="1330">
        <v>29</v>
      </c>
      <c r="AF244" s="1235">
        <v>30</v>
      </c>
      <c r="AG244" s="1234">
        <v>31</v>
      </c>
      <c r="AH244" s="498" t="s">
        <v>481</v>
      </c>
      <c r="AI244" s="499" t="s">
        <v>482</v>
      </c>
    </row>
    <row r="245" spans="1:35" ht="21" customHeight="1">
      <c r="A245" s="155">
        <v>8500</v>
      </c>
      <c r="B245" s="637" t="s">
        <v>598</v>
      </c>
      <c r="C245" s="1215"/>
      <c r="D245" s="1215"/>
      <c r="E245" s="1439" t="s">
        <v>570</v>
      </c>
      <c r="F245" s="557" t="s">
        <v>535</v>
      </c>
      <c r="G245" s="557" t="s">
        <v>535</v>
      </c>
      <c r="H245" s="557" t="s">
        <v>535</v>
      </c>
      <c r="I245" s="1365" t="s">
        <v>535</v>
      </c>
      <c r="J245" s="1208"/>
      <c r="K245" s="1208"/>
      <c r="L245" s="1365" t="s">
        <v>535</v>
      </c>
      <c r="M245" s="1208" t="s">
        <v>535</v>
      </c>
      <c r="N245" s="557" t="s">
        <v>535</v>
      </c>
      <c r="O245" s="557" t="s">
        <v>535</v>
      </c>
      <c r="P245" s="557" t="s">
        <v>535</v>
      </c>
      <c r="Q245" s="1215"/>
      <c r="R245" s="1215"/>
      <c r="S245" s="557" t="s">
        <v>535</v>
      </c>
      <c r="T245" s="557" t="s">
        <v>535</v>
      </c>
      <c r="U245" s="557" t="s">
        <v>535</v>
      </c>
      <c r="V245" s="1215" t="s">
        <v>514</v>
      </c>
      <c r="W245" s="557" t="s">
        <v>535</v>
      </c>
      <c r="X245" s="1208"/>
      <c r="Y245" s="1208"/>
      <c r="Z245" s="1208" t="s">
        <v>535</v>
      </c>
      <c r="AA245" s="1208" t="s">
        <v>535</v>
      </c>
      <c r="AB245" s="1208" t="s">
        <v>535</v>
      </c>
      <c r="AC245" s="1208" t="s">
        <v>535</v>
      </c>
      <c r="AD245" s="1208" t="s">
        <v>535</v>
      </c>
      <c r="AE245" s="1215"/>
      <c r="AF245" s="1215"/>
      <c r="AG245" s="557" t="s">
        <v>535</v>
      </c>
      <c r="AH245" s="638">
        <v>185</v>
      </c>
      <c r="AI245" s="639">
        <v>37</v>
      </c>
    </row>
    <row r="246" spans="1:35" ht="21" customHeight="1">
      <c r="A246" s="500" t="s">
        <v>599</v>
      </c>
      <c r="B246" s="153" t="s">
        <v>600</v>
      </c>
      <c r="C246" s="1215"/>
      <c r="D246" s="1215"/>
      <c r="E246" s="557" t="s">
        <v>535</v>
      </c>
      <c r="F246" s="557" t="s">
        <v>535</v>
      </c>
      <c r="G246" s="557" t="s">
        <v>535</v>
      </c>
      <c r="H246" s="557" t="s">
        <v>535</v>
      </c>
      <c r="I246" s="557" t="s">
        <v>535</v>
      </c>
      <c r="J246" s="1208"/>
      <c r="K246" s="1208"/>
      <c r="L246" s="1208" t="s">
        <v>535</v>
      </c>
      <c r="M246" s="1208" t="s">
        <v>535</v>
      </c>
      <c r="N246" s="557" t="s">
        <v>535</v>
      </c>
      <c r="O246" s="557" t="s">
        <v>535</v>
      </c>
      <c r="P246" s="557" t="s">
        <v>535</v>
      </c>
      <c r="Q246" s="1215"/>
      <c r="R246" s="1215"/>
      <c r="S246" s="557" t="s">
        <v>535</v>
      </c>
      <c r="T246" s="557" t="s">
        <v>535</v>
      </c>
      <c r="U246" s="557" t="s">
        <v>535</v>
      </c>
      <c r="V246" s="557" t="s">
        <v>535</v>
      </c>
      <c r="W246" s="557" t="s">
        <v>535</v>
      </c>
      <c r="X246" s="1208"/>
      <c r="Y246" s="1208"/>
      <c r="Z246" s="1208" t="s">
        <v>535</v>
      </c>
      <c r="AA246" s="1208" t="s">
        <v>535</v>
      </c>
      <c r="AB246" s="1208" t="s">
        <v>535</v>
      </c>
      <c r="AC246" s="1208" t="s">
        <v>535</v>
      </c>
      <c r="AD246" s="1208" t="s">
        <v>535</v>
      </c>
      <c r="AE246" s="1215"/>
      <c r="AF246" s="1215"/>
      <c r="AG246" s="557" t="s">
        <v>535</v>
      </c>
      <c r="AH246" s="638">
        <v>185</v>
      </c>
      <c r="AI246" s="639">
        <v>37</v>
      </c>
    </row>
    <row r="247" spans="1:35" ht="21.95" customHeight="1">
      <c r="A247" s="442"/>
      <c r="B247" s="153" t="s">
        <v>601</v>
      </c>
      <c r="C247" s="1215"/>
      <c r="D247" s="1215"/>
      <c r="E247" s="1365" t="s">
        <v>535</v>
      </c>
      <c r="F247" s="1365" t="s">
        <v>535</v>
      </c>
      <c r="G247" s="1365" t="s">
        <v>535</v>
      </c>
      <c r="H247" s="1365" t="s">
        <v>535</v>
      </c>
      <c r="I247" s="1365" t="s">
        <v>535</v>
      </c>
      <c r="J247" s="1208"/>
      <c r="K247" s="1208"/>
      <c r="L247" s="1208" t="s">
        <v>535</v>
      </c>
      <c r="M247" s="1208" t="s">
        <v>535</v>
      </c>
      <c r="N247" s="557" t="s">
        <v>535</v>
      </c>
      <c r="O247" s="557" t="s">
        <v>535</v>
      </c>
      <c r="P247" s="557" t="s">
        <v>535</v>
      </c>
      <c r="Q247" s="1215"/>
      <c r="R247" s="1215"/>
      <c r="S247" s="557" t="s">
        <v>535</v>
      </c>
      <c r="T247" s="557" t="s">
        <v>535</v>
      </c>
      <c r="U247" s="557" t="s">
        <v>535</v>
      </c>
      <c r="V247" s="557" t="s">
        <v>535</v>
      </c>
      <c r="W247" s="557" t="s">
        <v>535</v>
      </c>
      <c r="X247" s="1208"/>
      <c r="Y247" s="1208"/>
      <c r="Z247" s="1208" t="s">
        <v>535</v>
      </c>
      <c r="AA247" s="1208" t="s">
        <v>535</v>
      </c>
      <c r="AB247" s="1208" t="s">
        <v>535</v>
      </c>
      <c r="AC247" s="1208" t="s">
        <v>535</v>
      </c>
      <c r="AD247" s="1208" t="s">
        <v>535</v>
      </c>
      <c r="AE247" s="1215"/>
      <c r="AF247" s="1215"/>
      <c r="AG247" s="557" t="s">
        <v>535</v>
      </c>
      <c r="AH247" s="638">
        <v>37</v>
      </c>
      <c r="AI247" s="639">
        <v>37</v>
      </c>
    </row>
    <row r="248" spans="1:35" ht="21.95" customHeight="1">
      <c r="A248" s="519">
        <v>3701</v>
      </c>
      <c r="B248" s="134" t="s">
        <v>603</v>
      </c>
      <c r="C248" s="1219"/>
      <c r="D248" s="1219"/>
      <c r="E248" s="1621" t="s">
        <v>535</v>
      </c>
      <c r="F248" s="1621" t="s">
        <v>535</v>
      </c>
      <c r="G248" s="1563" t="s">
        <v>535</v>
      </c>
      <c r="H248" s="1563" t="s">
        <v>535</v>
      </c>
      <c r="I248" s="1563" t="s">
        <v>535</v>
      </c>
      <c r="J248" s="1564"/>
      <c r="K248" s="1564"/>
      <c r="L248" s="1564" t="s">
        <v>535</v>
      </c>
      <c r="M248" s="1564" t="s">
        <v>535</v>
      </c>
      <c r="N248" s="1563" t="s">
        <v>535</v>
      </c>
      <c r="O248" s="1563" t="s">
        <v>535</v>
      </c>
      <c r="P248" s="1563" t="s">
        <v>535</v>
      </c>
      <c r="Q248" s="1219"/>
      <c r="R248" s="1219"/>
      <c r="S248" s="1563" t="s">
        <v>535</v>
      </c>
      <c r="T248" s="1563" t="s">
        <v>535</v>
      </c>
      <c r="U248" s="1572" t="s">
        <v>535</v>
      </c>
      <c r="V248" s="1572" t="s">
        <v>535</v>
      </c>
      <c r="W248" s="1572" t="s">
        <v>535</v>
      </c>
      <c r="X248" s="1572"/>
      <c r="Y248" s="1572"/>
      <c r="Z248" s="1572" t="s">
        <v>535</v>
      </c>
      <c r="AA248" s="1572" t="s">
        <v>535</v>
      </c>
      <c r="AB248" s="1564" t="s">
        <v>535</v>
      </c>
      <c r="AC248" s="1564" t="s">
        <v>535</v>
      </c>
      <c r="AD248" s="1564" t="s">
        <v>535</v>
      </c>
      <c r="AE248" s="1219"/>
      <c r="AF248" s="1219"/>
      <c r="AG248" s="1563" t="s">
        <v>535</v>
      </c>
      <c r="AH248" s="1565">
        <v>185</v>
      </c>
      <c r="AI248" s="1566">
        <v>37</v>
      </c>
    </row>
    <row r="249" spans="1:35" ht="21" customHeight="1">
      <c r="A249" s="902">
        <v>8500</v>
      </c>
      <c r="B249" s="1615" t="s">
        <v>793</v>
      </c>
      <c r="C249" s="1229"/>
      <c r="D249" s="1229"/>
      <c r="E249" s="1567" t="s">
        <v>535</v>
      </c>
      <c r="F249" s="1567" t="s">
        <v>535</v>
      </c>
      <c r="G249" s="1567" t="s">
        <v>535</v>
      </c>
      <c r="H249" s="1567" t="s">
        <v>535</v>
      </c>
      <c r="I249" s="1567" t="s">
        <v>535</v>
      </c>
      <c r="J249" s="1568"/>
      <c r="K249" s="1568"/>
      <c r="L249" s="1568" t="s">
        <v>535</v>
      </c>
      <c r="M249" s="1568" t="s">
        <v>535</v>
      </c>
      <c r="N249" s="1567" t="s">
        <v>535</v>
      </c>
      <c r="O249" s="1567" t="s">
        <v>535</v>
      </c>
      <c r="P249" s="1580" t="s">
        <v>535</v>
      </c>
      <c r="Q249" s="1229"/>
      <c r="R249" s="1229"/>
      <c r="S249" s="1567" t="s">
        <v>535</v>
      </c>
      <c r="T249" s="1567" t="s">
        <v>535</v>
      </c>
      <c r="U249" s="1567" t="s">
        <v>535</v>
      </c>
      <c r="V249" s="1567" t="s">
        <v>535</v>
      </c>
      <c r="W249" s="1567" t="s">
        <v>535</v>
      </c>
      <c r="X249" s="1568"/>
      <c r="Y249" s="1568"/>
      <c r="Z249" s="1568" t="s">
        <v>535</v>
      </c>
      <c r="AA249" s="1568" t="s">
        <v>535</v>
      </c>
      <c r="AB249" s="1568" t="s">
        <v>535</v>
      </c>
      <c r="AC249" s="1568" t="s">
        <v>535</v>
      </c>
      <c r="AD249" s="1568" t="s">
        <v>535</v>
      </c>
      <c r="AE249" s="1229"/>
      <c r="AF249" s="1229"/>
      <c r="AG249" s="1567" t="s">
        <v>535</v>
      </c>
      <c r="AH249" s="1565">
        <v>185</v>
      </c>
      <c r="AI249" s="1566">
        <v>37</v>
      </c>
    </row>
    <row r="250" spans="1:35" ht="21.95" customHeight="1">
      <c r="A250" s="1616">
        <v>3350</v>
      </c>
      <c r="B250" s="1615" t="s">
        <v>831</v>
      </c>
      <c r="C250" s="1229"/>
      <c r="D250" s="1229"/>
      <c r="E250" s="1567" t="s">
        <v>535</v>
      </c>
      <c r="F250" s="1567" t="s">
        <v>535</v>
      </c>
      <c r="G250" s="1567" t="s">
        <v>535</v>
      </c>
      <c r="H250" s="1567" t="s">
        <v>535</v>
      </c>
      <c r="I250" s="1567" t="s">
        <v>535</v>
      </c>
      <c r="J250" s="1568"/>
      <c r="K250" s="1568"/>
      <c r="L250" s="1568" t="s">
        <v>535</v>
      </c>
      <c r="M250" s="1568" t="s">
        <v>535</v>
      </c>
      <c r="N250" s="1567" t="s">
        <v>535</v>
      </c>
      <c r="O250" s="1567" t="s">
        <v>535</v>
      </c>
      <c r="P250" s="1567" t="s">
        <v>535</v>
      </c>
      <c r="Q250" s="1229"/>
      <c r="R250" s="1229"/>
      <c r="S250" s="1567" t="s">
        <v>535</v>
      </c>
      <c r="T250" s="1567" t="s">
        <v>535</v>
      </c>
      <c r="U250" s="1567" t="s">
        <v>535</v>
      </c>
      <c r="V250" s="1567" t="s">
        <v>535</v>
      </c>
      <c r="W250" s="1567" t="s">
        <v>535</v>
      </c>
      <c r="X250" s="1568"/>
      <c r="Y250" s="1568"/>
      <c r="Z250" s="1671" t="s">
        <v>535</v>
      </c>
      <c r="AA250" s="1568" t="s">
        <v>535</v>
      </c>
      <c r="AB250" s="1568" t="s">
        <v>535</v>
      </c>
      <c r="AC250" s="1568" t="s">
        <v>535</v>
      </c>
      <c r="AD250" s="1568" t="s">
        <v>535</v>
      </c>
      <c r="AE250" s="1229"/>
      <c r="AF250" s="1229"/>
      <c r="AG250" s="1567" t="s">
        <v>535</v>
      </c>
      <c r="AH250" s="1565">
        <v>185</v>
      </c>
      <c r="AI250" s="1566">
        <v>37</v>
      </c>
    </row>
    <row r="251" spans="1:35" ht="21.95" customHeight="1">
      <c r="A251" s="1616"/>
      <c r="B251" s="1654" t="s">
        <v>822</v>
      </c>
      <c r="C251" s="1229"/>
      <c r="D251" s="1229"/>
      <c r="E251" s="1567" t="s">
        <v>535</v>
      </c>
      <c r="F251" s="1567" t="s">
        <v>535</v>
      </c>
      <c r="G251" s="1567" t="s">
        <v>535</v>
      </c>
      <c r="H251" s="1567" t="s">
        <v>535</v>
      </c>
      <c r="I251" s="1567" t="s">
        <v>535</v>
      </c>
      <c r="J251" s="1568"/>
      <c r="K251" s="1568"/>
      <c r="L251" s="1568" t="s">
        <v>535</v>
      </c>
      <c r="M251" s="1568" t="s">
        <v>535</v>
      </c>
      <c r="N251" s="1567" t="s">
        <v>535</v>
      </c>
      <c r="O251" s="1567" t="s">
        <v>535</v>
      </c>
      <c r="P251" s="1567" t="s">
        <v>535</v>
      </c>
      <c r="Q251" s="1229"/>
      <c r="R251" s="1229"/>
      <c r="S251" s="1567" t="s">
        <v>535</v>
      </c>
      <c r="T251" s="1567" t="s">
        <v>535</v>
      </c>
      <c r="U251" s="1567" t="s">
        <v>535</v>
      </c>
      <c r="V251" s="1567" t="s">
        <v>535</v>
      </c>
      <c r="W251" s="1567" t="s">
        <v>535</v>
      </c>
      <c r="X251" s="1568"/>
      <c r="Y251" s="1568"/>
      <c r="Z251" s="1568" t="s">
        <v>535</v>
      </c>
      <c r="AA251" s="1568" t="s">
        <v>535</v>
      </c>
      <c r="AB251" s="1568" t="s">
        <v>535</v>
      </c>
      <c r="AC251" s="1568" t="s">
        <v>535</v>
      </c>
      <c r="AD251" s="1568" t="s">
        <v>535</v>
      </c>
      <c r="AE251" s="1229"/>
      <c r="AF251" s="1229"/>
      <c r="AG251" s="1567" t="s">
        <v>535</v>
      </c>
      <c r="AH251" s="1618"/>
      <c r="AI251" s="1619"/>
    </row>
    <row r="253" spans="1:35" ht="25.5" customHeight="1" thickBot="1">
      <c r="A253" s="1" t="s">
        <v>604</v>
      </c>
    </row>
    <row r="254" spans="1:35" ht="21" customHeight="1">
      <c r="A254" s="1"/>
      <c r="B254" s="201" t="s">
        <v>516</v>
      </c>
      <c r="C254" s="7"/>
      <c r="D254" s="525" t="s">
        <v>2</v>
      </c>
      <c r="E254" s="51"/>
      <c r="F254" s="551"/>
      <c r="G254" s="7"/>
      <c r="H254" s="525" t="s">
        <v>3</v>
      </c>
      <c r="I254" s="51"/>
      <c r="J254" s="551"/>
      <c r="K254" s="7"/>
      <c r="L254" s="525" t="s">
        <v>4</v>
      </c>
      <c r="M254" s="51"/>
      <c r="N254" s="551"/>
      <c r="O254" s="7"/>
      <c r="P254" s="525" t="s">
        <v>5</v>
      </c>
      <c r="Q254" s="51"/>
      <c r="R254" s="551"/>
      <c r="S254" s="7"/>
      <c r="T254" s="525" t="s">
        <v>6</v>
      </c>
      <c r="U254" s="51"/>
      <c r="V254" s="551"/>
      <c r="W254" s="7"/>
      <c r="X254" s="525" t="s">
        <v>7</v>
      </c>
      <c r="Y254" s="51"/>
      <c r="Z254" s="551"/>
      <c r="AA254" s="7"/>
      <c r="AB254" s="525" t="s">
        <v>8</v>
      </c>
      <c r="AC254" s="51"/>
      <c r="AD254" s="51"/>
      <c r="AE254" s="425" t="s">
        <v>10</v>
      </c>
      <c r="AF254" s="51"/>
      <c r="AG254" s="51"/>
      <c r="AH254" s="51"/>
      <c r="AI254" s="526"/>
    </row>
    <row r="255" spans="1:35" ht="21" customHeight="1">
      <c r="A255" s="1"/>
      <c r="B255" s="9"/>
      <c r="C255" s="14"/>
      <c r="D255" s="609"/>
      <c r="E255" s="55"/>
      <c r="F255" s="608"/>
      <c r="G255" s="14"/>
      <c r="H255" s="609"/>
      <c r="I255" s="55"/>
      <c r="J255" s="608"/>
      <c r="K255" s="14"/>
      <c r="L255" s="609"/>
      <c r="M255" s="55"/>
      <c r="N255" s="608"/>
      <c r="O255" s="14"/>
      <c r="P255" s="609"/>
      <c r="Q255" s="55"/>
      <c r="R255" s="608"/>
      <c r="S255" s="14"/>
      <c r="T255" s="609"/>
      <c r="U255" s="55"/>
      <c r="V255" s="608"/>
      <c r="W255" s="14"/>
      <c r="X255" s="609"/>
      <c r="Y255" s="55"/>
      <c r="Z255" s="608"/>
      <c r="AA255" s="14"/>
      <c r="AB255" s="609"/>
      <c r="AC255" s="55"/>
      <c r="AD255" s="55"/>
      <c r="AE255" s="610"/>
      <c r="AF255" s="55"/>
      <c r="AG255" s="55"/>
      <c r="AH255" s="55"/>
      <c r="AI255" s="611"/>
    </row>
    <row r="256" spans="1:35" ht="21" customHeight="1">
      <c r="B256" s="612"/>
      <c r="C256" s="121"/>
      <c r="D256" s="157"/>
      <c r="E256" s="157"/>
      <c r="F256" s="568"/>
      <c r="G256" s="121"/>
      <c r="H256" s="157"/>
      <c r="I256" s="157"/>
      <c r="J256" s="568"/>
      <c r="K256" s="121"/>
      <c r="L256" s="157"/>
      <c r="M256" s="157"/>
      <c r="N256" s="568"/>
      <c r="O256" s="121"/>
      <c r="P256" s="157"/>
      <c r="Q256" s="157"/>
      <c r="R256" s="568"/>
      <c r="S256" s="121"/>
      <c r="T256" s="157"/>
      <c r="U256" s="157"/>
      <c r="V256" s="568"/>
      <c r="W256" s="121"/>
      <c r="X256" s="157"/>
      <c r="Y256" s="157"/>
      <c r="Z256" s="568"/>
      <c r="AA256" s="567"/>
      <c r="AB256" s="157"/>
      <c r="AC256" s="157"/>
      <c r="AD256" s="569"/>
      <c r="AE256" s="613"/>
      <c r="AF256" s="157"/>
      <c r="AG256" s="157" t="s">
        <v>28</v>
      </c>
      <c r="AH256" s="569"/>
      <c r="AI256" s="490"/>
    </row>
    <row r="257" spans="1:35" ht="21" customHeight="1" thickBot="1">
      <c r="A257" s="1"/>
      <c r="B257" s="47"/>
      <c r="C257" s="574"/>
      <c r="D257" s="53"/>
      <c r="E257" s="53"/>
      <c r="F257" s="575"/>
      <c r="G257" s="574"/>
      <c r="H257" s="53"/>
      <c r="I257" s="53"/>
      <c r="J257" s="575"/>
      <c r="K257" s="574"/>
      <c r="L257" s="53"/>
      <c r="M257" s="53"/>
      <c r="N257" s="575"/>
      <c r="O257" s="574"/>
      <c r="P257" s="53"/>
      <c r="Q257" s="53"/>
      <c r="R257" s="575"/>
      <c r="S257" s="574"/>
      <c r="T257" s="53"/>
      <c r="U257" s="53"/>
      <c r="V257" s="575"/>
      <c r="W257" s="57"/>
      <c r="X257" s="53"/>
      <c r="Y257" s="53"/>
      <c r="Z257" s="575"/>
      <c r="AA257" s="57"/>
      <c r="AB257" s="53"/>
      <c r="AC257" s="53"/>
      <c r="AD257" s="577"/>
      <c r="AE257" s="57"/>
      <c r="AF257" s="53"/>
      <c r="AG257" s="53"/>
      <c r="AH257" s="577"/>
      <c r="AI257" s="539"/>
    </row>
    <row r="258" spans="1:35" ht="33" customHeight="1" thickBot="1">
      <c r="A258" s="1" t="s">
        <v>605</v>
      </c>
      <c r="B258" s="72"/>
      <c r="C258" s="312"/>
      <c r="F258" s="354"/>
      <c r="G258" s="312"/>
      <c r="J258" s="354"/>
      <c r="K258" s="312"/>
      <c r="N258" s="354"/>
      <c r="O258" s="312"/>
      <c r="R258" s="354"/>
      <c r="S258" s="312"/>
      <c r="V258" s="354"/>
      <c r="W258" s="354"/>
      <c r="Z258" s="354"/>
      <c r="AA258" s="354"/>
      <c r="AD258" s="354"/>
      <c r="AE258" s="354"/>
      <c r="AH258" s="354"/>
    </row>
    <row r="259" spans="1:35" ht="21" customHeight="1">
      <c r="A259" s="556" t="s">
        <v>528</v>
      </c>
      <c r="B259" s="297" t="s">
        <v>480</v>
      </c>
      <c r="C259" s="1235">
        <v>1</v>
      </c>
      <c r="D259" s="1235">
        <v>2</v>
      </c>
      <c r="E259" s="1234">
        <v>3</v>
      </c>
      <c r="F259" s="1234">
        <v>4</v>
      </c>
      <c r="G259" s="1234">
        <v>5</v>
      </c>
      <c r="H259" s="1234">
        <v>6</v>
      </c>
      <c r="I259" s="1213">
        <v>7</v>
      </c>
      <c r="J259" s="1330">
        <v>8</v>
      </c>
      <c r="K259" s="1235">
        <v>9</v>
      </c>
      <c r="L259" s="1234">
        <v>10</v>
      </c>
      <c r="M259" s="1234">
        <v>11</v>
      </c>
      <c r="N259" s="1234">
        <v>12</v>
      </c>
      <c r="O259" s="1234">
        <v>13</v>
      </c>
      <c r="P259" s="1213">
        <v>14</v>
      </c>
      <c r="Q259" s="1330">
        <v>15</v>
      </c>
      <c r="R259" s="1235">
        <v>16</v>
      </c>
      <c r="S259" s="1234">
        <v>17</v>
      </c>
      <c r="T259" s="1234">
        <v>18</v>
      </c>
      <c r="U259" s="1234">
        <v>19</v>
      </c>
      <c r="V259" s="1213">
        <v>20</v>
      </c>
      <c r="W259" s="1213">
        <v>21</v>
      </c>
      <c r="X259" s="1330">
        <v>22</v>
      </c>
      <c r="Y259" s="1235">
        <v>23</v>
      </c>
      <c r="Z259" s="1234">
        <v>24</v>
      </c>
      <c r="AA259" s="1234">
        <v>25</v>
      </c>
      <c r="AB259" s="1234">
        <v>26</v>
      </c>
      <c r="AC259" s="1234">
        <v>27</v>
      </c>
      <c r="AD259" s="1213">
        <v>28</v>
      </c>
      <c r="AE259" s="1330">
        <v>29</v>
      </c>
      <c r="AF259" s="1235">
        <v>30</v>
      </c>
      <c r="AG259" s="1234">
        <v>31</v>
      </c>
      <c r="AH259" s="498" t="s">
        <v>481</v>
      </c>
      <c r="AI259" s="499" t="s">
        <v>482</v>
      </c>
    </row>
    <row r="260" spans="1:35" ht="21" customHeight="1">
      <c r="A260" s="442"/>
      <c r="B260" s="619" t="s">
        <v>606</v>
      </c>
      <c r="C260" s="1215"/>
      <c r="D260" s="1215"/>
      <c r="E260" s="557" t="s">
        <v>535</v>
      </c>
      <c r="F260" s="557" t="s">
        <v>535</v>
      </c>
      <c r="G260" s="557" t="s">
        <v>535</v>
      </c>
      <c r="H260" s="557" t="s">
        <v>535</v>
      </c>
      <c r="I260" s="557" t="s">
        <v>535</v>
      </c>
      <c r="J260" s="1208"/>
      <c r="K260" s="1208"/>
      <c r="L260" s="1208" t="s">
        <v>535</v>
      </c>
      <c r="M260" s="1208" t="s">
        <v>535</v>
      </c>
      <c r="N260" s="557" t="s">
        <v>535</v>
      </c>
      <c r="O260" s="557" t="s">
        <v>535</v>
      </c>
      <c r="P260" s="557" t="s">
        <v>535</v>
      </c>
      <c r="Q260" s="1215"/>
      <c r="R260" s="1215"/>
      <c r="S260" s="557" t="s">
        <v>535</v>
      </c>
      <c r="T260" s="557" t="s">
        <v>535</v>
      </c>
      <c r="U260" s="557" t="s">
        <v>535</v>
      </c>
      <c r="V260" s="1215" t="s">
        <v>514</v>
      </c>
      <c r="W260" s="557" t="s">
        <v>535</v>
      </c>
      <c r="X260" s="1208"/>
      <c r="Y260" s="1208"/>
      <c r="Z260" s="1208" t="s">
        <v>535</v>
      </c>
      <c r="AA260" s="1208" t="s">
        <v>535</v>
      </c>
      <c r="AB260" s="1208" t="s">
        <v>535</v>
      </c>
      <c r="AC260" s="1208" t="s">
        <v>535</v>
      </c>
      <c r="AD260" s="1208" t="s">
        <v>535</v>
      </c>
      <c r="AE260" s="1215"/>
      <c r="AF260" s="1215"/>
      <c r="AG260" s="557" t="s">
        <v>535</v>
      </c>
      <c r="AH260" s="638">
        <v>185</v>
      </c>
      <c r="AI260" s="639">
        <v>37</v>
      </c>
    </row>
    <row r="261" spans="1:35" ht="21" customHeight="1">
      <c r="A261" s="442"/>
      <c r="B261" s="619" t="s">
        <v>607</v>
      </c>
      <c r="C261" s="1215"/>
      <c r="D261" s="1215"/>
      <c r="E261" s="557" t="s">
        <v>535</v>
      </c>
      <c r="F261" s="557" t="s">
        <v>535</v>
      </c>
      <c r="G261" s="557" t="s">
        <v>535</v>
      </c>
      <c r="H261" s="557" t="s">
        <v>535</v>
      </c>
      <c r="I261" s="557" t="s">
        <v>535</v>
      </c>
      <c r="J261" s="1208"/>
      <c r="K261" s="1208"/>
      <c r="L261" s="1208" t="s">
        <v>535</v>
      </c>
      <c r="M261" s="1208" t="s">
        <v>535</v>
      </c>
      <c r="N261" s="557" t="s">
        <v>535</v>
      </c>
      <c r="O261" s="557" t="s">
        <v>535</v>
      </c>
      <c r="P261" s="557" t="s">
        <v>535</v>
      </c>
      <c r="Q261" s="1215"/>
      <c r="R261" s="1215"/>
      <c r="S261" s="557" t="s">
        <v>535</v>
      </c>
      <c r="T261" s="557" t="s">
        <v>535</v>
      </c>
      <c r="U261" s="557" t="s">
        <v>535</v>
      </c>
      <c r="V261" s="1215" t="s">
        <v>514</v>
      </c>
      <c r="W261" s="557" t="s">
        <v>535</v>
      </c>
      <c r="X261" s="1208"/>
      <c r="Y261" s="1208"/>
      <c r="Z261" s="1208" t="s">
        <v>535</v>
      </c>
      <c r="AA261" s="1208" t="s">
        <v>535</v>
      </c>
      <c r="AB261" s="1208" t="s">
        <v>535</v>
      </c>
      <c r="AC261" s="1208" t="s">
        <v>535</v>
      </c>
      <c r="AD261" s="1208" t="s">
        <v>535</v>
      </c>
      <c r="AE261" s="1215"/>
      <c r="AF261" s="1215"/>
      <c r="AG261" s="557" t="s">
        <v>535</v>
      </c>
      <c r="AH261" s="638">
        <v>185</v>
      </c>
      <c r="AI261" s="639">
        <v>37</v>
      </c>
    </row>
    <row r="262" spans="1:35" ht="21" customHeight="1">
      <c r="A262" s="442"/>
      <c r="B262" s="619" t="s">
        <v>608</v>
      </c>
      <c r="C262" s="1215"/>
      <c r="D262" s="1215"/>
      <c r="E262" s="557" t="s">
        <v>535</v>
      </c>
      <c r="F262" s="557" t="s">
        <v>535</v>
      </c>
      <c r="G262" s="557" t="s">
        <v>535</v>
      </c>
      <c r="H262" s="557" t="s">
        <v>535</v>
      </c>
      <c r="I262" s="557" t="s">
        <v>535</v>
      </c>
      <c r="J262" s="1208"/>
      <c r="K262" s="1208"/>
      <c r="L262" s="1365" t="s">
        <v>535</v>
      </c>
      <c r="M262" s="1365" t="s">
        <v>535</v>
      </c>
      <c r="N262" s="1365" t="s">
        <v>535</v>
      </c>
      <c r="O262" s="1365" t="s">
        <v>535</v>
      </c>
      <c r="P262" s="1365" t="s">
        <v>535</v>
      </c>
      <c r="Q262" s="1215"/>
      <c r="R262" s="1215"/>
      <c r="S262" s="557" t="s">
        <v>535</v>
      </c>
      <c r="T262" s="557" t="s">
        <v>535</v>
      </c>
      <c r="U262" s="557" t="s">
        <v>535</v>
      </c>
      <c r="V262" s="1215" t="s">
        <v>514</v>
      </c>
      <c r="W262" s="557" t="s">
        <v>535</v>
      </c>
      <c r="X262" s="1208"/>
      <c r="Y262" s="1208"/>
      <c r="Z262" s="1208" t="s">
        <v>535</v>
      </c>
      <c r="AA262" s="1208" t="s">
        <v>535</v>
      </c>
      <c r="AB262" s="1208" t="s">
        <v>535</v>
      </c>
      <c r="AC262" s="1208" t="s">
        <v>535</v>
      </c>
      <c r="AD262" s="1208" t="s">
        <v>535</v>
      </c>
      <c r="AE262" s="1215"/>
      <c r="AF262" s="1215"/>
      <c r="AG262" s="557" t="s">
        <v>535</v>
      </c>
      <c r="AH262" s="638">
        <v>185</v>
      </c>
      <c r="AI262" s="639">
        <v>37</v>
      </c>
    </row>
    <row r="263" spans="1:35" ht="21" customHeight="1">
      <c r="A263" s="442"/>
      <c r="B263" s="619" t="s">
        <v>609</v>
      </c>
      <c r="C263" s="1215"/>
      <c r="D263" s="1215"/>
      <c r="E263" s="557" t="s">
        <v>535</v>
      </c>
      <c r="F263" s="557" t="s">
        <v>535</v>
      </c>
      <c r="G263" s="557" t="s">
        <v>535</v>
      </c>
      <c r="H263" s="557" t="s">
        <v>535</v>
      </c>
      <c r="I263" s="1365" t="s">
        <v>535</v>
      </c>
      <c r="J263" s="1208"/>
      <c r="K263" s="1208"/>
      <c r="L263" s="1208" t="s">
        <v>535</v>
      </c>
      <c r="M263" s="1208" t="s">
        <v>535</v>
      </c>
      <c r="N263" s="557" t="s">
        <v>535</v>
      </c>
      <c r="O263" s="557" t="s">
        <v>535</v>
      </c>
      <c r="P263" s="1365" t="s">
        <v>535</v>
      </c>
      <c r="Q263" s="1215"/>
      <c r="R263" s="1215"/>
      <c r="S263" s="557" t="s">
        <v>535</v>
      </c>
      <c r="T263" s="1365" t="s">
        <v>535</v>
      </c>
      <c r="U263" s="557" t="s">
        <v>535</v>
      </c>
      <c r="V263" s="557" t="s">
        <v>535</v>
      </c>
      <c r="W263" s="1365" t="s">
        <v>535</v>
      </c>
      <c r="X263" s="1208"/>
      <c r="Y263" s="1208"/>
      <c r="Z263" s="1208" t="s">
        <v>535</v>
      </c>
      <c r="AA263" s="1208" t="s">
        <v>535</v>
      </c>
      <c r="AB263" s="1208" t="s">
        <v>535</v>
      </c>
      <c r="AC263" s="1208" t="s">
        <v>535</v>
      </c>
      <c r="AD263" s="1365" t="s">
        <v>535</v>
      </c>
      <c r="AE263" s="1215"/>
      <c r="AF263" s="1215"/>
      <c r="AG263" s="557" t="s">
        <v>535</v>
      </c>
      <c r="AH263" s="638">
        <v>185</v>
      </c>
      <c r="AI263" s="639">
        <v>37</v>
      </c>
    </row>
    <row r="264" spans="1:35" ht="21" customHeight="1">
      <c r="A264" s="442"/>
      <c r="B264" s="619" t="s">
        <v>610</v>
      </c>
      <c r="C264" s="1215"/>
      <c r="D264" s="1215"/>
      <c r="E264" s="557" t="s">
        <v>535</v>
      </c>
      <c r="F264" s="557" t="s">
        <v>535</v>
      </c>
      <c r="G264" s="557" t="s">
        <v>535</v>
      </c>
      <c r="H264" s="557" t="s">
        <v>535</v>
      </c>
      <c r="I264" s="557" t="s">
        <v>535</v>
      </c>
      <c r="J264" s="1208"/>
      <c r="K264" s="1208"/>
      <c r="L264" s="1208" t="s">
        <v>535</v>
      </c>
      <c r="M264" s="1208" t="s">
        <v>535</v>
      </c>
      <c r="N264" s="557" t="s">
        <v>535</v>
      </c>
      <c r="O264" s="557" t="s">
        <v>535</v>
      </c>
      <c r="P264" s="557" t="s">
        <v>535</v>
      </c>
      <c r="Q264" s="1215"/>
      <c r="R264" s="1215"/>
      <c r="S264" s="1497" t="s">
        <v>535</v>
      </c>
      <c r="T264" s="557" t="s">
        <v>535</v>
      </c>
      <c r="U264" s="557" t="s">
        <v>535</v>
      </c>
      <c r="V264" s="557" t="s">
        <v>535</v>
      </c>
      <c r="W264" s="557" t="s">
        <v>535</v>
      </c>
      <c r="X264" s="1208"/>
      <c r="Y264" s="1208"/>
      <c r="Z264" s="1208" t="s">
        <v>535</v>
      </c>
      <c r="AA264" s="1208" t="s">
        <v>535</v>
      </c>
      <c r="AB264" s="1208" t="s">
        <v>535</v>
      </c>
      <c r="AC264" s="1208" t="s">
        <v>535</v>
      </c>
      <c r="AD264" s="1208" t="s">
        <v>535</v>
      </c>
      <c r="AE264" s="1215"/>
      <c r="AF264" s="1215"/>
      <c r="AG264" s="557" t="s">
        <v>535</v>
      </c>
      <c r="AH264" s="638">
        <v>185</v>
      </c>
      <c r="AI264" s="639">
        <v>37</v>
      </c>
    </row>
    <row r="265" spans="1:35" ht="21" customHeight="1">
      <c r="A265" s="442"/>
      <c r="B265" s="619" t="s">
        <v>611</v>
      </c>
      <c r="C265" s="1215"/>
      <c r="D265" s="1215"/>
      <c r="E265" s="557" t="s">
        <v>535</v>
      </c>
      <c r="F265" s="557" t="s">
        <v>535</v>
      </c>
      <c r="G265" s="1365" t="s">
        <v>535</v>
      </c>
      <c r="H265" s="557" t="s">
        <v>535</v>
      </c>
      <c r="I265" s="557" t="s">
        <v>535</v>
      </c>
      <c r="J265" s="1208"/>
      <c r="K265" s="1208"/>
      <c r="L265" s="1208" t="s">
        <v>535</v>
      </c>
      <c r="M265" s="1208" t="s">
        <v>535</v>
      </c>
      <c r="N265" s="557" t="s">
        <v>535</v>
      </c>
      <c r="O265" s="557" t="s">
        <v>535</v>
      </c>
      <c r="P265" s="557" t="s">
        <v>535</v>
      </c>
      <c r="Q265" s="1215"/>
      <c r="R265" s="1215"/>
      <c r="S265" s="557" t="s">
        <v>535</v>
      </c>
      <c r="T265" s="1362" t="s">
        <v>535</v>
      </c>
      <c r="U265" s="557" t="s">
        <v>535</v>
      </c>
      <c r="V265" s="557" t="s">
        <v>535</v>
      </c>
      <c r="W265" s="1362" t="s">
        <v>535</v>
      </c>
      <c r="X265" s="1208"/>
      <c r="Y265" s="1208"/>
      <c r="Z265" s="1208" t="s">
        <v>535</v>
      </c>
      <c r="AA265" s="1208" t="s">
        <v>535</v>
      </c>
      <c r="AB265" s="1208" t="s">
        <v>535</v>
      </c>
      <c r="AC265" s="1208" t="s">
        <v>535</v>
      </c>
      <c r="AD265" s="1208" t="s">
        <v>535</v>
      </c>
      <c r="AE265" s="1215"/>
      <c r="AF265" s="1215"/>
      <c r="AG265" s="557" t="s">
        <v>535</v>
      </c>
      <c r="AH265" s="638">
        <v>185</v>
      </c>
      <c r="AI265" s="639">
        <v>37</v>
      </c>
    </row>
    <row r="266" spans="1:35" ht="21" customHeight="1">
      <c r="A266" s="442"/>
      <c r="B266" s="619" t="s">
        <v>612</v>
      </c>
      <c r="C266" s="1392"/>
      <c r="D266" s="1392"/>
      <c r="E266" s="1439" t="s">
        <v>535</v>
      </c>
      <c r="F266" s="1439" t="s">
        <v>535</v>
      </c>
      <c r="G266" s="557" t="s">
        <v>535</v>
      </c>
      <c r="H266" s="557" t="s">
        <v>535</v>
      </c>
      <c r="I266" s="557" t="s">
        <v>535</v>
      </c>
      <c r="J266" s="1208"/>
      <c r="K266" s="1208"/>
      <c r="L266" s="1208" t="s">
        <v>535</v>
      </c>
      <c r="M266" s="1208" t="s">
        <v>535</v>
      </c>
      <c r="N266" s="557" t="s">
        <v>535</v>
      </c>
      <c r="O266" s="1365" t="s">
        <v>535</v>
      </c>
      <c r="P266" s="557" t="s">
        <v>535</v>
      </c>
      <c r="Q266" s="1215"/>
      <c r="R266" s="1215"/>
      <c r="S266" s="1365" t="s">
        <v>535</v>
      </c>
      <c r="T266" s="1365" t="s">
        <v>535</v>
      </c>
      <c r="U266" s="1365" t="s">
        <v>535</v>
      </c>
      <c r="V266" s="557" t="s">
        <v>535</v>
      </c>
      <c r="W266" s="557" t="s">
        <v>535</v>
      </c>
      <c r="X266" s="1208"/>
      <c r="Y266" s="1208"/>
      <c r="Z266" s="1439" t="s">
        <v>535</v>
      </c>
      <c r="AA266" s="1439" t="s">
        <v>535</v>
      </c>
      <c r="AB266" s="1439" t="s">
        <v>570</v>
      </c>
      <c r="AC266" s="557" t="s">
        <v>535</v>
      </c>
      <c r="AD266" s="557" t="s">
        <v>535</v>
      </c>
      <c r="AE266" s="1215"/>
      <c r="AF266" s="1215"/>
      <c r="AG266" s="557" t="s">
        <v>535</v>
      </c>
      <c r="AH266" s="638">
        <v>185</v>
      </c>
      <c r="AI266" s="639">
        <v>37</v>
      </c>
    </row>
    <row r="267" spans="1:35" ht="21" customHeight="1">
      <c r="A267" s="442"/>
      <c r="B267" s="619" t="s">
        <v>613</v>
      </c>
      <c r="C267" s="1215"/>
      <c r="D267" s="1215"/>
      <c r="E267" s="557" t="s">
        <v>535</v>
      </c>
      <c r="F267" s="557" t="s">
        <v>535</v>
      </c>
      <c r="G267" s="557" t="s">
        <v>535</v>
      </c>
      <c r="H267" s="557" t="s">
        <v>535</v>
      </c>
      <c r="I267" s="1365" t="s">
        <v>535</v>
      </c>
      <c r="J267" s="1208"/>
      <c r="K267" s="1208"/>
      <c r="L267" s="1208" t="s">
        <v>535</v>
      </c>
      <c r="M267" s="1208" t="s">
        <v>535</v>
      </c>
      <c r="N267" s="557" t="s">
        <v>535</v>
      </c>
      <c r="O267" s="557" t="s">
        <v>535</v>
      </c>
      <c r="P267" s="557" t="s">
        <v>535</v>
      </c>
      <c r="Q267" s="1215"/>
      <c r="R267" s="1215"/>
      <c r="S267" s="557" t="s">
        <v>535</v>
      </c>
      <c r="T267" s="557" t="s">
        <v>535</v>
      </c>
      <c r="U267" s="557" t="s">
        <v>535</v>
      </c>
      <c r="V267" s="557" t="s">
        <v>535</v>
      </c>
      <c r="W267" s="557" t="s">
        <v>535</v>
      </c>
      <c r="X267" s="1208"/>
      <c r="Y267" s="1208"/>
      <c r="Z267" s="1208" t="s">
        <v>535</v>
      </c>
      <c r="AA267" s="1208" t="s">
        <v>535</v>
      </c>
      <c r="AB267" s="1362" t="s">
        <v>535</v>
      </c>
      <c r="AC267" s="1362" t="s">
        <v>535</v>
      </c>
      <c r="AD267" s="1362" t="s">
        <v>535</v>
      </c>
      <c r="AE267" s="1215"/>
      <c r="AF267" s="1215"/>
      <c r="AG267" s="1362" t="s">
        <v>535</v>
      </c>
      <c r="AH267" s="638">
        <v>185</v>
      </c>
      <c r="AI267" s="639">
        <v>37</v>
      </c>
    </row>
    <row r="268" spans="1:35" ht="21" customHeight="1">
      <c r="A268" s="442"/>
      <c r="B268" s="619" t="s">
        <v>614</v>
      </c>
      <c r="C268" s="1215"/>
      <c r="D268" s="1215"/>
      <c r="E268" s="557" t="s">
        <v>535</v>
      </c>
      <c r="F268" s="557" t="s">
        <v>535</v>
      </c>
      <c r="G268" s="557" t="s">
        <v>535</v>
      </c>
      <c r="H268" s="557" t="s">
        <v>535</v>
      </c>
      <c r="I268" s="557" t="s">
        <v>535</v>
      </c>
      <c r="J268" s="1208"/>
      <c r="K268" s="1208"/>
      <c r="L268" s="1208" t="s">
        <v>535</v>
      </c>
      <c r="M268" s="1208" t="s">
        <v>535</v>
      </c>
      <c r="N268" s="557" t="s">
        <v>535</v>
      </c>
      <c r="O268" s="1439" t="s">
        <v>570</v>
      </c>
      <c r="P268" s="557" t="s">
        <v>535</v>
      </c>
      <c r="Q268" s="1344"/>
      <c r="R268" s="1344"/>
      <c r="S268" s="557" t="s">
        <v>535</v>
      </c>
      <c r="T268" s="557" t="s">
        <v>535</v>
      </c>
      <c r="U268" s="557" t="s">
        <v>535</v>
      </c>
      <c r="V268" s="557" t="s">
        <v>535</v>
      </c>
      <c r="W268" s="557" t="s">
        <v>535</v>
      </c>
      <c r="X268" s="557"/>
      <c r="Y268" s="557"/>
      <c r="Z268" s="557" t="s">
        <v>535</v>
      </c>
      <c r="AA268" s="1439" t="s">
        <v>570</v>
      </c>
      <c r="AB268" s="557" t="s">
        <v>535</v>
      </c>
      <c r="AC268" s="557" t="s">
        <v>535</v>
      </c>
      <c r="AD268" s="557" t="s">
        <v>535</v>
      </c>
      <c r="AE268" s="1344"/>
      <c r="AF268" s="1344"/>
      <c r="AG268" s="557" t="s">
        <v>535</v>
      </c>
      <c r="AH268" s="638">
        <v>185</v>
      </c>
      <c r="AI268" s="639">
        <v>37</v>
      </c>
    </row>
    <row r="269" spans="1:35" ht="21" customHeight="1">
      <c r="A269" s="442"/>
      <c r="B269" s="619" t="s">
        <v>615</v>
      </c>
      <c r="C269" s="1215"/>
      <c r="D269" s="1215"/>
      <c r="E269" s="557" t="s">
        <v>535</v>
      </c>
      <c r="F269" s="557" t="s">
        <v>535</v>
      </c>
      <c r="G269" s="557" t="s">
        <v>535</v>
      </c>
      <c r="H269" s="557" t="s">
        <v>535</v>
      </c>
      <c r="I269" s="557" t="s">
        <v>535</v>
      </c>
      <c r="J269" s="1208"/>
      <c r="K269" s="1208"/>
      <c r="L269" s="1387" t="s">
        <v>535</v>
      </c>
      <c r="M269" s="1387" t="s">
        <v>535</v>
      </c>
      <c r="N269" s="1365" t="s">
        <v>535</v>
      </c>
      <c r="O269" s="1365" t="s">
        <v>535</v>
      </c>
      <c r="P269" s="557" t="s">
        <v>535</v>
      </c>
      <c r="Q269" s="1215"/>
      <c r="R269" s="1215"/>
      <c r="S269" s="557" t="s">
        <v>535</v>
      </c>
      <c r="T269" s="557" t="s">
        <v>535</v>
      </c>
      <c r="U269" s="557" t="s">
        <v>535</v>
      </c>
      <c r="V269" s="557" t="s">
        <v>535</v>
      </c>
      <c r="W269" s="557" t="s">
        <v>535</v>
      </c>
      <c r="X269" s="1208"/>
      <c r="Y269" s="1208"/>
      <c r="Z269" s="1497" t="s">
        <v>535</v>
      </c>
      <c r="AA269" s="1439" t="s">
        <v>535</v>
      </c>
      <c r="AB269" s="1439" t="s">
        <v>535</v>
      </c>
      <c r="AC269" s="1439" t="s">
        <v>535</v>
      </c>
      <c r="AD269" s="1439" t="s">
        <v>535</v>
      </c>
      <c r="AE269" s="1392"/>
      <c r="AF269" s="1215"/>
      <c r="AG269" s="557" t="s">
        <v>535</v>
      </c>
      <c r="AH269" s="638">
        <v>185</v>
      </c>
      <c r="AI269" s="639">
        <v>37</v>
      </c>
    </row>
    <row r="270" spans="1:35" ht="21" customHeight="1">
      <c r="A270" s="442"/>
      <c r="B270" s="153" t="s">
        <v>616</v>
      </c>
      <c r="C270" s="1215"/>
      <c r="D270" s="1215"/>
      <c r="E270" s="1387" t="s">
        <v>535</v>
      </c>
      <c r="F270" s="1387" t="s">
        <v>535</v>
      </c>
      <c r="G270" s="557" t="s">
        <v>535</v>
      </c>
      <c r="H270" s="557" t="s">
        <v>535</v>
      </c>
      <c r="I270" s="557" t="s">
        <v>535</v>
      </c>
      <c r="J270" s="1208"/>
      <c r="K270" s="1208"/>
      <c r="L270" s="1208" t="s">
        <v>535</v>
      </c>
      <c r="M270" s="1208" t="s">
        <v>535</v>
      </c>
      <c r="N270" s="557" t="s">
        <v>535</v>
      </c>
      <c r="O270" s="557" t="s">
        <v>535</v>
      </c>
      <c r="P270" s="557" t="s">
        <v>535</v>
      </c>
      <c r="Q270" s="1215"/>
      <c r="R270" s="1215"/>
      <c r="S270" s="1387" t="s">
        <v>535</v>
      </c>
      <c r="T270" s="557" t="s">
        <v>535</v>
      </c>
      <c r="U270" s="557" t="s">
        <v>535</v>
      </c>
      <c r="V270" s="557" t="s">
        <v>535</v>
      </c>
      <c r="W270" s="557" t="s">
        <v>535</v>
      </c>
      <c r="X270" s="1208"/>
      <c r="Y270" s="1208"/>
      <c r="Z270" s="1208" t="s">
        <v>535</v>
      </c>
      <c r="AA270" s="1208" t="s">
        <v>535</v>
      </c>
      <c r="AB270" s="1208" t="s">
        <v>535</v>
      </c>
      <c r="AC270" s="1208" t="s">
        <v>535</v>
      </c>
      <c r="AD270" s="1208" t="s">
        <v>535</v>
      </c>
      <c r="AE270" s="1215"/>
      <c r="AF270" s="1215"/>
      <c r="AG270" s="557" t="s">
        <v>535</v>
      </c>
      <c r="AH270" s="638">
        <v>185</v>
      </c>
      <c r="AI270" s="639">
        <v>37</v>
      </c>
    </row>
    <row r="271" spans="1:35" ht="21" customHeight="1">
      <c r="A271" s="442"/>
      <c r="B271" s="153" t="s">
        <v>617</v>
      </c>
      <c r="C271" s="1215"/>
      <c r="D271" s="1215"/>
      <c r="E271" s="557" t="s">
        <v>535</v>
      </c>
      <c r="F271" s="557" t="s">
        <v>535</v>
      </c>
      <c r="G271" s="557" t="s">
        <v>535</v>
      </c>
      <c r="H271" s="557" t="s">
        <v>535</v>
      </c>
      <c r="I271" s="1387" t="s">
        <v>535</v>
      </c>
      <c r="J271" s="1208"/>
      <c r="K271" s="1208"/>
      <c r="L271" s="1208" t="s">
        <v>535</v>
      </c>
      <c r="M271" s="1208" t="s">
        <v>535</v>
      </c>
      <c r="N271" s="557" t="s">
        <v>535</v>
      </c>
      <c r="O271" s="557" t="s">
        <v>535</v>
      </c>
      <c r="P271" s="1387" t="s">
        <v>535</v>
      </c>
      <c r="Q271" s="1215"/>
      <c r="R271" s="1215"/>
      <c r="S271" s="557" t="s">
        <v>535</v>
      </c>
      <c r="T271" s="557" t="s">
        <v>535</v>
      </c>
      <c r="U271" s="557" t="s">
        <v>535</v>
      </c>
      <c r="V271" s="557" t="s">
        <v>535</v>
      </c>
      <c r="W271" s="557" t="s">
        <v>535</v>
      </c>
      <c r="X271" s="1208"/>
      <c r="Y271" s="1208"/>
      <c r="Z271" s="1208" t="s">
        <v>535</v>
      </c>
      <c r="AA271" s="1208" t="s">
        <v>535</v>
      </c>
      <c r="AB271" s="1208" t="s">
        <v>535</v>
      </c>
      <c r="AC271" s="1365" t="s">
        <v>535</v>
      </c>
      <c r="AD271" s="1387" t="s">
        <v>535</v>
      </c>
      <c r="AE271" s="1215"/>
      <c r="AF271" s="1215"/>
      <c r="AG271" s="557" t="s">
        <v>535</v>
      </c>
      <c r="AH271" s="638">
        <v>185</v>
      </c>
      <c r="AI271" s="639">
        <v>37</v>
      </c>
    </row>
    <row r="272" spans="1:35" ht="21" customHeight="1">
      <c r="A272" s="134"/>
      <c r="B272" s="134" t="s">
        <v>619</v>
      </c>
      <c r="C272" s="1219"/>
      <c r="D272" s="1219"/>
      <c r="E272" s="1563" t="s">
        <v>535</v>
      </c>
      <c r="F272" s="1632" t="s">
        <v>535</v>
      </c>
      <c r="G272" s="1563" t="s">
        <v>535</v>
      </c>
      <c r="H272" s="1563" t="s">
        <v>535</v>
      </c>
      <c r="I272" s="1563" t="s">
        <v>535</v>
      </c>
      <c r="J272" s="1564"/>
      <c r="K272" s="1564"/>
      <c r="L272" s="1564" t="s">
        <v>535</v>
      </c>
      <c r="M272" s="1564" t="s">
        <v>535</v>
      </c>
      <c r="N272" s="1563" t="s">
        <v>535</v>
      </c>
      <c r="O272" s="1563" t="s">
        <v>535</v>
      </c>
      <c r="P272" s="1563" t="s">
        <v>535</v>
      </c>
      <c r="Q272" s="1219"/>
      <c r="R272" s="1219"/>
      <c r="S272" s="1563" t="s">
        <v>535</v>
      </c>
      <c r="T272" s="1563" t="s">
        <v>535</v>
      </c>
      <c r="U272" s="1563" t="s">
        <v>535</v>
      </c>
      <c r="V272" s="1563" t="s">
        <v>535</v>
      </c>
      <c r="W272" s="1563" t="s">
        <v>535</v>
      </c>
      <c r="X272" s="1564"/>
      <c r="Y272" s="1564"/>
      <c r="Z272" s="1564" t="s">
        <v>535</v>
      </c>
      <c r="AA272" s="1564" t="s">
        <v>535</v>
      </c>
      <c r="AB272" s="1564" t="s">
        <v>535</v>
      </c>
      <c r="AC272" s="1564" t="s">
        <v>535</v>
      </c>
      <c r="AD272" s="1564" t="s">
        <v>535</v>
      </c>
      <c r="AE272" s="1219"/>
      <c r="AF272" s="1219"/>
      <c r="AG272" s="1563" t="s">
        <v>535</v>
      </c>
      <c r="AH272" s="1565">
        <v>185</v>
      </c>
      <c r="AI272" s="1566">
        <v>37</v>
      </c>
    </row>
    <row r="273" spans="1:35" ht="21" customHeight="1">
      <c r="A273" s="902"/>
      <c r="B273" s="902" t="s">
        <v>618</v>
      </c>
      <c r="C273" s="902"/>
      <c r="D273" s="902"/>
      <c r="E273" s="1580" t="s">
        <v>535</v>
      </c>
      <c r="F273" s="1580" t="s">
        <v>535</v>
      </c>
      <c r="G273" s="1580" t="s">
        <v>535</v>
      </c>
      <c r="H273" s="1580" t="s">
        <v>535</v>
      </c>
      <c r="I273" s="1580" t="s">
        <v>535</v>
      </c>
      <c r="J273" s="1580"/>
      <c r="K273" s="1580"/>
      <c r="L273" s="1580" t="s">
        <v>535</v>
      </c>
      <c r="M273" s="1580" t="s">
        <v>535</v>
      </c>
      <c r="N273" s="1580" t="s">
        <v>535</v>
      </c>
      <c r="O273" s="1580" t="s">
        <v>535</v>
      </c>
      <c r="P273" s="1580" t="s">
        <v>535</v>
      </c>
      <c r="Q273" s="1636"/>
      <c r="R273" s="1636"/>
      <c r="S273" s="1580" t="s">
        <v>535</v>
      </c>
      <c r="T273" s="1580" t="s">
        <v>535</v>
      </c>
      <c r="U273" s="1580" t="s">
        <v>535</v>
      </c>
      <c r="V273" s="1580" t="s">
        <v>535</v>
      </c>
      <c r="W273" s="1580" t="s">
        <v>535</v>
      </c>
      <c r="X273" s="1580"/>
      <c r="Y273" s="1580"/>
      <c r="Z273" s="1580" t="s">
        <v>535</v>
      </c>
      <c r="AA273" s="1580" t="s">
        <v>535</v>
      </c>
      <c r="AB273" s="1580" t="s">
        <v>535</v>
      </c>
      <c r="AC273" s="1580" t="s">
        <v>535</v>
      </c>
      <c r="AD273" s="1580" t="s">
        <v>535</v>
      </c>
      <c r="AE273" s="1636"/>
      <c r="AF273" s="1636"/>
      <c r="AG273" s="1580" t="s">
        <v>535</v>
      </c>
      <c r="AH273" s="1569">
        <v>185</v>
      </c>
      <c r="AI273" s="1569">
        <v>37</v>
      </c>
    </row>
  </sheetData>
  <sheetProtection password="CC44" sheet="1" objects="1" scenarios="1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33"/>
  <dimension ref="A1:AL273"/>
  <sheetViews>
    <sheetView topLeftCell="A217" zoomScale="70" zoomScaleNormal="70" workbookViewId="0">
      <selection activeCell="AF248" sqref="AF248"/>
    </sheetView>
  </sheetViews>
  <sheetFormatPr defaultRowHeight="12.75"/>
  <cols>
    <col min="1" max="1" width="5.5703125" customWidth="1"/>
    <col min="2" max="2" width="23.140625" customWidth="1"/>
    <col min="3" max="15" width="3.7109375" customWidth="1"/>
    <col min="16" max="16" width="3.85546875" customWidth="1"/>
    <col min="17" max="25" width="3.7109375" customWidth="1"/>
    <col min="26" max="26" width="3.5703125" customWidth="1"/>
    <col min="27" max="33" width="3.7109375" customWidth="1"/>
    <col min="34" max="34" width="4" customWidth="1"/>
    <col min="35" max="35" width="3.85546875" customWidth="1"/>
    <col min="36" max="40" width="10" customWidth="1"/>
  </cols>
  <sheetData>
    <row r="1" spans="1:35" ht="13.35" customHeight="1">
      <c r="A1" t="s">
        <v>28</v>
      </c>
      <c r="B1" s="1" t="s">
        <v>450</v>
      </c>
    </row>
    <row r="2" spans="1:35" ht="13.35" customHeight="1">
      <c r="B2" s="443" t="s">
        <v>451</v>
      </c>
      <c r="C2" s="444" t="s">
        <v>452</v>
      </c>
      <c r="D2" s="445"/>
      <c r="E2" s="446" t="s">
        <v>453</v>
      </c>
      <c r="F2" s="447"/>
      <c r="G2" s="448"/>
      <c r="H2" s="448"/>
      <c r="I2" s="448"/>
      <c r="J2" s="448"/>
      <c r="K2" s="449"/>
      <c r="L2" s="450" t="s">
        <v>454</v>
      </c>
      <c r="M2" s="451"/>
      <c r="N2" s="380"/>
      <c r="O2" s="452" t="s">
        <v>455</v>
      </c>
      <c r="P2" s="453"/>
      <c r="Q2" s="454"/>
      <c r="R2" s="455"/>
      <c r="S2" s="456" t="s">
        <v>456</v>
      </c>
      <c r="T2" s="457"/>
      <c r="U2" s="458"/>
      <c r="V2" s="457"/>
      <c r="W2" s="459" t="s">
        <v>457</v>
      </c>
      <c r="X2" s="368"/>
      <c r="Y2" s="460"/>
      <c r="Z2" s="461" t="s">
        <v>458</v>
      </c>
      <c r="AA2" s="462"/>
      <c r="AB2" s="463"/>
      <c r="AC2" s="464"/>
      <c r="AD2" s="465" t="s">
        <v>459</v>
      </c>
      <c r="AE2" s="466"/>
      <c r="AF2" s="466"/>
      <c r="AG2" s="467"/>
    </row>
    <row r="3" spans="1:35" ht="13.35" customHeight="1">
      <c r="A3" s="1"/>
      <c r="B3" s="468" t="s">
        <v>460</v>
      </c>
      <c r="C3" s="469" t="s">
        <v>461</v>
      </c>
      <c r="D3" s="470"/>
      <c r="E3" s="471"/>
      <c r="F3" s="472"/>
      <c r="G3" s="472"/>
      <c r="H3" s="473" t="s">
        <v>462</v>
      </c>
      <c r="I3" s="474"/>
      <c r="J3" s="474"/>
      <c r="K3" s="475"/>
      <c r="L3" s="476" t="s">
        <v>463</v>
      </c>
      <c r="M3" s="157"/>
      <c r="N3" s="477"/>
      <c r="O3" s="474"/>
      <c r="P3" s="474"/>
      <c r="Q3" s="474"/>
      <c r="R3" s="474"/>
      <c r="S3" s="55"/>
      <c r="T3" s="478" t="s">
        <v>464</v>
      </c>
      <c r="U3" s="479"/>
      <c r="V3" s="480"/>
      <c r="W3" s="481"/>
      <c r="X3" s="482"/>
      <c r="Y3" s="473" t="s">
        <v>465</v>
      </c>
      <c r="Z3" s="157"/>
      <c r="AA3" s="157"/>
      <c r="AB3" s="483"/>
      <c r="AC3" s="484"/>
      <c r="AD3" s="485" t="s">
        <v>466</v>
      </c>
      <c r="AE3" s="486"/>
      <c r="AF3" s="486"/>
      <c r="AG3" s="487"/>
    </row>
    <row r="4" spans="1:35" ht="13.35" customHeight="1">
      <c r="A4" s="1" t="s">
        <v>467</v>
      </c>
      <c r="B4" s="168"/>
      <c r="C4" s="69"/>
      <c r="D4" s="361"/>
      <c r="E4" s="361"/>
      <c r="F4" s="361"/>
      <c r="G4" s="361"/>
      <c r="H4" s="69"/>
      <c r="I4" s="361"/>
      <c r="J4" s="361"/>
      <c r="K4" s="73"/>
      <c r="L4" s="361"/>
      <c r="M4" s="73"/>
      <c r="N4" s="73"/>
      <c r="O4" s="361"/>
      <c r="P4" s="361"/>
      <c r="Q4" s="361"/>
      <c r="R4" s="361"/>
      <c r="T4" s="73"/>
      <c r="U4" s="69"/>
      <c r="W4" s="361"/>
      <c r="X4" s="361"/>
      <c r="Y4" s="69"/>
      <c r="Z4" s="361"/>
      <c r="AB4" s="361"/>
      <c r="AC4" s="361"/>
      <c r="AD4" s="361"/>
      <c r="AE4" s="361"/>
      <c r="AF4" s="361"/>
      <c r="AG4" s="361"/>
    </row>
    <row r="5" spans="1:35" ht="21.95" customHeight="1">
      <c r="A5" s="1" t="s">
        <v>14</v>
      </c>
      <c r="B5" s="1"/>
    </row>
    <row r="6" spans="1:35" ht="21.95" customHeight="1">
      <c r="A6" s="488" t="s">
        <v>620</v>
      </c>
      <c r="B6" s="157"/>
      <c r="C6" s="489"/>
      <c r="D6" s="488" t="s">
        <v>621</v>
      </c>
      <c r="E6" s="157"/>
      <c r="F6" s="157"/>
      <c r="G6" s="157"/>
      <c r="H6" s="490"/>
      <c r="I6" s="157"/>
      <c r="J6" s="157"/>
      <c r="K6" s="157"/>
      <c r="L6" s="488" t="s">
        <v>832</v>
      </c>
      <c r="M6" s="157"/>
      <c r="N6" s="157"/>
      <c r="O6" s="157"/>
      <c r="P6" s="157"/>
      <c r="Q6" s="157"/>
      <c r="R6" s="157"/>
      <c r="S6" s="489"/>
      <c r="T6" s="491" t="s">
        <v>623</v>
      </c>
      <c r="U6" s="157"/>
      <c r="V6" s="157"/>
      <c r="W6" s="157"/>
      <c r="X6" s="157"/>
      <c r="Y6" s="157"/>
      <c r="Z6" s="157"/>
      <c r="AA6" s="489"/>
      <c r="AB6" s="492"/>
      <c r="AC6" s="135"/>
      <c r="AD6" s="135"/>
      <c r="AE6" s="135"/>
      <c r="AF6" s="135"/>
      <c r="AG6" s="493"/>
    </row>
    <row r="7" spans="1:35" ht="21.95" customHeight="1">
      <c r="A7" s="488" t="s">
        <v>624</v>
      </c>
      <c r="B7" s="157"/>
      <c r="C7" s="157"/>
      <c r="D7" s="157"/>
      <c r="E7" s="157"/>
      <c r="F7" s="157"/>
      <c r="G7" s="157"/>
      <c r="H7" s="157"/>
      <c r="I7" s="157"/>
      <c r="J7" s="157"/>
      <c r="K7" s="489"/>
      <c r="L7" s="494" t="s">
        <v>625</v>
      </c>
      <c r="M7" s="55"/>
      <c r="N7" s="55"/>
      <c r="O7" s="55"/>
      <c r="P7" s="55"/>
      <c r="Q7" s="55"/>
      <c r="R7" s="55"/>
      <c r="S7" s="55"/>
      <c r="T7" s="157"/>
      <c r="U7" s="157"/>
      <c r="V7" s="157"/>
      <c r="W7" s="157"/>
      <c r="X7" s="157"/>
      <c r="Y7" s="157"/>
      <c r="Z7" s="157"/>
      <c r="AA7" s="157"/>
      <c r="AB7" s="495"/>
      <c r="AC7" s="157"/>
      <c r="AD7" s="157"/>
      <c r="AE7" s="157"/>
      <c r="AF7" s="157"/>
      <c r="AG7" s="489"/>
    </row>
    <row r="8" spans="1:35" ht="21.95" customHeight="1">
      <c r="A8" s="496" t="s">
        <v>626</v>
      </c>
      <c r="L8" s="496"/>
      <c r="AB8" s="1"/>
    </row>
    <row r="9" spans="1:35" ht="21.95" customHeight="1" thickBot="1">
      <c r="B9" s="497" t="s">
        <v>627</v>
      </c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F9" s="354"/>
      <c r="AG9" s="354"/>
    </row>
    <row r="10" spans="1:35" ht="21.95" customHeight="1">
      <c r="A10" s="442" t="s">
        <v>528</v>
      </c>
      <c r="B10" s="297" t="s">
        <v>480</v>
      </c>
      <c r="C10" s="1234">
        <v>1</v>
      </c>
      <c r="D10" s="1234">
        <v>2</v>
      </c>
      <c r="E10" s="1234">
        <v>3</v>
      </c>
      <c r="F10" s="1234">
        <v>4</v>
      </c>
      <c r="G10" s="1235">
        <v>5</v>
      </c>
      <c r="H10" s="1235">
        <v>6</v>
      </c>
      <c r="I10" s="1213">
        <v>7</v>
      </c>
      <c r="J10" s="1213">
        <v>8</v>
      </c>
      <c r="K10" s="1234">
        <v>9</v>
      </c>
      <c r="L10" s="1234">
        <v>10</v>
      </c>
      <c r="M10" s="1234">
        <v>11</v>
      </c>
      <c r="N10" s="1235">
        <v>12</v>
      </c>
      <c r="O10" s="1235">
        <v>13</v>
      </c>
      <c r="P10" s="1213">
        <v>14</v>
      </c>
      <c r="Q10" s="1213">
        <v>15</v>
      </c>
      <c r="R10" s="1234">
        <v>16</v>
      </c>
      <c r="S10" s="1235">
        <v>17</v>
      </c>
      <c r="T10" s="1235">
        <v>18</v>
      </c>
      <c r="U10" s="1235">
        <v>19</v>
      </c>
      <c r="V10" s="1330">
        <v>20</v>
      </c>
      <c r="W10" s="1330">
        <v>21</v>
      </c>
      <c r="X10" s="1213">
        <v>22</v>
      </c>
      <c r="Y10" s="1234">
        <v>23</v>
      </c>
      <c r="Z10" s="1234">
        <v>24</v>
      </c>
      <c r="AA10" s="1234">
        <v>25</v>
      </c>
      <c r="AB10" s="1235">
        <v>26</v>
      </c>
      <c r="AC10" s="1235">
        <v>27</v>
      </c>
      <c r="AD10" s="1213">
        <v>28</v>
      </c>
      <c r="AE10" s="1213">
        <v>29</v>
      </c>
      <c r="AF10" s="1234">
        <v>30</v>
      </c>
      <c r="AG10" s="1234"/>
      <c r="AH10" s="498" t="s">
        <v>481</v>
      </c>
      <c r="AI10" s="499" t="s">
        <v>482</v>
      </c>
    </row>
    <row r="11" spans="1:35" ht="21.95" customHeight="1">
      <c r="A11" s="500"/>
      <c r="B11" s="501"/>
      <c r="C11" s="1215"/>
      <c r="D11" s="1215"/>
      <c r="E11" s="1215"/>
      <c r="F11" s="1215"/>
      <c r="G11" s="1215"/>
      <c r="H11" s="1215"/>
      <c r="I11" s="1215"/>
      <c r="J11" s="1215"/>
      <c r="K11" s="1215"/>
      <c r="L11" s="1215"/>
      <c r="M11" s="1215"/>
      <c r="N11" s="1215"/>
      <c r="O11" s="1215"/>
      <c r="P11" s="1215"/>
      <c r="Q11" s="1215"/>
      <c r="R11" s="1215"/>
      <c r="S11" s="1215"/>
      <c r="T11" s="1215"/>
      <c r="U11" s="1215"/>
      <c r="V11" s="1215"/>
      <c r="W11" s="1215"/>
      <c r="X11" s="1215"/>
      <c r="Y11" s="1215"/>
      <c r="Z11" s="1215"/>
      <c r="AA11" s="1215"/>
      <c r="AB11" s="1215"/>
      <c r="AC11" s="1215"/>
      <c r="AD11" s="1215"/>
      <c r="AE11" s="1215"/>
      <c r="AF11" s="1215"/>
      <c r="AG11" s="503"/>
      <c r="AH11" s="504"/>
      <c r="AI11" s="505"/>
    </row>
    <row r="12" spans="1:35" ht="21.95" customHeight="1">
      <c r="A12" s="506" t="s">
        <v>628</v>
      </c>
      <c r="B12" s="457"/>
      <c r="C12" s="507"/>
      <c r="D12" s="507"/>
      <c r="E12" s="507"/>
      <c r="F12" s="507"/>
      <c r="G12" s="507"/>
      <c r="H12" s="507"/>
      <c r="I12" s="507"/>
      <c r="J12" s="507"/>
      <c r="K12" s="507"/>
      <c r="L12" s="507"/>
      <c r="M12" s="507"/>
      <c r="N12" s="507"/>
      <c r="O12" s="507"/>
      <c r="P12" s="507"/>
      <c r="Q12" s="507"/>
      <c r="R12" s="507"/>
      <c r="S12" s="507"/>
      <c r="T12" s="507"/>
      <c r="U12" s="507"/>
      <c r="V12" s="507"/>
      <c r="W12" s="507"/>
      <c r="X12" s="507"/>
      <c r="Y12" s="507"/>
      <c r="Z12" s="507"/>
      <c r="AA12" s="507"/>
      <c r="AB12" s="507"/>
      <c r="AC12" s="507"/>
      <c r="AD12" s="507"/>
      <c r="AE12" s="507"/>
      <c r="AF12" s="507"/>
      <c r="AG12" s="508"/>
      <c r="AH12" s="509"/>
      <c r="AI12" s="510"/>
    </row>
    <row r="13" spans="1:35" ht="21.95" customHeight="1">
      <c r="A13" s="511">
        <v>8546</v>
      </c>
      <c r="B13" s="512" t="s">
        <v>629</v>
      </c>
      <c r="C13" s="1211">
        <v>4</v>
      </c>
      <c r="D13" s="1211">
        <v>4</v>
      </c>
      <c r="E13" s="1211">
        <v>4</v>
      </c>
      <c r="F13" s="1211">
        <v>4</v>
      </c>
      <c r="G13" s="1211" t="s">
        <v>630</v>
      </c>
      <c r="H13" s="1215" t="s">
        <v>630</v>
      </c>
      <c r="I13" s="1211" t="s">
        <v>487</v>
      </c>
      <c r="J13" s="1211" t="s">
        <v>487</v>
      </c>
      <c r="K13" s="1211" t="s">
        <v>487</v>
      </c>
      <c r="L13" s="1211" t="s">
        <v>487</v>
      </c>
      <c r="M13" s="1211" t="s">
        <v>487</v>
      </c>
      <c r="N13" s="1211"/>
      <c r="O13" s="1211"/>
      <c r="P13" s="1211">
        <v>1</v>
      </c>
      <c r="Q13" s="1211">
        <v>1</v>
      </c>
      <c r="R13" s="1211">
        <v>1</v>
      </c>
      <c r="S13" s="1211">
        <v>1</v>
      </c>
      <c r="T13" s="1211">
        <v>1</v>
      </c>
      <c r="U13" s="1211"/>
      <c r="V13" s="1211"/>
      <c r="W13" s="1211">
        <v>2</v>
      </c>
      <c r="X13" s="1211">
        <v>2</v>
      </c>
      <c r="Y13" s="1211">
        <v>2</v>
      </c>
      <c r="Z13" s="1658">
        <v>2</v>
      </c>
      <c r="AA13" s="1658">
        <v>2</v>
      </c>
      <c r="AB13" s="1658" t="s">
        <v>631</v>
      </c>
      <c r="AC13" s="1658" t="s">
        <v>631</v>
      </c>
      <c r="AD13" s="1211" t="s">
        <v>487</v>
      </c>
      <c r="AE13" s="1211" t="s">
        <v>487</v>
      </c>
      <c r="AF13" s="1211" t="s">
        <v>487</v>
      </c>
      <c r="AG13" s="1218"/>
      <c r="AH13" s="513">
        <v>185</v>
      </c>
      <c r="AI13" s="514">
        <v>37</v>
      </c>
    </row>
    <row r="14" spans="1:35" ht="21.95" customHeight="1">
      <c r="A14" s="500">
        <v>8546</v>
      </c>
      <c r="B14" s="347" t="s">
        <v>632</v>
      </c>
      <c r="C14" s="1344" t="s">
        <v>487</v>
      </c>
      <c r="D14" s="1344" t="s">
        <v>487</v>
      </c>
      <c r="E14" s="1344" t="s">
        <v>487</v>
      </c>
      <c r="F14" s="1344" t="s">
        <v>487</v>
      </c>
      <c r="G14" s="1344"/>
      <c r="H14" s="1344"/>
      <c r="I14" s="1335">
        <v>3</v>
      </c>
      <c r="J14" s="1335">
        <v>3</v>
      </c>
      <c r="K14" s="1335">
        <v>3</v>
      </c>
      <c r="L14" s="1358">
        <v>3</v>
      </c>
      <c r="M14" s="1358">
        <v>3</v>
      </c>
      <c r="N14" s="1215"/>
      <c r="O14" s="1215"/>
      <c r="P14" s="1338">
        <v>4</v>
      </c>
      <c r="Q14" s="1338">
        <v>4</v>
      </c>
      <c r="R14" s="1338">
        <v>4</v>
      </c>
      <c r="S14" s="1338">
        <v>4</v>
      </c>
      <c r="T14" s="1338">
        <v>4</v>
      </c>
      <c r="U14" s="1338" t="s">
        <v>630</v>
      </c>
      <c r="V14" s="1338" t="s">
        <v>630</v>
      </c>
      <c r="W14" s="1215" t="s">
        <v>487</v>
      </c>
      <c r="X14" s="1215" t="s">
        <v>487</v>
      </c>
      <c r="Y14" s="1215" t="s">
        <v>487</v>
      </c>
      <c r="Z14" s="1215" t="s">
        <v>487</v>
      </c>
      <c r="AA14" s="1215" t="s">
        <v>487</v>
      </c>
      <c r="AB14" s="1215"/>
      <c r="AC14" s="1215"/>
      <c r="AD14" s="1215">
        <v>1</v>
      </c>
      <c r="AE14" s="1215">
        <v>1</v>
      </c>
      <c r="AF14" s="1215">
        <v>1</v>
      </c>
      <c r="AG14" s="1216"/>
      <c r="AH14" s="513">
        <v>185</v>
      </c>
      <c r="AI14" s="514">
        <v>37</v>
      </c>
    </row>
    <row r="15" spans="1:35" ht="21.95" customHeight="1">
      <c r="A15" s="500">
        <v>8546</v>
      </c>
      <c r="B15" s="347" t="s">
        <v>171</v>
      </c>
      <c r="C15" s="1215">
        <v>3</v>
      </c>
      <c r="D15" s="1215">
        <v>3</v>
      </c>
      <c r="E15" s="1338">
        <v>3</v>
      </c>
      <c r="F15" s="1338">
        <v>3</v>
      </c>
      <c r="G15" s="1215"/>
      <c r="H15" s="1215"/>
      <c r="I15" s="1215">
        <v>4</v>
      </c>
      <c r="J15" s="1215">
        <v>4</v>
      </c>
      <c r="K15" s="1215">
        <v>4</v>
      </c>
      <c r="L15" s="1215">
        <v>4</v>
      </c>
      <c r="M15" s="1215">
        <v>4</v>
      </c>
      <c r="N15" s="1215" t="s">
        <v>630</v>
      </c>
      <c r="O15" s="1215" t="s">
        <v>630</v>
      </c>
      <c r="P15" s="1215" t="s">
        <v>487</v>
      </c>
      <c r="Q15" s="1215" t="s">
        <v>487</v>
      </c>
      <c r="R15" s="1215" t="s">
        <v>487</v>
      </c>
      <c r="S15" s="1215" t="s">
        <v>487</v>
      </c>
      <c r="T15" s="1215" t="s">
        <v>487</v>
      </c>
      <c r="U15" s="1215"/>
      <c r="V15" s="1215"/>
      <c r="W15" s="1215">
        <v>1</v>
      </c>
      <c r="X15" s="1215">
        <v>1</v>
      </c>
      <c r="Y15" s="1215">
        <v>1</v>
      </c>
      <c r="Z15" s="1215">
        <v>1</v>
      </c>
      <c r="AA15" s="1215">
        <v>1</v>
      </c>
      <c r="AB15" s="1215"/>
      <c r="AC15" s="1215"/>
      <c r="AD15" s="1215">
        <v>2</v>
      </c>
      <c r="AE15" s="1215">
        <v>2</v>
      </c>
      <c r="AF15" s="1215">
        <v>2</v>
      </c>
      <c r="AG15" s="1216"/>
      <c r="AH15" s="513">
        <v>185</v>
      </c>
      <c r="AI15" s="514">
        <v>37</v>
      </c>
    </row>
    <row r="16" spans="1:35" ht="21.95" customHeight="1">
      <c r="A16" s="500">
        <v>8546</v>
      </c>
      <c r="B16" s="347" t="s">
        <v>633</v>
      </c>
      <c r="C16" s="1215">
        <v>1</v>
      </c>
      <c r="D16" s="1215">
        <v>1</v>
      </c>
      <c r="E16" s="1215">
        <v>1</v>
      </c>
      <c r="F16" s="1215">
        <v>1</v>
      </c>
      <c r="G16" s="1215"/>
      <c r="H16" s="1215"/>
      <c r="I16" s="1346">
        <v>2</v>
      </c>
      <c r="J16" s="1374">
        <v>2</v>
      </c>
      <c r="K16" s="1374">
        <v>2</v>
      </c>
      <c r="L16" s="1374">
        <v>2</v>
      </c>
      <c r="M16" s="1345">
        <v>2</v>
      </c>
      <c r="N16" s="1345" t="s">
        <v>631</v>
      </c>
      <c r="O16" s="1345" t="s">
        <v>631</v>
      </c>
      <c r="P16" s="1215" t="s">
        <v>487</v>
      </c>
      <c r="Q16" s="1215" t="s">
        <v>487</v>
      </c>
      <c r="R16" s="1215" t="s">
        <v>487</v>
      </c>
      <c r="S16" s="1215" t="s">
        <v>487</v>
      </c>
      <c r="T16" s="1215" t="s">
        <v>487</v>
      </c>
      <c r="U16" s="1215"/>
      <c r="V16" s="1215"/>
      <c r="W16" s="1215">
        <v>3</v>
      </c>
      <c r="X16" s="1215">
        <v>3</v>
      </c>
      <c r="Y16" s="1215">
        <v>3</v>
      </c>
      <c r="Z16" s="1215">
        <v>3</v>
      </c>
      <c r="AA16" s="1215">
        <v>3</v>
      </c>
      <c r="AB16" s="1215"/>
      <c r="AC16" s="1215"/>
      <c r="AD16" s="1215">
        <v>4</v>
      </c>
      <c r="AE16" s="1215">
        <v>4</v>
      </c>
      <c r="AF16" s="1215">
        <v>4</v>
      </c>
      <c r="AG16" s="1216"/>
      <c r="AH16" s="513">
        <v>185</v>
      </c>
      <c r="AI16" s="514">
        <v>37</v>
      </c>
    </row>
    <row r="17" spans="1:37" ht="21.95" customHeight="1">
      <c r="A17" s="500">
        <v>8546</v>
      </c>
      <c r="B17" s="347" t="s">
        <v>634</v>
      </c>
      <c r="C17" s="1215" t="s">
        <v>487</v>
      </c>
      <c r="D17" s="1215" t="s">
        <v>487</v>
      </c>
      <c r="E17" s="1215" t="s">
        <v>487</v>
      </c>
      <c r="F17" s="1215" t="s">
        <v>487</v>
      </c>
      <c r="G17" s="1215"/>
      <c r="H17" s="1215"/>
      <c r="I17" s="1215">
        <v>1</v>
      </c>
      <c r="J17" s="1215">
        <v>1</v>
      </c>
      <c r="K17" s="1215">
        <v>1</v>
      </c>
      <c r="L17" s="1215">
        <v>1</v>
      </c>
      <c r="M17" s="1215">
        <v>1</v>
      </c>
      <c r="N17" s="1215"/>
      <c r="O17" s="1215"/>
      <c r="P17" s="1215">
        <v>2</v>
      </c>
      <c r="Q17" s="1215">
        <v>2</v>
      </c>
      <c r="R17" s="1215">
        <v>2</v>
      </c>
      <c r="S17" s="1215">
        <v>2</v>
      </c>
      <c r="T17" s="1215">
        <v>2</v>
      </c>
      <c r="U17" s="1215" t="s">
        <v>631</v>
      </c>
      <c r="V17" s="1215" t="s">
        <v>631</v>
      </c>
      <c r="W17" s="1215" t="s">
        <v>487</v>
      </c>
      <c r="X17" s="1215" t="s">
        <v>487</v>
      </c>
      <c r="Y17" s="1215" t="s">
        <v>487</v>
      </c>
      <c r="Z17" s="1215" t="s">
        <v>487</v>
      </c>
      <c r="AA17" s="1215" t="s">
        <v>487</v>
      </c>
      <c r="AB17" s="1215"/>
      <c r="AC17" s="1215"/>
      <c r="AD17" s="1215">
        <v>3</v>
      </c>
      <c r="AE17" s="1215">
        <v>3</v>
      </c>
      <c r="AF17" s="1335">
        <v>3</v>
      </c>
      <c r="AG17" s="1216"/>
      <c r="AH17" s="513">
        <v>185</v>
      </c>
      <c r="AI17" s="514">
        <v>37</v>
      </c>
    </row>
    <row r="18" spans="1:37" ht="21.95" customHeight="1">
      <c r="A18" s="500">
        <v>8546</v>
      </c>
      <c r="B18" s="347" t="s">
        <v>635</v>
      </c>
      <c r="C18" s="1215" t="s">
        <v>514</v>
      </c>
      <c r="D18" s="1215">
        <v>2</v>
      </c>
      <c r="E18" s="1215">
        <v>2</v>
      </c>
      <c r="F18" s="1215">
        <v>2</v>
      </c>
      <c r="G18" s="1215" t="s">
        <v>631</v>
      </c>
      <c r="H18" s="1215" t="s">
        <v>631</v>
      </c>
      <c r="I18" s="1215" t="s">
        <v>487</v>
      </c>
      <c r="J18" s="1215" t="s">
        <v>487</v>
      </c>
      <c r="K18" s="1215" t="s">
        <v>487</v>
      </c>
      <c r="L18" s="1215" t="s">
        <v>487</v>
      </c>
      <c r="M18" s="1215" t="s">
        <v>487</v>
      </c>
      <c r="N18" s="1215"/>
      <c r="O18" s="1215"/>
      <c r="P18" s="1215">
        <v>3</v>
      </c>
      <c r="Q18" s="1215">
        <v>3</v>
      </c>
      <c r="R18" s="1215">
        <v>3</v>
      </c>
      <c r="S18" s="1215">
        <v>3</v>
      </c>
      <c r="T18" s="1215">
        <v>3</v>
      </c>
      <c r="U18" s="1215"/>
      <c r="V18" s="1215"/>
      <c r="W18" s="1335">
        <v>4</v>
      </c>
      <c r="X18" s="1335">
        <v>4</v>
      </c>
      <c r="Y18" s="1335">
        <v>4</v>
      </c>
      <c r="Z18" s="1338">
        <v>4</v>
      </c>
      <c r="AA18" s="1338">
        <v>4</v>
      </c>
      <c r="AB18" s="1338" t="s">
        <v>630</v>
      </c>
      <c r="AC18" s="1338" t="s">
        <v>630</v>
      </c>
      <c r="AD18" s="1215" t="s">
        <v>487</v>
      </c>
      <c r="AE18" s="1215" t="s">
        <v>487</v>
      </c>
      <c r="AF18" s="1215" t="s">
        <v>487</v>
      </c>
      <c r="AG18" s="1216"/>
      <c r="AH18" s="513">
        <v>185</v>
      </c>
      <c r="AI18" s="514">
        <v>37</v>
      </c>
    </row>
    <row r="19" spans="1:37" ht="21.95" customHeight="1">
      <c r="A19" s="515" t="s">
        <v>636</v>
      </c>
      <c r="B19" s="516"/>
      <c r="C19" s="507"/>
      <c r="D19" s="507"/>
      <c r="E19" s="507"/>
      <c r="F19" s="507"/>
      <c r="G19" s="507"/>
      <c r="H19" s="507"/>
      <c r="I19" s="507"/>
      <c r="J19" s="507"/>
      <c r="K19" s="507"/>
      <c r="L19" s="507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507"/>
      <c r="AE19" s="507"/>
      <c r="AF19" s="507"/>
      <c r="AG19" s="508"/>
      <c r="AH19" s="509"/>
      <c r="AI19" s="510"/>
    </row>
    <row r="20" spans="1:37" ht="21.95" customHeight="1">
      <c r="A20" s="500">
        <v>8500</v>
      </c>
      <c r="B20" s="186" t="s">
        <v>192</v>
      </c>
      <c r="C20" s="1215">
        <v>2</v>
      </c>
      <c r="D20" s="1215" t="s">
        <v>487</v>
      </c>
      <c r="E20" s="1215" t="s">
        <v>487</v>
      </c>
      <c r="F20" s="1215" t="s">
        <v>487</v>
      </c>
      <c r="G20" s="1215" t="s">
        <v>637</v>
      </c>
      <c r="H20" s="1215" t="s">
        <v>637</v>
      </c>
      <c r="I20" s="1338" t="s">
        <v>535</v>
      </c>
      <c r="J20" s="1338" t="s">
        <v>535</v>
      </c>
      <c r="K20" s="1338" t="s">
        <v>535</v>
      </c>
      <c r="L20" s="1338" t="s">
        <v>535</v>
      </c>
      <c r="M20" s="1338" t="s">
        <v>535</v>
      </c>
      <c r="N20" s="1338"/>
      <c r="O20" s="1338"/>
      <c r="P20" s="1215">
        <v>4</v>
      </c>
      <c r="Q20" s="1215">
        <v>4</v>
      </c>
      <c r="R20" s="1215">
        <v>4</v>
      </c>
      <c r="S20" s="1215">
        <v>4</v>
      </c>
      <c r="T20" s="1215">
        <v>4</v>
      </c>
      <c r="U20" s="1215" t="s">
        <v>630</v>
      </c>
      <c r="V20" s="1215" t="s">
        <v>630</v>
      </c>
      <c r="W20" s="1344" t="s">
        <v>487</v>
      </c>
      <c r="X20" s="1344" t="s">
        <v>487</v>
      </c>
      <c r="Y20" s="1344" t="s">
        <v>487</v>
      </c>
      <c r="Z20" s="1344" t="s">
        <v>487</v>
      </c>
      <c r="AA20" s="1344" t="s">
        <v>487</v>
      </c>
      <c r="AB20" s="1344" t="s">
        <v>637</v>
      </c>
      <c r="AC20" s="1344"/>
      <c r="AD20" s="1338" t="s">
        <v>535</v>
      </c>
      <c r="AE20" s="1338" t="s">
        <v>535</v>
      </c>
      <c r="AF20" s="1338" t="s">
        <v>535</v>
      </c>
      <c r="AG20" s="1215"/>
      <c r="AH20" s="504">
        <v>185</v>
      </c>
      <c r="AI20" s="505">
        <v>37</v>
      </c>
    </row>
    <row r="21" spans="1:37" ht="21.95" customHeight="1">
      <c r="A21" s="500">
        <v>8500</v>
      </c>
      <c r="B21" s="153" t="s">
        <v>638</v>
      </c>
      <c r="C21" s="1215" t="s">
        <v>535</v>
      </c>
      <c r="D21" s="1215" t="s">
        <v>535</v>
      </c>
      <c r="E21" s="1215">
        <v>3</v>
      </c>
      <c r="F21" s="1215">
        <v>3</v>
      </c>
      <c r="G21" s="1215"/>
      <c r="H21" s="1215"/>
      <c r="I21" s="1215">
        <v>2</v>
      </c>
      <c r="J21" s="1215">
        <v>2</v>
      </c>
      <c r="K21" s="1215">
        <v>2</v>
      </c>
      <c r="L21" s="1215">
        <v>2</v>
      </c>
      <c r="M21" s="1215">
        <v>2</v>
      </c>
      <c r="N21" s="1215" t="s">
        <v>631</v>
      </c>
      <c r="O21" s="1215" t="s">
        <v>631</v>
      </c>
      <c r="P21" s="1338" t="s">
        <v>535</v>
      </c>
      <c r="Q21" s="1338" t="s">
        <v>535</v>
      </c>
      <c r="R21" s="1338" t="s">
        <v>535</v>
      </c>
      <c r="S21" s="1338"/>
      <c r="T21" s="1338"/>
      <c r="U21" s="1338"/>
      <c r="V21" s="1338"/>
      <c r="W21" s="1338"/>
      <c r="X21" s="1338" t="s">
        <v>535</v>
      </c>
      <c r="Y21" s="1215">
        <v>4</v>
      </c>
      <c r="Z21" s="1215">
        <v>4</v>
      </c>
      <c r="AA21" s="1215">
        <v>4</v>
      </c>
      <c r="AB21" s="1215" t="s">
        <v>630</v>
      </c>
      <c r="AC21" s="1215" t="s">
        <v>630</v>
      </c>
      <c r="AD21" s="1215" t="s">
        <v>487</v>
      </c>
      <c r="AE21" s="1215" t="s">
        <v>487</v>
      </c>
      <c r="AF21" s="1215" t="s">
        <v>487</v>
      </c>
      <c r="AG21" s="1215"/>
      <c r="AH21" s="504">
        <v>185</v>
      </c>
      <c r="AI21" s="505">
        <v>37</v>
      </c>
    </row>
    <row r="22" spans="1:37" ht="21.95" customHeight="1" thickBot="1">
      <c r="A22" s="500"/>
      <c r="B22" s="153"/>
      <c r="C22" s="1215"/>
      <c r="D22" s="1215"/>
      <c r="E22" s="1215"/>
      <c r="F22" s="1215"/>
      <c r="G22" s="1215"/>
      <c r="H22" s="1215"/>
      <c r="I22" s="1215"/>
      <c r="J22" s="1215"/>
      <c r="K22" s="1215"/>
      <c r="L22" s="1215"/>
      <c r="M22" s="1215"/>
      <c r="N22" s="1215"/>
      <c r="O22" s="1215"/>
      <c r="P22" s="1215"/>
      <c r="Q22" s="1215"/>
      <c r="R22" s="1215"/>
      <c r="S22" s="1215"/>
      <c r="T22" s="1215"/>
      <c r="U22" s="1215"/>
      <c r="V22" s="1215"/>
      <c r="W22" s="1215"/>
      <c r="X22" s="1215"/>
      <c r="Y22" s="1215"/>
      <c r="Z22" s="1215"/>
      <c r="AA22" s="1215"/>
      <c r="AB22" s="1215"/>
      <c r="AC22" s="1215"/>
      <c r="AD22" s="1215"/>
      <c r="AE22" s="1215"/>
      <c r="AF22" s="1215"/>
      <c r="AG22" s="1215"/>
      <c r="AH22" s="517">
        <v>185</v>
      </c>
      <c r="AI22" s="518">
        <v>37</v>
      </c>
    </row>
    <row r="23" spans="1:37" ht="21.95" customHeight="1">
      <c r="A23" s="519"/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520"/>
      <c r="AB23" s="520"/>
      <c r="AC23" s="520"/>
      <c r="AD23" s="520"/>
      <c r="AE23" s="520"/>
      <c r="AF23" s="520"/>
      <c r="AG23" s="520"/>
    </row>
    <row r="24" spans="1:37" ht="21.95" customHeight="1">
      <c r="A24" s="519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  <c r="AB24" s="520"/>
      <c r="AC24" s="520"/>
      <c r="AD24" s="520"/>
      <c r="AE24" s="520"/>
      <c r="AF24" s="520"/>
      <c r="AG24" s="520"/>
    </row>
    <row r="25" spans="1:37" ht="21.95" customHeight="1">
      <c r="A25" s="519"/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520"/>
      <c r="AB25" s="520"/>
      <c r="AC25" s="520"/>
      <c r="AD25" s="520"/>
      <c r="AE25" s="520"/>
      <c r="AF25" s="520"/>
      <c r="AG25" s="520"/>
    </row>
    <row r="26" spans="1:37" ht="21.95" customHeight="1">
      <c r="A26" s="519"/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  <c r="AB26" s="520"/>
      <c r="AC26" s="520"/>
      <c r="AD26" s="520"/>
      <c r="AE26" s="520"/>
      <c r="AF26" s="520"/>
      <c r="AG26" s="520"/>
    </row>
    <row r="27" spans="1:37" ht="21.95" customHeight="1">
      <c r="A27" s="519"/>
      <c r="C27" s="520"/>
      <c r="D27" s="520"/>
      <c r="E27" s="520"/>
      <c r="F27" s="520"/>
      <c r="G27" s="520"/>
      <c r="H27" s="520"/>
      <c r="I27" s="520"/>
      <c r="J27" s="520"/>
      <c r="K27" s="520"/>
      <c r="L27" s="520"/>
      <c r="M27" s="520"/>
      <c r="N27" s="520"/>
      <c r="O27" s="520"/>
      <c r="P27" s="520"/>
      <c r="Q27" s="520"/>
      <c r="R27" s="520"/>
      <c r="S27" s="520"/>
      <c r="T27" s="520"/>
      <c r="U27" s="520"/>
      <c r="V27" s="520"/>
      <c r="W27" s="520"/>
      <c r="X27" s="520"/>
      <c r="Y27" s="520"/>
      <c r="Z27" s="520"/>
      <c r="AA27" s="520"/>
      <c r="AB27" s="520"/>
      <c r="AC27" s="520"/>
      <c r="AD27" s="520"/>
      <c r="AE27" s="520"/>
      <c r="AF27" s="520"/>
      <c r="AG27" s="520"/>
    </row>
    <row r="28" spans="1:37" ht="21.95" customHeight="1">
      <c r="A28" s="519"/>
      <c r="C28" s="520"/>
      <c r="D28" s="520"/>
      <c r="E28" s="520"/>
      <c r="F28" s="520"/>
      <c r="G28" s="520"/>
      <c r="H28" s="520"/>
      <c r="I28" s="520"/>
      <c r="J28" s="520"/>
      <c r="K28" s="520"/>
      <c r="L28" s="520"/>
      <c r="M28" s="520"/>
      <c r="N28" s="520"/>
      <c r="O28" s="520"/>
      <c r="P28" s="520"/>
      <c r="Q28" s="520"/>
      <c r="R28" s="520"/>
      <c r="S28" s="520"/>
      <c r="T28" s="520"/>
      <c r="U28" s="520"/>
      <c r="V28" s="520"/>
      <c r="W28" s="520"/>
      <c r="X28" s="520"/>
      <c r="Y28" s="520"/>
      <c r="Z28" s="520"/>
      <c r="AA28" s="520"/>
      <c r="AB28" s="520"/>
      <c r="AC28" s="520"/>
      <c r="AD28" s="520"/>
      <c r="AE28" s="520"/>
      <c r="AF28" s="520"/>
      <c r="AG28" s="520"/>
    </row>
    <row r="29" spans="1:37" ht="21.95" customHeight="1">
      <c r="A29" s="519"/>
      <c r="C29" s="520"/>
      <c r="D29" s="520"/>
      <c r="E29" s="520"/>
      <c r="F29" s="520"/>
      <c r="G29" s="520"/>
      <c r="H29" s="520"/>
      <c r="I29" s="520"/>
      <c r="J29" s="520"/>
      <c r="K29" s="520"/>
      <c r="L29" s="520"/>
      <c r="M29" s="520"/>
      <c r="N29" s="520"/>
      <c r="O29" s="520"/>
      <c r="P29" s="520"/>
      <c r="Q29" s="520"/>
      <c r="R29" s="520"/>
      <c r="S29" s="520"/>
      <c r="T29" s="520"/>
      <c r="U29" s="520"/>
      <c r="V29" s="520"/>
      <c r="W29" s="520"/>
      <c r="X29" s="520"/>
      <c r="Y29" s="520"/>
      <c r="Z29" s="520"/>
      <c r="AA29" s="520"/>
      <c r="AB29" s="520"/>
      <c r="AC29" s="520"/>
      <c r="AD29" s="520"/>
      <c r="AE29" s="520"/>
      <c r="AF29" s="520"/>
      <c r="AG29" s="520"/>
    </row>
    <row r="30" spans="1:37" ht="21.95" customHeight="1" thickBot="1">
      <c r="A30" s="1" t="s">
        <v>639</v>
      </c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61"/>
      <c r="AC30" s="361"/>
      <c r="AD30" s="361"/>
      <c r="AE30" s="361"/>
      <c r="AF30" s="361"/>
      <c r="AG30" s="361"/>
      <c r="AK30" s="1"/>
    </row>
    <row r="31" spans="1:37" ht="21.95" customHeight="1">
      <c r="A31" s="205" t="s">
        <v>640</v>
      </c>
      <c r="B31" s="521"/>
      <c r="C31" s="521"/>
      <c r="D31" s="425" t="s">
        <v>641</v>
      </c>
      <c r="E31" s="522"/>
      <c r="F31" s="522"/>
      <c r="G31" s="522"/>
      <c r="H31" s="522"/>
      <c r="I31" s="522"/>
      <c r="J31" s="522"/>
      <c r="K31" s="522"/>
      <c r="L31" s="522"/>
      <c r="M31" s="523" t="s">
        <v>642</v>
      </c>
      <c r="N31" s="522"/>
      <c r="O31" s="522"/>
      <c r="P31" s="522"/>
      <c r="Q31" s="522"/>
      <c r="R31" s="522"/>
      <c r="S31" s="524"/>
      <c r="T31" s="524" t="s">
        <v>643</v>
      </c>
      <c r="U31" s="522"/>
      <c r="V31" s="522"/>
      <c r="W31" s="522"/>
      <c r="X31" s="522"/>
      <c r="Y31" s="522"/>
      <c r="Z31" s="238"/>
      <c r="AA31" s="525" t="s">
        <v>644</v>
      </c>
      <c r="AB31" s="51"/>
      <c r="AC31" s="51"/>
      <c r="AD31" s="51"/>
      <c r="AE31" s="51"/>
      <c r="AF31" s="51"/>
      <c r="AG31" s="526"/>
      <c r="AK31" s="1"/>
    </row>
    <row r="32" spans="1:37" ht="21.95" customHeight="1">
      <c r="A32" s="527" t="s">
        <v>645</v>
      </c>
      <c r="B32" s="135"/>
      <c r="C32" s="135"/>
      <c r="D32" s="495" t="s">
        <v>646</v>
      </c>
      <c r="E32" s="491"/>
      <c r="F32" s="157"/>
      <c r="G32" s="157"/>
      <c r="H32" s="157"/>
      <c r="I32" s="157"/>
      <c r="J32" s="157"/>
      <c r="K32" s="157"/>
      <c r="L32" s="489"/>
      <c r="M32" s="528" t="s">
        <v>647</v>
      </c>
      <c r="N32" s="135"/>
      <c r="O32" s="529"/>
      <c r="P32" s="135"/>
      <c r="Q32" s="135"/>
      <c r="R32" s="135"/>
      <c r="S32" s="530"/>
      <c r="T32" s="495" t="s">
        <v>648</v>
      </c>
      <c r="U32" s="157"/>
      <c r="V32" s="491"/>
      <c r="W32" s="157"/>
      <c r="X32" s="157"/>
      <c r="Y32" s="157"/>
      <c r="Z32" s="489"/>
      <c r="AA32" s="1" t="s">
        <v>649</v>
      </c>
      <c r="AD32" s="496"/>
      <c r="AG32" s="531"/>
      <c r="AK32" s="1"/>
    </row>
    <row r="33" spans="1:38" ht="21.95" customHeight="1">
      <c r="A33" s="532" t="s">
        <v>650</v>
      </c>
      <c r="B33" s="157"/>
      <c r="C33" s="157"/>
      <c r="D33" s="157"/>
      <c r="E33" s="157"/>
      <c r="F33" s="157"/>
      <c r="G33" s="489"/>
      <c r="H33" s="495" t="s">
        <v>651</v>
      </c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55"/>
      <c r="U33" s="533" t="s">
        <v>652</v>
      </c>
      <c r="AA33" s="529"/>
      <c r="AB33" s="135"/>
      <c r="AC33" s="135"/>
      <c r="AD33" s="135"/>
      <c r="AE33" s="135"/>
      <c r="AF33" s="135"/>
      <c r="AG33" s="534"/>
      <c r="AK33" s="312"/>
    </row>
    <row r="34" spans="1:38" ht="21.95" customHeight="1" thickBot="1">
      <c r="A34" s="535" t="s">
        <v>653</v>
      </c>
      <c r="B34" s="53"/>
      <c r="C34" s="53"/>
      <c r="D34" s="53"/>
      <c r="E34" s="53"/>
      <c r="F34" s="53"/>
      <c r="G34" s="536"/>
      <c r="H34" s="537" t="s">
        <v>654</v>
      </c>
      <c r="I34" s="536"/>
      <c r="J34" s="53"/>
      <c r="K34" s="53"/>
      <c r="L34" s="53"/>
      <c r="M34" s="53"/>
      <c r="N34" s="53"/>
      <c r="O34" s="53"/>
      <c r="P34" s="53"/>
      <c r="Q34" s="538"/>
      <c r="R34" s="538"/>
      <c r="S34" s="538"/>
      <c r="T34" s="53"/>
      <c r="U34" s="537" t="s">
        <v>655</v>
      </c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9"/>
      <c r="AK34" s="1"/>
    </row>
    <row r="35" spans="1:38" ht="21.95" customHeight="1" thickBot="1">
      <c r="B35" s="540" t="s">
        <v>627</v>
      </c>
      <c r="C35" s="541"/>
      <c r="D35" s="541"/>
      <c r="E35" s="541"/>
      <c r="F35" s="541"/>
      <c r="G35" s="541"/>
      <c r="H35" s="541"/>
      <c r="I35" s="541"/>
      <c r="J35" s="541"/>
      <c r="K35" s="541"/>
      <c r="L35" s="541"/>
      <c r="M35" s="541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41"/>
      <c r="Y35" s="541"/>
      <c r="Z35" s="541"/>
      <c r="AA35" s="541"/>
      <c r="AB35" s="541"/>
      <c r="AC35" s="541"/>
      <c r="AD35" s="541"/>
      <c r="AE35" s="541"/>
      <c r="AF35" s="541"/>
      <c r="AG35" s="541"/>
      <c r="AH35" s="1"/>
    </row>
    <row r="36" spans="1:38" ht="21.95" customHeight="1" thickBot="1">
      <c r="A36" s="542" t="s">
        <v>528</v>
      </c>
      <c r="B36" s="182" t="s">
        <v>480</v>
      </c>
      <c r="C36" s="1234">
        <v>1</v>
      </c>
      <c r="D36" s="1234">
        <v>2</v>
      </c>
      <c r="E36" s="1234">
        <v>3</v>
      </c>
      <c r="F36" s="1234">
        <v>4</v>
      </c>
      <c r="G36" s="1235">
        <v>5</v>
      </c>
      <c r="H36" s="1235">
        <v>6</v>
      </c>
      <c r="I36" s="1213">
        <v>7</v>
      </c>
      <c r="J36" s="1213">
        <v>8</v>
      </c>
      <c r="K36" s="1234">
        <v>9</v>
      </c>
      <c r="L36" s="1234">
        <v>10</v>
      </c>
      <c r="M36" s="1234">
        <v>11</v>
      </c>
      <c r="N36" s="1235">
        <v>12</v>
      </c>
      <c r="O36" s="1235">
        <v>13</v>
      </c>
      <c r="P36" s="1213">
        <v>14</v>
      </c>
      <c r="Q36" s="1213">
        <v>15</v>
      </c>
      <c r="R36" s="1234">
        <v>16</v>
      </c>
      <c r="S36" s="1235">
        <v>17</v>
      </c>
      <c r="T36" s="1235">
        <v>18</v>
      </c>
      <c r="U36" s="1235">
        <v>19</v>
      </c>
      <c r="V36" s="1330">
        <v>20</v>
      </c>
      <c r="W36" s="1330">
        <v>21</v>
      </c>
      <c r="X36" s="1213">
        <v>22</v>
      </c>
      <c r="Y36" s="1234">
        <v>23</v>
      </c>
      <c r="Z36" s="1234">
        <v>24</v>
      </c>
      <c r="AA36" s="1234">
        <v>25</v>
      </c>
      <c r="AB36" s="1235">
        <v>26</v>
      </c>
      <c r="AC36" s="1235">
        <v>27</v>
      </c>
      <c r="AD36" s="1213">
        <v>28</v>
      </c>
      <c r="AE36" s="1213">
        <v>29</v>
      </c>
      <c r="AF36" s="1234">
        <v>30</v>
      </c>
      <c r="AG36" s="1234"/>
      <c r="AH36" s="498" t="s">
        <v>481</v>
      </c>
      <c r="AI36" s="499" t="s">
        <v>482</v>
      </c>
      <c r="AL36" t="s">
        <v>28</v>
      </c>
    </row>
    <row r="37" spans="1:38" ht="21.95" customHeight="1" thickBot="1">
      <c r="A37" s="543">
        <v>1</v>
      </c>
      <c r="B37" s="45" t="s">
        <v>656</v>
      </c>
      <c r="C37" s="1209" t="s">
        <v>487</v>
      </c>
      <c r="D37" s="1209" t="s">
        <v>487</v>
      </c>
      <c r="E37" s="1209" t="s">
        <v>487</v>
      </c>
      <c r="F37" s="1209" t="s">
        <v>487</v>
      </c>
      <c r="G37" s="1209"/>
      <c r="H37" s="1209"/>
      <c r="I37" s="1209">
        <v>1</v>
      </c>
      <c r="J37" s="1209">
        <v>1</v>
      </c>
      <c r="K37" s="1209">
        <v>1</v>
      </c>
      <c r="L37" s="1209">
        <v>1</v>
      </c>
      <c r="M37" s="1209">
        <v>1</v>
      </c>
      <c r="N37" s="1209"/>
      <c r="O37" s="1209"/>
      <c r="P37" s="1351">
        <v>9</v>
      </c>
      <c r="Q37" s="1351">
        <v>9</v>
      </c>
      <c r="R37" s="1351">
        <v>9</v>
      </c>
      <c r="S37" s="1351">
        <v>9</v>
      </c>
      <c r="T37" s="1351">
        <v>9</v>
      </c>
      <c r="U37" s="1351" t="s">
        <v>543</v>
      </c>
      <c r="V37" s="1351" t="s">
        <v>555</v>
      </c>
      <c r="W37" s="1351" t="s">
        <v>487</v>
      </c>
      <c r="X37" s="1351" t="s">
        <v>487</v>
      </c>
      <c r="Y37" s="1351" t="s">
        <v>487</v>
      </c>
      <c r="Z37" s="1209" t="s">
        <v>487</v>
      </c>
      <c r="AA37" s="1351" t="s">
        <v>487</v>
      </c>
      <c r="AB37" s="1351"/>
      <c r="AC37" s="1351"/>
      <c r="AD37" s="1209">
        <v>6</v>
      </c>
      <c r="AE37" s="1209">
        <v>6</v>
      </c>
      <c r="AF37" s="1209">
        <v>6</v>
      </c>
      <c r="AG37" s="1220"/>
      <c r="AH37" s="504">
        <v>185</v>
      </c>
      <c r="AI37" s="505">
        <v>37</v>
      </c>
    </row>
    <row r="38" spans="1:38" ht="21.95" customHeight="1" thickBot="1">
      <c r="A38" s="544">
        <v>6</v>
      </c>
      <c r="B38" s="545" t="s">
        <v>658</v>
      </c>
      <c r="C38" s="1215" t="s">
        <v>487</v>
      </c>
      <c r="D38" s="1215" t="s">
        <v>487</v>
      </c>
      <c r="E38" s="1209" t="s">
        <v>487</v>
      </c>
      <c r="F38" s="1215" t="s">
        <v>487</v>
      </c>
      <c r="G38" s="1215"/>
      <c r="H38" s="1215"/>
      <c r="I38" s="1338">
        <v>5</v>
      </c>
      <c r="J38" s="1338">
        <v>5</v>
      </c>
      <c r="K38" s="1338">
        <v>5</v>
      </c>
      <c r="L38" s="1338">
        <v>5</v>
      </c>
      <c r="M38" s="1338">
        <v>5</v>
      </c>
      <c r="N38" s="1338"/>
      <c r="O38" s="1338"/>
      <c r="P38" s="1338">
        <v>10</v>
      </c>
      <c r="Q38" s="1338">
        <v>10</v>
      </c>
      <c r="R38" s="1338">
        <v>10</v>
      </c>
      <c r="S38" s="1338">
        <v>10</v>
      </c>
      <c r="T38" s="1338">
        <v>10</v>
      </c>
      <c r="U38" s="1338" t="s">
        <v>555</v>
      </c>
      <c r="V38" s="1338" t="s">
        <v>555</v>
      </c>
      <c r="W38" s="1338" t="s">
        <v>487</v>
      </c>
      <c r="X38" s="1338" t="s">
        <v>487</v>
      </c>
      <c r="Y38" s="1338" t="s">
        <v>487</v>
      </c>
      <c r="Z38" s="1338" t="s">
        <v>487</v>
      </c>
      <c r="AA38" s="1338" t="s">
        <v>487</v>
      </c>
      <c r="AB38" s="1338" t="s">
        <v>660</v>
      </c>
      <c r="AC38" s="1338" t="s">
        <v>660</v>
      </c>
      <c r="AD38" s="1338">
        <v>7</v>
      </c>
      <c r="AE38" s="1338">
        <v>7</v>
      </c>
      <c r="AF38" s="1338">
        <v>7</v>
      </c>
      <c r="AG38" s="1221"/>
      <c r="AH38" s="504">
        <v>185</v>
      </c>
      <c r="AI38" s="505">
        <v>37</v>
      </c>
    </row>
    <row r="39" spans="1:38" ht="21.95" customHeight="1" thickBot="1">
      <c r="A39" s="546">
        <v>11</v>
      </c>
      <c r="B39" s="1242" t="s">
        <v>659</v>
      </c>
      <c r="C39" s="1340">
        <v>4</v>
      </c>
      <c r="D39" s="1340">
        <v>4</v>
      </c>
      <c r="E39" s="1366">
        <v>4</v>
      </c>
      <c r="F39" s="1366">
        <v>4</v>
      </c>
      <c r="G39" s="1207"/>
      <c r="H39" s="1207"/>
      <c r="I39" s="1648">
        <v>3</v>
      </c>
      <c r="J39" s="1648">
        <v>3</v>
      </c>
      <c r="K39" s="1648">
        <v>3</v>
      </c>
      <c r="L39" s="1648">
        <v>3</v>
      </c>
      <c r="M39" s="1648">
        <v>3</v>
      </c>
      <c r="N39" s="1207"/>
      <c r="O39" s="1207"/>
      <c r="P39" s="1443">
        <v>11</v>
      </c>
      <c r="Q39" s="1443">
        <v>11</v>
      </c>
      <c r="R39" s="1443" t="s">
        <v>833</v>
      </c>
      <c r="S39" s="1207">
        <v>11</v>
      </c>
      <c r="T39" s="1207">
        <v>11</v>
      </c>
      <c r="U39" s="1207" t="s">
        <v>657</v>
      </c>
      <c r="V39" s="1207" t="s">
        <v>657</v>
      </c>
      <c r="W39" s="1207" t="s">
        <v>487</v>
      </c>
      <c r="X39" s="1207" t="s">
        <v>487</v>
      </c>
      <c r="Y39" s="1207" t="s">
        <v>487</v>
      </c>
      <c r="Z39" s="1209" t="s">
        <v>487</v>
      </c>
      <c r="AA39" s="1207" t="s">
        <v>487</v>
      </c>
      <c r="AB39" s="1207"/>
      <c r="AC39" s="1207"/>
      <c r="AD39" s="1207">
        <v>8</v>
      </c>
      <c r="AE39" s="1207">
        <v>8</v>
      </c>
      <c r="AF39" s="1207">
        <v>8</v>
      </c>
      <c r="AG39" s="1222"/>
      <c r="AH39" s="504">
        <v>185</v>
      </c>
      <c r="AI39" s="505">
        <v>37</v>
      </c>
    </row>
    <row r="40" spans="1:38" ht="21.95" customHeight="1">
      <c r="A40" s="543">
        <v>2</v>
      </c>
      <c r="B40" s="45" t="s">
        <v>662</v>
      </c>
      <c r="C40" s="1209">
        <v>1</v>
      </c>
      <c r="D40" s="1209">
        <v>1</v>
      </c>
      <c r="E40" s="1209">
        <v>1</v>
      </c>
      <c r="F40" s="1223">
        <v>1</v>
      </c>
      <c r="G40" s="1223"/>
      <c r="H40" s="1209"/>
      <c r="I40" s="1209">
        <v>9</v>
      </c>
      <c r="J40" s="1209">
        <v>9</v>
      </c>
      <c r="K40" s="1209">
        <v>9</v>
      </c>
      <c r="L40" s="1209">
        <v>9</v>
      </c>
      <c r="M40" s="1209">
        <v>9</v>
      </c>
      <c r="N40" s="1209" t="s">
        <v>543</v>
      </c>
      <c r="O40" s="1209" t="s">
        <v>555</v>
      </c>
      <c r="P40" s="1209" t="s">
        <v>487</v>
      </c>
      <c r="Q40" s="1209" t="s">
        <v>487</v>
      </c>
      <c r="R40" s="1209" t="s">
        <v>487</v>
      </c>
      <c r="S40" s="1209" t="s">
        <v>487</v>
      </c>
      <c r="T40" s="1223" t="s">
        <v>487</v>
      </c>
      <c r="U40" s="1223"/>
      <c r="V40" s="1209"/>
      <c r="W40" s="1209">
        <v>6</v>
      </c>
      <c r="X40" s="1209">
        <v>6</v>
      </c>
      <c r="Y40" s="1209">
        <v>6</v>
      </c>
      <c r="Z40" s="1209">
        <v>6</v>
      </c>
      <c r="AA40" s="1209">
        <v>6</v>
      </c>
      <c r="AB40" s="1209" t="s">
        <v>532</v>
      </c>
      <c r="AC40" s="1209" t="s">
        <v>533</v>
      </c>
      <c r="AD40" s="1209" t="s">
        <v>487</v>
      </c>
      <c r="AE40" s="1209" t="s">
        <v>487</v>
      </c>
      <c r="AF40" s="1209" t="s">
        <v>487</v>
      </c>
      <c r="AG40" s="1209"/>
      <c r="AH40" s="504">
        <v>185</v>
      </c>
      <c r="AI40" s="505">
        <v>37</v>
      </c>
    </row>
    <row r="41" spans="1:38" ht="21.95" customHeight="1">
      <c r="A41" s="544">
        <v>7</v>
      </c>
      <c r="B41" s="153" t="s">
        <v>664</v>
      </c>
      <c r="C41" s="1338">
        <v>5</v>
      </c>
      <c r="D41" s="1338">
        <v>5</v>
      </c>
      <c r="E41" s="1338">
        <v>5</v>
      </c>
      <c r="F41" s="1338">
        <v>5</v>
      </c>
      <c r="G41" s="1215"/>
      <c r="H41" s="1215"/>
      <c r="I41" s="1215">
        <v>10</v>
      </c>
      <c r="J41" s="1215">
        <v>10</v>
      </c>
      <c r="K41" s="1215">
        <v>10</v>
      </c>
      <c r="L41" s="1215">
        <v>10</v>
      </c>
      <c r="M41" s="1215">
        <v>10</v>
      </c>
      <c r="N41" s="1215" t="s">
        <v>555</v>
      </c>
      <c r="O41" s="1215" t="s">
        <v>555</v>
      </c>
      <c r="P41" s="1215" t="s">
        <v>487</v>
      </c>
      <c r="Q41" s="1215" t="s">
        <v>487</v>
      </c>
      <c r="R41" s="1215" t="s">
        <v>487</v>
      </c>
      <c r="S41" s="1215" t="s">
        <v>487</v>
      </c>
      <c r="T41" s="1215" t="s">
        <v>487</v>
      </c>
      <c r="U41" s="1215" t="s">
        <v>660</v>
      </c>
      <c r="V41" s="1215" t="s">
        <v>660</v>
      </c>
      <c r="W41" s="1215">
        <v>7</v>
      </c>
      <c r="X41" s="1215">
        <v>7</v>
      </c>
      <c r="Y41" s="1215">
        <v>7</v>
      </c>
      <c r="Z41" s="1215">
        <v>7</v>
      </c>
      <c r="AA41" s="1215">
        <v>7</v>
      </c>
      <c r="AB41" s="1215"/>
      <c r="AC41" s="1215"/>
      <c r="AD41" s="1335">
        <v>4</v>
      </c>
      <c r="AE41" s="1335">
        <v>4</v>
      </c>
      <c r="AF41" s="1335">
        <v>4</v>
      </c>
      <c r="AG41" s="1221"/>
      <c r="AH41" s="504">
        <v>185</v>
      </c>
      <c r="AI41" s="505">
        <v>37</v>
      </c>
    </row>
    <row r="42" spans="1:38" ht="21.95" customHeight="1" thickBot="1">
      <c r="A42" s="546">
        <v>12</v>
      </c>
      <c r="B42" s="547" t="s">
        <v>665</v>
      </c>
      <c r="C42" s="1207">
        <v>3</v>
      </c>
      <c r="D42" s="1207">
        <v>3</v>
      </c>
      <c r="E42" s="1207">
        <v>3</v>
      </c>
      <c r="F42" s="1207">
        <v>3</v>
      </c>
      <c r="G42" s="1207"/>
      <c r="H42" s="1207"/>
      <c r="I42" s="1207">
        <v>11</v>
      </c>
      <c r="J42" s="1207">
        <v>11</v>
      </c>
      <c r="K42" s="1207">
        <v>11</v>
      </c>
      <c r="L42" s="1207">
        <v>11</v>
      </c>
      <c r="M42" s="1207">
        <v>11</v>
      </c>
      <c r="N42" s="1207" t="s">
        <v>657</v>
      </c>
      <c r="O42" s="1207" t="s">
        <v>657</v>
      </c>
      <c r="P42" s="1207" t="s">
        <v>487</v>
      </c>
      <c r="Q42" s="1207" t="s">
        <v>487</v>
      </c>
      <c r="R42" s="1207" t="s">
        <v>487</v>
      </c>
      <c r="S42" s="1207" t="s">
        <v>487</v>
      </c>
      <c r="T42" s="1207" t="s">
        <v>487</v>
      </c>
      <c r="U42" s="1207"/>
      <c r="V42" s="1207"/>
      <c r="W42" s="1207">
        <v>8</v>
      </c>
      <c r="X42" s="1207">
        <v>8</v>
      </c>
      <c r="Y42" s="1207">
        <v>8</v>
      </c>
      <c r="Z42" s="1207">
        <v>8</v>
      </c>
      <c r="AA42" s="1207">
        <v>8</v>
      </c>
      <c r="AB42" s="1371" t="s">
        <v>533</v>
      </c>
      <c r="AC42" s="1371" t="s">
        <v>533</v>
      </c>
      <c r="AD42" s="1207" t="s">
        <v>487</v>
      </c>
      <c r="AE42" s="1207" t="s">
        <v>487</v>
      </c>
      <c r="AF42" s="1207" t="s">
        <v>487</v>
      </c>
      <c r="AG42" s="1222"/>
      <c r="AH42" s="504">
        <v>185</v>
      </c>
      <c r="AI42" s="505">
        <v>37</v>
      </c>
    </row>
    <row r="43" spans="1:38" ht="21.95" customHeight="1">
      <c r="A43" s="548">
        <v>3</v>
      </c>
      <c r="B43" s="1373" t="s">
        <v>666</v>
      </c>
      <c r="C43" s="1211">
        <v>9</v>
      </c>
      <c r="D43" s="1211">
        <v>9</v>
      </c>
      <c r="E43" s="1211">
        <v>9</v>
      </c>
      <c r="F43" s="1211">
        <v>9</v>
      </c>
      <c r="G43" s="1211" t="s">
        <v>543</v>
      </c>
      <c r="H43" s="1211" t="s">
        <v>555</v>
      </c>
      <c r="I43" s="1211" t="s">
        <v>487</v>
      </c>
      <c r="J43" s="1211" t="s">
        <v>487</v>
      </c>
      <c r="K43" s="1211" t="s">
        <v>487</v>
      </c>
      <c r="L43" s="1211" t="s">
        <v>487</v>
      </c>
      <c r="M43" s="1211" t="s">
        <v>487</v>
      </c>
      <c r="N43" s="1211"/>
      <c r="O43" s="1211"/>
      <c r="P43" s="1211">
        <v>6</v>
      </c>
      <c r="Q43" s="1211">
        <v>6</v>
      </c>
      <c r="R43" s="1214">
        <v>6</v>
      </c>
      <c r="S43" s="1211">
        <v>6</v>
      </c>
      <c r="T43" s="1211">
        <v>6</v>
      </c>
      <c r="U43" s="1211" t="s">
        <v>532</v>
      </c>
      <c r="V43" s="1211" t="s">
        <v>533</v>
      </c>
      <c r="W43" s="1211" t="s">
        <v>487</v>
      </c>
      <c r="X43" s="1211" t="s">
        <v>487</v>
      </c>
      <c r="Y43" s="1211" t="s">
        <v>487</v>
      </c>
      <c r="Z43" s="1209" t="s">
        <v>487</v>
      </c>
      <c r="AA43" s="1211" t="s">
        <v>487</v>
      </c>
      <c r="AB43" s="1211"/>
      <c r="AC43" s="1211"/>
      <c r="AD43" s="1349">
        <v>5</v>
      </c>
      <c r="AE43" s="1349">
        <v>5</v>
      </c>
      <c r="AF43" s="1349">
        <v>5</v>
      </c>
      <c r="AG43" s="1224"/>
      <c r="AH43" s="504">
        <v>185</v>
      </c>
      <c r="AI43" s="505">
        <v>37</v>
      </c>
    </row>
    <row r="44" spans="1:38" ht="21.95" customHeight="1" thickBot="1">
      <c r="A44" s="544">
        <v>8</v>
      </c>
      <c r="B44" s="319" t="s">
        <v>667</v>
      </c>
      <c r="C44" s="1215">
        <v>10</v>
      </c>
      <c r="D44" s="1215">
        <v>10</v>
      </c>
      <c r="E44" s="1215">
        <v>10</v>
      </c>
      <c r="F44" s="1215">
        <v>10</v>
      </c>
      <c r="G44" s="1225" t="s">
        <v>555</v>
      </c>
      <c r="H44" s="1215" t="s">
        <v>555</v>
      </c>
      <c r="I44" s="1215" t="s">
        <v>487</v>
      </c>
      <c r="J44" s="1215" t="s">
        <v>487</v>
      </c>
      <c r="K44" s="1215" t="s">
        <v>487</v>
      </c>
      <c r="L44" s="1215" t="s">
        <v>487</v>
      </c>
      <c r="M44" s="1215" t="s">
        <v>487</v>
      </c>
      <c r="N44" s="1215" t="s">
        <v>660</v>
      </c>
      <c r="O44" s="1215" t="s">
        <v>660</v>
      </c>
      <c r="P44" s="1215">
        <v>7</v>
      </c>
      <c r="Q44" s="1216">
        <v>7</v>
      </c>
      <c r="R44" s="1215">
        <v>7</v>
      </c>
      <c r="S44" s="1226">
        <v>7</v>
      </c>
      <c r="T44" s="1215">
        <v>7</v>
      </c>
      <c r="U44" s="1215"/>
      <c r="V44" s="1215"/>
      <c r="W44" s="1215">
        <v>4</v>
      </c>
      <c r="X44" s="1345">
        <v>4</v>
      </c>
      <c r="Y44" s="1345">
        <v>4</v>
      </c>
      <c r="Z44" s="1345">
        <v>4</v>
      </c>
      <c r="AA44" s="1335">
        <v>4</v>
      </c>
      <c r="AB44" s="1215"/>
      <c r="AC44" s="1215"/>
      <c r="AD44" s="1215">
        <v>3</v>
      </c>
      <c r="AE44" s="1215">
        <v>3</v>
      </c>
      <c r="AF44" s="1215">
        <v>3</v>
      </c>
      <c r="AG44" s="1215"/>
      <c r="AH44" s="504">
        <v>185</v>
      </c>
      <c r="AI44" s="505">
        <v>37</v>
      </c>
    </row>
    <row r="45" spans="1:38" ht="21.95" customHeight="1" thickBot="1">
      <c r="A45" s="546">
        <v>13</v>
      </c>
      <c r="B45" s="52" t="s">
        <v>668</v>
      </c>
      <c r="C45" s="1366">
        <v>11</v>
      </c>
      <c r="D45" s="1366">
        <v>11</v>
      </c>
      <c r="E45" s="1366">
        <v>11</v>
      </c>
      <c r="F45" s="1371">
        <v>11</v>
      </c>
      <c r="G45" s="1371" t="s">
        <v>657</v>
      </c>
      <c r="H45" s="1371" t="s">
        <v>657</v>
      </c>
      <c r="I45" s="1207" t="s">
        <v>487</v>
      </c>
      <c r="J45" s="1207" t="s">
        <v>487</v>
      </c>
      <c r="K45" s="1207" t="s">
        <v>487</v>
      </c>
      <c r="L45" s="1207" t="s">
        <v>487</v>
      </c>
      <c r="M45" s="1207" t="s">
        <v>487</v>
      </c>
      <c r="N45" s="1207"/>
      <c r="O45" s="1207"/>
      <c r="P45" s="1207">
        <v>8</v>
      </c>
      <c r="Q45" s="1207">
        <v>8</v>
      </c>
      <c r="R45" s="1217">
        <v>8</v>
      </c>
      <c r="S45" s="1207">
        <v>8</v>
      </c>
      <c r="T45" s="1207">
        <v>8</v>
      </c>
      <c r="U45" s="1207" t="s">
        <v>533</v>
      </c>
      <c r="V45" s="1207" t="s">
        <v>533</v>
      </c>
      <c r="W45" s="1207" t="s">
        <v>487</v>
      </c>
      <c r="X45" s="1207" t="s">
        <v>487</v>
      </c>
      <c r="Y45" s="1207" t="s">
        <v>487</v>
      </c>
      <c r="Z45" s="1209" t="s">
        <v>487</v>
      </c>
      <c r="AA45" s="1207" t="s">
        <v>487</v>
      </c>
      <c r="AB45" s="1207"/>
      <c r="AC45" s="1207"/>
      <c r="AD45" s="1207">
        <v>1</v>
      </c>
      <c r="AE45" s="1207">
        <v>1</v>
      </c>
      <c r="AF45" s="1207">
        <v>1</v>
      </c>
      <c r="AG45" s="1207"/>
      <c r="AH45" s="504">
        <v>185</v>
      </c>
      <c r="AI45" s="505">
        <v>37</v>
      </c>
    </row>
    <row r="46" spans="1:38" ht="21.95" customHeight="1" thickBot="1">
      <c r="A46" s="548">
        <v>4</v>
      </c>
      <c r="B46" s="319" t="s">
        <v>669</v>
      </c>
      <c r="C46" s="1344" t="s">
        <v>487</v>
      </c>
      <c r="D46" s="1215" t="s">
        <v>487</v>
      </c>
      <c r="E46" s="1209" t="s">
        <v>487</v>
      </c>
      <c r="F46" s="1215" t="s">
        <v>487</v>
      </c>
      <c r="G46" s="1215"/>
      <c r="H46" s="1215"/>
      <c r="I46" s="1215">
        <v>6</v>
      </c>
      <c r="J46" s="1211">
        <v>6</v>
      </c>
      <c r="K46" s="1211">
        <v>6</v>
      </c>
      <c r="L46" s="1211">
        <v>6</v>
      </c>
      <c r="M46" s="1211">
        <v>6</v>
      </c>
      <c r="N46" s="1211" t="s">
        <v>532</v>
      </c>
      <c r="O46" s="1211" t="s">
        <v>533</v>
      </c>
      <c r="P46" s="1211" t="s">
        <v>487</v>
      </c>
      <c r="Q46" s="1211" t="s">
        <v>487</v>
      </c>
      <c r="R46" s="1211" t="s">
        <v>487</v>
      </c>
      <c r="S46" s="1211" t="s">
        <v>487</v>
      </c>
      <c r="T46" s="1211" t="s">
        <v>487</v>
      </c>
      <c r="U46" s="1211"/>
      <c r="V46" s="1211"/>
      <c r="W46" s="1211">
        <v>4</v>
      </c>
      <c r="X46" s="1211">
        <v>4</v>
      </c>
      <c r="Y46" s="1211" t="s">
        <v>487</v>
      </c>
      <c r="Z46" s="1211">
        <v>2</v>
      </c>
      <c r="AA46" s="1211">
        <v>2</v>
      </c>
      <c r="AB46" s="1211" t="s">
        <v>631</v>
      </c>
      <c r="AC46" s="1211" t="s">
        <v>631</v>
      </c>
      <c r="AD46" s="1211" t="s">
        <v>487</v>
      </c>
      <c r="AE46" s="1211" t="s">
        <v>487</v>
      </c>
      <c r="AF46" s="1211">
        <v>10</v>
      </c>
      <c r="AG46" s="1218"/>
      <c r="AH46" s="504">
        <v>185</v>
      </c>
      <c r="AI46" s="505">
        <v>37</v>
      </c>
    </row>
    <row r="47" spans="1:38" ht="21.95" customHeight="1" thickBot="1">
      <c r="A47" s="544">
        <v>9</v>
      </c>
      <c r="B47" s="319" t="s">
        <v>670</v>
      </c>
      <c r="C47" s="1215" t="s">
        <v>487</v>
      </c>
      <c r="D47" s="1215" t="s">
        <v>487</v>
      </c>
      <c r="E47" s="1209" t="s">
        <v>487</v>
      </c>
      <c r="F47" s="1215" t="s">
        <v>487</v>
      </c>
      <c r="G47" s="1215" t="s">
        <v>660</v>
      </c>
      <c r="H47" s="1215" t="s">
        <v>660</v>
      </c>
      <c r="I47" s="1215">
        <v>7</v>
      </c>
      <c r="J47" s="1215">
        <v>7</v>
      </c>
      <c r="K47" s="1215">
        <v>7</v>
      </c>
      <c r="L47" s="1215">
        <v>7</v>
      </c>
      <c r="M47" s="1215">
        <v>7</v>
      </c>
      <c r="N47" s="1215"/>
      <c r="O47" s="1215"/>
      <c r="P47" s="1215">
        <v>4</v>
      </c>
      <c r="Q47" s="1215">
        <v>4</v>
      </c>
      <c r="R47" s="1215">
        <v>4</v>
      </c>
      <c r="S47" s="1215">
        <v>4</v>
      </c>
      <c r="T47" s="1215">
        <v>4</v>
      </c>
      <c r="U47" s="1215"/>
      <c r="V47" s="1215"/>
      <c r="W47" s="1215">
        <v>3</v>
      </c>
      <c r="X47" s="1215">
        <v>3</v>
      </c>
      <c r="Y47" s="1215">
        <v>3</v>
      </c>
      <c r="Z47" s="1215">
        <v>3</v>
      </c>
      <c r="AA47" s="1215">
        <v>3</v>
      </c>
      <c r="AB47" s="1215"/>
      <c r="AC47" s="1215"/>
      <c r="AD47" s="1215">
        <v>11</v>
      </c>
      <c r="AE47" s="1215">
        <v>11</v>
      </c>
      <c r="AF47" s="1215">
        <v>11</v>
      </c>
      <c r="AG47" s="1216"/>
      <c r="AH47" s="504">
        <v>185</v>
      </c>
      <c r="AI47" s="505">
        <v>37</v>
      </c>
    </row>
    <row r="48" spans="1:38" ht="21.95" customHeight="1" thickBot="1">
      <c r="A48" s="546">
        <v>14</v>
      </c>
      <c r="B48" s="547" t="s">
        <v>671</v>
      </c>
      <c r="C48" s="1207" t="s">
        <v>487</v>
      </c>
      <c r="D48" s="1207" t="s">
        <v>487</v>
      </c>
      <c r="E48" s="1209" t="s">
        <v>487</v>
      </c>
      <c r="F48" s="1211" t="s">
        <v>487</v>
      </c>
      <c r="G48" s="1211"/>
      <c r="H48" s="1211"/>
      <c r="I48" s="1349">
        <v>8</v>
      </c>
      <c r="J48" s="1349">
        <v>8</v>
      </c>
      <c r="K48" s="1349">
        <v>8</v>
      </c>
      <c r="L48" s="1366">
        <v>8</v>
      </c>
      <c r="M48" s="1366">
        <v>8</v>
      </c>
      <c r="N48" s="1366" t="s">
        <v>533</v>
      </c>
      <c r="O48" s="1366" t="s">
        <v>533</v>
      </c>
      <c r="P48" s="1207" t="s">
        <v>487</v>
      </c>
      <c r="Q48" s="1207" t="s">
        <v>487</v>
      </c>
      <c r="R48" s="1207" t="s">
        <v>487</v>
      </c>
      <c r="S48" s="1207" t="s">
        <v>487</v>
      </c>
      <c r="T48" s="1207" t="s">
        <v>487</v>
      </c>
      <c r="U48" s="1207"/>
      <c r="V48" s="1207"/>
      <c r="W48" s="1366">
        <v>1</v>
      </c>
      <c r="X48" s="1366">
        <v>1</v>
      </c>
      <c r="Y48" s="1371">
        <v>1</v>
      </c>
      <c r="Z48" s="1371">
        <v>1</v>
      </c>
      <c r="AA48" s="1371">
        <v>1</v>
      </c>
      <c r="AB48" s="1445"/>
      <c r="AC48" s="1445"/>
      <c r="AD48" s="1207">
        <v>9</v>
      </c>
      <c r="AE48" s="1207">
        <v>9</v>
      </c>
      <c r="AF48" s="1207">
        <v>9</v>
      </c>
      <c r="AG48" s="1227"/>
      <c r="AH48" s="504">
        <v>185</v>
      </c>
      <c r="AI48" s="505">
        <v>37</v>
      </c>
    </row>
    <row r="49" spans="1:35" ht="21.95" customHeight="1" thickBot="1">
      <c r="A49" s="543">
        <v>5</v>
      </c>
      <c r="B49" s="545" t="s">
        <v>672</v>
      </c>
      <c r="C49" s="1209">
        <v>6</v>
      </c>
      <c r="D49" s="1209">
        <v>6</v>
      </c>
      <c r="E49" s="1209">
        <v>6</v>
      </c>
      <c r="F49" s="1209">
        <v>6</v>
      </c>
      <c r="G49" s="1209" t="s">
        <v>532</v>
      </c>
      <c r="H49" s="1209" t="s">
        <v>533</v>
      </c>
      <c r="I49" s="1209" t="s">
        <v>487</v>
      </c>
      <c r="J49" s="1209" t="s">
        <v>487</v>
      </c>
      <c r="K49" s="1209" t="s">
        <v>487</v>
      </c>
      <c r="L49" s="1209" t="s">
        <v>487</v>
      </c>
      <c r="M49" s="1209" t="s">
        <v>487</v>
      </c>
      <c r="N49" s="1209"/>
      <c r="O49" s="1209"/>
      <c r="P49" s="1680">
        <v>5</v>
      </c>
      <c r="Q49" s="1680">
        <v>5</v>
      </c>
      <c r="R49" s="1659">
        <v>5</v>
      </c>
      <c r="S49" s="1215">
        <v>5</v>
      </c>
      <c r="T49" s="1215">
        <v>5</v>
      </c>
      <c r="U49" s="1215"/>
      <c r="V49" s="1215"/>
      <c r="W49" s="1215">
        <v>10</v>
      </c>
      <c r="X49" s="1215">
        <v>10</v>
      </c>
      <c r="Y49" s="1215">
        <v>10</v>
      </c>
      <c r="Z49" s="1215">
        <v>10</v>
      </c>
      <c r="AA49" s="1215">
        <v>10</v>
      </c>
      <c r="AB49" s="1215" t="s">
        <v>555</v>
      </c>
      <c r="AC49" s="1215" t="s">
        <v>555</v>
      </c>
      <c r="AD49" s="1215" t="s">
        <v>487</v>
      </c>
      <c r="AE49" s="1228" t="s">
        <v>487</v>
      </c>
      <c r="AF49" s="1209" t="s">
        <v>487</v>
      </c>
      <c r="AG49" s="1228"/>
      <c r="AH49" s="504">
        <v>185</v>
      </c>
      <c r="AI49" s="505">
        <v>37</v>
      </c>
    </row>
    <row r="50" spans="1:35" ht="21.95" customHeight="1" thickBot="1">
      <c r="A50" s="544">
        <v>10</v>
      </c>
      <c r="B50" s="319" t="s">
        <v>673</v>
      </c>
      <c r="C50" s="1215">
        <v>7</v>
      </c>
      <c r="D50" s="1215">
        <v>7</v>
      </c>
      <c r="E50" s="1209">
        <v>7</v>
      </c>
      <c r="F50" s="1215">
        <v>7</v>
      </c>
      <c r="G50" s="1215"/>
      <c r="H50" s="1215"/>
      <c r="I50" s="1215">
        <v>4</v>
      </c>
      <c r="J50" s="1215">
        <v>4</v>
      </c>
      <c r="K50" s="1215">
        <v>4</v>
      </c>
      <c r="L50" s="1215">
        <v>4</v>
      </c>
      <c r="M50" s="1215">
        <v>4</v>
      </c>
      <c r="N50" s="1215"/>
      <c r="O50" s="1215"/>
      <c r="P50" s="1338">
        <v>3</v>
      </c>
      <c r="Q50" s="1338">
        <v>3</v>
      </c>
      <c r="R50" s="1338">
        <v>3</v>
      </c>
      <c r="S50" s="1338">
        <v>3</v>
      </c>
      <c r="T50" s="1338">
        <v>3</v>
      </c>
      <c r="U50" s="1338"/>
      <c r="V50" s="1338"/>
      <c r="W50" s="1215">
        <v>11</v>
      </c>
      <c r="X50" s="1215">
        <v>11</v>
      </c>
      <c r="Y50" s="1215">
        <v>11</v>
      </c>
      <c r="Z50" s="1215">
        <v>11</v>
      </c>
      <c r="AA50" s="1215">
        <v>11</v>
      </c>
      <c r="AB50" s="1215" t="s">
        <v>657</v>
      </c>
      <c r="AC50" s="1215" t="s">
        <v>657</v>
      </c>
      <c r="AD50" s="1215" t="s">
        <v>487</v>
      </c>
      <c r="AE50" s="1216" t="s">
        <v>487</v>
      </c>
      <c r="AF50" s="1215" t="s">
        <v>487</v>
      </c>
      <c r="AG50" s="1216"/>
      <c r="AH50" s="504">
        <v>185</v>
      </c>
      <c r="AI50" s="505">
        <v>37</v>
      </c>
    </row>
    <row r="51" spans="1:35" ht="21.95" customHeight="1" thickBot="1">
      <c r="A51" s="546">
        <v>15</v>
      </c>
      <c r="B51" s="52" t="s">
        <v>674</v>
      </c>
      <c r="C51" s="1207">
        <v>8</v>
      </c>
      <c r="D51" s="1207">
        <v>8</v>
      </c>
      <c r="E51" s="1209">
        <v>8</v>
      </c>
      <c r="F51" s="1207">
        <v>8</v>
      </c>
      <c r="G51" s="1207" t="s">
        <v>533</v>
      </c>
      <c r="H51" s="1207" t="s">
        <v>533</v>
      </c>
      <c r="I51" s="1207" t="s">
        <v>487</v>
      </c>
      <c r="J51" s="1207" t="s">
        <v>487</v>
      </c>
      <c r="K51" s="1207" t="s">
        <v>487</v>
      </c>
      <c r="L51" s="1207" t="s">
        <v>487</v>
      </c>
      <c r="M51" s="1207" t="s">
        <v>487</v>
      </c>
      <c r="N51" s="1207"/>
      <c r="O51" s="1207"/>
      <c r="P51" s="1207">
        <v>1</v>
      </c>
      <c r="Q51" s="1207">
        <v>1</v>
      </c>
      <c r="R51" s="1207">
        <v>1</v>
      </c>
      <c r="S51" s="1207">
        <v>1</v>
      </c>
      <c r="T51" s="1207">
        <v>1</v>
      </c>
      <c r="U51" s="1207"/>
      <c r="V51" s="1207"/>
      <c r="W51" s="1207">
        <v>9</v>
      </c>
      <c r="X51" s="1207">
        <v>9</v>
      </c>
      <c r="Y51" s="1207">
        <v>9</v>
      </c>
      <c r="Z51" s="1207">
        <v>9</v>
      </c>
      <c r="AA51" s="1207">
        <v>9</v>
      </c>
      <c r="AB51" s="1207" t="s">
        <v>543</v>
      </c>
      <c r="AC51" s="1207" t="s">
        <v>555</v>
      </c>
      <c r="AD51" s="1207" t="s">
        <v>487</v>
      </c>
      <c r="AE51" s="1227" t="s">
        <v>487</v>
      </c>
      <c r="AF51" s="1207" t="s">
        <v>487</v>
      </c>
      <c r="AG51" s="1227"/>
      <c r="AH51" s="504">
        <v>185</v>
      </c>
      <c r="AI51" s="505">
        <v>37</v>
      </c>
    </row>
    <row r="52" spans="1:35" ht="21.95" customHeight="1">
      <c r="A52" s="519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  <c r="O52" s="541"/>
      <c r="P52" s="541"/>
      <c r="Q52" s="541"/>
      <c r="R52" s="541"/>
      <c r="S52" s="541"/>
      <c r="T52" s="541"/>
      <c r="U52" s="541"/>
      <c r="V52" s="541"/>
      <c r="W52" s="541"/>
      <c r="X52" s="541"/>
      <c r="Y52" s="541"/>
      <c r="Z52" s="541"/>
      <c r="AA52" s="541"/>
      <c r="AB52" s="541"/>
      <c r="AC52" s="541"/>
      <c r="AD52" s="541"/>
      <c r="AE52" s="541"/>
      <c r="AF52" s="541"/>
      <c r="AG52" s="541"/>
      <c r="AH52" s="1"/>
    </row>
    <row r="53" spans="1:35" ht="21.95" customHeight="1">
      <c r="A53" s="519"/>
      <c r="C53" s="541"/>
      <c r="D53" s="541"/>
      <c r="E53" s="541"/>
      <c r="F53" s="541"/>
      <c r="G53" s="541"/>
      <c r="H53" s="541"/>
      <c r="I53" s="541"/>
      <c r="J53" s="541"/>
      <c r="K53" s="541"/>
      <c r="L53" s="541"/>
      <c r="M53" s="541"/>
      <c r="N53" s="541"/>
      <c r="O53" s="541"/>
      <c r="P53" s="541"/>
      <c r="Q53" s="541"/>
      <c r="R53" s="541"/>
      <c r="S53" s="541"/>
      <c r="T53" s="541"/>
      <c r="U53" s="541"/>
      <c r="V53" s="541"/>
      <c r="W53" s="541"/>
      <c r="X53" s="541"/>
      <c r="Y53" s="541"/>
      <c r="Z53" s="541"/>
      <c r="AA53" s="541"/>
      <c r="AB53" s="541"/>
      <c r="AC53" s="541"/>
      <c r="AD53" s="541"/>
      <c r="AE53" s="541"/>
      <c r="AF53" s="541"/>
      <c r="AG53" s="541"/>
      <c r="AH53" s="1"/>
    </row>
    <row r="54" spans="1:35" ht="21.95" customHeight="1">
      <c r="A54" s="519"/>
      <c r="C54" s="541"/>
      <c r="D54" s="541"/>
      <c r="E54" s="541"/>
      <c r="F54" s="541"/>
      <c r="G54" s="541"/>
      <c r="H54" s="541"/>
      <c r="I54" s="541"/>
      <c r="J54" s="541"/>
      <c r="K54" s="541"/>
      <c r="L54" s="541"/>
      <c r="M54" s="541"/>
      <c r="N54" s="541"/>
      <c r="O54" s="541"/>
      <c r="P54" s="541"/>
      <c r="Q54" s="541"/>
      <c r="R54" s="541"/>
      <c r="S54" s="541"/>
      <c r="T54" s="541"/>
      <c r="U54" s="541"/>
      <c r="V54" s="541"/>
      <c r="W54" s="541"/>
      <c r="X54" s="541"/>
      <c r="Y54" s="541"/>
      <c r="Z54" s="541"/>
      <c r="AA54" s="541"/>
      <c r="AB54" s="541"/>
      <c r="AC54" s="541"/>
      <c r="AD54" s="541"/>
      <c r="AE54" s="541"/>
      <c r="AF54" s="541"/>
      <c r="AG54" s="541"/>
      <c r="AH54" s="1"/>
    </row>
    <row r="55" spans="1:35" ht="21.95" customHeight="1" thickBot="1">
      <c r="A55" s="558"/>
      <c r="C55" s="559"/>
      <c r="D55" s="559"/>
      <c r="E55" s="559"/>
      <c r="F55" s="559"/>
      <c r="G55" s="559"/>
      <c r="H55" s="559"/>
      <c r="I55" s="559"/>
      <c r="J55" s="559"/>
      <c r="K55" s="559"/>
      <c r="L55" s="559"/>
      <c r="M55" s="559"/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59"/>
      <c r="AA55" s="559"/>
      <c r="AB55" s="559"/>
      <c r="AC55" s="559"/>
      <c r="AD55" s="559"/>
      <c r="AE55" s="559"/>
      <c r="AF55" s="559"/>
      <c r="AG55" s="559"/>
      <c r="AH55" s="560"/>
      <c r="AI55" s="560"/>
    </row>
    <row r="56" spans="1:35" ht="21.95" customHeight="1">
      <c r="A56" s="361"/>
      <c r="B56" s="23" t="s">
        <v>675</v>
      </c>
      <c r="C56" s="7"/>
      <c r="D56" s="414" t="s">
        <v>2</v>
      </c>
      <c r="E56" s="550"/>
      <c r="F56" s="7"/>
      <c r="G56" s="6" t="s">
        <v>3</v>
      </c>
      <c r="H56" s="551"/>
      <c r="I56" s="118"/>
      <c r="J56" s="6" t="s">
        <v>4</v>
      </c>
      <c r="K56" s="413"/>
      <c r="L56" s="118"/>
      <c r="M56" s="119" t="s">
        <v>5</v>
      </c>
      <c r="N56" s="413"/>
      <c r="O56" s="118"/>
      <c r="P56" s="6" t="s">
        <v>6</v>
      </c>
      <c r="Q56" s="552"/>
      <c r="R56" s="118"/>
      <c r="S56" s="6" t="s">
        <v>7</v>
      </c>
      <c r="T56" s="553"/>
      <c r="U56" s="118"/>
      <c r="V56" s="6" t="s">
        <v>8</v>
      </c>
      <c r="W56" s="552"/>
      <c r="X56" s="349" t="s">
        <v>9</v>
      </c>
      <c r="Y56" s="561"/>
      <c r="Z56" s="561"/>
      <c r="AA56" s="562"/>
      <c r="AB56" s="27" t="s">
        <v>10</v>
      </c>
      <c r="AC56" s="554"/>
      <c r="AD56" s="554"/>
      <c r="AE56" s="563"/>
      <c r="AF56" s="563"/>
      <c r="AG56" s="564"/>
    </row>
    <row r="57" spans="1:35" ht="21.95" customHeight="1">
      <c r="A57" s="361"/>
      <c r="B57" s="306" t="s">
        <v>676</v>
      </c>
      <c r="C57" s="565" t="s">
        <v>512</v>
      </c>
      <c r="D57" s="483"/>
      <c r="E57" s="484"/>
      <c r="F57" s="565" t="s">
        <v>512</v>
      </c>
      <c r="G57" s="483"/>
      <c r="H57" s="484"/>
      <c r="I57" s="565" t="s">
        <v>512</v>
      </c>
      <c r="J57" s="483"/>
      <c r="K57" s="484"/>
      <c r="L57" s="565" t="s">
        <v>512</v>
      </c>
      <c r="M57" s="483"/>
      <c r="N57" s="484"/>
      <c r="O57" s="565" t="s">
        <v>116</v>
      </c>
      <c r="P57" s="483"/>
      <c r="Q57" s="484"/>
      <c r="R57" s="565"/>
      <c r="S57" s="483"/>
      <c r="T57" s="484"/>
      <c r="U57" s="565"/>
      <c r="V57" s="483"/>
      <c r="W57" s="484"/>
      <c r="X57" s="565"/>
      <c r="Y57" s="483"/>
      <c r="Z57" s="483"/>
      <c r="AA57" s="483"/>
      <c r="AB57" s="476"/>
      <c r="AC57" s="483"/>
      <c r="AD57" s="483"/>
      <c r="AE57" s="483"/>
      <c r="AF57" s="483"/>
      <c r="AG57" s="566"/>
    </row>
    <row r="58" spans="1:35" ht="21.95" customHeight="1">
      <c r="A58" s="361"/>
      <c r="B58" s="306" t="s">
        <v>677</v>
      </c>
      <c r="C58" s="565" t="s">
        <v>147</v>
      </c>
      <c r="D58" s="483"/>
      <c r="E58" s="484"/>
      <c r="F58" s="565" t="s">
        <v>147</v>
      </c>
      <c r="G58" s="483"/>
      <c r="H58" s="484"/>
      <c r="I58" s="565" t="s">
        <v>147</v>
      </c>
      <c r="J58" s="483"/>
      <c r="K58" s="484"/>
      <c r="L58" s="565" t="s">
        <v>147</v>
      </c>
      <c r="M58" s="483"/>
      <c r="N58" s="484"/>
      <c r="O58" s="565" t="s">
        <v>578</v>
      </c>
      <c r="P58" s="483"/>
      <c r="Q58" s="484"/>
      <c r="R58" s="565"/>
      <c r="S58" s="483"/>
      <c r="T58" s="484"/>
      <c r="U58" s="565"/>
      <c r="V58" s="483"/>
      <c r="W58" s="484"/>
      <c r="X58" s="565"/>
      <c r="Y58" s="483"/>
      <c r="Z58" s="483"/>
      <c r="AA58" s="483"/>
      <c r="AB58" s="476"/>
      <c r="AC58" s="483"/>
      <c r="AD58" s="483"/>
      <c r="AE58" s="483"/>
      <c r="AF58" s="483"/>
      <c r="AG58" s="566"/>
    </row>
    <row r="59" spans="1:35" ht="21.95" customHeight="1" thickBot="1">
      <c r="A59" s="361"/>
      <c r="B59" s="69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/>
      <c r="P59" s="361"/>
      <c r="Q59" s="361"/>
      <c r="R59" s="361"/>
      <c r="S59" s="361"/>
      <c r="T59" s="361"/>
      <c r="U59" s="361"/>
      <c r="V59" s="361"/>
      <c r="W59" s="361"/>
      <c r="X59" s="361"/>
      <c r="Y59" s="361"/>
      <c r="Z59" s="361"/>
      <c r="AA59" s="361"/>
      <c r="AB59" s="361"/>
      <c r="AC59" s="361"/>
      <c r="AD59" s="361"/>
      <c r="AE59" s="361"/>
      <c r="AF59" s="361"/>
      <c r="AG59" s="361"/>
    </row>
    <row r="60" spans="1:35" ht="21.95" customHeight="1" thickBot="1">
      <c r="A60" s="556" t="s">
        <v>528</v>
      </c>
      <c r="B60" s="297" t="s">
        <v>480</v>
      </c>
      <c r="C60" s="1234">
        <v>1</v>
      </c>
      <c r="D60" s="1234">
        <v>2</v>
      </c>
      <c r="E60" s="1234">
        <v>3</v>
      </c>
      <c r="F60" s="1234">
        <v>4</v>
      </c>
      <c r="G60" s="1235">
        <v>5</v>
      </c>
      <c r="H60" s="1235">
        <v>6</v>
      </c>
      <c r="I60" s="1213">
        <v>7</v>
      </c>
      <c r="J60" s="1213">
        <v>8</v>
      </c>
      <c r="K60" s="1234">
        <v>9</v>
      </c>
      <c r="L60" s="1234">
        <v>10</v>
      </c>
      <c r="M60" s="1234">
        <v>11</v>
      </c>
      <c r="N60" s="1235">
        <v>12</v>
      </c>
      <c r="O60" s="1235">
        <v>13</v>
      </c>
      <c r="P60" s="1213">
        <v>14</v>
      </c>
      <c r="Q60" s="1213">
        <v>15</v>
      </c>
      <c r="R60" s="1234">
        <v>16</v>
      </c>
      <c r="S60" s="1235">
        <v>17</v>
      </c>
      <c r="T60" s="1235">
        <v>18</v>
      </c>
      <c r="U60" s="1235">
        <v>19</v>
      </c>
      <c r="V60" s="1330">
        <v>20</v>
      </c>
      <c r="W60" s="1330">
        <v>21</v>
      </c>
      <c r="X60" s="1213">
        <v>22</v>
      </c>
      <c r="Y60" s="1234">
        <v>23</v>
      </c>
      <c r="Z60" s="1234">
        <v>24</v>
      </c>
      <c r="AA60" s="1234">
        <v>25</v>
      </c>
      <c r="AB60" s="1235">
        <v>26</v>
      </c>
      <c r="AC60" s="1235">
        <v>27</v>
      </c>
      <c r="AD60" s="1213">
        <v>28</v>
      </c>
      <c r="AE60" s="1213">
        <v>29</v>
      </c>
      <c r="AF60" s="1234">
        <v>30</v>
      </c>
      <c r="AG60" s="1234"/>
      <c r="AH60" s="498" t="s">
        <v>481</v>
      </c>
      <c r="AI60" s="499" t="s">
        <v>482</v>
      </c>
    </row>
    <row r="61" spans="1:35" ht="21.95" customHeight="1">
      <c r="A61" s="186">
        <v>8520</v>
      </c>
      <c r="B61" s="186" t="s">
        <v>678</v>
      </c>
      <c r="C61" s="1215" t="s">
        <v>679</v>
      </c>
      <c r="D61" s="1215" t="s">
        <v>679</v>
      </c>
      <c r="E61" s="1215" t="s">
        <v>679</v>
      </c>
      <c r="F61" s="1215" t="s">
        <v>679</v>
      </c>
      <c r="G61" s="1215"/>
      <c r="H61" s="1215"/>
      <c r="I61" s="1215" t="s">
        <v>679</v>
      </c>
      <c r="J61" s="1215" t="s">
        <v>679</v>
      </c>
      <c r="K61" s="1215" t="s">
        <v>679</v>
      </c>
      <c r="L61" s="1215" t="s">
        <v>679</v>
      </c>
      <c r="M61" s="1215" t="s">
        <v>679</v>
      </c>
      <c r="N61" s="1215"/>
      <c r="O61" s="1215"/>
      <c r="P61" s="1344" t="s">
        <v>679</v>
      </c>
      <c r="Q61" s="1345" t="s">
        <v>679</v>
      </c>
      <c r="R61" s="1338" t="s">
        <v>679</v>
      </c>
      <c r="S61" s="1215"/>
      <c r="T61" s="1215"/>
      <c r="U61" s="1215"/>
      <c r="V61" s="1215"/>
      <c r="W61" s="1215"/>
      <c r="X61" s="1215" t="s">
        <v>679</v>
      </c>
      <c r="Y61" s="1215" t="s">
        <v>679</v>
      </c>
      <c r="Z61" s="1209" t="s">
        <v>679</v>
      </c>
      <c r="AA61" s="1392" t="s">
        <v>679</v>
      </c>
      <c r="AB61" s="1392"/>
      <c r="AC61" s="1392"/>
      <c r="AD61" s="1215" t="s">
        <v>679</v>
      </c>
      <c r="AE61" s="1215" t="s">
        <v>679</v>
      </c>
      <c r="AF61" s="1215" t="s">
        <v>679</v>
      </c>
      <c r="AG61" s="1215"/>
      <c r="AH61" s="504">
        <v>185</v>
      </c>
      <c r="AI61" s="505">
        <v>37</v>
      </c>
    </row>
    <row r="62" spans="1:35" ht="21.95" customHeight="1">
      <c r="A62" s="186">
        <v>8521</v>
      </c>
      <c r="B62" s="186"/>
      <c r="C62" s="1215" t="s">
        <v>550</v>
      </c>
      <c r="D62" s="1215" t="s">
        <v>550</v>
      </c>
      <c r="E62" s="1215" t="s">
        <v>550</v>
      </c>
      <c r="F62" s="1215" t="s">
        <v>550</v>
      </c>
      <c r="G62" s="1215"/>
      <c r="H62" s="1215"/>
      <c r="I62" s="1215" t="s">
        <v>550</v>
      </c>
      <c r="J62" s="1215" t="s">
        <v>550</v>
      </c>
      <c r="K62" s="1215" t="s">
        <v>550</v>
      </c>
      <c r="L62" s="1215" t="s">
        <v>550</v>
      </c>
      <c r="M62" s="1215" t="s">
        <v>550</v>
      </c>
      <c r="N62" s="1215"/>
      <c r="O62" s="1215"/>
      <c r="P62" s="1215" t="s">
        <v>550</v>
      </c>
      <c r="Q62" s="1215" t="s">
        <v>550</v>
      </c>
      <c r="R62" s="1215" t="s">
        <v>550</v>
      </c>
      <c r="S62" s="1215"/>
      <c r="T62" s="1215"/>
      <c r="U62" s="1215"/>
      <c r="V62" s="1215"/>
      <c r="W62" s="1215"/>
      <c r="X62" s="1215" t="s">
        <v>550</v>
      </c>
      <c r="Y62" s="1215" t="s">
        <v>550</v>
      </c>
      <c r="Z62" s="1215" t="s">
        <v>550</v>
      </c>
      <c r="AA62" s="1215" t="s">
        <v>550</v>
      </c>
      <c r="AB62" s="1215"/>
      <c r="AC62" s="1215"/>
      <c r="AD62" s="1215" t="s">
        <v>550</v>
      </c>
      <c r="AE62" s="1215" t="s">
        <v>550</v>
      </c>
      <c r="AF62" s="1215" t="s">
        <v>550</v>
      </c>
      <c r="AG62" s="1215"/>
      <c r="AH62" s="504">
        <v>185</v>
      </c>
      <c r="AI62" s="505">
        <v>37</v>
      </c>
    </row>
    <row r="63" spans="1:35" ht="21.95" customHeight="1">
      <c r="A63" s="361"/>
      <c r="B63" s="361"/>
      <c r="C63" s="541"/>
      <c r="D63" s="520"/>
      <c r="E63" s="520"/>
      <c r="F63" s="520"/>
      <c r="G63" s="520"/>
      <c r="H63" s="520"/>
      <c r="I63" s="520"/>
      <c r="J63" s="520"/>
      <c r="K63" s="520"/>
      <c r="L63" s="520"/>
      <c r="M63" s="520"/>
      <c r="N63" s="520"/>
      <c r="O63" s="520"/>
      <c r="P63" s="520"/>
      <c r="Q63" s="520"/>
      <c r="R63" s="520"/>
      <c r="S63" s="520"/>
      <c r="T63" s="520"/>
      <c r="U63" s="520"/>
      <c r="V63" s="520"/>
      <c r="W63" s="520"/>
      <c r="X63" s="520"/>
      <c r="Y63" s="520"/>
      <c r="Z63" s="520"/>
      <c r="AA63" s="520"/>
      <c r="AB63" s="520"/>
      <c r="AC63" s="520"/>
      <c r="AD63" s="520"/>
      <c r="AE63" s="520"/>
      <c r="AF63" s="520"/>
      <c r="AG63" s="520"/>
      <c r="AH63" s="560"/>
      <c r="AI63" s="560"/>
    </row>
    <row r="64" spans="1:35" ht="21.95" customHeight="1">
      <c r="A64" s="361"/>
      <c r="B64" s="361"/>
      <c r="C64" s="541"/>
      <c r="D64" s="520"/>
      <c r="E64" s="520"/>
      <c r="F64" s="520"/>
      <c r="G64" s="520"/>
      <c r="H64" s="520"/>
      <c r="I64" s="520"/>
      <c r="J64" s="520"/>
      <c r="K64" s="520"/>
      <c r="L64" s="520"/>
      <c r="M64" s="520"/>
      <c r="N64" s="520"/>
      <c r="O64" s="520"/>
      <c r="P64" s="520"/>
      <c r="Q64" s="520"/>
      <c r="R64" s="520"/>
      <c r="S64" s="520"/>
      <c r="T64" s="520"/>
      <c r="U64" s="520"/>
      <c r="V64" s="520"/>
      <c r="W64" s="520"/>
      <c r="X64" s="520"/>
      <c r="Y64" s="520"/>
      <c r="Z64" s="520"/>
      <c r="AA64" s="520"/>
      <c r="AB64" s="520"/>
      <c r="AC64" s="520"/>
      <c r="AD64" s="520"/>
      <c r="AE64" s="520"/>
      <c r="AF64" s="520"/>
      <c r="AG64" s="520"/>
      <c r="AH64" s="560"/>
      <c r="AI64" s="560"/>
    </row>
    <row r="65" spans="1:35" ht="21.95" customHeight="1">
      <c r="A65" s="361"/>
      <c r="B65" s="361"/>
      <c r="C65" s="541"/>
      <c r="D65" s="520"/>
      <c r="E65" s="520"/>
      <c r="F65" s="520"/>
      <c r="G65" s="520"/>
      <c r="H65" s="520"/>
      <c r="I65" s="520"/>
      <c r="J65" s="520"/>
      <c r="K65" s="520"/>
      <c r="L65" s="520"/>
      <c r="M65" s="520"/>
      <c r="N65" s="520"/>
      <c r="O65" s="520"/>
      <c r="P65" s="520"/>
      <c r="Q65" s="520"/>
      <c r="R65" s="520"/>
      <c r="S65" s="520"/>
      <c r="T65" s="520"/>
      <c r="U65" s="520"/>
      <c r="V65" s="520"/>
      <c r="W65" s="520"/>
      <c r="X65" s="520"/>
      <c r="Y65" s="520"/>
      <c r="Z65" s="520"/>
      <c r="AA65" s="520"/>
      <c r="AB65" s="520"/>
      <c r="AC65" s="520"/>
      <c r="AD65" s="520"/>
      <c r="AE65" s="520"/>
      <c r="AF65" s="520"/>
      <c r="AG65" s="520"/>
      <c r="AH65" s="560"/>
      <c r="AI65" s="560"/>
    </row>
    <row r="66" spans="1:35" ht="21.95" customHeight="1" thickBot="1">
      <c r="A66" s="1" t="s">
        <v>468</v>
      </c>
      <c r="D66" s="361"/>
      <c r="E66" s="361"/>
      <c r="F66" s="361"/>
      <c r="G66" s="549"/>
      <c r="H66" s="361"/>
      <c r="I66" s="361"/>
      <c r="J66" s="361"/>
      <c r="K66" s="361"/>
      <c r="L66" s="361"/>
      <c r="M66" s="361"/>
      <c r="N66" s="361"/>
      <c r="O66" s="361"/>
      <c r="P66" s="361"/>
      <c r="Q66" s="361"/>
      <c r="R66" s="361"/>
      <c r="S66" s="361"/>
      <c r="T66" s="361"/>
      <c r="U66" s="361"/>
      <c r="V66" s="361"/>
      <c r="W66" s="361"/>
      <c r="X66" s="361"/>
      <c r="Y66" s="361"/>
      <c r="Z66" s="361"/>
      <c r="AA66" s="361"/>
      <c r="AB66" s="361"/>
      <c r="AC66" s="361"/>
      <c r="AD66" s="361"/>
      <c r="AE66" s="361"/>
      <c r="AF66" s="361"/>
      <c r="AG66" s="361"/>
    </row>
    <row r="67" spans="1:35" ht="21.95" customHeight="1">
      <c r="A67" s="1"/>
      <c r="B67" s="23" t="s">
        <v>726</v>
      </c>
      <c r="C67" s="7"/>
      <c r="D67" s="525" t="s">
        <v>2</v>
      </c>
      <c r="E67" s="51"/>
      <c r="F67" s="551"/>
      <c r="G67" s="7"/>
      <c r="H67" s="525" t="s">
        <v>3</v>
      </c>
      <c r="I67" s="51"/>
      <c r="J67" s="551"/>
      <c r="K67" s="7"/>
      <c r="L67" s="525" t="s">
        <v>4</v>
      </c>
      <c r="M67" s="51"/>
      <c r="N67" s="551"/>
      <c r="O67" s="7"/>
      <c r="P67" s="525" t="s">
        <v>5</v>
      </c>
      <c r="Q67" s="51"/>
      <c r="R67" s="551"/>
      <c r="S67" s="7"/>
      <c r="T67" s="525" t="s">
        <v>6</v>
      </c>
      <c r="U67" s="51"/>
      <c r="V67" s="551"/>
      <c r="W67" s="27"/>
      <c r="X67" s="898" t="s">
        <v>7</v>
      </c>
      <c r="Y67" s="522"/>
      <c r="Z67" s="238"/>
      <c r="AA67" s="7"/>
      <c r="AB67" s="525" t="s">
        <v>8</v>
      </c>
      <c r="AC67" s="51"/>
      <c r="AD67" s="51"/>
      <c r="AE67" s="349" t="s">
        <v>9</v>
      </c>
      <c r="AF67" s="51"/>
      <c r="AG67" s="51"/>
      <c r="AH67" s="51"/>
      <c r="AI67" s="526"/>
    </row>
    <row r="68" spans="1:35" ht="21.95" customHeight="1">
      <c r="A68" s="1"/>
      <c r="B68" s="129" t="s">
        <v>164</v>
      </c>
      <c r="C68" s="567" t="s">
        <v>740</v>
      </c>
      <c r="E68" s="157"/>
      <c r="F68" s="568"/>
      <c r="G68" s="567" t="s">
        <v>740</v>
      </c>
      <c r="H68" s="157"/>
      <c r="I68" s="157"/>
      <c r="J68" s="568"/>
      <c r="K68" s="567" t="s">
        <v>740</v>
      </c>
      <c r="L68" s="157"/>
      <c r="M68" s="157"/>
      <c r="N68" s="568"/>
      <c r="O68" s="567" t="s">
        <v>740</v>
      </c>
      <c r="P68" s="157"/>
      <c r="Q68" s="157"/>
      <c r="R68" s="568"/>
      <c r="S68" s="567" t="s">
        <v>741</v>
      </c>
      <c r="T68" s="157"/>
      <c r="U68" s="157"/>
      <c r="V68" s="569"/>
      <c r="W68" s="899"/>
      <c r="X68" s="900"/>
      <c r="Y68" s="900"/>
      <c r="Z68" s="901"/>
      <c r="AA68" s="569"/>
      <c r="AB68" s="157"/>
      <c r="AC68" s="157"/>
      <c r="AD68" s="569"/>
      <c r="AE68" s="121">
        <v>37</v>
      </c>
      <c r="AG68" s="157"/>
      <c r="AH68" s="569"/>
      <c r="AI68" s="490"/>
    </row>
    <row r="69" spans="1:35" ht="21.95" customHeight="1">
      <c r="A69" s="1"/>
      <c r="B69" s="129" t="s">
        <v>167</v>
      </c>
      <c r="C69" s="567" t="s">
        <v>474</v>
      </c>
      <c r="D69" s="157"/>
      <c r="E69" s="157"/>
      <c r="F69" s="568"/>
      <c r="G69" s="567" t="s">
        <v>474</v>
      </c>
      <c r="H69" s="157"/>
      <c r="I69" s="157"/>
      <c r="J69" s="568"/>
      <c r="K69" s="567" t="s">
        <v>474</v>
      </c>
      <c r="L69" s="157"/>
      <c r="M69" s="157"/>
      <c r="N69" s="568"/>
      <c r="O69" s="567" t="s">
        <v>475</v>
      </c>
      <c r="P69" s="157"/>
      <c r="Q69" s="157"/>
      <c r="R69" s="568"/>
      <c r="S69" s="567" t="s">
        <v>477</v>
      </c>
      <c r="T69" s="157"/>
      <c r="U69" s="157"/>
      <c r="V69" s="568"/>
      <c r="W69" s="610" t="s">
        <v>818</v>
      </c>
      <c r="X69" s="55"/>
      <c r="Y69" s="55"/>
      <c r="Z69" s="55"/>
      <c r="AA69" s="567" t="s">
        <v>479</v>
      </c>
      <c r="AB69" s="567"/>
      <c r="AC69" s="567"/>
      <c r="AD69" s="567"/>
      <c r="AE69" s="155">
        <v>68.25</v>
      </c>
      <c r="AF69" s="157"/>
      <c r="AG69" s="571"/>
      <c r="AH69" s="572"/>
      <c r="AI69" s="573"/>
    </row>
    <row r="70" spans="1:35" ht="21.95" customHeight="1">
      <c r="A70" s="1"/>
      <c r="B70" s="129" t="s">
        <v>170</v>
      </c>
      <c r="C70" s="897" t="s">
        <v>162</v>
      </c>
      <c r="D70" s="157"/>
      <c r="E70" s="157"/>
      <c r="F70" s="568"/>
      <c r="G70" s="157" t="s">
        <v>162</v>
      </c>
      <c r="H70" s="157"/>
      <c r="I70" s="157"/>
      <c r="J70" s="568"/>
      <c r="K70" s="157" t="s">
        <v>162</v>
      </c>
      <c r="L70" s="157"/>
      <c r="M70" s="157"/>
      <c r="N70" s="568"/>
      <c r="O70" s="157" t="s">
        <v>162</v>
      </c>
      <c r="P70" s="157"/>
      <c r="Q70" s="157"/>
      <c r="R70" s="568"/>
      <c r="S70" s="157" t="s">
        <v>162</v>
      </c>
      <c r="T70" s="157"/>
      <c r="U70" s="157"/>
      <c r="V70" s="568"/>
      <c r="W70" s="567"/>
      <c r="X70" s="157"/>
      <c r="Y70" s="157"/>
      <c r="Z70" s="568"/>
      <c r="AA70" s="567"/>
      <c r="AB70" s="157"/>
      <c r="AC70" s="157"/>
      <c r="AD70" s="569"/>
      <c r="AE70" s="570">
        <v>0</v>
      </c>
      <c r="AF70" s="571"/>
      <c r="AG70" s="157"/>
      <c r="AH70" s="569"/>
      <c r="AI70" s="490"/>
    </row>
    <row r="71" spans="1:35" ht="21.95" customHeight="1" thickBot="1">
      <c r="A71" s="1"/>
      <c r="B71" s="47"/>
      <c r="C71" s="574"/>
      <c r="D71" s="53"/>
      <c r="E71" s="53"/>
      <c r="F71" s="575"/>
      <c r="G71" s="574"/>
      <c r="H71" s="53"/>
      <c r="I71" s="53"/>
      <c r="J71" s="575"/>
      <c r="K71" s="574"/>
      <c r="L71" s="53"/>
      <c r="M71" s="53"/>
      <c r="N71" s="575"/>
      <c r="O71" s="574"/>
      <c r="P71" s="53"/>
      <c r="Q71" s="53"/>
      <c r="R71" s="575"/>
      <c r="S71" s="574"/>
      <c r="T71" s="53"/>
      <c r="U71" s="53"/>
      <c r="V71" s="575"/>
      <c r="W71" s="53"/>
      <c r="X71" s="53"/>
      <c r="Y71" s="53"/>
      <c r="Z71" s="53"/>
      <c r="AA71" s="53"/>
      <c r="AB71" s="53"/>
      <c r="AC71" s="53"/>
      <c r="AD71" s="53"/>
      <c r="AE71" s="576"/>
      <c r="AF71" s="53"/>
      <c r="AG71" s="53"/>
      <c r="AH71" s="577"/>
      <c r="AI71" s="539"/>
    </row>
    <row r="72" spans="1:35" ht="21.95" customHeight="1" thickBot="1">
      <c r="A72" s="578"/>
      <c r="B72" s="1"/>
      <c r="C72" s="361"/>
      <c r="D72" s="361"/>
      <c r="E72" s="361"/>
      <c r="F72" s="361"/>
      <c r="G72" s="361"/>
      <c r="H72" s="361"/>
      <c r="I72" s="361"/>
      <c r="J72" s="361"/>
      <c r="K72" s="361"/>
      <c r="L72" s="361"/>
      <c r="M72" s="361"/>
      <c r="N72" s="361"/>
      <c r="O72" s="361"/>
      <c r="P72" s="361"/>
      <c r="Q72" s="361"/>
      <c r="R72" s="361"/>
      <c r="S72" s="361"/>
      <c r="T72" s="361"/>
      <c r="U72" s="361"/>
      <c r="V72" s="361"/>
      <c r="W72" s="361"/>
      <c r="X72" s="361"/>
      <c r="Y72" s="361"/>
      <c r="Z72" s="361"/>
      <c r="AA72" s="361"/>
      <c r="AB72" s="361"/>
      <c r="AC72" s="361"/>
      <c r="AD72" s="361"/>
      <c r="AE72" s="361"/>
      <c r="AF72" s="361"/>
      <c r="AG72" s="361"/>
    </row>
    <row r="73" spans="1:35" ht="21.95" customHeight="1">
      <c r="A73" s="556"/>
      <c r="B73" s="297" t="s">
        <v>480</v>
      </c>
      <c r="C73" s="1234">
        <v>1</v>
      </c>
      <c r="D73" s="1234">
        <v>2</v>
      </c>
      <c r="E73" s="1234">
        <v>3</v>
      </c>
      <c r="F73" s="1234">
        <v>4</v>
      </c>
      <c r="G73" s="1235">
        <v>5</v>
      </c>
      <c r="H73" s="1235">
        <v>6</v>
      </c>
      <c r="I73" s="1213">
        <v>7</v>
      </c>
      <c r="J73" s="1213">
        <v>8</v>
      </c>
      <c r="K73" s="1234">
        <v>9</v>
      </c>
      <c r="L73" s="1234">
        <v>10</v>
      </c>
      <c r="M73" s="1234">
        <v>11</v>
      </c>
      <c r="N73" s="1235">
        <v>12</v>
      </c>
      <c r="O73" s="1235">
        <v>13</v>
      </c>
      <c r="P73" s="1213">
        <v>14</v>
      </c>
      <c r="Q73" s="1213">
        <v>15</v>
      </c>
      <c r="R73" s="1234">
        <v>16</v>
      </c>
      <c r="S73" s="1235">
        <v>17</v>
      </c>
      <c r="T73" s="1235">
        <v>18</v>
      </c>
      <c r="U73" s="1235">
        <v>19</v>
      </c>
      <c r="V73" s="1330">
        <v>20</v>
      </c>
      <c r="W73" s="1330">
        <v>21</v>
      </c>
      <c r="X73" s="1213">
        <v>22</v>
      </c>
      <c r="Y73" s="1234">
        <v>23</v>
      </c>
      <c r="Z73" s="1234">
        <v>24</v>
      </c>
      <c r="AA73" s="1234">
        <v>25</v>
      </c>
      <c r="AB73" s="1235">
        <v>26</v>
      </c>
      <c r="AC73" s="1235">
        <v>27</v>
      </c>
      <c r="AD73" s="1213">
        <v>28</v>
      </c>
      <c r="AE73" s="1213">
        <v>29</v>
      </c>
      <c r="AF73" s="1234">
        <v>30</v>
      </c>
      <c r="AG73" s="1234"/>
      <c r="AH73" s="498" t="s">
        <v>481</v>
      </c>
      <c r="AI73" s="499" t="s">
        <v>482</v>
      </c>
    </row>
    <row r="74" spans="1:35" ht="21.95" customHeight="1" thickBot="1">
      <c r="A74" s="579">
        <v>1</v>
      </c>
      <c r="B74" s="153" t="s">
        <v>483</v>
      </c>
      <c r="C74" s="1344" t="s">
        <v>484</v>
      </c>
      <c r="D74" s="557" t="s">
        <v>484</v>
      </c>
      <c r="E74" s="557" t="s">
        <v>485</v>
      </c>
      <c r="F74" s="1439" t="s">
        <v>765</v>
      </c>
      <c r="G74" s="1368" t="s">
        <v>486</v>
      </c>
      <c r="H74" s="557" t="s">
        <v>486</v>
      </c>
      <c r="I74" s="557" t="s">
        <v>487</v>
      </c>
      <c r="J74" s="557" t="s">
        <v>487</v>
      </c>
      <c r="K74" s="557" t="s">
        <v>487</v>
      </c>
      <c r="L74" s="557" t="s">
        <v>487</v>
      </c>
      <c r="M74" s="557" t="s">
        <v>487</v>
      </c>
      <c r="N74" s="557"/>
      <c r="O74" s="557"/>
      <c r="P74" s="557" t="s">
        <v>682</v>
      </c>
      <c r="Q74" s="557" t="s">
        <v>682</v>
      </c>
      <c r="R74" s="557" t="s">
        <v>682</v>
      </c>
      <c r="S74" s="557" t="s">
        <v>682</v>
      </c>
      <c r="T74" s="557" t="s">
        <v>682</v>
      </c>
      <c r="U74" s="557"/>
      <c r="V74" s="557"/>
      <c r="W74" s="557" t="s">
        <v>486</v>
      </c>
      <c r="X74" s="557" t="s">
        <v>484</v>
      </c>
      <c r="Y74" s="557" t="s">
        <v>484</v>
      </c>
      <c r="Z74" s="557" t="s">
        <v>485</v>
      </c>
      <c r="AA74" s="557" t="s">
        <v>485</v>
      </c>
      <c r="AB74" s="1347" t="s">
        <v>486</v>
      </c>
      <c r="AC74" s="1347" t="s">
        <v>486</v>
      </c>
      <c r="AD74" s="557" t="s">
        <v>487</v>
      </c>
      <c r="AE74" s="557" t="s">
        <v>487</v>
      </c>
      <c r="AF74" s="557" t="s">
        <v>487</v>
      </c>
      <c r="AG74" s="557"/>
      <c r="AH74" s="504">
        <v>185</v>
      </c>
      <c r="AI74" s="505">
        <v>37</v>
      </c>
    </row>
    <row r="75" spans="1:35" ht="21.95" customHeight="1" thickBot="1">
      <c r="A75" s="579">
        <v>2</v>
      </c>
      <c r="B75" s="45" t="s">
        <v>489</v>
      </c>
      <c r="C75" s="557" t="s">
        <v>487</v>
      </c>
      <c r="D75" s="557" t="s">
        <v>487</v>
      </c>
      <c r="E75" s="557" t="s">
        <v>487</v>
      </c>
      <c r="F75" s="557" t="s">
        <v>487</v>
      </c>
      <c r="G75" s="557"/>
      <c r="H75" s="557"/>
      <c r="I75" s="1511" t="s">
        <v>682</v>
      </c>
      <c r="J75" s="557" t="s">
        <v>682</v>
      </c>
      <c r="K75" s="557" t="s">
        <v>682</v>
      </c>
      <c r="L75" s="557" t="s">
        <v>682</v>
      </c>
      <c r="M75" s="557" t="s">
        <v>682</v>
      </c>
      <c r="N75" s="557"/>
      <c r="O75" s="557"/>
      <c r="P75" s="557" t="s">
        <v>484</v>
      </c>
      <c r="Q75" s="557" t="s">
        <v>484</v>
      </c>
      <c r="R75" s="557" t="s">
        <v>484</v>
      </c>
      <c r="S75" s="557" t="s">
        <v>486</v>
      </c>
      <c r="T75" s="1368" t="s">
        <v>486</v>
      </c>
      <c r="U75" s="1368" t="s">
        <v>486</v>
      </c>
      <c r="V75" s="1368" t="s">
        <v>486</v>
      </c>
      <c r="W75" s="557" t="s">
        <v>487</v>
      </c>
      <c r="X75" s="557" t="s">
        <v>487</v>
      </c>
      <c r="Y75" s="557" t="s">
        <v>487</v>
      </c>
      <c r="Z75" s="557" t="s">
        <v>487</v>
      </c>
      <c r="AA75" s="557" t="s">
        <v>487</v>
      </c>
      <c r="AB75" s="557"/>
      <c r="AC75" s="557"/>
      <c r="AD75" s="557" t="s">
        <v>682</v>
      </c>
      <c r="AE75" s="557" t="s">
        <v>682</v>
      </c>
      <c r="AF75" s="557" t="s">
        <v>682</v>
      </c>
      <c r="AG75" s="557"/>
      <c r="AH75" s="504">
        <v>185</v>
      </c>
      <c r="AI75" s="505">
        <v>37</v>
      </c>
    </row>
    <row r="76" spans="1:35" ht="21.95" customHeight="1">
      <c r="A76" s="579">
        <v>3</v>
      </c>
      <c r="B76" s="545" t="s">
        <v>721</v>
      </c>
      <c r="C76" s="1368" t="s">
        <v>682</v>
      </c>
      <c r="D76" s="557" t="s">
        <v>682</v>
      </c>
      <c r="E76" s="1209" t="s">
        <v>682</v>
      </c>
      <c r="F76" s="557" t="s">
        <v>682</v>
      </c>
      <c r="G76" s="557"/>
      <c r="H76" s="557"/>
      <c r="I76" s="557" t="s">
        <v>484</v>
      </c>
      <c r="J76" s="557" t="s">
        <v>484</v>
      </c>
      <c r="K76" s="557" t="s">
        <v>484</v>
      </c>
      <c r="L76" s="557" t="s">
        <v>485</v>
      </c>
      <c r="M76" s="557" t="s">
        <v>485</v>
      </c>
      <c r="N76" s="557" t="s">
        <v>486</v>
      </c>
      <c r="O76" s="557" t="s">
        <v>486</v>
      </c>
      <c r="P76" s="557" t="s">
        <v>487</v>
      </c>
      <c r="Q76" s="557" t="s">
        <v>487</v>
      </c>
      <c r="R76" s="557" t="s">
        <v>487</v>
      </c>
      <c r="S76" s="557" t="s">
        <v>487</v>
      </c>
      <c r="T76" s="557" t="s">
        <v>487</v>
      </c>
      <c r="U76" s="557"/>
      <c r="V76" s="557"/>
      <c r="W76" s="557" t="s">
        <v>682</v>
      </c>
      <c r="X76" s="557" t="s">
        <v>682</v>
      </c>
      <c r="Y76" s="557" t="s">
        <v>682</v>
      </c>
      <c r="Z76" s="557" t="s">
        <v>682</v>
      </c>
      <c r="AA76" s="1682" t="s">
        <v>798</v>
      </c>
      <c r="AB76" s="1388"/>
      <c r="AC76" s="557"/>
      <c r="AD76" s="1347" t="s">
        <v>484</v>
      </c>
      <c r="AE76" s="1347" t="s">
        <v>484</v>
      </c>
      <c r="AF76" s="557" t="s">
        <v>484</v>
      </c>
      <c r="AG76" s="557"/>
      <c r="AH76" s="504">
        <v>185</v>
      </c>
      <c r="AI76" s="504">
        <v>37</v>
      </c>
    </row>
    <row r="77" spans="1:35" ht="21.95" customHeight="1"/>
    <row r="78" spans="1:35" ht="21.95" customHeight="1" thickBot="1">
      <c r="A78" s="312" t="s">
        <v>491</v>
      </c>
      <c r="C78" s="559"/>
      <c r="D78" s="559"/>
      <c r="E78" s="559"/>
      <c r="F78" s="559"/>
      <c r="G78" s="559"/>
      <c r="H78" s="559"/>
      <c r="I78" s="559"/>
      <c r="J78" s="559"/>
      <c r="K78" s="559"/>
      <c r="L78" s="559"/>
      <c r="M78" s="559"/>
      <c r="N78" s="559"/>
      <c r="O78" s="559"/>
      <c r="P78" s="559"/>
      <c r="Q78" s="559"/>
      <c r="R78" s="559"/>
      <c r="S78" s="559"/>
      <c r="T78" s="559"/>
      <c r="U78" s="559"/>
      <c r="V78" s="559"/>
      <c r="W78" s="559"/>
      <c r="X78" s="559"/>
      <c r="Y78" s="559"/>
      <c r="Z78" s="559"/>
      <c r="AA78" s="559"/>
      <c r="AB78" s="559"/>
      <c r="AC78" s="559"/>
      <c r="AD78" s="559"/>
      <c r="AE78" s="559"/>
      <c r="AF78" s="559"/>
      <c r="AH78" s="560"/>
      <c r="AI78" s="560"/>
    </row>
    <row r="79" spans="1:35" ht="21.95" customHeight="1">
      <c r="A79" s="580"/>
      <c r="B79" s="23" t="s">
        <v>726</v>
      </c>
      <c r="C79" s="7"/>
      <c r="D79" s="525" t="s">
        <v>2</v>
      </c>
      <c r="E79" s="51"/>
      <c r="F79" s="551"/>
      <c r="G79" s="7"/>
      <c r="H79" s="525" t="s">
        <v>3</v>
      </c>
      <c r="I79" s="51"/>
      <c r="J79" s="551"/>
      <c r="K79" s="7"/>
      <c r="L79" s="525" t="s">
        <v>4</v>
      </c>
      <c r="M79" s="51"/>
      <c r="N79" s="551"/>
      <c r="O79" s="7"/>
      <c r="P79" s="525" t="s">
        <v>5</v>
      </c>
      <c r="Q79" s="51"/>
      <c r="R79" s="551"/>
      <c r="S79" s="7"/>
      <c r="T79" s="525" t="s">
        <v>6</v>
      </c>
      <c r="U79" s="51"/>
      <c r="V79" s="551"/>
      <c r="W79" s="27"/>
      <c r="X79" s="898" t="s">
        <v>7</v>
      </c>
      <c r="Y79" s="522"/>
      <c r="Z79" s="238"/>
      <c r="AA79" s="7"/>
      <c r="AB79" s="525" t="s">
        <v>8</v>
      </c>
      <c r="AC79" s="51"/>
      <c r="AD79" s="51"/>
      <c r="AE79" s="349" t="s">
        <v>9</v>
      </c>
      <c r="AF79" s="51"/>
      <c r="AG79" s="51"/>
      <c r="AH79" s="51"/>
      <c r="AI79" s="526"/>
    </row>
    <row r="80" spans="1:35" ht="21.95" customHeight="1">
      <c r="B80" s="129" t="s">
        <v>164</v>
      </c>
      <c r="C80" s="593" t="s">
        <v>492</v>
      </c>
      <c r="E80" s="157"/>
      <c r="F80" s="568"/>
      <c r="G80" s="567" t="s">
        <v>488</v>
      </c>
      <c r="H80" s="483" t="s">
        <v>493</v>
      </c>
      <c r="I80" s="157"/>
      <c r="J80" s="568"/>
      <c r="K80" s="593" t="s">
        <v>492</v>
      </c>
      <c r="L80" s="483"/>
      <c r="M80" s="483"/>
      <c r="N80" s="592"/>
      <c r="O80" s="593" t="s">
        <v>494</v>
      </c>
      <c r="P80" s="483"/>
      <c r="Q80" s="483"/>
      <c r="R80" s="592"/>
      <c r="S80" s="593" t="s">
        <v>495</v>
      </c>
      <c r="T80" s="483"/>
      <c r="U80" s="483"/>
      <c r="V80" s="477"/>
      <c r="W80" s="899"/>
      <c r="X80" s="900"/>
      <c r="Y80" s="900"/>
      <c r="Z80" s="901"/>
      <c r="AA80" s="569"/>
      <c r="AB80" s="157"/>
      <c r="AC80" s="157"/>
      <c r="AD80" s="569"/>
      <c r="AE80" s="121">
        <v>37</v>
      </c>
      <c r="AG80" s="157"/>
      <c r="AH80" s="569"/>
      <c r="AI80" s="490"/>
    </row>
    <row r="81" spans="1:35" ht="21.95" customHeight="1">
      <c r="B81" s="129" t="s">
        <v>167</v>
      </c>
      <c r="C81" s="593" t="s">
        <v>496</v>
      </c>
      <c r="E81" s="157"/>
      <c r="F81" s="568"/>
      <c r="G81" s="593" t="s">
        <v>496</v>
      </c>
      <c r="I81" s="157"/>
      <c r="J81" s="568"/>
      <c r="K81" s="593" t="s">
        <v>496</v>
      </c>
      <c r="L81" s="157"/>
      <c r="M81" s="157"/>
      <c r="N81" s="568"/>
      <c r="O81" s="593" t="s">
        <v>497</v>
      </c>
      <c r="P81" s="157"/>
      <c r="Q81" s="157"/>
      <c r="R81" s="568"/>
      <c r="S81" s="567" t="s">
        <v>498</v>
      </c>
      <c r="T81" s="157"/>
      <c r="U81" s="157"/>
      <c r="V81" s="568"/>
      <c r="W81" s="610" t="s">
        <v>414</v>
      </c>
      <c r="X81" s="55"/>
      <c r="Y81" s="55"/>
      <c r="Z81" s="55"/>
      <c r="AA81" s="567" t="s">
        <v>28</v>
      </c>
      <c r="AB81" s="567"/>
      <c r="AC81" s="567"/>
      <c r="AD81" s="567"/>
      <c r="AE81" s="155">
        <v>37</v>
      </c>
      <c r="AF81" s="157"/>
      <c r="AG81" s="571"/>
      <c r="AH81" s="572"/>
      <c r="AI81" s="573"/>
    </row>
    <row r="82" spans="1:35" ht="21.95" customHeight="1">
      <c r="B82" s="129" t="s">
        <v>170</v>
      </c>
      <c r="C82" s="1336" t="s">
        <v>499</v>
      </c>
      <c r="D82" s="157"/>
      <c r="E82" s="157"/>
      <c r="F82" s="568"/>
      <c r="G82" s="157" t="s">
        <v>500</v>
      </c>
      <c r="H82" s="157"/>
      <c r="I82" s="157"/>
      <c r="J82" s="568"/>
      <c r="K82" s="1337" t="s">
        <v>501</v>
      </c>
      <c r="L82" s="157"/>
      <c r="M82" s="157"/>
      <c r="N82" s="568"/>
      <c r="O82" s="581" t="s">
        <v>819</v>
      </c>
      <c r="P82" s="157"/>
      <c r="Q82" s="157"/>
      <c r="R82" s="568"/>
      <c r="S82" s="581" t="s">
        <v>819</v>
      </c>
      <c r="T82" s="157"/>
      <c r="U82" s="157"/>
      <c r="V82" s="568"/>
      <c r="W82" s="567"/>
      <c r="X82" s="157"/>
      <c r="Y82" s="157"/>
      <c r="Z82" s="568"/>
      <c r="AA82" s="567"/>
      <c r="AB82" s="157"/>
      <c r="AC82" s="157"/>
      <c r="AD82" s="569"/>
      <c r="AE82" s="570">
        <v>36</v>
      </c>
      <c r="AF82" s="571"/>
      <c r="AG82" s="157"/>
      <c r="AH82" s="569"/>
      <c r="AI82" s="490"/>
    </row>
    <row r="83" spans="1:35" ht="21.95" customHeight="1" thickBot="1">
      <c r="B83" s="47"/>
      <c r="C83" s="574"/>
      <c r="D83" s="53"/>
      <c r="E83" s="53"/>
      <c r="F83" s="575"/>
      <c r="G83" s="574"/>
      <c r="H83" s="53"/>
      <c r="I83" s="53"/>
      <c r="J83" s="575"/>
      <c r="K83" s="574"/>
      <c r="L83" s="53"/>
      <c r="M83" s="53"/>
      <c r="N83" s="575"/>
      <c r="O83" s="574"/>
      <c r="P83" s="53"/>
      <c r="Q83" s="53"/>
      <c r="R83" s="575"/>
      <c r="S83" s="574"/>
      <c r="T83" s="53"/>
      <c r="U83" s="53"/>
      <c r="V83" s="575"/>
      <c r="W83" s="53"/>
      <c r="X83" s="53"/>
      <c r="Y83" s="53"/>
      <c r="Z83" s="53"/>
      <c r="AA83" s="53"/>
      <c r="AB83" s="53"/>
      <c r="AC83" s="53"/>
      <c r="AD83" s="53"/>
      <c r="AE83" s="576"/>
      <c r="AF83" s="53"/>
      <c r="AG83" s="53"/>
      <c r="AH83" s="577"/>
      <c r="AI83" s="539"/>
    </row>
    <row r="84" spans="1:35" ht="21.95" customHeight="1" thickBot="1"/>
    <row r="85" spans="1:35" ht="21.95" customHeight="1">
      <c r="A85" s="556"/>
      <c r="B85" s="297" t="s">
        <v>480</v>
      </c>
      <c r="C85" s="1234">
        <v>1</v>
      </c>
      <c r="D85" s="1234">
        <v>2</v>
      </c>
      <c r="E85" s="1234">
        <v>3</v>
      </c>
      <c r="F85" s="1234">
        <v>4</v>
      </c>
      <c r="G85" s="1235">
        <v>5</v>
      </c>
      <c r="H85" s="1235">
        <v>6</v>
      </c>
      <c r="I85" s="1213">
        <v>7</v>
      </c>
      <c r="J85" s="1213">
        <v>8</v>
      </c>
      <c r="K85" s="1234">
        <v>9</v>
      </c>
      <c r="L85" s="1234">
        <v>10</v>
      </c>
      <c r="M85" s="1234">
        <v>11</v>
      </c>
      <c r="N85" s="1235">
        <v>12</v>
      </c>
      <c r="O85" s="1235">
        <v>13</v>
      </c>
      <c r="P85" s="1213">
        <v>14</v>
      </c>
      <c r="Q85" s="1213">
        <v>15</v>
      </c>
      <c r="R85" s="1234">
        <v>16</v>
      </c>
      <c r="S85" s="1235">
        <v>17</v>
      </c>
      <c r="T85" s="1235">
        <v>18</v>
      </c>
      <c r="U85" s="1235">
        <v>19</v>
      </c>
      <c r="V85" s="1330">
        <v>20</v>
      </c>
      <c r="W85" s="1330">
        <v>21</v>
      </c>
      <c r="X85" s="1213">
        <v>22</v>
      </c>
      <c r="Y85" s="1234">
        <v>23</v>
      </c>
      <c r="Z85" s="1234">
        <v>24</v>
      </c>
      <c r="AA85" s="1234">
        <v>25</v>
      </c>
      <c r="AB85" s="1235">
        <v>26</v>
      </c>
      <c r="AC85" s="1235">
        <v>27</v>
      </c>
      <c r="AD85" s="1213">
        <v>28</v>
      </c>
      <c r="AE85" s="1213">
        <v>29</v>
      </c>
      <c r="AF85" s="1234">
        <v>30</v>
      </c>
      <c r="AG85" s="1234"/>
      <c r="AH85" s="498" t="s">
        <v>481</v>
      </c>
      <c r="AI85" s="499" t="s">
        <v>482</v>
      </c>
    </row>
    <row r="86" spans="1:35" ht="21.95" customHeight="1" thickBot="1">
      <c r="A86" s="579">
        <v>1</v>
      </c>
      <c r="B86" s="153" t="s">
        <v>508</v>
      </c>
      <c r="C86" s="557" t="s">
        <v>506</v>
      </c>
      <c r="D86" s="557" t="s">
        <v>506</v>
      </c>
      <c r="E86" s="557" t="s">
        <v>506</v>
      </c>
      <c r="F86" s="557" t="s">
        <v>506</v>
      </c>
      <c r="G86" s="557"/>
      <c r="H86" s="557"/>
      <c r="I86" s="557" t="s">
        <v>485</v>
      </c>
      <c r="J86" s="557" t="s">
        <v>485</v>
      </c>
      <c r="K86" s="557" t="s">
        <v>485</v>
      </c>
      <c r="L86" s="557" t="s">
        <v>484</v>
      </c>
      <c r="M86" s="557" t="s">
        <v>484</v>
      </c>
      <c r="N86" s="557"/>
      <c r="O86" s="557"/>
      <c r="P86" s="557" t="s">
        <v>488</v>
      </c>
      <c r="Q86" s="557" t="s">
        <v>488</v>
      </c>
      <c r="R86" s="557" t="s">
        <v>488</v>
      </c>
      <c r="S86" s="557" t="s">
        <v>488</v>
      </c>
      <c r="T86" s="557" t="s">
        <v>488</v>
      </c>
      <c r="U86" s="557"/>
      <c r="V86" s="557"/>
      <c r="W86" s="557" t="s">
        <v>506</v>
      </c>
      <c r="X86" s="557" t="s">
        <v>506</v>
      </c>
      <c r="Y86" s="557" t="s">
        <v>506</v>
      </c>
      <c r="Z86" s="557" t="s">
        <v>506</v>
      </c>
      <c r="AA86" s="557" t="s">
        <v>506</v>
      </c>
      <c r="AB86" s="557"/>
      <c r="AC86" s="557"/>
      <c r="AD86" s="557" t="s">
        <v>485</v>
      </c>
      <c r="AE86" s="557" t="s">
        <v>485</v>
      </c>
      <c r="AF86" s="557" t="s">
        <v>485</v>
      </c>
      <c r="AG86" s="557"/>
      <c r="AH86" s="504"/>
      <c r="AI86" s="505" t="s">
        <v>28</v>
      </c>
    </row>
    <row r="87" spans="1:35" ht="21.95" customHeight="1">
      <c r="A87" s="579">
        <v>2</v>
      </c>
      <c r="B87" s="1603" t="s">
        <v>507</v>
      </c>
      <c r="C87" s="1440" t="s">
        <v>485</v>
      </c>
      <c r="D87" s="1440" t="s">
        <v>485</v>
      </c>
      <c r="E87" s="1659" t="s">
        <v>484</v>
      </c>
      <c r="F87" s="1440" t="s">
        <v>484</v>
      </c>
      <c r="G87" s="557"/>
      <c r="H87" s="557"/>
      <c r="I87" s="557" t="s">
        <v>488</v>
      </c>
      <c r="J87" s="557" t="s">
        <v>488</v>
      </c>
      <c r="K87" s="557" t="s">
        <v>488</v>
      </c>
      <c r="L87" s="557" t="s">
        <v>488</v>
      </c>
      <c r="M87" s="557" t="s">
        <v>488</v>
      </c>
      <c r="N87" s="557"/>
      <c r="O87" s="557"/>
      <c r="P87" s="1365" t="s">
        <v>506</v>
      </c>
      <c r="Q87" s="1365" t="s">
        <v>506</v>
      </c>
      <c r="R87" s="1365" t="s">
        <v>506</v>
      </c>
      <c r="S87" s="557" t="s">
        <v>506</v>
      </c>
      <c r="T87" s="557" t="s">
        <v>506</v>
      </c>
      <c r="U87" s="557"/>
      <c r="V87" s="557"/>
      <c r="W87" s="557" t="s">
        <v>485</v>
      </c>
      <c r="X87" s="557" t="s">
        <v>485</v>
      </c>
      <c r="Y87" s="1209" t="s">
        <v>485</v>
      </c>
      <c r="Z87" s="1209" t="s">
        <v>484</v>
      </c>
      <c r="AA87" s="1551" t="s">
        <v>484</v>
      </c>
      <c r="AB87" s="557"/>
      <c r="AC87" s="557"/>
      <c r="AD87" s="557" t="s">
        <v>488</v>
      </c>
      <c r="AE87" s="557" t="s">
        <v>484</v>
      </c>
      <c r="AF87" s="557" t="s">
        <v>488</v>
      </c>
      <c r="AG87" s="557"/>
      <c r="AH87" s="504" t="s">
        <v>28</v>
      </c>
      <c r="AI87" s="505" t="s">
        <v>28</v>
      </c>
    </row>
    <row r="88" spans="1:35" ht="21.95" customHeight="1">
      <c r="A88" s="1602">
        <v>3</v>
      </c>
      <c r="B88" s="1604" t="s">
        <v>505</v>
      </c>
      <c r="C88" s="1365" t="s">
        <v>488</v>
      </c>
      <c r="D88" s="1365" t="s">
        <v>488</v>
      </c>
      <c r="E88" s="1365" t="s">
        <v>488</v>
      </c>
      <c r="F88" s="1365" t="s">
        <v>488</v>
      </c>
      <c r="G88" s="1365"/>
      <c r="H88" s="1365"/>
      <c r="I88" s="1365" t="s">
        <v>506</v>
      </c>
      <c r="J88" s="1365" t="s">
        <v>506</v>
      </c>
      <c r="K88" s="1365" t="s">
        <v>506</v>
      </c>
      <c r="L88" s="1365" t="s">
        <v>506</v>
      </c>
      <c r="M88" s="1365" t="s">
        <v>506</v>
      </c>
      <c r="N88" s="1365"/>
      <c r="O88" s="1365"/>
      <c r="P88" s="1365" t="s">
        <v>485</v>
      </c>
      <c r="Q88" s="1365" t="s">
        <v>485</v>
      </c>
      <c r="R88" s="1365" t="s">
        <v>485</v>
      </c>
      <c r="S88" s="557" t="s">
        <v>484</v>
      </c>
      <c r="T88" s="557" t="s">
        <v>484</v>
      </c>
      <c r="U88" s="557"/>
      <c r="V88" s="557"/>
      <c r="W88" s="557" t="s">
        <v>488</v>
      </c>
      <c r="X88" s="557" t="s">
        <v>488</v>
      </c>
      <c r="Y88" s="557" t="s">
        <v>488</v>
      </c>
      <c r="Z88" s="557" t="s">
        <v>488</v>
      </c>
      <c r="AA88" s="557" t="s">
        <v>488</v>
      </c>
      <c r="AB88" s="557"/>
      <c r="AC88" s="557"/>
      <c r="AD88" s="557" t="s">
        <v>506</v>
      </c>
      <c r="AE88" s="557" t="s">
        <v>506</v>
      </c>
      <c r="AF88" s="557" t="s">
        <v>506</v>
      </c>
      <c r="AG88" s="557"/>
      <c r="AH88" s="504" t="s">
        <v>28</v>
      </c>
      <c r="AI88" s="505" t="s">
        <v>28</v>
      </c>
    </row>
    <row r="89" spans="1:35" ht="21.95" customHeight="1">
      <c r="A89" s="580"/>
      <c r="B89" s="587"/>
      <c r="C89" s="587"/>
      <c r="D89" s="587"/>
      <c r="E89" s="587"/>
      <c r="F89" s="587"/>
      <c r="G89" s="587"/>
      <c r="H89" s="587"/>
      <c r="I89" s="559"/>
      <c r="J89" s="559"/>
      <c r="K89" s="559"/>
      <c r="L89" s="559"/>
      <c r="M89" s="559"/>
      <c r="N89" s="559"/>
      <c r="O89" s="559"/>
      <c r="P89" s="559"/>
      <c r="Q89" s="559"/>
      <c r="R89" s="559"/>
      <c r="S89" s="559"/>
      <c r="T89" s="559"/>
      <c r="U89" s="559"/>
      <c r="V89" s="559"/>
      <c r="W89" s="559"/>
      <c r="X89" s="559"/>
      <c r="Y89" s="559"/>
      <c r="Z89" s="559"/>
      <c r="AA89" s="559"/>
      <c r="AB89" s="559"/>
      <c r="AC89" s="559"/>
      <c r="AD89" s="559"/>
      <c r="AE89" s="559"/>
      <c r="AF89" s="559"/>
      <c r="AH89" s="560"/>
      <c r="AI89" s="560"/>
    </row>
    <row r="90" spans="1:35" ht="21.95" customHeight="1">
      <c r="A90" s="580"/>
      <c r="B90" s="587"/>
      <c r="C90" s="559"/>
      <c r="D90" s="559"/>
      <c r="E90" s="559"/>
      <c r="F90" s="559"/>
      <c r="G90" s="559"/>
      <c r="H90" s="559"/>
      <c r="I90" s="559"/>
      <c r="J90" s="559"/>
      <c r="K90" s="559"/>
      <c r="L90" s="559"/>
      <c r="M90" s="559"/>
      <c r="N90" s="559"/>
      <c r="O90" s="559"/>
      <c r="P90" s="559"/>
      <c r="Q90" s="559"/>
      <c r="R90" s="559"/>
      <c r="S90" s="559"/>
      <c r="T90" s="559"/>
      <c r="U90" s="559"/>
      <c r="V90" s="559"/>
      <c r="W90" s="559"/>
      <c r="X90" s="559"/>
      <c r="Y90" s="559"/>
      <c r="Z90" s="559"/>
      <c r="AA90" s="559"/>
      <c r="AB90" s="559"/>
      <c r="AC90" s="559"/>
      <c r="AD90" s="559"/>
      <c r="AE90" s="559"/>
      <c r="AF90" s="559"/>
      <c r="AG90" s="559"/>
      <c r="AH90" s="560"/>
      <c r="AI90" s="560"/>
    </row>
    <row r="91" spans="1:35" ht="21.95" customHeight="1" thickBot="1">
      <c r="A91" s="1" t="s">
        <v>804</v>
      </c>
      <c r="D91" s="361"/>
      <c r="E91" s="361"/>
      <c r="F91" s="361"/>
      <c r="G91" s="549"/>
      <c r="H91" s="361"/>
      <c r="I91" s="361"/>
      <c r="J91" s="361"/>
      <c r="K91" s="361"/>
      <c r="L91" s="361"/>
      <c r="M91" s="361"/>
      <c r="N91" s="361"/>
      <c r="O91" s="361"/>
      <c r="P91" s="361"/>
      <c r="Q91" s="361"/>
      <c r="R91" s="361"/>
      <c r="S91" s="361"/>
      <c r="T91" s="361"/>
      <c r="U91" s="361"/>
      <c r="V91" s="361"/>
      <c r="W91" s="361"/>
      <c r="X91" s="361"/>
      <c r="Y91" s="361"/>
      <c r="Z91" s="361"/>
      <c r="AA91" s="361"/>
      <c r="AB91" s="361"/>
      <c r="AC91" s="361"/>
      <c r="AD91" s="361"/>
      <c r="AE91" s="361"/>
      <c r="AF91" s="361"/>
      <c r="AG91" s="361"/>
    </row>
    <row r="92" spans="1:35" ht="21.95" customHeight="1">
      <c r="A92" s="1"/>
      <c r="B92" s="23" t="s">
        <v>687</v>
      </c>
      <c r="C92" s="7"/>
      <c r="D92" s="525" t="s">
        <v>2</v>
      </c>
      <c r="E92" s="51"/>
      <c r="F92" s="551"/>
      <c r="G92" s="7"/>
      <c r="H92" s="525" t="s">
        <v>3</v>
      </c>
      <c r="I92" s="51"/>
      <c r="J92" s="551"/>
      <c r="K92" s="7"/>
      <c r="L92" s="525" t="s">
        <v>4</v>
      </c>
      <c r="M92" s="51"/>
      <c r="N92" s="551"/>
      <c r="O92" s="7"/>
      <c r="P92" s="525" t="s">
        <v>5</v>
      </c>
      <c r="Q92" s="51"/>
      <c r="R92" s="551"/>
      <c r="S92" s="7"/>
      <c r="T92" s="525" t="s">
        <v>6</v>
      </c>
      <c r="U92" s="51"/>
      <c r="V92" s="551"/>
      <c r="W92" s="7"/>
      <c r="X92" s="525" t="s">
        <v>7</v>
      </c>
      <c r="Y92" s="51"/>
      <c r="Z92" s="551"/>
      <c r="AA92" s="7"/>
      <c r="AB92" s="525" t="s">
        <v>8</v>
      </c>
      <c r="AC92" s="51"/>
      <c r="AD92" s="51"/>
      <c r="AE92" s="425" t="s">
        <v>10</v>
      </c>
      <c r="AF92" s="51"/>
      <c r="AG92" s="51"/>
      <c r="AH92" s="51"/>
      <c r="AI92" s="526"/>
    </row>
    <row r="93" spans="1:35" ht="21.95" customHeight="1">
      <c r="A93" s="1"/>
      <c r="B93" s="129" t="s">
        <v>164</v>
      </c>
      <c r="C93" s="121" t="s">
        <v>691</v>
      </c>
      <c r="D93" s="157"/>
      <c r="E93" s="157"/>
      <c r="F93" s="568"/>
      <c r="G93" s="121" t="s">
        <v>691</v>
      </c>
      <c r="H93" s="157"/>
      <c r="I93" s="157"/>
      <c r="J93" s="568"/>
      <c r="K93" s="121" t="s">
        <v>691</v>
      </c>
      <c r="L93" s="157"/>
      <c r="M93" s="157"/>
      <c r="N93" s="568"/>
      <c r="O93" s="121" t="s">
        <v>805</v>
      </c>
      <c r="P93" s="157"/>
      <c r="Q93" s="157"/>
      <c r="R93" s="568"/>
      <c r="S93" s="121" t="s">
        <v>162</v>
      </c>
      <c r="T93" s="157"/>
      <c r="U93" s="157"/>
      <c r="V93" s="568"/>
      <c r="W93" s="1243"/>
      <c r="X93" s="581"/>
      <c r="Y93" s="581"/>
      <c r="Z93" s="582"/>
      <c r="AA93" s="567"/>
      <c r="AB93" s="157"/>
      <c r="AC93" s="157"/>
      <c r="AD93" s="569"/>
      <c r="AE93" s="128">
        <v>27</v>
      </c>
      <c r="AF93" s="157"/>
      <c r="AG93" s="157" t="s">
        <v>28</v>
      </c>
      <c r="AH93" s="569"/>
      <c r="AI93" s="490"/>
    </row>
    <row r="94" spans="1:35" ht="21.95" customHeight="1">
      <c r="A94" s="1"/>
      <c r="B94" s="129" t="s">
        <v>167</v>
      </c>
      <c r="C94" s="121" t="s">
        <v>688</v>
      </c>
      <c r="D94" s="157"/>
      <c r="E94" s="157"/>
      <c r="F94" s="568"/>
      <c r="G94" s="121" t="s">
        <v>688</v>
      </c>
      <c r="H94" s="157"/>
      <c r="I94" s="157"/>
      <c r="J94" s="568"/>
      <c r="K94" s="121" t="s">
        <v>688</v>
      </c>
      <c r="L94" s="157"/>
      <c r="M94" s="157"/>
      <c r="N94" s="568"/>
      <c r="O94" s="121" t="s">
        <v>688</v>
      </c>
      <c r="P94" s="157"/>
      <c r="Q94" s="157"/>
      <c r="R94" s="568"/>
      <c r="S94" s="121" t="s">
        <v>691</v>
      </c>
      <c r="T94" s="157"/>
      <c r="U94" s="157"/>
      <c r="V94" s="568"/>
      <c r="W94" s="121"/>
      <c r="X94" s="157"/>
      <c r="Y94" s="157"/>
      <c r="Z94" s="568"/>
      <c r="AA94" s="157"/>
      <c r="AB94" s="157"/>
      <c r="AC94" s="157"/>
      <c r="AD94" s="569"/>
      <c r="AE94" s="128">
        <v>39</v>
      </c>
      <c r="AF94" s="157"/>
      <c r="AG94" s="157"/>
      <c r="AH94" s="569"/>
      <c r="AI94" s="490"/>
    </row>
    <row r="95" spans="1:35" ht="21.95" customHeight="1">
      <c r="A95" s="1"/>
      <c r="B95" s="129" t="s">
        <v>170</v>
      </c>
      <c r="C95" s="121" t="s">
        <v>688</v>
      </c>
      <c r="D95" s="157"/>
      <c r="E95" s="157"/>
      <c r="F95" s="568"/>
      <c r="G95" s="121" t="s">
        <v>688</v>
      </c>
      <c r="H95" s="157"/>
      <c r="I95" s="157"/>
      <c r="J95" s="568"/>
      <c r="K95" s="121" t="s">
        <v>688</v>
      </c>
      <c r="L95" s="157"/>
      <c r="M95" s="157"/>
      <c r="N95" s="568"/>
      <c r="O95" s="121" t="s">
        <v>688</v>
      </c>
      <c r="P95" s="157"/>
      <c r="Q95" s="157"/>
      <c r="R95" s="568"/>
      <c r="S95" s="121" t="s">
        <v>688</v>
      </c>
      <c r="T95" s="157"/>
      <c r="U95" s="157"/>
      <c r="V95" s="568"/>
      <c r="W95" s="588" t="s">
        <v>689</v>
      </c>
      <c r="X95" s="135"/>
      <c r="Y95" s="135"/>
      <c r="Z95" s="584"/>
      <c r="AA95" s="583"/>
      <c r="AB95" s="135"/>
      <c r="AC95" s="135"/>
      <c r="AD95" s="585"/>
      <c r="AE95" s="128">
        <v>45</v>
      </c>
      <c r="AF95" s="157"/>
      <c r="AG95" s="157"/>
      <c r="AH95" s="569"/>
      <c r="AI95" s="490"/>
    </row>
    <row r="96" spans="1:35" ht="21.95" customHeight="1" thickBot="1">
      <c r="A96" s="1"/>
      <c r="B96" s="16" t="s">
        <v>173</v>
      </c>
      <c r="C96" s="57"/>
      <c r="D96" s="53"/>
      <c r="E96" s="53"/>
      <c r="F96" s="575"/>
      <c r="G96" s="57"/>
      <c r="H96" s="53"/>
      <c r="I96" s="53"/>
      <c r="J96" s="575"/>
      <c r="K96" s="57"/>
      <c r="L96" s="53"/>
      <c r="M96" s="53"/>
      <c r="N96" s="575"/>
      <c r="O96" s="57"/>
      <c r="P96" s="53"/>
      <c r="Q96" s="53"/>
      <c r="R96" s="575"/>
      <c r="S96" s="57"/>
      <c r="T96" s="53"/>
      <c r="U96" s="53"/>
      <c r="V96" s="577"/>
      <c r="W96" s="57"/>
      <c r="X96" s="577"/>
      <c r="Y96" s="53"/>
      <c r="Z96" s="575"/>
      <c r="AA96" s="57"/>
      <c r="AB96" s="577"/>
      <c r="AC96" s="53"/>
      <c r="AD96" s="575"/>
      <c r="AE96" s="586"/>
      <c r="AF96" s="53"/>
      <c r="AG96" s="53"/>
      <c r="AH96" s="577"/>
      <c r="AI96" s="539"/>
    </row>
    <row r="97" spans="1:35" ht="21.95" customHeight="1" thickBot="1">
      <c r="A97" s="578"/>
      <c r="B97" s="1"/>
      <c r="C97" s="361"/>
      <c r="D97" s="361"/>
      <c r="E97" s="361"/>
      <c r="F97" s="361"/>
      <c r="G97" s="361"/>
      <c r="H97" s="361"/>
      <c r="I97" s="361"/>
      <c r="J97" s="361"/>
      <c r="K97" s="361"/>
      <c r="L97" s="361"/>
      <c r="M97" s="361"/>
      <c r="N97" s="361"/>
      <c r="O97" s="361"/>
      <c r="P97" s="361"/>
      <c r="Q97" s="361"/>
      <c r="R97" s="361"/>
      <c r="S97" s="361"/>
      <c r="T97" s="361"/>
      <c r="U97" s="361"/>
      <c r="V97" s="361"/>
      <c r="W97" s="361"/>
      <c r="X97" s="361"/>
      <c r="Y97" s="361"/>
      <c r="Z97" s="361"/>
      <c r="AA97" s="361"/>
      <c r="AB97" s="361"/>
      <c r="AC97" s="361"/>
      <c r="AD97" s="361"/>
      <c r="AE97" s="361"/>
      <c r="AF97" s="361"/>
      <c r="AG97" s="361"/>
    </row>
    <row r="98" spans="1:35" ht="21.95" customHeight="1" thickBot="1">
      <c r="A98" s="556"/>
      <c r="B98" s="297" t="s">
        <v>480</v>
      </c>
      <c r="C98" s="1234">
        <v>1</v>
      </c>
      <c r="D98" s="1234">
        <v>2</v>
      </c>
      <c r="E98" s="1234">
        <v>3</v>
      </c>
      <c r="F98" s="1234">
        <v>4</v>
      </c>
      <c r="G98" s="1235">
        <v>5</v>
      </c>
      <c r="H98" s="1235">
        <v>6</v>
      </c>
      <c r="I98" s="1213">
        <v>7</v>
      </c>
      <c r="J98" s="1213">
        <v>8</v>
      </c>
      <c r="K98" s="1234">
        <v>9</v>
      </c>
      <c r="L98" s="1234">
        <v>10</v>
      </c>
      <c r="M98" s="1234">
        <v>11</v>
      </c>
      <c r="N98" s="1235">
        <v>12</v>
      </c>
      <c r="O98" s="1235">
        <v>13</v>
      </c>
      <c r="P98" s="1213">
        <v>14</v>
      </c>
      <c r="Q98" s="1213">
        <v>15</v>
      </c>
      <c r="R98" s="1234">
        <v>16</v>
      </c>
      <c r="S98" s="1235">
        <v>17</v>
      </c>
      <c r="T98" s="1235">
        <v>18</v>
      </c>
      <c r="U98" s="1235">
        <v>19</v>
      </c>
      <c r="V98" s="1330">
        <v>20</v>
      </c>
      <c r="W98" s="1330">
        <v>21</v>
      </c>
      <c r="X98" s="1213">
        <v>22</v>
      </c>
      <c r="Y98" s="1234">
        <v>23</v>
      </c>
      <c r="Z98" s="1234">
        <v>24</v>
      </c>
      <c r="AA98" s="1234">
        <v>25</v>
      </c>
      <c r="AB98" s="1235">
        <v>26</v>
      </c>
      <c r="AC98" s="1235">
        <v>27</v>
      </c>
      <c r="AD98" s="1213">
        <v>28</v>
      </c>
      <c r="AE98" s="1213">
        <v>29</v>
      </c>
      <c r="AF98" s="1234">
        <v>30</v>
      </c>
      <c r="AG98" s="1234"/>
      <c r="AH98" s="498" t="s">
        <v>481</v>
      </c>
      <c r="AI98" s="499" t="s">
        <v>482</v>
      </c>
    </row>
    <row r="99" spans="1:35" ht="21.95" customHeight="1">
      <c r="A99" s="579">
        <v>1</v>
      </c>
      <c r="B99" s="545" t="s">
        <v>692</v>
      </c>
      <c r="C99" s="1354" t="s">
        <v>694</v>
      </c>
      <c r="D99" s="1215" t="s">
        <v>807</v>
      </c>
      <c r="E99" s="1215" t="s">
        <v>807</v>
      </c>
      <c r="F99" s="1215" t="s">
        <v>807</v>
      </c>
      <c r="G99" s="1215"/>
      <c r="H99" s="1215"/>
      <c r="I99" s="1338" t="s">
        <v>808</v>
      </c>
      <c r="J99" s="1338" t="s">
        <v>808</v>
      </c>
      <c r="K99" s="1338" t="s">
        <v>808</v>
      </c>
      <c r="L99" s="1338" t="s">
        <v>808</v>
      </c>
      <c r="M99" s="1338" t="s">
        <v>808</v>
      </c>
      <c r="N99" s="1338" t="s">
        <v>808</v>
      </c>
      <c r="O99" s="1338"/>
      <c r="P99" s="1338" t="s">
        <v>806</v>
      </c>
      <c r="Q99" s="1338" t="s">
        <v>806</v>
      </c>
      <c r="R99" s="1338" t="s">
        <v>806</v>
      </c>
      <c r="S99" s="1215" t="s">
        <v>806</v>
      </c>
      <c r="T99" s="1215" t="s">
        <v>487</v>
      </c>
      <c r="U99" s="1215"/>
      <c r="V99" s="1215"/>
      <c r="W99" s="1215" t="s">
        <v>807</v>
      </c>
      <c r="X99" s="1215" t="s">
        <v>807</v>
      </c>
      <c r="Y99" s="1215" t="s">
        <v>807</v>
      </c>
      <c r="Z99" s="1209" t="s">
        <v>807</v>
      </c>
      <c r="AA99" s="1215" t="s">
        <v>807</v>
      </c>
      <c r="AB99" s="1215"/>
      <c r="AC99" s="1215"/>
      <c r="AD99" s="1215" t="s">
        <v>808</v>
      </c>
      <c r="AE99" s="1354" t="s">
        <v>694</v>
      </c>
      <c r="AF99" s="1215" t="s">
        <v>808</v>
      </c>
      <c r="AG99" s="1215"/>
      <c r="AH99" s="504">
        <v>185</v>
      </c>
      <c r="AI99" s="505">
        <v>37</v>
      </c>
    </row>
    <row r="100" spans="1:35" ht="21.95" customHeight="1" thickBot="1">
      <c r="A100" s="579">
        <v>2</v>
      </c>
      <c r="B100" s="545" t="s">
        <v>681</v>
      </c>
      <c r="C100" s="1215" t="s">
        <v>808</v>
      </c>
      <c r="D100" s="1215" t="s">
        <v>808</v>
      </c>
      <c r="E100" s="1215" t="s">
        <v>808</v>
      </c>
      <c r="F100" s="1215" t="s">
        <v>808</v>
      </c>
      <c r="G100" s="1215" t="s">
        <v>808</v>
      </c>
      <c r="H100" s="1215"/>
      <c r="I100" s="1215" t="s">
        <v>806</v>
      </c>
      <c r="J100" s="1215" t="s">
        <v>806</v>
      </c>
      <c r="K100" s="1215" t="s">
        <v>806</v>
      </c>
      <c r="L100" s="1215" t="s">
        <v>806</v>
      </c>
      <c r="M100" s="1215" t="s">
        <v>487</v>
      </c>
      <c r="N100" s="1215"/>
      <c r="O100" s="1215"/>
      <c r="P100" s="1335" t="s">
        <v>807</v>
      </c>
      <c r="Q100" s="1335" t="s">
        <v>807</v>
      </c>
      <c r="R100" s="1335" t="s">
        <v>807</v>
      </c>
      <c r="S100" s="1215" t="s">
        <v>807</v>
      </c>
      <c r="T100" s="1215" t="s">
        <v>807</v>
      </c>
      <c r="U100" s="1215"/>
      <c r="V100" s="1215"/>
      <c r="W100" s="1215" t="s">
        <v>808</v>
      </c>
      <c r="X100" s="1374" t="s">
        <v>808</v>
      </c>
      <c r="Y100" s="1338" t="s">
        <v>808</v>
      </c>
      <c r="Z100" s="1338" t="s">
        <v>808</v>
      </c>
      <c r="AA100" s="1338" t="s">
        <v>808</v>
      </c>
      <c r="AB100" s="1338" t="s">
        <v>808</v>
      </c>
      <c r="AC100" s="1215"/>
      <c r="AD100" s="1215" t="s">
        <v>806</v>
      </c>
      <c r="AE100" s="1215" t="s">
        <v>806</v>
      </c>
      <c r="AF100" s="1215" t="s">
        <v>806</v>
      </c>
      <c r="AG100" s="1215"/>
      <c r="AH100" s="504">
        <v>185</v>
      </c>
      <c r="AI100" s="505">
        <v>37</v>
      </c>
    </row>
    <row r="101" spans="1:35" ht="21.95" customHeight="1">
      <c r="A101" s="579">
        <v>3</v>
      </c>
      <c r="B101" s="545" t="s">
        <v>412</v>
      </c>
      <c r="C101" s="1215" t="s">
        <v>806</v>
      </c>
      <c r="D101" s="1215" t="s">
        <v>806</v>
      </c>
      <c r="E101" s="1209" t="s">
        <v>806</v>
      </c>
      <c r="F101" s="1215" t="s">
        <v>487</v>
      </c>
      <c r="G101" s="1215"/>
      <c r="H101" s="1215"/>
      <c r="I101" s="1215" t="s">
        <v>807</v>
      </c>
      <c r="J101" s="1215" t="s">
        <v>807</v>
      </c>
      <c r="K101" s="1215" t="s">
        <v>807</v>
      </c>
      <c r="L101" s="1215" t="s">
        <v>807</v>
      </c>
      <c r="M101" s="1215" t="s">
        <v>807</v>
      </c>
      <c r="N101" s="1215"/>
      <c r="O101" s="1215"/>
      <c r="P101" s="1215" t="s">
        <v>808</v>
      </c>
      <c r="Q101" s="1215" t="s">
        <v>808</v>
      </c>
      <c r="R101" s="1215" t="s">
        <v>808</v>
      </c>
      <c r="S101" s="1215" t="s">
        <v>808</v>
      </c>
      <c r="T101" s="1215" t="s">
        <v>808</v>
      </c>
      <c r="U101" s="1215" t="s">
        <v>808</v>
      </c>
      <c r="V101" s="1215"/>
      <c r="W101" s="1215" t="s">
        <v>806</v>
      </c>
      <c r="X101" s="1215" t="s">
        <v>806</v>
      </c>
      <c r="Y101" s="1215" t="s">
        <v>806</v>
      </c>
      <c r="Z101" s="1215" t="s">
        <v>806</v>
      </c>
      <c r="AA101" s="1215" t="s">
        <v>487</v>
      </c>
      <c r="AB101" s="1215"/>
      <c r="AC101" s="1215"/>
      <c r="AD101" s="1215" t="s">
        <v>807</v>
      </c>
      <c r="AE101" s="1215" t="s">
        <v>807</v>
      </c>
      <c r="AF101" s="1215" t="s">
        <v>807</v>
      </c>
      <c r="AG101" s="1215"/>
      <c r="AH101" s="504">
        <v>185</v>
      </c>
      <c r="AI101" s="505">
        <v>37</v>
      </c>
    </row>
    <row r="102" spans="1:35" ht="21.95" customHeight="1">
      <c r="A102" s="579">
        <v>4</v>
      </c>
      <c r="B102" s="545"/>
      <c r="C102" s="1215"/>
      <c r="D102" s="1208"/>
      <c r="E102" s="1215"/>
      <c r="F102" s="1215"/>
      <c r="G102" s="1215"/>
      <c r="H102" s="1215"/>
      <c r="I102" s="1215"/>
      <c r="J102" s="1208"/>
      <c r="K102" s="1208"/>
      <c r="L102" s="1215"/>
      <c r="M102" s="1215"/>
      <c r="N102" s="1215"/>
      <c r="O102" s="1215"/>
      <c r="P102" s="1215"/>
      <c r="Q102" s="1208"/>
      <c r="R102" s="1208"/>
      <c r="S102" s="1208"/>
      <c r="T102" s="1208"/>
      <c r="U102" s="1208"/>
      <c r="V102" s="1208"/>
      <c r="W102" s="1208"/>
      <c r="X102" s="1215"/>
      <c r="Y102" s="1208"/>
      <c r="Z102" s="1215"/>
      <c r="AA102" s="1215"/>
      <c r="AB102" s="1215"/>
      <c r="AC102" s="1215"/>
      <c r="AD102" s="1215"/>
      <c r="AE102" s="1215"/>
      <c r="AF102" s="1208"/>
      <c r="AG102" s="1215"/>
      <c r="AH102" s="504">
        <v>185</v>
      </c>
      <c r="AI102" s="505">
        <v>37</v>
      </c>
    </row>
    <row r="103" spans="1:35" ht="21.95" customHeight="1">
      <c r="A103" s="580"/>
      <c r="B103" s="587"/>
      <c r="C103" s="559"/>
      <c r="D103" s="541"/>
      <c r="E103" s="541"/>
      <c r="F103" s="541"/>
      <c r="G103" s="541"/>
      <c r="H103" s="541"/>
      <c r="I103" s="559"/>
      <c r="J103" s="559"/>
      <c r="K103" s="541"/>
      <c r="L103" s="541"/>
      <c r="M103" s="541"/>
      <c r="N103" s="541"/>
      <c r="O103" s="541"/>
      <c r="P103" s="541"/>
      <c r="Q103" s="559"/>
      <c r="R103" s="541"/>
      <c r="S103" s="1315"/>
      <c r="T103" s="1315"/>
      <c r="U103" s="1315"/>
      <c r="V103" s="1315"/>
      <c r="W103" s="559"/>
      <c r="X103" s="559"/>
      <c r="Y103" s="541"/>
      <c r="Z103" s="541"/>
      <c r="AA103" s="541"/>
      <c r="AB103" s="541"/>
      <c r="AC103" s="541"/>
      <c r="AD103" s="541"/>
      <c r="AE103" s="559"/>
      <c r="AF103" s="541"/>
      <c r="AG103" s="541"/>
      <c r="AH103" s="560"/>
      <c r="AI103" s="560"/>
    </row>
    <row r="104" spans="1:35" ht="21.95" customHeight="1" thickBot="1">
      <c r="A104" s="1303" t="s">
        <v>695</v>
      </c>
      <c r="B104" s="541"/>
      <c r="C104" s="559"/>
      <c r="D104" s="541"/>
      <c r="E104" s="541"/>
      <c r="F104" s="541"/>
      <c r="G104" s="541"/>
      <c r="H104" s="541"/>
      <c r="I104" s="559"/>
      <c r="J104" s="559"/>
      <c r="K104" s="541"/>
      <c r="L104" s="541"/>
      <c r="M104" s="541"/>
      <c r="N104" s="541"/>
      <c r="O104" s="541"/>
      <c r="P104" s="541"/>
      <c r="Q104" s="559"/>
      <c r="R104" s="541"/>
      <c r="S104" s="541"/>
      <c r="T104" s="541"/>
      <c r="U104" s="541"/>
      <c r="V104" s="541"/>
      <c r="W104" s="559"/>
      <c r="X104" s="559"/>
      <c r="Y104" s="541"/>
      <c r="Z104" s="541"/>
      <c r="AA104" s="541"/>
      <c r="AB104" s="541"/>
      <c r="AC104" s="541"/>
      <c r="AD104" s="541"/>
      <c r="AE104" s="559"/>
      <c r="AF104" s="541"/>
      <c r="AG104" s="541"/>
      <c r="AH104" s="560"/>
      <c r="AI104" s="560"/>
    </row>
    <row r="105" spans="1:35" ht="21.95" customHeight="1">
      <c r="A105" s="580"/>
      <c r="B105" s="1304" t="s">
        <v>696</v>
      </c>
      <c r="C105" s="1312"/>
      <c r="D105" s="1305" t="s">
        <v>2</v>
      </c>
      <c r="E105" s="1306"/>
      <c r="F105" s="1307"/>
      <c r="G105" s="1308"/>
      <c r="H105" s="1305" t="s">
        <v>3</v>
      </c>
      <c r="I105" s="1306"/>
      <c r="J105" s="1307"/>
      <c r="K105" s="1308"/>
      <c r="L105" s="1305" t="s">
        <v>4</v>
      </c>
      <c r="M105" s="1306"/>
      <c r="N105" s="1307"/>
      <c r="O105" s="1308"/>
      <c r="P105" s="1305" t="s">
        <v>5</v>
      </c>
      <c r="Q105" s="1306"/>
      <c r="R105" s="1307"/>
      <c r="S105" s="1308"/>
      <c r="T105" s="1305" t="s">
        <v>6</v>
      </c>
      <c r="U105" s="1306"/>
      <c r="V105" s="1307"/>
      <c r="W105" s="1308"/>
      <c r="X105" s="1305" t="s">
        <v>7</v>
      </c>
      <c r="Y105" s="1306"/>
      <c r="Z105" s="1307"/>
      <c r="AA105" s="1308"/>
      <c r="AB105" s="1305" t="s">
        <v>8</v>
      </c>
      <c r="AC105" s="1306"/>
      <c r="AD105" s="1306"/>
      <c r="AE105" s="1309" t="s">
        <v>10</v>
      </c>
      <c r="AF105" s="1306"/>
      <c r="AG105" s="1306"/>
      <c r="AH105" s="1306"/>
      <c r="AI105" s="1310"/>
    </row>
    <row r="106" spans="1:35" ht="21.95" customHeight="1">
      <c r="A106" s="580"/>
      <c r="B106" s="1332" t="s">
        <v>697</v>
      </c>
      <c r="C106" s="1313" t="s">
        <v>698</v>
      </c>
      <c r="D106" s="1331" t="s">
        <v>699</v>
      </c>
      <c r="E106" s="1314"/>
      <c r="F106" s="1311"/>
      <c r="G106" s="1313"/>
      <c r="H106" s="1331" t="s">
        <v>699</v>
      </c>
      <c r="I106" s="1314"/>
      <c r="J106" s="1311"/>
      <c r="K106" s="1313"/>
      <c r="L106" s="1331" t="s">
        <v>699</v>
      </c>
      <c r="M106" s="1314"/>
      <c r="N106" s="1311"/>
      <c r="O106" s="1313"/>
      <c r="P106" s="1331" t="s">
        <v>700</v>
      </c>
      <c r="Q106" s="1314"/>
      <c r="R106" s="1311"/>
      <c r="S106" s="1313"/>
      <c r="T106" s="1331" t="s">
        <v>701</v>
      </c>
      <c r="U106" s="1314"/>
      <c r="V106" s="1311"/>
      <c r="W106" s="1313"/>
      <c r="X106" s="1314"/>
      <c r="Y106" s="1314"/>
      <c r="Z106" s="1311"/>
      <c r="AA106" s="1313"/>
      <c r="AB106" s="1314"/>
      <c r="AC106" s="1314"/>
      <c r="AD106" s="1314"/>
      <c r="AE106" s="1313"/>
      <c r="AF106" s="1314"/>
      <c r="AG106" s="1314"/>
      <c r="AH106" s="1316"/>
      <c r="AI106" s="1317"/>
    </row>
    <row r="107" spans="1:35" ht="21.95" customHeight="1">
      <c r="A107" s="580"/>
      <c r="B107" s="1333" t="s">
        <v>702</v>
      </c>
      <c r="C107" s="1313" t="s">
        <v>683</v>
      </c>
      <c r="D107" s="1331" t="s">
        <v>699</v>
      </c>
      <c r="E107" s="1314"/>
      <c r="F107" s="1311"/>
      <c r="G107" s="1313"/>
      <c r="H107" s="1331" t="s">
        <v>699</v>
      </c>
      <c r="I107" s="1314"/>
      <c r="J107" s="1311"/>
      <c r="K107" s="1313"/>
      <c r="L107" s="1331" t="s">
        <v>699</v>
      </c>
      <c r="M107" s="1314"/>
      <c r="N107" s="1311"/>
      <c r="O107" s="1313"/>
      <c r="P107" s="1331" t="s">
        <v>700</v>
      </c>
      <c r="Q107" s="1314"/>
      <c r="R107" s="1311"/>
      <c r="S107" s="1313"/>
      <c r="T107" s="1331" t="s">
        <v>701</v>
      </c>
      <c r="U107" s="1314"/>
      <c r="V107" s="1311"/>
      <c r="W107" s="1313"/>
      <c r="X107" s="1314"/>
      <c r="Y107" s="1314"/>
      <c r="Z107" s="1311"/>
      <c r="AA107" s="1313"/>
      <c r="AB107" s="1314"/>
      <c r="AC107" s="1314"/>
      <c r="AD107" s="1314"/>
      <c r="AE107" s="1313"/>
      <c r="AF107" s="1314"/>
      <c r="AG107" s="1314"/>
      <c r="AH107" s="1316"/>
      <c r="AI107" s="1317"/>
    </row>
    <row r="108" spans="1:35" ht="21.95" customHeight="1">
      <c r="A108" s="580"/>
      <c r="B108" s="1333" t="s">
        <v>703</v>
      </c>
      <c r="C108" s="1313" t="s">
        <v>547</v>
      </c>
      <c r="D108" s="1331" t="s">
        <v>699</v>
      </c>
      <c r="E108" s="1314"/>
      <c r="F108" s="1311"/>
      <c r="G108" s="1313"/>
      <c r="H108" s="1331" t="s">
        <v>699</v>
      </c>
      <c r="I108" s="1314"/>
      <c r="J108" s="1311"/>
      <c r="K108" s="1313"/>
      <c r="L108" s="1331" t="s">
        <v>699</v>
      </c>
      <c r="M108" s="1314"/>
      <c r="N108" s="1311"/>
      <c r="O108" s="1313"/>
      <c r="P108" s="1331" t="s">
        <v>700</v>
      </c>
      <c r="Q108" s="1314"/>
      <c r="R108" s="1311"/>
      <c r="S108" s="1313"/>
      <c r="T108" s="1331" t="s">
        <v>701</v>
      </c>
      <c r="U108" s="1314"/>
      <c r="V108" s="1311"/>
      <c r="W108" s="1313"/>
      <c r="X108" s="1314"/>
      <c r="Y108" s="1314"/>
      <c r="Z108" s="1311"/>
      <c r="AA108" s="1313"/>
      <c r="AB108" s="1314"/>
      <c r="AC108" s="1314"/>
      <c r="AD108" s="1314"/>
      <c r="AE108" s="1313"/>
      <c r="AF108" s="1314"/>
      <c r="AG108" s="1314"/>
      <c r="AH108" s="1316"/>
      <c r="AI108" s="1317"/>
    </row>
    <row r="109" spans="1:35" ht="21.95" customHeight="1">
      <c r="A109" s="580"/>
      <c r="B109" s="1333" t="s">
        <v>704</v>
      </c>
      <c r="C109" s="1313" t="s">
        <v>685</v>
      </c>
      <c r="D109" s="1331" t="s">
        <v>699</v>
      </c>
      <c r="E109" s="1314"/>
      <c r="F109" s="1311"/>
      <c r="G109" s="1313"/>
      <c r="H109" s="1331" t="s">
        <v>699</v>
      </c>
      <c r="I109" s="1314"/>
      <c r="J109" s="1311"/>
      <c r="K109" s="1313"/>
      <c r="L109" s="1331" t="s">
        <v>699</v>
      </c>
      <c r="M109" s="1314"/>
      <c r="N109" s="1311"/>
      <c r="O109" s="1313"/>
      <c r="P109" s="1331" t="s">
        <v>700</v>
      </c>
      <c r="Q109" s="1314"/>
      <c r="R109" s="1311"/>
      <c r="S109" s="1313"/>
      <c r="T109" s="1331" t="s">
        <v>701</v>
      </c>
      <c r="U109" s="1314"/>
      <c r="V109" s="1311"/>
      <c r="W109" s="1313"/>
      <c r="X109" s="1314"/>
      <c r="Y109" s="1314"/>
      <c r="Z109" s="1311"/>
      <c r="AA109" s="1313"/>
      <c r="AB109" s="1314"/>
      <c r="AC109" s="1314"/>
      <c r="AD109" s="1314"/>
      <c r="AE109" s="1313"/>
      <c r="AF109" s="1314"/>
      <c r="AG109" s="1314"/>
      <c r="AH109" s="1316"/>
      <c r="AI109" s="1317"/>
    </row>
    <row r="110" spans="1:35" ht="21.95" customHeight="1">
      <c r="A110" s="580"/>
      <c r="B110" s="1333" t="s">
        <v>705</v>
      </c>
      <c r="C110" s="1313" t="s">
        <v>684</v>
      </c>
      <c r="D110" s="1331" t="s">
        <v>699</v>
      </c>
      <c r="E110" s="1314"/>
      <c r="F110" s="1311"/>
      <c r="G110" s="1313"/>
      <c r="H110" s="1331" t="s">
        <v>699</v>
      </c>
      <c r="I110" s="1314"/>
      <c r="J110" s="1311"/>
      <c r="K110" s="1313"/>
      <c r="L110" s="1331" t="s">
        <v>699</v>
      </c>
      <c r="M110" s="1314"/>
      <c r="N110" s="1311"/>
      <c r="O110" s="1313"/>
      <c r="P110" s="1331" t="s">
        <v>700</v>
      </c>
      <c r="Q110" s="1314"/>
      <c r="R110" s="1311"/>
      <c r="S110" s="1313"/>
      <c r="T110" s="1331" t="s">
        <v>701</v>
      </c>
      <c r="U110" s="1314"/>
      <c r="V110" s="1311"/>
      <c r="W110" s="1313"/>
      <c r="X110" s="1314"/>
      <c r="Y110" s="1314"/>
      <c r="Z110" s="1311"/>
      <c r="AA110" s="1313"/>
      <c r="AB110" s="1314"/>
      <c r="AC110" s="1314"/>
      <c r="AD110" s="1314"/>
      <c r="AE110" s="1313"/>
      <c r="AF110" s="1314"/>
      <c r="AG110" s="1314"/>
      <c r="AH110" s="1316"/>
      <c r="AI110" s="1317"/>
    </row>
    <row r="111" spans="1:35" ht="21.95" customHeight="1">
      <c r="A111" s="580"/>
      <c r="B111" s="1333" t="s">
        <v>706</v>
      </c>
      <c r="C111" s="1313" t="s">
        <v>539</v>
      </c>
      <c r="D111" s="1331" t="s">
        <v>699</v>
      </c>
      <c r="E111" s="1314"/>
      <c r="F111" s="1311"/>
      <c r="G111" s="1313"/>
      <c r="H111" s="1331" t="s">
        <v>699</v>
      </c>
      <c r="I111" s="1314"/>
      <c r="J111" s="1311"/>
      <c r="K111" s="1313"/>
      <c r="L111" s="1331" t="s">
        <v>699</v>
      </c>
      <c r="M111" s="1314"/>
      <c r="N111" s="1311"/>
      <c r="O111" s="1313"/>
      <c r="P111" s="1331" t="s">
        <v>700</v>
      </c>
      <c r="Q111" s="1314"/>
      <c r="R111" s="1311"/>
      <c r="S111" s="1313"/>
      <c r="T111" s="1331" t="s">
        <v>701</v>
      </c>
      <c r="U111" s="1314"/>
      <c r="V111" s="1311"/>
      <c r="W111" s="1313"/>
      <c r="X111" s="1314"/>
      <c r="Y111" s="1314"/>
      <c r="Z111" s="1311"/>
      <c r="AA111" s="1313"/>
      <c r="AB111" s="1314"/>
      <c r="AC111" s="1314"/>
      <c r="AD111" s="1314"/>
      <c r="AE111" s="1313"/>
      <c r="AF111" s="1314"/>
      <c r="AG111" s="1314"/>
      <c r="AH111" s="1316"/>
      <c r="AI111" s="1317"/>
    </row>
    <row r="112" spans="1:35" ht="21.95" customHeight="1">
      <c r="A112" s="580"/>
      <c r="B112" s="1333" t="s">
        <v>707</v>
      </c>
      <c r="C112" s="1313" t="s">
        <v>540</v>
      </c>
      <c r="D112" s="1331" t="s">
        <v>699</v>
      </c>
      <c r="E112" s="1314"/>
      <c r="F112" s="1311"/>
      <c r="G112" s="1313"/>
      <c r="H112" s="1331" t="s">
        <v>699</v>
      </c>
      <c r="I112" s="1314"/>
      <c r="J112" s="1311"/>
      <c r="K112" s="1313"/>
      <c r="L112" s="1331" t="s">
        <v>699</v>
      </c>
      <c r="M112" s="1314"/>
      <c r="N112" s="1311"/>
      <c r="O112" s="1313"/>
      <c r="P112" s="1331" t="s">
        <v>700</v>
      </c>
      <c r="Q112" s="1314"/>
      <c r="R112" s="1311"/>
      <c r="S112" s="1313"/>
      <c r="T112" s="1331" t="s">
        <v>701</v>
      </c>
      <c r="U112" s="1314"/>
      <c r="V112" s="1311"/>
      <c r="W112" s="1313"/>
      <c r="X112" s="1314"/>
      <c r="Y112" s="1314"/>
      <c r="Z112" s="1311"/>
      <c r="AA112" s="1313"/>
      <c r="AB112" s="1314"/>
      <c r="AC112" s="1314"/>
      <c r="AD112" s="1314"/>
      <c r="AE112" s="1313"/>
      <c r="AF112" s="1314"/>
      <c r="AG112" s="1314"/>
      <c r="AH112" s="1316"/>
      <c r="AI112" s="1317"/>
    </row>
    <row r="113" spans="1:35" ht="21.95" customHeight="1">
      <c r="A113" s="580"/>
      <c r="B113" s="1333" t="s">
        <v>707</v>
      </c>
      <c r="C113" s="1313" t="s">
        <v>708</v>
      </c>
      <c r="D113" s="1331" t="s">
        <v>699</v>
      </c>
      <c r="E113" s="1314"/>
      <c r="F113" s="1311"/>
      <c r="G113" s="1313"/>
      <c r="H113" s="1331" t="s">
        <v>699</v>
      </c>
      <c r="I113" s="1314"/>
      <c r="J113" s="1311"/>
      <c r="K113" s="1313"/>
      <c r="L113" s="1331" t="s">
        <v>699</v>
      </c>
      <c r="M113" s="1314"/>
      <c r="N113" s="1311"/>
      <c r="O113" s="1313"/>
      <c r="P113" s="1331" t="s">
        <v>700</v>
      </c>
      <c r="Q113" s="1314"/>
      <c r="R113" s="1311"/>
      <c r="S113" s="1313"/>
      <c r="T113" s="1331" t="s">
        <v>701</v>
      </c>
      <c r="U113" s="1314"/>
      <c r="V113" s="1311"/>
      <c r="W113" s="1313"/>
      <c r="X113" s="1314"/>
      <c r="Y113" s="1314"/>
      <c r="Z113" s="1311"/>
      <c r="AA113" s="1313"/>
      <c r="AB113" s="1314"/>
      <c r="AC113" s="1314"/>
      <c r="AD113" s="1314"/>
      <c r="AE113" s="1313"/>
      <c r="AF113" s="1314"/>
      <c r="AG113" s="1314"/>
      <c r="AH113" s="1316"/>
      <c r="AI113" s="1317"/>
    </row>
    <row r="114" spans="1:35" ht="21.95" customHeight="1">
      <c r="A114" s="580"/>
      <c r="B114" s="1333" t="s">
        <v>709</v>
      </c>
      <c r="C114" s="1313" t="s">
        <v>538</v>
      </c>
      <c r="D114" s="1331" t="s">
        <v>699</v>
      </c>
      <c r="E114" s="1314"/>
      <c r="F114" s="1311"/>
      <c r="G114" s="1313"/>
      <c r="H114" s="1331" t="s">
        <v>699</v>
      </c>
      <c r="I114" s="1314"/>
      <c r="J114" s="1311"/>
      <c r="K114" s="1313"/>
      <c r="L114" s="1331" t="s">
        <v>699</v>
      </c>
      <c r="M114" s="1314"/>
      <c r="N114" s="1311"/>
      <c r="O114" s="1313"/>
      <c r="P114" s="1331" t="s">
        <v>700</v>
      </c>
      <c r="Q114" s="1314"/>
      <c r="R114" s="1311"/>
      <c r="S114" s="1313"/>
      <c r="T114" s="1331" t="s">
        <v>701</v>
      </c>
      <c r="U114" s="1314"/>
      <c r="V114" s="1311"/>
      <c r="W114" s="1313"/>
      <c r="X114" s="1314"/>
      <c r="Y114" s="1314"/>
      <c r="Z114" s="1311"/>
      <c r="AA114" s="1313"/>
      <c r="AB114" s="1314"/>
      <c r="AC114" s="1314"/>
      <c r="AD114" s="1314"/>
      <c r="AE114" s="1313"/>
      <c r="AF114" s="1314"/>
      <c r="AG114" s="1314"/>
      <c r="AH114" s="1316"/>
      <c r="AI114" s="1317"/>
    </row>
    <row r="115" spans="1:35" ht="21.95" customHeight="1">
      <c r="A115" s="580"/>
      <c r="B115" s="1333" t="s">
        <v>710</v>
      </c>
      <c r="C115" s="1313" t="s">
        <v>711</v>
      </c>
      <c r="D115" s="1331" t="s">
        <v>699</v>
      </c>
      <c r="E115" s="1314"/>
      <c r="F115" s="1311"/>
      <c r="G115" s="1313"/>
      <c r="H115" s="1331" t="s">
        <v>699</v>
      </c>
      <c r="I115" s="1314"/>
      <c r="J115" s="1311"/>
      <c r="K115" s="1313"/>
      <c r="L115" s="1331" t="s">
        <v>699</v>
      </c>
      <c r="M115" s="1314"/>
      <c r="N115" s="1311"/>
      <c r="O115" s="1313"/>
      <c r="P115" s="1331" t="s">
        <v>700</v>
      </c>
      <c r="Q115" s="1314"/>
      <c r="R115" s="1311"/>
      <c r="S115" s="1313"/>
      <c r="T115" s="1331" t="s">
        <v>701</v>
      </c>
      <c r="U115" s="1314"/>
      <c r="V115" s="1311"/>
      <c r="W115" s="1313"/>
      <c r="X115" s="1314"/>
      <c r="Y115" s="1314"/>
      <c r="Z115" s="1311"/>
      <c r="AA115" s="1313"/>
      <c r="AB115" s="1314"/>
      <c r="AC115" s="1314"/>
      <c r="AD115" s="1314"/>
      <c r="AE115" s="1313"/>
      <c r="AF115" s="1314"/>
      <c r="AG115" s="1314"/>
      <c r="AH115" s="1316"/>
      <c r="AI115" s="1317"/>
    </row>
    <row r="116" spans="1:35" ht="21.95" customHeight="1">
      <c r="A116" s="580"/>
      <c r="B116" s="1333" t="s">
        <v>712</v>
      </c>
      <c r="C116" s="1313" t="s">
        <v>544</v>
      </c>
      <c r="D116" s="1331" t="s">
        <v>699</v>
      </c>
      <c r="E116" s="1314"/>
      <c r="F116" s="1311"/>
      <c r="G116" s="1313"/>
      <c r="H116" s="1331" t="s">
        <v>699</v>
      </c>
      <c r="I116" s="1314"/>
      <c r="J116" s="1311"/>
      <c r="K116" s="1313"/>
      <c r="L116" s="1331" t="s">
        <v>699</v>
      </c>
      <c r="M116" s="1314"/>
      <c r="N116" s="1311"/>
      <c r="O116" s="1313"/>
      <c r="P116" s="1331" t="s">
        <v>700</v>
      </c>
      <c r="Q116" s="1314"/>
      <c r="R116" s="1311"/>
      <c r="S116" s="1313"/>
      <c r="T116" s="1331" t="s">
        <v>701</v>
      </c>
      <c r="U116" s="1314"/>
      <c r="V116" s="1311"/>
      <c r="W116" s="1313"/>
      <c r="X116" s="1314"/>
      <c r="Y116" s="1314"/>
      <c r="Z116" s="1311"/>
      <c r="AA116" s="1313"/>
      <c r="AB116" s="1314"/>
      <c r="AC116" s="1314"/>
      <c r="AD116" s="1314"/>
      <c r="AE116" s="1313"/>
      <c r="AF116" s="1314"/>
      <c r="AG116" s="1314"/>
      <c r="AH116" s="1316"/>
      <c r="AI116" s="1317"/>
    </row>
    <row r="117" spans="1:35" ht="21.95" customHeight="1" thickBot="1">
      <c r="A117" s="580"/>
      <c r="B117" s="587"/>
      <c r="C117" s="559"/>
      <c r="D117" s="541"/>
      <c r="E117" s="541"/>
      <c r="F117" s="541"/>
      <c r="G117" s="541"/>
      <c r="H117" s="541"/>
      <c r="I117" s="559"/>
      <c r="J117" s="559"/>
      <c r="K117" s="541"/>
      <c r="L117" s="541"/>
      <c r="M117" s="541"/>
      <c r="N117" s="541"/>
      <c r="O117" s="541"/>
      <c r="P117" s="541"/>
      <c r="Q117" s="559"/>
      <c r="R117" s="541"/>
      <c r="S117" s="541"/>
      <c r="T117" s="541"/>
      <c r="U117" s="541"/>
      <c r="V117" s="541"/>
      <c r="W117" s="559"/>
      <c r="X117" s="559"/>
      <c r="Y117" s="541"/>
      <c r="Z117" s="541"/>
      <c r="AA117" s="541"/>
      <c r="AB117" s="541"/>
      <c r="AC117" s="541"/>
      <c r="AD117" s="541"/>
      <c r="AE117" s="559"/>
      <c r="AF117" s="541"/>
      <c r="AG117" s="541"/>
      <c r="AH117" s="560"/>
      <c r="AI117" s="560"/>
    </row>
    <row r="118" spans="1:35" ht="21.95" customHeight="1" thickBot="1">
      <c r="A118" s="1232"/>
      <c r="B118" s="1298" t="s">
        <v>480</v>
      </c>
      <c r="C118" s="1234">
        <v>1</v>
      </c>
      <c r="D118" s="1234">
        <v>2</v>
      </c>
      <c r="E118" s="1234">
        <v>3</v>
      </c>
      <c r="F118" s="1234">
        <v>4</v>
      </c>
      <c r="G118" s="1235">
        <v>5</v>
      </c>
      <c r="H118" s="1235">
        <v>6</v>
      </c>
      <c r="I118" s="1213">
        <v>7</v>
      </c>
      <c r="J118" s="1213">
        <v>8</v>
      </c>
      <c r="K118" s="1234">
        <v>9</v>
      </c>
      <c r="L118" s="1234">
        <v>10</v>
      </c>
      <c r="M118" s="1234">
        <v>11</v>
      </c>
      <c r="N118" s="1235">
        <v>12</v>
      </c>
      <c r="O118" s="1235">
        <v>13</v>
      </c>
      <c r="P118" s="1213">
        <v>14</v>
      </c>
      <c r="Q118" s="1213">
        <v>15</v>
      </c>
      <c r="R118" s="1234">
        <v>16</v>
      </c>
      <c r="S118" s="1235">
        <v>17</v>
      </c>
      <c r="T118" s="1235">
        <v>18</v>
      </c>
      <c r="U118" s="1235">
        <v>19</v>
      </c>
      <c r="V118" s="1330">
        <v>20</v>
      </c>
      <c r="W118" s="1330">
        <v>21</v>
      </c>
      <c r="X118" s="1213">
        <v>22</v>
      </c>
      <c r="Y118" s="1234">
        <v>23</v>
      </c>
      <c r="Z118" s="1234">
        <v>24</v>
      </c>
      <c r="AA118" s="1234">
        <v>25</v>
      </c>
      <c r="AB118" s="1235">
        <v>26</v>
      </c>
      <c r="AC118" s="1235">
        <v>27</v>
      </c>
      <c r="AD118" s="1213">
        <v>28</v>
      </c>
      <c r="AE118" s="1213">
        <v>29</v>
      </c>
      <c r="AF118" s="1234">
        <v>30</v>
      </c>
      <c r="AG118" s="1234"/>
      <c r="AH118" s="1301" t="s">
        <v>481</v>
      </c>
      <c r="AI118" s="1302" t="s">
        <v>482</v>
      </c>
    </row>
    <row r="119" spans="1:35" ht="21.95" customHeight="1">
      <c r="A119" s="580"/>
      <c r="B119" s="1299" t="s">
        <v>713</v>
      </c>
      <c r="C119" s="1313" t="s">
        <v>698</v>
      </c>
      <c r="D119" s="1313" t="s">
        <v>698</v>
      </c>
      <c r="E119" s="1313" t="s">
        <v>698</v>
      </c>
      <c r="F119" s="1313" t="s">
        <v>698</v>
      </c>
      <c r="G119" s="1313"/>
      <c r="H119" s="1313"/>
      <c r="I119" s="1313" t="s">
        <v>698</v>
      </c>
      <c r="J119" s="1313" t="s">
        <v>698</v>
      </c>
      <c r="K119" s="1313" t="s">
        <v>698</v>
      </c>
      <c r="L119" s="1313" t="s">
        <v>698</v>
      </c>
      <c r="M119" s="1313" t="s">
        <v>698</v>
      </c>
      <c r="N119" s="1313"/>
      <c r="O119" s="1313"/>
      <c r="P119" s="1313" t="s">
        <v>698</v>
      </c>
      <c r="Q119" s="1313" t="s">
        <v>698</v>
      </c>
      <c r="R119" s="1313" t="s">
        <v>698</v>
      </c>
      <c r="S119" s="1313"/>
      <c r="T119" s="1313"/>
      <c r="U119" s="1313"/>
      <c r="V119" s="1313"/>
      <c r="W119" s="1313"/>
      <c r="X119" s="1313" t="s">
        <v>698</v>
      </c>
      <c r="Y119" s="1313" t="s">
        <v>698</v>
      </c>
      <c r="Z119" s="1209" t="s">
        <v>698</v>
      </c>
      <c r="AA119" s="1313" t="s">
        <v>698</v>
      </c>
      <c r="AB119" s="1313"/>
      <c r="AC119" s="1313"/>
      <c r="AD119" s="1313" t="s">
        <v>698</v>
      </c>
      <c r="AE119" s="1313" t="s">
        <v>698</v>
      </c>
      <c r="AF119" s="1313" t="s">
        <v>698</v>
      </c>
      <c r="AG119" s="1313"/>
      <c r="AH119" s="504">
        <v>185</v>
      </c>
      <c r="AI119" s="505">
        <v>37</v>
      </c>
    </row>
    <row r="120" spans="1:35" ht="21.95" customHeight="1">
      <c r="A120" s="580"/>
      <c r="B120" s="1299" t="s">
        <v>714</v>
      </c>
      <c r="C120" s="1313" t="s">
        <v>698</v>
      </c>
      <c r="D120" s="1313" t="s">
        <v>698</v>
      </c>
      <c r="E120" s="1313" t="s">
        <v>698</v>
      </c>
      <c r="F120" s="1313" t="s">
        <v>698</v>
      </c>
      <c r="G120" s="1313"/>
      <c r="H120" s="1313"/>
      <c r="I120" s="1385" t="s">
        <v>698</v>
      </c>
      <c r="J120" s="1385" t="s">
        <v>698</v>
      </c>
      <c r="K120" s="1385" t="s">
        <v>698</v>
      </c>
      <c r="L120" s="1385" t="s">
        <v>698</v>
      </c>
      <c r="M120" s="1385" t="s">
        <v>698</v>
      </c>
      <c r="N120" s="1313"/>
      <c r="O120" s="1313"/>
      <c r="P120" s="1313" t="s">
        <v>698</v>
      </c>
      <c r="Q120" s="1313" t="s">
        <v>698</v>
      </c>
      <c r="R120" s="1313" t="s">
        <v>698</v>
      </c>
      <c r="S120" s="1313"/>
      <c r="T120" s="1313"/>
      <c r="U120" s="1313"/>
      <c r="V120" s="1313"/>
      <c r="W120" s="1313"/>
      <c r="X120" s="1379" t="s">
        <v>698</v>
      </c>
      <c r="Y120" s="1379" t="s">
        <v>698</v>
      </c>
      <c r="Z120" s="1379" t="s">
        <v>698</v>
      </c>
      <c r="AA120" s="1379" t="s">
        <v>698</v>
      </c>
      <c r="AB120" s="1313"/>
      <c r="AC120" s="1313"/>
      <c r="AD120" s="1313" t="s">
        <v>698</v>
      </c>
      <c r="AE120" s="1313" t="s">
        <v>698</v>
      </c>
      <c r="AF120" s="1313" t="s">
        <v>698</v>
      </c>
      <c r="AG120" s="1313"/>
      <c r="AH120" s="504">
        <v>185</v>
      </c>
      <c r="AI120" s="505">
        <v>37</v>
      </c>
    </row>
    <row r="121" spans="1:35" ht="21.95" customHeight="1" thickBot="1">
      <c r="A121" s="580"/>
      <c r="B121" s="1299" t="s">
        <v>715</v>
      </c>
      <c r="C121" s="1313" t="s">
        <v>683</v>
      </c>
      <c r="D121" s="1313" t="s">
        <v>683</v>
      </c>
      <c r="E121" s="1313" t="s">
        <v>683</v>
      </c>
      <c r="F121" s="1313" t="s">
        <v>683</v>
      </c>
      <c r="G121" s="1313"/>
      <c r="H121" s="1313"/>
      <c r="I121" s="1313" t="s">
        <v>683</v>
      </c>
      <c r="J121" s="1313" t="s">
        <v>683</v>
      </c>
      <c r="K121" s="1313" t="s">
        <v>683</v>
      </c>
      <c r="L121" s="1313" t="s">
        <v>683</v>
      </c>
      <c r="M121" s="1313" t="s">
        <v>683</v>
      </c>
      <c r="N121" s="1313"/>
      <c r="O121" s="1313"/>
      <c r="P121" s="1379" t="s">
        <v>683</v>
      </c>
      <c r="Q121" s="1379" t="s">
        <v>683</v>
      </c>
      <c r="R121" s="1379" t="s">
        <v>683</v>
      </c>
      <c r="S121" s="1379"/>
      <c r="T121" s="1379"/>
      <c r="U121" s="1379"/>
      <c r="V121" s="1379"/>
      <c r="W121" s="1379"/>
      <c r="X121" s="1379" t="s">
        <v>683</v>
      </c>
      <c r="Y121" s="1379" t="s">
        <v>683</v>
      </c>
      <c r="Z121" s="1379" t="s">
        <v>683</v>
      </c>
      <c r="AA121" s="1379" t="s">
        <v>683</v>
      </c>
      <c r="AB121" s="1379"/>
      <c r="AC121" s="1379"/>
      <c r="AD121" s="1379" t="s">
        <v>683</v>
      </c>
      <c r="AE121" s="1628" t="s">
        <v>683</v>
      </c>
      <c r="AF121" s="1628" t="s">
        <v>683</v>
      </c>
      <c r="AG121" s="1313"/>
      <c r="AH121" s="504">
        <v>185</v>
      </c>
      <c r="AI121" s="505">
        <v>37</v>
      </c>
    </row>
    <row r="122" spans="1:35" ht="21.95" customHeight="1">
      <c r="A122" s="580"/>
      <c r="B122" s="1299" t="s">
        <v>730</v>
      </c>
      <c r="C122" s="1313" t="s">
        <v>547</v>
      </c>
      <c r="D122" s="1313" t="s">
        <v>547</v>
      </c>
      <c r="E122" s="1313" t="s">
        <v>547</v>
      </c>
      <c r="F122" s="1313" t="s">
        <v>547</v>
      </c>
      <c r="G122" s="1313"/>
      <c r="H122" s="1313"/>
      <c r="I122" s="1313" t="s">
        <v>547</v>
      </c>
      <c r="J122" s="1313" t="s">
        <v>547</v>
      </c>
      <c r="K122" s="1313" t="s">
        <v>547</v>
      </c>
      <c r="L122" s="1313" t="s">
        <v>547</v>
      </c>
      <c r="M122" s="1313" t="s">
        <v>547</v>
      </c>
      <c r="N122" s="1313"/>
      <c r="O122" s="1313"/>
      <c r="P122" s="1313" t="s">
        <v>547</v>
      </c>
      <c r="Q122" s="1313" t="s">
        <v>547</v>
      </c>
      <c r="R122" s="1313" t="s">
        <v>547</v>
      </c>
      <c r="S122" s="1313"/>
      <c r="T122" s="1313"/>
      <c r="U122" s="1313"/>
      <c r="V122" s="1313"/>
      <c r="W122" s="1313"/>
      <c r="X122" s="1313" t="s">
        <v>547</v>
      </c>
      <c r="Y122" s="1313" t="s">
        <v>547</v>
      </c>
      <c r="Z122" s="1209" t="s">
        <v>547</v>
      </c>
      <c r="AA122" s="1313" t="s">
        <v>547</v>
      </c>
      <c r="AB122" s="1313"/>
      <c r="AC122" s="1313"/>
      <c r="AD122" s="1313" t="s">
        <v>547</v>
      </c>
      <c r="AE122" s="1313" t="s">
        <v>547</v>
      </c>
      <c r="AF122" s="1446" t="s">
        <v>547</v>
      </c>
      <c r="AG122" s="1313"/>
      <c r="AH122" s="504">
        <v>185</v>
      </c>
      <c r="AI122" s="505">
        <v>37</v>
      </c>
    </row>
    <row r="123" spans="1:35" ht="21.95" customHeight="1" thickBot="1">
      <c r="A123" s="580"/>
      <c r="B123" s="1300" t="s">
        <v>717</v>
      </c>
      <c r="C123" s="1313" t="s">
        <v>685</v>
      </c>
      <c r="D123" s="1313" t="s">
        <v>685</v>
      </c>
      <c r="E123" s="1313" t="s">
        <v>685</v>
      </c>
      <c r="F123" s="1313" t="s">
        <v>685</v>
      </c>
      <c r="G123" s="1313"/>
      <c r="H123" s="1313"/>
      <c r="I123" s="1313" t="s">
        <v>685</v>
      </c>
      <c r="J123" s="1313" t="s">
        <v>685</v>
      </c>
      <c r="K123" s="1313" t="s">
        <v>685</v>
      </c>
      <c r="L123" s="1313" t="s">
        <v>685</v>
      </c>
      <c r="M123" s="1313" t="s">
        <v>685</v>
      </c>
      <c r="N123" s="1313"/>
      <c r="O123" s="1313"/>
      <c r="P123" s="1313" t="s">
        <v>685</v>
      </c>
      <c r="Q123" s="1313" t="s">
        <v>685</v>
      </c>
      <c r="R123" s="1313" t="s">
        <v>685</v>
      </c>
      <c r="S123" s="1313"/>
      <c r="T123" s="1313"/>
      <c r="U123" s="1313"/>
      <c r="V123" s="1313"/>
      <c r="W123" s="1313"/>
      <c r="X123" s="1313" t="s">
        <v>685</v>
      </c>
      <c r="Y123" s="1313" t="s">
        <v>685</v>
      </c>
      <c r="Z123" s="1313" t="s">
        <v>685</v>
      </c>
      <c r="AA123" s="1679" t="s">
        <v>685</v>
      </c>
      <c r="AB123" s="1313"/>
      <c r="AC123" s="1313"/>
      <c r="AD123" s="1313" t="s">
        <v>685</v>
      </c>
      <c r="AE123" s="1313" t="s">
        <v>685</v>
      </c>
      <c r="AF123" s="1313" t="s">
        <v>685</v>
      </c>
      <c r="AG123" s="1313"/>
      <c r="AH123" s="504">
        <v>185</v>
      </c>
      <c r="AI123" s="505">
        <v>37</v>
      </c>
    </row>
    <row r="124" spans="1:35" ht="21.95" customHeight="1">
      <c r="A124" s="580"/>
      <c r="B124" s="1299" t="s">
        <v>718</v>
      </c>
      <c r="C124" s="1379" t="s">
        <v>684</v>
      </c>
      <c r="D124" s="1379" t="s">
        <v>684</v>
      </c>
      <c r="E124" s="1379" t="s">
        <v>684</v>
      </c>
      <c r="F124" s="1379" t="s">
        <v>684</v>
      </c>
      <c r="G124" s="1379"/>
      <c r="H124" s="1379"/>
      <c r="I124" s="1446" t="s">
        <v>684</v>
      </c>
      <c r="J124" s="1446" t="s">
        <v>684</v>
      </c>
      <c r="K124" s="1446" t="s">
        <v>684</v>
      </c>
      <c r="L124" s="1446" t="s">
        <v>684</v>
      </c>
      <c r="M124" s="1446" t="s">
        <v>684</v>
      </c>
      <c r="N124" s="1313"/>
      <c r="O124" s="1313"/>
      <c r="P124" s="1446" t="s">
        <v>684</v>
      </c>
      <c r="Q124" s="1446" t="s">
        <v>684</v>
      </c>
      <c r="R124" s="1446" t="s">
        <v>684</v>
      </c>
      <c r="S124" s="1446"/>
      <c r="T124" s="1446"/>
      <c r="U124" s="1446"/>
      <c r="V124" s="1446"/>
      <c r="W124" s="1446" t="s">
        <v>796</v>
      </c>
      <c r="X124" s="1313" t="s">
        <v>684</v>
      </c>
      <c r="Y124" s="1313" t="s">
        <v>684</v>
      </c>
      <c r="Z124" s="1209" t="s">
        <v>684</v>
      </c>
      <c r="AA124" s="1313" t="s">
        <v>684</v>
      </c>
      <c r="AB124" s="1313"/>
      <c r="AC124" s="1313"/>
      <c r="AD124" s="1313" t="s">
        <v>684</v>
      </c>
      <c r="AE124" s="1313" t="s">
        <v>684</v>
      </c>
      <c r="AF124" s="1313" t="s">
        <v>684</v>
      </c>
      <c r="AG124" s="1313"/>
      <c r="AH124" s="504">
        <v>185</v>
      </c>
      <c r="AI124" s="505">
        <v>37</v>
      </c>
    </row>
    <row r="125" spans="1:35" ht="21.95" customHeight="1" thickBot="1">
      <c r="A125" s="580"/>
      <c r="B125" s="1300" t="s">
        <v>719</v>
      </c>
      <c r="C125" s="1313" t="s">
        <v>539</v>
      </c>
      <c r="D125" s="1313" t="s">
        <v>539</v>
      </c>
      <c r="E125" s="1313" t="s">
        <v>539</v>
      </c>
      <c r="F125" s="1313" t="s">
        <v>539</v>
      </c>
      <c r="G125" s="1313"/>
      <c r="H125" s="1313"/>
      <c r="I125" s="1313" t="s">
        <v>539</v>
      </c>
      <c r="J125" s="1313" t="s">
        <v>539</v>
      </c>
      <c r="K125" s="1313" t="s">
        <v>539</v>
      </c>
      <c r="L125" s="1379" t="s">
        <v>539</v>
      </c>
      <c r="M125" s="1379" t="s">
        <v>539</v>
      </c>
      <c r="N125" s="1379"/>
      <c r="O125" s="1379"/>
      <c r="P125" s="1379" t="s">
        <v>539</v>
      </c>
      <c r="Q125" s="1379" t="s">
        <v>539</v>
      </c>
      <c r="R125" s="1379" t="s">
        <v>539</v>
      </c>
      <c r="S125" s="1379"/>
      <c r="T125" s="1379"/>
      <c r="U125" s="1379"/>
      <c r="V125" s="1379"/>
      <c r="W125" s="1379"/>
      <c r="X125" s="1379" t="s">
        <v>539</v>
      </c>
      <c r="Y125" s="1379" t="s">
        <v>539</v>
      </c>
      <c r="Z125" s="1379" t="s">
        <v>539</v>
      </c>
      <c r="AA125" s="1628" t="s">
        <v>539</v>
      </c>
      <c r="AB125" s="1313"/>
      <c r="AC125" s="1313"/>
      <c r="AD125" s="1628" t="s">
        <v>539</v>
      </c>
      <c r="AE125" s="1313" t="s">
        <v>539</v>
      </c>
      <c r="AF125" s="1313" t="s">
        <v>539</v>
      </c>
      <c r="AG125" s="1313"/>
      <c r="AH125" s="504">
        <v>185</v>
      </c>
      <c r="AI125" s="505">
        <v>37</v>
      </c>
    </row>
    <row r="126" spans="1:35" ht="21.95" customHeight="1">
      <c r="A126" s="580"/>
      <c r="B126" s="1299" t="s">
        <v>720</v>
      </c>
      <c r="C126" s="1313" t="s">
        <v>540</v>
      </c>
      <c r="D126" s="1313" t="s">
        <v>540</v>
      </c>
      <c r="E126" s="1313" t="s">
        <v>540</v>
      </c>
      <c r="F126" s="1313" t="s">
        <v>540</v>
      </c>
      <c r="G126" s="1313"/>
      <c r="H126" s="1313"/>
      <c r="I126" s="1313" t="s">
        <v>540</v>
      </c>
      <c r="J126" s="1363" t="s">
        <v>540</v>
      </c>
      <c r="K126" s="1363" t="s">
        <v>540</v>
      </c>
      <c r="L126" s="1363" t="s">
        <v>540</v>
      </c>
      <c r="M126" s="1383" t="s">
        <v>540</v>
      </c>
      <c r="N126" s="1313"/>
      <c r="O126" s="1313"/>
      <c r="P126" s="1313" t="s">
        <v>540</v>
      </c>
      <c r="Q126" s="1313" t="s">
        <v>540</v>
      </c>
      <c r="R126" s="1313" t="s">
        <v>540</v>
      </c>
      <c r="S126" s="1313"/>
      <c r="T126" s="1313"/>
      <c r="U126" s="1313"/>
      <c r="V126" s="1313"/>
      <c r="W126" s="1313"/>
      <c r="X126" s="1313" t="s">
        <v>540</v>
      </c>
      <c r="Y126" s="1313" t="s">
        <v>540</v>
      </c>
      <c r="Z126" s="1209" t="s">
        <v>540</v>
      </c>
      <c r="AA126" s="1313" t="s">
        <v>540</v>
      </c>
      <c r="AB126" s="1313"/>
      <c r="AC126" s="1313"/>
      <c r="AD126" s="1313" t="s">
        <v>540</v>
      </c>
      <c r="AE126" s="1313" t="s">
        <v>540</v>
      </c>
      <c r="AF126" s="1313" t="s">
        <v>540</v>
      </c>
      <c r="AG126" s="1313"/>
      <c r="AH126" s="504">
        <v>185</v>
      </c>
      <c r="AI126" s="505">
        <v>37</v>
      </c>
    </row>
    <row r="127" spans="1:35" ht="21.95" customHeight="1">
      <c r="A127" s="580"/>
      <c r="B127" s="1299" t="s">
        <v>572</v>
      </c>
      <c r="C127" s="1313" t="s">
        <v>708</v>
      </c>
      <c r="D127" s="1313" t="s">
        <v>708</v>
      </c>
      <c r="E127" s="1313" t="s">
        <v>708</v>
      </c>
      <c r="F127" s="1313" t="s">
        <v>708</v>
      </c>
      <c r="G127" s="1313"/>
      <c r="H127" s="1313"/>
      <c r="I127" s="1313" t="s">
        <v>708</v>
      </c>
      <c r="J127" s="1313" t="s">
        <v>708</v>
      </c>
      <c r="K127" s="1313" t="s">
        <v>708</v>
      </c>
      <c r="L127" s="1313" t="s">
        <v>708</v>
      </c>
      <c r="M127" s="1313" t="s">
        <v>708</v>
      </c>
      <c r="N127" s="1313"/>
      <c r="O127" s="1313"/>
      <c r="P127" s="1313" t="s">
        <v>708</v>
      </c>
      <c r="Q127" s="1313" t="s">
        <v>708</v>
      </c>
      <c r="R127" s="1313" t="s">
        <v>708</v>
      </c>
      <c r="S127" s="1313"/>
      <c r="T127" s="1313"/>
      <c r="U127" s="1313"/>
      <c r="V127" s="1313"/>
      <c r="W127" s="1313"/>
      <c r="X127" s="1313" t="s">
        <v>708</v>
      </c>
      <c r="Y127" s="1313" t="s">
        <v>708</v>
      </c>
      <c r="Z127" s="1313" t="s">
        <v>708</v>
      </c>
      <c r="AA127" s="1313" t="s">
        <v>708</v>
      </c>
      <c r="AB127" s="1313"/>
      <c r="AC127" s="1313"/>
      <c r="AD127" s="1313" t="s">
        <v>708</v>
      </c>
      <c r="AE127" s="1313" t="s">
        <v>708</v>
      </c>
      <c r="AF127" s="1313" t="s">
        <v>708</v>
      </c>
      <c r="AG127" s="1313"/>
      <c r="AH127" s="504">
        <v>185</v>
      </c>
      <c r="AI127" s="505">
        <v>37</v>
      </c>
    </row>
    <row r="128" spans="1:35" ht="21.95" customHeight="1">
      <c r="A128" s="580"/>
      <c r="B128" s="1299" t="s">
        <v>722</v>
      </c>
      <c r="C128" s="1313" t="s">
        <v>538</v>
      </c>
      <c r="D128" s="1313" t="s">
        <v>538</v>
      </c>
      <c r="E128" s="1313" t="s">
        <v>538</v>
      </c>
      <c r="F128" s="1313" t="s">
        <v>538</v>
      </c>
      <c r="G128" s="1313"/>
      <c r="H128" s="1313"/>
      <c r="I128" s="1313" t="s">
        <v>538</v>
      </c>
      <c r="J128" s="1313" t="s">
        <v>538</v>
      </c>
      <c r="K128" s="1313" t="s">
        <v>538</v>
      </c>
      <c r="L128" s="1313" t="s">
        <v>538</v>
      </c>
      <c r="M128" s="1313" t="s">
        <v>538</v>
      </c>
      <c r="N128" s="1313"/>
      <c r="O128" s="1313"/>
      <c r="P128" s="1313" t="s">
        <v>538</v>
      </c>
      <c r="Q128" s="1313" t="s">
        <v>538</v>
      </c>
      <c r="R128" s="1313" t="s">
        <v>538</v>
      </c>
      <c r="S128" s="1313"/>
      <c r="T128" s="1313"/>
      <c r="U128" s="1313"/>
      <c r="V128" s="1313"/>
      <c r="W128" s="1313"/>
      <c r="X128" s="1684" t="s">
        <v>538</v>
      </c>
      <c r="Y128" s="1684" t="s">
        <v>538</v>
      </c>
      <c r="Z128" s="1684" t="s">
        <v>538</v>
      </c>
      <c r="AA128" s="1684" t="s">
        <v>538</v>
      </c>
      <c r="AB128" s="1313"/>
      <c r="AC128" s="1313"/>
      <c r="AD128" s="1628" t="s">
        <v>538</v>
      </c>
      <c r="AE128" s="1379" t="s">
        <v>538</v>
      </c>
      <c r="AF128" s="1313" t="s">
        <v>538</v>
      </c>
      <c r="AG128" s="1313"/>
      <c r="AH128" s="504">
        <v>185</v>
      </c>
      <c r="AI128" s="505">
        <v>37</v>
      </c>
    </row>
    <row r="129" spans="1:35" ht="21.95" customHeight="1" thickBot="1">
      <c r="A129" s="580"/>
      <c r="B129" s="1299" t="s">
        <v>723</v>
      </c>
      <c r="C129" s="1313" t="s">
        <v>711</v>
      </c>
      <c r="D129" s="1313" t="s">
        <v>711</v>
      </c>
      <c r="E129" s="1313" t="s">
        <v>711</v>
      </c>
      <c r="F129" s="1313" t="s">
        <v>711</v>
      </c>
      <c r="G129" s="1313"/>
      <c r="H129" s="1313"/>
      <c r="I129" s="1313" t="s">
        <v>711</v>
      </c>
      <c r="J129" s="1313" t="s">
        <v>711</v>
      </c>
      <c r="K129" s="1313" t="s">
        <v>790</v>
      </c>
      <c r="L129" s="1313" t="s">
        <v>711</v>
      </c>
      <c r="M129" s="1313" t="s">
        <v>711</v>
      </c>
      <c r="N129" s="1313"/>
      <c r="O129" s="1313"/>
      <c r="P129" s="1379" t="s">
        <v>711</v>
      </c>
      <c r="Q129" s="1379" t="s">
        <v>711</v>
      </c>
      <c r="R129" s="1379" t="s">
        <v>711</v>
      </c>
      <c r="S129" s="1379"/>
      <c r="T129" s="1379"/>
      <c r="U129" s="1379"/>
      <c r="V129" s="1379"/>
      <c r="W129" s="1379"/>
      <c r="X129" s="1379" t="s">
        <v>711</v>
      </c>
      <c r="Y129" s="1379" t="s">
        <v>711</v>
      </c>
      <c r="Z129" s="1379" t="s">
        <v>711</v>
      </c>
      <c r="AA129" s="1379" t="s">
        <v>711</v>
      </c>
      <c r="AB129" s="1379"/>
      <c r="AC129" s="1379"/>
      <c r="AD129" s="1683" t="s">
        <v>711</v>
      </c>
      <c r="AE129" s="1313" t="s">
        <v>711</v>
      </c>
      <c r="AF129" s="1313" t="s">
        <v>711</v>
      </c>
      <c r="AG129" s="1313"/>
      <c r="AH129" s="504">
        <v>185</v>
      </c>
      <c r="AI129" s="505">
        <v>37</v>
      </c>
    </row>
    <row r="130" spans="1:35" ht="21.95" customHeight="1">
      <c r="A130" s="580"/>
      <c r="B130" s="1299" t="s">
        <v>724</v>
      </c>
      <c r="C130" s="1313" t="s">
        <v>544</v>
      </c>
      <c r="D130" s="1313" t="s">
        <v>544</v>
      </c>
      <c r="E130" s="1313" t="s">
        <v>544</v>
      </c>
      <c r="F130" s="1313" t="s">
        <v>544</v>
      </c>
      <c r="G130" s="1313"/>
      <c r="H130" s="1313"/>
      <c r="I130" s="1379" t="s">
        <v>544</v>
      </c>
      <c r="J130" s="1379" t="s">
        <v>544</v>
      </c>
      <c r="K130" s="1379" t="s">
        <v>544</v>
      </c>
      <c r="L130" s="1628" t="s">
        <v>544</v>
      </c>
      <c r="M130" s="1628" t="s">
        <v>544</v>
      </c>
      <c r="N130" s="1313"/>
      <c r="O130" s="1313"/>
      <c r="P130" s="1313" t="s">
        <v>544</v>
      </c>
      <c r="Q130" s="1313" t="s">
        <v>544</v>
      </c>
      <c r="R130" s="1313" t="s">
        <v>544</v>
      </c>
      <c r="S130" s="1313"/>
      <c r="T130" s="1313"/>
      <c r="U130" s="1313"/>
      <c r="V130" s="1313"/>
      <c r="W130" s="1313"/>
      <c r="X130" s="1313" t="s">
        <v>544</v>
      </c>
      <c r="Y130" s="1313" t="s">
        <v>544</v>
      </c>
      <c r="Z130" s="1209" t="s">
        <v>544</v>
      </c>
      <c r="AA130" s="1313" t="s">
        <v>544</v>
      </c>
      <c r="AB130" s="1313"/>
      <c r="AC130" s="1313"/>
      <c r="AD130" s="1313" t="s">
        <v>544</v>
      </c>
      <c r="AE130" s="1313" t="s">
        <v>544</v>
      </c>
      <c r="AF130" s="1313" t="s">
        <v>544</v>
      </c>
      <c r="AG130" s="1313"/>
      <c r="AH130" s="504">
        <v>185</v>
      </c>
      <c r="AI130" s="505">
        <v>37</v>
      </c>
    </row>
    <row r="131" spans="1:35" ht="21.95" customHeight="1">
      <c r="A131" s="580"/>
      <c r="B131" s="1502"/>
      <c r="C131" s="559"/>
      <c r="D131" s="559"/>
      <c r="E131" s="559"/>
      <c r="F131" s="559"/>
      <c r="G131" s="559"/>
      <c r="H131" s="559"/>
      <c r="I131" s="559"/>
      <c r="J131" s="559"/>
      <c r="K131" s="559"/>
      <c r="L131" s="559"/>
      <c r="M131" s="559"/>
      <c r="N131" s="559"/>
      <c r="O131" s="559"/>
      <c r="P131" s="559"/>
      <c r="Q131" s="559"/>
      <c r="R131" s="559"/>
      <c r="S131" s="559"/>
      <c r="T131" s="559"/>
      <c r="U131" s="559"/>
      <c r="V131" s="559"/>
      <c r="W131" s="559"/>
      <c r="X131" s="559"/>
      <c r="Y131" s="559"/>
      <c r="Z131" s="559"/>
      <c r="AA131" s="559"/>
      <c r="AB131" s="559"/>
      <c r="AC131" s="559"/>
      <c r="AD131" s="559"/>
      <c r="AE131" s="559"/>
      <c r="AF131" s="559"/>
      <c r="AG131" s="559"/>
      <c r="AH131" s="560"/>
      <c r="AI131" s="560"/>
    </row>
    <row r="132" spans="1:35" ht="21.95" customHeight="1" thickBot="1">
      <c r="A132" s="1303" t="s">
        <v>744</v>
      </c>
      <c r="B132" s="541" t="s">
        <v>763</v>
      </c>
      <c r="C132" s="559"/>
      <c r="D132" s="541"/>
      <c r="E132" s="541"/>
      <c r="F132" s="541"/>
      <c r="G132" s="541"/>
      <c r="H132" s="541"/>
      <c r="I132" s="559"/>
      <c r="J132" s="559"/>
      <c r="K132" s="541"/>
      <c r="L132" s="541"/>
      <c r="M132" s="541"/>
      <c r="N132" s="541"/>
      <c r="O132" s="541"/>
      <c r="P132" s="541"/>
      <c r="Q132" s="559"/>
      <c r="R132" s="541"/>
      <c r="S132" s="541"/>
      <c r="T132" s="541"/>
      <c r="U132" s="541"/>
      <c r="V132" s="541"/>
      <c r="W132" s="559"/>
      <c r="X132" s="559"/>
      <c r="Y132" s="541"/>
      <c r="Z132" s="541"/>
      <c r="AA132" s="541"/>
      <c r="AB132" s="541"/>
      <c r="AC132" s="541"/>
      <c r="AD132" s="541"/>
      <c r="AE132" s="559"/>
      <c r="AF132" s="541"/>
      <c r="AG132" s="541"/>
      <c r="AH132" s="560"/>
      <c r="AI132" s="560"/>
    </row>
    <row r="133" spans="1:35" ht="21.95" customHeight="1">
      <c r="A133" s="580"/>
      <c r="B133" s="1304" t="s">
        <v>696</v>
      </c>
      <c r="C133" s="1312"/>
      <c r="D133" s="1305" t="s">
        <v>2</v>
      </c>
      <c r="E133" s="1306"/>
      <c r="F133" s="1307"/>
      <c r="G133" s="1308"/>
      <c r="H133" s="1305" t="s">
        <v>3</v>
      </c>
      <c r="I133" s="1306"/>
      <c r="J133" s="1307"/>
      <c r="K133" s="1308"/>
      <c r="L133" s="1305" t="s">
        <v>4</v>
      </c>
      <c r="M133" s="1306"/>
      <c r="N133" s="1307"/>
      <c r="O133" s="1308"/>
      <c r="P133" s="1305" t="s">
        <v>5</v>
      </c>
      <c r="Q133" s="1306"/>
      <c r="R133" s="1307"/>
      <c r="S133" s="1308"/>
      <c r="T133" s="1305" t="s">
        <v>6</v>
      </c>
      <c r="U133" s="1306"/>
      <c r="V133" s="1307"/>
      <c r="W133" s="1308"/>
      <c r="X133" s="1305" t="s">
        <v>7</v>
      </c>
      <c r="Y133" s="1306"/>
      <c r="Z133" s="1307"/>
      <c r="AA133" s="1308"/>
      <c r="AB133" s="1305" t="s">
        <v>8</v>
      </c>
      <c r="AC133" s="1306"/>
      <c r="AD133" s="1306"/>
      <c r="AE133" s="1309" t="s">
        <v>10</v>
      </c>
      <c r="AF133" s="1306"/>
      <c r="AG133" s="1306"/>
      <c r="AH133" s="1306"/>
      <c r="AI133" s="1310"/>
    </row>
    <row r="134" spans="1:35" ht="21.95" customHeight="1">
      <c r="A134" s="580"/>
      <c r="B134" s="1332"/>
      <c r="C134" s="1313"/>
      <c r="D134" s="1331"/>
      <c r="E134" s="1314"/>
      <c r="F134" s="1311"/>
      <c r="G134" s="1313"/>
      <c r="H134" s="1331"/>
      <c r="I134" s="1314"/>
      <c r="J134" s="1311"/>
      <c r="K134" s="1313"/>
      <c r="L134" s="1331"/>
      <c r="M134" s="1314"/>
      <c r="N134" s="1311"/>
      <c r="O134" s="1313"/>
      <c r="P134" s="1331"/>
      <c r="Q134" s="1314"/>
      <c r="R134" s="1311"/>
      <c r="S134" s="1313"/>
      <c r="T134" s="1331"/>
      <c r="U134" s="1314"/>
      <c r="V134" s="1311"/>
      <c r="W134" s="1313"/>
      <c r="X134" s="1314"/>
      <c r="Y134" s="1314"/>
      <c r="Z134" s="1311"/>
      <c r="AA134" s="1313"/>
      <c r="AB134" s="1314"/>
      <c r="AC134" s="1314"/>
      <c r="AD134" s="1314"/>
      <c r="AE134" s="1313"/>
      <c r="AF134" s="1314"/>
      <c r="AG134" s="1314"/>
      <c r="AH134" s="1316"/>
      <c r="AI134" s="1317"/>
    </row>
    <row r="135" spans="1:35" ht="21.95" customHeight="1">
      <c r="A135" s="580"/>
      <c r="B135" s="1333"/>
      <c r="C135" s="1313"/>
      <c r="D135" s="1331"/>
      <c r="E135" s="1314"/>
      <c r="F135" s="1311"/>
      <c r="G135" s="1313"/>
      <c r="H135" s="1331"/>
      <c r="I135" s="1314"/>
      <c r="J135" s="1311"/>
      <c r="K135" s="1313"/>
      <c r="L135" s="1331"/>
      <c r="M135" s="1314"/>
      <c r="N135" s="1311"/>
      <c r="O135" s="1313"/>
      <c r="P135" s="1331"/>
      <c r="Q135" s="1314"/>
      <c r="R135" s="1311"/>
      <c r="S135" s="1313"/>
      <c r="T135" s="1331"/>
      <c r="U135" s="1314"/>
      <c r="V135" s="1311"/>
      <c r="W135" s="1313"/>
      <c r="X135" s="1314"/>
      <c r="Y135" s="1314"/>
      <c r="Z135" s="1311"/>
      <c r="AA135" s="1313"/>
      <c r="AB135" s="1314"/>
      <c r="AC135" s="1314"/>
      <c r="AD135" s="1314"/>
      <c r="AE135" s="1313"/>
      <c r="AF135" s="1314"/>
      <c r="AG135" s="1314"/>
      <c r="AH135" s="1316"/>
      <c r="AI135" s="1317"/>
    </row>
    <row r="136" spans="1:35" ht="21.95" customHeight="1">
      <c r="A136" s="580"/>
      <c r="B136" s="1333"/>
      <c r="C136" s="1313"/>
      <c r="D136" s="1331"/>
      <c r="E136" s="1314"/>
      <c r="F136" s="1311"/>
      <c r="G136" s="1313"/>
      <c r="H136" s="1331"/>
      <c r="I136" s="1314"/>
      <c r="J136" s="1311"/>
      <c r="K136" s="1313"/>
      <c r="L136" s="1331"/>
      <c r="M136" s="1314"/>
      <c r="N136" s="1311"/>
      <c r="O136" s="1313"/>
      <c r="P136" s="1331"/>
      <c r="Q136" s="1314"/>
      <c r="R136" s="1311"/>
      <c r="S136" s="1313"/>
      <c r="T136" s="1331"/>
      <c r="U136" s="1314"/>
      <c r="V136" s="1311"/>
      <c r="W136" s="1313"/>
      <c r="X136" s="1314"/>
      <c r="Y136" s="1314"/>
      <c r="Z136" s="1311"/>
      <c r="AA136" s="1313"/>
      <c r="AB136" s="1314"/>
      <c r="AC136" s="1314"/>
      <c r="AD136" s="1314"/>
      <c r="AE136" s="1313"/>
      <c r="AF136" s="1314"/>
      <c r="AG136" s="1314"/>
      <c r="AH136" s="1316"/>
      <c r="AI136" s="1317"/>
    </row>
    <row r="137" spans="1:35" ht="21.75" customHeight="1" thickBot="1">
      <c r="A137" s="580"/>
      <c r="B137" s="1502"/>
      <c r="C137" s="559"/>
      <c r="D137" s="559"/>
      <c r="E137" s="559"/>
      <c r="F137" s="559"/>
      <c r="G137" s="559"/>
      <c r="H137" s="559"/>
      <c r="I137" s="559"/>
      <c r="J137" s="559"/>
      <c r="K137" s="559"/>
      <c r="L137" s="559"/>
      <c r="M137" s="559"/>
      <c r="N137" s="559"/>
      <c r="O137" s="559"/>
      <c r="P137" s="559"/>
      <c r="Q137" s="559"/>
      <c r="R137" s="559"/>
      <c r="S137" s="559"/>
      <c r="T137" s="559"/>
      <c r="U137" s="559"/>
      <c r="V137" s="559"/>
      <c r="W137" s="559"/>
      <c r="X137" s="559"/>
      <c r="Y137" s="559"/>
      <c r="Z137" s="559"/>
      <c r="AA137" s="559"/>
      <c r="AB137" s="559"/>
      <c r="AC137" s="559"/>
      <c r="AD137" s="559"/>
      <c r="AE137" s="559"/>
      <c r="AF137" s="559"/>
      <c r="AG137" s="559"/>
      <c r="AH137" s="560"/>
      <c r="AI137" s="560"/>
    </row>
    <row r="138" spans="1:35" ht="21.95" customHeight="1">
      <c r="A138" s="1232"/>
      <c r="B138" s="1298" t="s">
        <v>480</v>
      </c>
      <c r="C138" s="1234">
        <v>1</v>
      </c>
      <c r="D138" s="1234">
        <v>2</v>
      </c>
      <c r="E138" s="1234">
        <v>3</v>
      </c>
      <c r="F138" s="1234">
        <v>4</v>
      </c>
      <c r="G138" s="1235">
        <v>5</v>
      </c>
      <c r="H138" s="1235">
        <v>6</v>
      </c>
      <c r="I138" s="1213">
        <v>7</v>
      </c>
      <c r="J138" s="1213">
        <v>8</v>
      </c>
      <c r="K138" s="1234">
        <v>9</v>
      </c>
      <c r="L138" s="1234">
        <v>10</v>
      </c>
      <c r="M138" s="1234">
        <v>11</v>
      </c>
      <c r="N138" s="1235">
        <v>12</v>
      </c>
      <c r="O138" s="1235">
        <v>13</v>
      </c>
      <c r="P138" s="1213">
        <v>14</v>
      </c>
      <c r="Q138" s="1213">
        <v>15</v>
      </c>
      <c r="R138" s="1234">
        <v>16</v>
      </c>
      <c r="S138" s="1235">
        <v>17</v>
      </c>
      <c r="T138" s="1235">
        <v>18</v>
      </c>
      <c r="U138" s="1235">
        <v>19</v>
      </c>
      <c r="V138" s="1330">
        <v>20</v>
      </c>
      <c r="W138" s="1330">
        <v>21</v>
      </c>
      <c r="X138" s="1213">
        <v>22</v>
      </c>
      <c r="Y138" s="1234">
        <v>23</v>
      </c>
      <c r="Z138" s="1234">
        <v>24</v>
      </c>
      <c r="AA138" s="1234">
        <v>25</v>
      </c>
      <c r="AB138" s="1235">
        <v>26</v>
      </c>
      <c r="AC138" s="1235">
        <v>27</v>
      </c>
      <c r="AD138" s="1213">
        <v>28</v>
      </c>
      <c r="AE138" s="1213">
        <v>29</v>
      </c>
      <c r="AF138" s="1234">
        <v>30</v>
      </c>
      <c r="AG138" s="1234"/>
      <c r="AH138" s="1301" t="s">
        <v>481</v>
      </c>
      <c r="AI138" s="1302" t="s">
        <v>482</v>
      </c>
    </row>
    <row r="139" spans="1:35" ht="21.95" customHeight="1" thickBot="1">
      <c r="A139" s="580"/>
      <c r="B139" s="1300" t="s">
        <v>746</v>
      </c>
      <c r="C139" s="1215" t="s">
        <v>535</v>
      </c>
      <c r="D139" s="1215" t="s">
        <v>535</v>
      </c>
      <c r="E139" s="1215" t="s">
        <v>535</v>
      </c>
      <c r="F139" s="1215" t="s">
        <v>535</v>
      </c>
      <c r="G139" s="1215"/>
      <c r="H139" s="1215"/>
      <c r="I139" s="1215" t="s">
        <v>535</v>
      </c>
      <c r="J139" s="1215" t="s">
        <v>535</v>
      </c>
      <c r="K139" s="1215" t="s">
        <v>535</v>
      </c>
      <c r="L139" s="1215" t="s">
        <v>535</v>
      </c>
      <c r="M139" s="1215" t="s">
        <v>535</v>
      </c>
      <c r="N139" s="1215"/>
      <c r="O139" s="1215"/>
      <c r="P139" s="1215" t="s">
        <v>535</v>
      </c>
      <c r="Q139" s="1215" t="s">
        <v>535</v>
      </c>
      <c r="R139" s="1215" t="s">
        <v>535</v>
      </c>
      <c r="S139" s="1215"/>
      <c r="T139" s="1215"/>
      <c r="U139" s="1215"/>
      <c r="V139" s="1215"/>
      <c r="W139" s="1215"/>
      <c r="X139" s="1215" t="s">
        <v>535</v>
      </c>
      <c r="Y139" s="1215" t="s">
        <v>535</v>
      </c>
      <c r="Z139" s="1215" t="s">
        <v>535</v>
      </c>
      <c r="AA139" s="1215" t="s">
        <v>535</v>
      </c>
      <c r="AB139" s="1215"/>
      <c r="AC139" s="1215"/>
      <c r="AD139" s="1215" t="s">
        <v>535</v>
      </c>
      <c r="AE139" s="1215" t="s">
        <v>535</v>
      </c>
      <c r="AF139" s="1215" t="s">
        <v>535</v>
      </c>
      <c r="AG139" s="1313"/>
      <c r="AH139" s="504">
        <v>185</v>
      </c>
      <c r="AI139" s="505">
        <v>37</v>
      </c>
    </row>
    <row r="140" spans="1:35" ht="21.95" customHeight="1">
      <c r="A140" s="580"/>
      <c r="B140" s="1300" t="s">
        <v>764</v>
      </c>
      <c r="C140" s="1215" t="s">
        <v>535</v>
      </c>
      <c r="D140" s="1215" t="s">
        <v>535</v>
      </c>
      <c r="E140" s="1209" t="s">
        <v>514</v>
      </c>
      <c r="F140" s="1215" t="s">
        <v>535</v>
      </c>
      <c r="G140" s="1215"/>
      <c r="H140" s="1215"/>
      <c r="I140" s="1215" t="s">
        <v>535</v>
      </c>
      <c r="J140" s="1215" t="s">
        <v>535</v>
      </c>
      <c r="K140" s="1215" t="s">
        <v>535</v>
      </c>
      <c r="L140" s="1215" t="s">
        <v>535</v>
      </c>
      <c r="M140" s="1215" t="s">
        <v>535</v>
      </c>
      <c r="N140" s="1215"/>
      <c r="O140" s="1215"/>
      <c r="P140" s="1215" t="s">
        <v>535</v>
      </c>
      <c r="Q140" s="1215" t="s">
        <v>535</v>
      </c>
      <c r="R140" s="1215" t="s">
        <v>535</v>
      </c>
      <c r="S140" s="1215"/>
      <c r="T140" s="1215"/>
      <c r="U140" s="1215"/>
      <c r="V140" s="1215"/>
      <c r="W140" s="1215"/>
      <c r="X140" s="1215" t="s">
        <v>535</v>
      </c>
      <c r="Y140" s="1215" t="s">
        <v>535</v>
      </c>
      <c r="Z140" s="1215" t="s">
        <v>535</v>
      </c>
      <c r="AA140" s="1215" t="s">
        <v>535</v>
      </c>
      <c r="AB140" s="1215"/>
      <c r="AC140" s="1215"/>
      <c r="AD140" s="1215" t="s">
        <v>535</v>
      </c>
      <c r="AE140" s="1215" t="s">
        <v>535</v>
      </c>
      <c r="AF140" s="1215" t="s">
        <v>535</v>
      </c>
      <c r="AG140" s="1313"/>
      <c r="AH140" s="504">
        <v>185</v>
      </c>
      <c r="AI140" s="505">
        <v>37</v>
      </c>
    </row>
    <row r="141" spans="1:35" ht="21.95" customHeight="1" thickBot="1">
      <c r="A141" s="580"/>
      <c r="B141" s="1300" t="s">
        <v>748</v>
      </c>
      <c r="C141" s="1215" t="s">
        <v>535</v>
      </c>
      <c r="D141" s="1215" t="s">
        <v>535</v>
      </c>
      <c r="E141" s="1215" t="s">
        <v>535</v>
      </c>
      <c r="F141" s="1215" t="s">
        <v>535</v>
      </c>
      <c r="G141" s="1215"/>
      <c r="H141" s="1215"/>
      <c r="I141" s="1215" t="s">
        <v>535</v>
      </c>
      <c r="J141" s="1215" t="s">
        <v>535</v>
      </c>
      <c r="K141" s="1215" t="s">
        <v>535</v>
      </c>
      <c r="L141" s="1215" t="s">
        <v>535</v>
      </c>
      <c r="M141" s="1215" t="s">
        <v>535</v>
      </c>
      <c r="N141" s="1215"/>
      <c r="O141" s="1215"/>
      <c r="P141" s="1215" t="s">
        <v>535</v>
      </c>
      <c r="Q141" s="1215" t="s">
        <v>535</v>
      </c>
      <c r="R141" s="1215" t="s">
        <v>535</v>
      </c>
      <c r="S141" s="1215"/>
      <c r="T141" s="1215"/>
      <c r="U141" s="1215"/>
      <c r="V141" s="1215"/>
      <c r="W141" s="1215"/>
      <c r="X141" s="1338" t="s">
        <v>535</v>
      </c>
      <c r="Y141" s="1338" t="s">
        <v>535</v>
      </c>
      <c r="Z141" s="1338" t="s">
        <v>535</v>
      </c>
      <c r="AA141" s="1338" t="s">
        <v>535</v>
      </c>
      <c r="AB141" s="1215"/>
      <c r="AC141" s="1215"/>
      <c r="AD141" s="1215" t="s">
        <v>535</v>
      </c>
      <c r="AE141" s="1215" t="s">
        <v>535</v>
      </c>
      <c r="AF141" s="1215" t="s">
        <v>535</v>
      </c>
      <c r="AG141" s="1313"/>
      <c r="AH141" s="504">
        <v>185</v>
      </c>
      <c r="AI141" s="505">
        <v>37</v>
      </c>
    </row>
    <row r="142" spans="1:35" ht="21.95" customHeight="1">
      <c r="A142" s="580"/>
      <c r="B142" s="1664" t="s">
        <v>826</v>
      </c>
      <c r="C142" s="1215" t="s">
        <v>535</v>
      </c>
      <c r="D142" s="1215" t="s">
        <v>535</v>
      </c>
      <c r="E142" s="1215" t="s">
        <v>535</v>
      </c>
      <c r="F142" s="1215" t="s">
        <v>535</v>
      </c>
      <c r="G142" s="1215"/>
      <c r="H142" s="1215"/>
      <c r="I142" s="1215" t="s">
        <v>535</v>
      </c>
      <c r="J142" s="1215" t="s">
        <v>535</v>
      </c>
      <c r="K142" s="1344" t="s">
        <v>535</v>
      </c>
      <c r="L142" s="1344" t="s">
        <v>535</v>
      </c>
      <c r="M142" s="1344" t="s">
        <v>535</v>
      </c>
      <c r="N142" s="1344"/>
      <c r="O142" s="1344"/>
      <c r="P142" s="1344" t="s">
        <v>535</v>
      </c>
      <c r="Q142" s="1344" t="s">
        <v>535</v>
      </c>
      <c r="R142" s="1344" t="s">
        <v>535</v>
      </c>
      <c r="S142" s="1344"/>
      <c r="T142" s="1344"/>
      <c r="U142" s="1344"/>
      <c r="V142" s="1344"/>
      <c r="W142" s="1344"/>
      <c r="X142" s="1344" t="s">
        <v>535</v>
      </c>
      <c r="Y142" s="1344" t="s">
        <v>535</v>
      </c>
      <c r="Z142" s="1209" t="s">
        <v>514</v>
      </c>
      <c r="AA142" s="1344" t="s">
        <v>535</v>
      </c>
      <c r="AB142" s="1215"/>
      <c r="AC142" s="1215"/>
      <c r="AD142" s="1215" t="s">
        <v>535</v>
      </c>
      <c r="AE142" s="1215" t="s">
        <v>535</v>
      </c>
      <c r="AF142" s="1215" t="s">
        <v>535</v>
      </c>
      <c r="AG142" s="1313"/>
      <c r="AH142" s="504">
        <v>185</v>
      </c>
      <c r="AI142" s="505">
        <v>37</v>
      </c>
    </row>
    <row r="143" spans="1:35" ht="21.95" customHeight="1" thickBot="1">
      <c r="A143" s="580"/>
      <c r="B143" s="1300" t="s">
        <v>786</v>
      </c>
      <c r="C143" s="1215" t="s">
        <v>535</v>
      </c>
      <c r="D143" s="1215" t="s">
        <v>535</v>
      </c>
      <c r="E143" s="1215" t="s">
        <v>535</v>
      </c>
      <c r="F143" s="1215" t="s">
        <v>535</v>
      </c>
      <c r="G143" s="1215"/>
      <c r="H143" s="1215"/>
      <c r="I143" s="1215" t="s">
        <v>535</v>
      </c>
      <c r="J143" s="1215" t="s">
        <v>535</v>
      </c>
      <c r="K143" s="1215" t="s">
        <v>535</v>
      </c>
      <c r="L143" s="1215" t="s">
        <v>535</v>
      </c>
      <c r="M143" s="1215" t="s">
        <v>535</v>
      </c>
      <c r="N143" s="1215"/>
      <c r="O143" s="1215"/>
      <c r="P143" s="1215" t="s">
        <v>535</v>
      </c>
      <c r="Q143" s="1215" t="s">
        <v>535</v>
      </c>
      <c r="R143" s="1215" t="s">
        <v>535</v>
      </c>
      <c r="S143" s="1215"/>
      <c r="T143" s="1215"/>
      <c r="U143" s="1215"/>
      <c r="V143" s="1215"/>
      <c r="W143" s="1215"/>
      <c r="X143" s="1215" t="s">
        <v>535</v>
      </c>
      <c r="Y143" s="1215" t="s">
        <v>535</v>
      </c>
      <c r="Z143" s="1215" t="s">
        <v>535</v>
      </c>
      <c r="AA143" s="1215" t="s">
        <v>535</v>
      </c>
      <c r="AB143" s="1215"/>
      <c r="AC143" s="1215"/>
      <c r="AD143" s="1215" t="s">
        <v>535</v>
      </c>
      <c r="AE143" s="1392" t="s">
        <v>570</v>
      </c>
      <c r="AF143" s="1344" t="s">
        <v>535</v>
      </c>
      <c r="AG143" s="1313"/>
      <c r="AH143" s="504">
        <v>185</v>
      </c>
      <c r="AI143" s="505">
        <v>37</v>
      </c>
    </row>
    <row r="144" spans="1:35" ht="21.95" customHeight="1" thickBot="1">
      <c r="A144" s="580"/>
      <c r="B144" s="1663" t="s">
        <v>820</v>
      </c>
      <c r="C144" s="1219" t="s">
        <v>535</v>
      </c>
      <c r="D144" s="1219" t="s">
        <v>535</v>
      </c>
      <c r="E144" s="1209" t="s">
        <v>514</v>
      </c>
      <c r="F144" s="1219" t="s">
        <v>535</v>
      </c>
      <c r="G144" s="1219"/>
      <c r="H144" s="1219"/>
      <c r="I144" s="1219" t="s">
        <v>535</v>
      </c>
      <c r="J144" s="1219" t="s">
        <v>535</v>
      </c>
      <c r="K144" s="1219" t="s">
        <v>535</v>
      </c>
      <c r="L144" s="1677" t="s">
        <v>535</v>
      </c>
      <c r="M144" s="1677" t="s">
        <v>535</v>
      </c>
      <c r="N144" s="1219"/>
      <c r="O144" s="1219"/>
      <c r="P144" s="1219" t="s">
        <v>535</v>
      </c>
      <c r="Q144" s="1219" t="s">
        <v>535</v>
      </c>
      <c r="R144" s="1219" t="s">
        <v>535</v>
      </c>
      <c r="S144" s="1219"/>
      <c r="T144" s="1219"/>
      <c r="U144" s="1219"/>
      <c r="V144" s="1219"/>
      <c r="W144" s="1219"/>
      <c r="X144" s="1219" t="s">
        <v>535</v>
      </c>
      <c r="Y144" s="1219" t="s">
        <v>535</v>
      </c>
      <c r="Z144" s="1219" t="s">
        <v>535</v>
      </c>
      <c r="AA144" s="1219" t="s">
        <v>535</v>
      </c>
      <c r="AB144" s="1219"/>
      <c r="AC144" s="1219"/>
      <c r="AD144" s="1219" t="s">
        <v>535</v>
      </c>
      <c r="AE144" s="1677" t="s">
        <v>535</v>
      </c>
      <c r="AF144" s="1677" t="s">
        <v>535</v>
      </c>
      <c r="AG144" s="1666"/>
      <c r="AH144" s="603">
        <v>185</v>
      </c>
      <c r="AI144" s="604">
        <v>37</v>
      </c>
    </row>
    <row r="145" spans="1:36" ht="21.95" customHeight="1">
      <c r="A145" s="580"/>
      <c r="B145" s="1665" t="s">
        <v>834</v>
      </c>
      <c r="C145" s="1229" t="s">
        <v>535</v>
      </c>
      <c r="D145" s="1229" t="s">
        <v>535</v>
      </c>
      <c r="E145" s="1229" t="s">
        <v>535</v>
      </c>
      <c r="F145" s="1229" t="s">
        <v>535</v>
      </c>
      <c r="G145" s="1229"/>
      <c r="H145" s="1229"/>
      <c r="I145" s="1229" t="s">
        <v>535</v>
      </c>
      <c r="J145" s="1229" t="s">
        <v>535</v>
      </c>
      <c r="K145" s="1229" t="s">
        <v>535</v>
      </c>
      <c r="L145" s="1229" t="s">
        <v>535</v>
      </c>
      <c r="M145" s="1229" t="s">
        <v>535</v>
      </c>
      <c r="N145" s="1229"/>
      <c r="O145" s="1229"/>
      <c r="P145" s="1229" t="s">
        <v>535</v>
      </c>
      <c r="Q145" s="1229" t="s">
        <v>535</v>
      </c>
      <c r="R145" s="1229" t="s">
        <v>535</v>
      </c>
      <c r="S145" s="1229"/>
      <c r="T145" s="1229"/>
      <c r="U145" s="1229"/>
      <c r="V145" s="1229"/>
      <c r="W145" s="1229"/>
      <c r="X145" s="1229" t="s">
        <v>535</v>
      </c>
      <c r="Y145" s="1229" t="s">
        <v>535</v>
      </c>
      <c r="Z145" s="1209" t="s">
        <v>514</v>
      </c>
      <c r="AA145" s="1229" t="s">
        <v>535</v>
      </c>
      <c r="AB145" s="1229"/>
      <c r="AC145" s="1229"/>
      <c r="AD145" s="1229" t="s">
        <v>535</v>
      </c>
      <c r="AE145" s="1229" t="s">
        <v>535</v>
      </c>
      <c r="AF145" s="1229" t="s">
        <v>535</v>
      </c>
      <c r="AG145" s="1567"/>
      <c r="AH145" s="1667">
        <v>185</v>
      </c>
      <c r="AI145" s="604">
        <v>37</v>
      </c>
    </row>
    <row r="146" spans="1:36" ht="21.95" customHeight="1" thickBot="1">
      <c r="A146" s="1303" t="s">
        <v>751</v>
      </c>
      <c r="B146" s="541"/>
      <c r="C146" s="559"/>
      <c r="D146" s="541"/>
      <c r="E146" s="541"/>
      <c r="F146" s="541"/>
      <c r="G146" s="541"/>
      <c r="H146" s="541"/>
      <c r="I146" s="559"/>
      <c r="J146" s="559"/>
      <c r="K146" s="541"/>
      <c r="L146" s="541"/>
      <c r="M146" s="541"/>
      <c r="N146" s="541"/>
      <c r="O146" s="541"/>
      <c r="P146" s="541"/>
      <c r="Q146" s="559"/>
      <c r="R146" s="541"/>
      <c r="S146" s="541"/>
      <c r="T146" s="541"/>
      <c r="U146" s="541"/>
      <c r="V146" s="541"/>
      <c r="W146" s="559"/>
      <c r="X146" s="559"/>
      <c r="Y146" s="541"/>
      <c r="Z146" s="541"/>
      <c r="AA146" s="541"/>
      <c r="AB146" s="541"/>
      <c r="AC146" s="541"/>
      <c r="AD146" s="541"/>
      <c r="AE146" s="559"/>
      <c r="AF146" s="541"/>
      <c r="AG146" s="541"/>
      <c r="AH146" s="560"/>
      <c r="AI146" s="560"/>
    </row>
    <row r="147" spans="1:36" ht="21.95" customHeight="1">
      <c r="A147" s="580"/>
      <c r="B147" s="1304" t="s">
        <v>696</v>
      </c>
      <c r="C147" s="1312"/>
      <c r="D147" s="1305" t="s">
        <v>2</v>
      </c>
      <c r="E147" s="1306"/>
      <c r="F147" s="1307"/>
      <c r="G147" s="1308"/>
      <c r="H147" s="1305" t="s">
        <v>3</v>
      </c>
      <c r="I147" s="1306"/>
      <c r="J147" s="1307"/>
      <c r="K147" s="1308"/>
      <c r="L147" s="1305" t="s">
        <v>4</v>
      </c>
      <c r="M147" s="1306"/>
      <c r="N147" s="1307"/>
      <c r="O147" s="1308"/>
      <c r="P147" s="1305" t="s">
        <v>5</v>
      </c>
      <c r="Q147" s="1306"/>
      <c r="R147" s="1307"/>
      <c r="S147" s="1308"/>
      <c r="T147" s="1305" t="s">
        <v>6</v>
      </c>
      <c r="U147" s="1306"/>
      <c r="V147" s="1307"/>
      <c r="W147" s="1308"/>
      <c r="X147" s="1305" t="s">
        <v>7</v>
      </c>
      <c r="Y147" s="1306"/>
      <c r="Z147" s="1307"/>
      <c r="AA147" s="1308"/>
      <c r="AB147" s="1305" t="s">
        <v>8</v>
      </c>
      <c r="AC147" s="1306"/>
      <c r="AD147" s="1306"/>
      <c r="AE147" s="1309" t="s">
        <v>10</v>
      </c>
      <c r="AF147" s="1306"/>
      <c r="AG147" s="1306"/>
      <c r="AH147" s="1306"/>
      <c r="AI147" s="1310"/>
    </row>
    <row r="148" spans="1:36" ht="21.95" customHeight="1">
      <c r="A148" s="580"/>
      <c r="B148" s="1332"/>
      <c r="C148" s="1313"/>
      <c r="D148" s="1331"/>
      <c r="E148" s="1314"/>
      <c r="F148" s="1311"/>
      <c r="G148" s="1313"/>
      <c r="H148" s="1331"/>
      <c r="I148" s="1314"/>
      <c r="J148" s="1311"/>
      <c r="K148" s="1313"/>
      <c r="L148" s="1331"/>
      <c r="M148" s="1314"/>
      <c r="N148" s="1311"/>
      <c r="O148" s="1313"/>
      <c r="P148" s="1331"/>
      <c r="Q148" s="1314"/>
      <c r="R148" s="1311"/>
      <c r="S148" s="1313"/>
      <c r="T148" s="1331"/>
      <c r="U148" s="1314"/>
      <c r="V148" s="1311"/>
      <c r="W148" s="1313"/>
      <c r="X148" s="1314"/>
      <c r="Y148" s="1314"/>
      <c r="Z148" s="1311"/>
      <c r="AA148" s="1313"/>
      <c r="AB148" s="1314"/>
      <c r="AC148" s="1314"/>
      <c r="AD148" s="1314"/>
      <c r="AE148" s="1313"/>
      <c r="AF148" s="1314"/>
      <c r="AG148" s="1314"/>
      <c r="AH148" s="1316"/>
      <c r="AI148" s="1317"/>
    </row>
    <row r="149" spans="1:36" ht="21.95" customHeight="1">
      <c r="A149" s="580"/>
      <c r="B149" s="1333"/>
      <c r="C149" s="1313"/>
      <c r="D149" s="1331"/>
      <c r="E149" s="1314"/>
      <c r="F149" s="1311"/>
      <c r="G149" s="1313"/>
      <c r="H149" s="1331"/>
      <c r="I149" s="1314"/>
      <c r="J149" s="1311"/>
      <c r="K149" s="1313"/>
      <c r="L149" s="1331"/>
      <c r="M149" s="1314"/>
      <c r="N149" s="1311"/>
      <c r="O149" s="1313"/>
      <c r="P149" s="1331"/>
      <c r="Q149" s="1314"/>
      <c r="R149" s="1311"/>
      <c r="S149" s="1313"/>
      <c r="T149" s="1331"/>
      <c r="U149" s="1314"/>
      <c r="V149" s="1311"/>
      <c r="W149" s="1313"/>
      <c r="X149" s="1314"/>
      <c r="Y149" s="1314"/>
      <c r="Z149" s="1311"/>
      <c r="AA149" s="1313"/>
      <c r="AB149" s="1314"/>
      <c r="AC149" s="1314"/>
      <c r="AD149" s="1314"/>
      <c r="AE149" s="1313"/>
      <c r="AF149" s="1314"/>
      <c r="AG149" s="1314"/>
      <c r="AH149" s="1316"/>
      <c r="AI149" s="1317"/>
    </row>
    <row r="150" spans="1:36" ht="21.95" customHeight="1">
      <c r="A150" s="580"/>
      <c r="B150" s="1333"/>
      <c r="C150" s="1313"/>
      <c r="D150" s="1331"/>
      <c r="E150" s="1314"/>
      <c r="F150" s="1311"/>
      <c r="G150" s="1313"/>
      <c r="H150" s="1331"/>
      <c r="I150" s="1314"/>
      <c r="J150" s="1311"/>
      <c r="K150" s="1313"/>
      <c r="L150" s="1331"/>
      <c r="M150" s="1314"/>
      <c r="N150" s="1311"/>
      <c r="O150" s="1313"/>
      <c r="P150" s="1331"/>
      <c r="Q150" s="1314"/>
      <c r="R150" s="1311"/>
      <c r="S150" s="1313"/>
      <c r="T150" s="1331"/>
      <c r="U150" s="1314"/>
      <c r="V150" s="1311"/>
      <c r="W150" s="1313"/>
      <c r="X150" s="1314"/>
      <c r="Y150" s="1314"/>
      <c r="Z150" s="1311"/>
      <c r="AA150" s="1313"/>
      <c r="AB150" s="1314"/>
      <c r="AC150" s="1314"/>
      <c r="AD150" s="1314"/>
      <c r="AE150" s="1313"/>
      <c r="AF150" s="1314"/>
      <c r="AG150" s="1314"/>
      <c r="AH150" s="1316"/>
      <c r="AI150" s="1317"/>
    </row>
    <row r="151" spans="1:36" ht="21.95" customHeight="1" thickBot="1">
      <c r="A151" s="580"/>
      <c r="B151" s="1502"/>
      <c r="C151" s="559"/>
      <c r="D151" s="559"/>
      <c r="E151" s="559"/>
      <c r="F151" s="559"/>
      <c r="G151" s="559"/>
      <c r="H151" s="559"/>
      <c r="I151" s="559"/>
      <c r="J151" s="559"/>
      <c r="K151" s="559"/>
      <c r="L151" s="559"/>
      <c r="M151" s="559"/>
      <c r="N151" s="559"/>
      <c r="O151" s="559"/>
      <c r="P151" s="559"/>
      <c r="Q151" s="559"/>
      <c r="R151" s="559"/>
      <c r="S151" s="559"/>
      <c r="T151" s="559"/>
      <c r="U151" s="559"/>
      <c r="V151" s="559"/>
      <c r="W151" s="559"/>
      <c r="X151" s="559"/>
      <c r="Y151" s="559"/>
      <c r="Z151" s="559"/>
      <c r="AA151" s="559"/>
      <c r="AB151" s="559"/>
      <c r="AC151" s="559"/>
      <c r="AD151" s="559"/>
      <c r="AE151" s="559"/>
      <c r="AF151" s="559"/>
      <c r="AG151" s="559"/>
      <c r="AH151" s="560"/>
      <c r="AI151" s="560"/>
    </row>
    <row r="152" spans="1:36" ht="21.95" customHeight="1">
      <c r="A152" s="1232"/>
      <c r="B152" s="1298" t="s">
        <v>480</v>
      </c>
      <c r="C152" s="1234">
        <v>1</v>
      </c>
      <c r="D152" s="1234">
        <v>2</v>
      </c>
      <c r="E152" s="1234">
        <v>3</v>
      </c>
      <c r="F152" s="1234">
        <v>4</v>
      </c>
      <c r="G152" s="1235">
        <v>5</v>
      </c>
      <c r="H152" s="1235">
        <v>6</v>
      </c>
      <c r="I152" s="1213">
        <v>7</v>
      </c>
      <c r="J152" s="1213">
        <v>8</v>
      </c>
      <c r="K152" s="1234">
        <v>9</v>
      </c>
      <c r="L152" s="1234">
        <v>10</v>
      </c>
      <c r="M152" s="1234">
        <v>11</v>
      </c>
      <c r="N152" s="1235">
        <v>12</v>
      </c>
      <c r="O152" s="1235">
        <v>13</v>
      </c>
      <c r="P152" s="1213">
        <v>14</v>
      </c>
      <c r="Q152" s="1213">
        <v>15</v>
      </c>
      <c r="R152" s="1234">
        <v>16</v>
      </c>
      <c r="S152" s="1235">
        <v>17</v>
      </c>
      <c r="T152" s="1235">
        <v>18</v>
      </c>
      <c r="U152" s="1235">
        <v>19</v>
      </c>
      <c r="V152" s="1330">
        <v>20</v>
      </c>
      <c r="W152" s="1330">
        <v>21</v>
      </c>
      <c r="X152" s="1213">
        <v>22</v>
      </c>
      <c r="Y152" s="1234">
        <v>23</v>
      </c>
      <c r="Z152" s="1234">
        <v>24</v>
      </c>
      <c r="AA152" s="1234">
        <v>25</v>
      </c>
      <c r="AB152" s="1235">
        <v>26</v>
      </c>
      <c r="AC152" s="1235">
        <v>27</v>
      </c>
      <c r="AD152" s="1213">
        <v>28</v>
      </c>
      <c r="AE152" s="1213">
        <v>29</v>
      </c>
      <c r="AF152" s="1234">
        <v>30</v>
      </c>
      <c r="AG152" s="1234"/>
      <c r="AH152" s="1301" t="s">
        <v>481</v>
      </c>
      <c r="AI152" s="1302" t="s">
        <v>482</v>
      </c>
    </row>
    <row r="153" spans="1:36" ht="21.95" customHeight="1">
      <c r="A153" s="580"/>
      <c r="B153" s="1319" t="s">
        <v>752</v>
      </c>
      <c r="C153" s="1392" t="s">
        <v>535</v>
      </c>
      <c r="D153" s="1392" t="s">
        <v>535</v>
      </c>
      <c r="E153" s="1392" t="s">
        <v>570</v>
      </c>
      <c r="F153" s="1215" t="s">
        <v>535</v>
      </c>
      <c r="G153" s="1215"/>
      <c r="H153" s="1215"/>
      <c r="I153" s="1215" t="s">
        <v>535</v>
      </c>
      <c r="J153" s="1215" t="s">
        <v>535</v>
      </c>
      <c r="K153" s="1215" t="s">
        <v>535</v>
      </c>
      <c r="L153" s="1215" t="s">
        <v>535</v>
      </c>
      <c r="M153" s="1215" t="s">
        <v>535</v>
      </c>
      <c r="N153" s="1215"/>
      <c r="O153" s="1215"/>
      <c r="P153" s="1338" t="s">
        <v>535</v>
      </c>
      <c r="Q153" s="1338" t="s">
        <v>535</v>
      </c>
      <c r="R153" s="1338" t="s">
        <v>535</v>
      </c>
      <c r="S153" s="1215"/>
      <c r="T153" s="1215"/>
      <c r="U153" s="1215"/>
      <c r="V153" s="1215"/>
      <c r="W153" s="1215"/>
      <c r="X153" s="1215" t="s">
        <v>535</v>
      </c>
      <c r="Y153" s="1215" t="s">
        <v>535</v>
      </c>
      <c r="Z153" s="1215" t="s">
        <v>535</v>
      </c>
      <c r="AA153" s="1215" t="s">
        <v>535</v>
      </c>
      <c r="AB153" s="1215"/>
      <c r="AC153" s="1215"/>
      <c r="AD153" s="1338" t="s">
        <v>535</v>
      </c>
      <c r="AE153" s="1338" t="s">
        <v>535</v>
      </c>
      <c r="AF153" s="1338" t="s">
        <v>535</v>
      </c>
      <c r="AG153" s="1313"/>
      <c r="AH153" s="504">
        <v>185</v>
      </c>
      <c r="AI153" s="505">
        <v>37</v>
      </c>
    </row>
    <row r="154" spans="1:36" ht="21.95" customHeight="1">
      <c r="A154" s="580"/>
      <c r="B154" s="1319" t="s">
        <v>750</v>
      </c>
      <c r="C154" s="1215" t="s">
        <v>535</v>
      </c>
      <c r="D154" s="1215" t="s">
        <v>535</v>
      </c>
      <c r="E154" s="1215" t="s">
        <v>535</v>
      </c>
      <c r="F154" s="1215" t="s">
        <v>535</v>
      </c>
      <c r="G154" s="1215"/>
      <c r="H154" s="1215"/>
      <c r="I154" s="1215" t="s">
        <v>535</v>
      </c>
      <c r="J154" s="1215" t="s">
        <v>535</v>
      </c>
      <c r="K154" s="1338" t="s">
        <v>535</v>
      </c>
      <c r="L154" s="1215" t="s">
        <v>535</v>
      </c>
      <c r="M154" s="1215" t="s">
        <v>535</v>
      </c>
      <c r="N154" s="1215"/>
      <c r="O154" s="1215"/>
      <c r="P154" s="1215" t="s">
        <v>535</v>
      </c>
      <c r="Q154" s="1215" t="s">
        <v>535</v>
      </c>
      <c r="R154" s="1215" t="s">
        <v>535</v>
      </c>
      <c r="S154" s="1215"/>
      <c r="T154" s="1215"/>
      <c r="U154" s="1215"/>
      <c r="V154" s="1215"/>
      <c r="W154" s="1215"/>
      <c r="X154" s="1338" t="s">
        <v>535</v>
      </c>
      <c r="Y154" s="1338" t="s">
        <v>535</v>
      </c>
      <c r="Z154" s="1338" t="s">
        <v>535</v>
      </c>
      <c r="AA154" s="1338" t="s">
        <v>535</v>
      </c>
      <c r="AB154" s="1215"/>
      <c r="AC154" s="1215"/>
      <c r="AD154" s="1215" t="s">
        <v>535</v>
      </c>
      <c r="AE154" s="1215" t="s">
        <v>535</v>
      </c>
      <c r="AF154" s="1215" t="s">
        <v>535</v>
      </c>
      <c r="AG154" s="1313"/>
      <c r="AH154" s="504">
        <v>185</v>
      </c>
      <c r="AI154" s="505">
        <v>37</v>
      </c>
    </row>
    <row r="155" spans="1:36" ht="21.95" customHeight="1" thickBot="1">
      <c r="A155" s="580"/>
      <c r="B155" s="1510" t="s">
        <v>754</v>
      </c>
      <c r="C155" s="1215" t="s">
        <v>535</v>
      </c>
      <c r="D155" s="1215" t="s">
        <v>535</v>
      </c>
      <c r="E155" s="1215" t="s">
        <v>535</v>
      </c>
      <c r="F155" s="1215" t="s">
        <v>535</v>
      </c>
      <c r="G155" s="1215"/>
      <c r="H155" s="1215"/>
      <c r="I155" s="1215" t="s">
        <v>535</v>
      </c>
      <c r="J155" s="1215" t="s">
        <v>535</v>
      </c>
      <c r="K155" s="1215" t="s">
        <v>535</v>
      </c>
      <c r="L155" s="1215" t="s">
        <v>535</v>
      </c>
      <c r="M155" s="1215" t="s">
        <v>535</v>
      </c>
      <c r="N155" s="1215"/>
      <c r="O155" s="1215"/>
      <c r="P155" s="1215" t="s">
        <v>535</v>
      </c>
      <c r="Q155" s="1215" t="s">
        <v>535</v>
      </c>
      <c r="R155" s="1215" t="s">
        <v>535</v>
      </c>
      <c r="S155" s="1215"/>
      <c r="T155" s="1215"/>
      <c r="U155" s="1215"/>
      <c r="V155" s="1215"/>
      <c r="W155" s="1215"/>
      <c r="X155" s="1345" t="s">
        <v>535</v>
      </c>
      <c r="Y155" s="1345" t="s">
        <v>535</v>
      </c>
      <c r="Z155" s="1345" t="s">
        <v>535</v>
      </c>
      <c r="AA155" s="1345" t="s">
        <v>535</v>
      </c>
      <c r="AB155" s="1215"/>
      <c r="AC155" s="1215"/>
      <c r="AD155" s="1215" t="s">
        <v>535</v>
      </c>
      <c r="AE155" s="1215" t="s">
        <v>535</v>
      </c>
      <c r="AF155" s="1215" t="s">
        <v>535</v>
      </c>
      <c r="AG155" s="1313"/>
      <c r="AH155" s="504">
        <v>185</v>
      </c>
      <c r="AI155" s="505">
        <v>37</v>
      </c>
    </row>
    <row r="156" spans="1:36" ht="21.95" customHeight="1" thickBot="1">
      <c r="A156" s="580"/>
      <c r="B156" s="1299" t="s">
        <v>755</v>
      </c>
      <c r="C156" s="1215" t="s">
        <v>535</v>
      </c>
      <c r="D156" s="1215" t="s">
        <v>535</v>
      </c>
      <c r="E156" s="1209" t="s">
        <v>514</v>
      </c>
      <c r="F156" s="1215" t="s">
        <v>535</v>
      </c>
      <c r="G156" s="1215"/>
      <c r="H156" s="1215"/>
      <c r="I156" s="1215" t="s">
        <v>535</v>
      </c>
      <c r="J156" s="1215" t="s">
        <v>535</v>
      </c>
      <c r="K156" s="1215" t="s">
        <v>535</v>
      </c>
      <c r="L156" s="1215" t="s">
        <v>535</v>
      </c>
      <c r="M156" s="1215" t="s">
        <v>535</v>
      </c>
      <c r="N156" s="1215"/>
      <c r="O156" s="1215"/>
      <c r="P156" s="1215" t="s">
        <v>535</v>
      </c>
      <c r="Q156" s="1215" t="s">
        <v>535</v>
      </c>
      <c r="R156" s="1215" t="s">
        <v>535</v>
      </c>
      <c r="S156" s="1215"/>
      <c r="T156" s="1215"/>
      <c r="U156" s="1215"/>
      <c r="V156" s="1215"/>
      <c r="W156" s="1215"/>
      <c r="X156" s="1215" t="s">
        <v>535</v>
      </c>
      <c r="Y156" s="1215" t="s">
        <v>535</v>
      </c>
      <c r="Z156" s="1215" t="s">
        <v>535</v>
      </c>
      <c r="AA156" s="1215" t="s">
        <v>535</v>
      </c>
      <c r="AB156" s="1215"/>
      <c r="AC156" s="1215"/>
      <c r="AD156" s="1215" t="s">
        <v>535</v>
      </c>
      <c r="AE156" s="1215" t="s">
        <v>535</v>
      </c>
      <c r="AF156" s="1215" t="s">
        <v>535</v>
      </c>
      <c r="AG156" s="1313"/>
      <c r="AH156" s="504">
        <v>185</v>
      </c>
      <c r="AI156" s="505">
        <v>37</v>
      </c>
    </row>
    <row r="157" spans="1:36" ht="21.95" customHeight="1">
      <c r="A157" s="580"/>
      <c r="B157" s="1300" t="s">
        <v>756</v>
      </c>
      <c r="C157" s="1642" t="s">
        <v>535</v>
      </c>
      <c r="D157" s="1642" t="s">
        <v>535</v>
      </c>
      <c r="E157" s="1681" t="s">
        <v>514</v>
      </c>
      <c r="F157" s="1642" t="s">
        <v>535</v>
      </c>
      <c r="G157" s="1642"/>
      <c r="H157" s="1642"/>
      <c r="I157" s="1642" t="s">
        <v>535</v>
      </c>
      <c r="J157" s="1642" t="s">
        <v>535</v>
      </c>
      <c r="K157" s="1642" t="s">
        <v>749</v>
      </c>
      <c r="L157" s="1215" t="s">
        <v>535</v>
      </c>
      <c r="M157" s="1215" t="s">
        <v>535</v>
      </c>
      <c r="N157" s="1215"/>
      <c r="O157" s="1215"/>
      <c r="P157" s="1215" t="s">
        <v>535</v>
      </c>
      <c r="Q157" s="1215" t="s">
        <v>535</v>
      </c>
      <c r="R157" s="1215" t="s">
        <v>535</v>
      </c>
      <c r="S157" s="1215"/>
      <c r="T157" s="1215"/>
      <c r="U157" s="1215"/>
      <c r="V157" s="1215"/>
      <c r="W157" s="1215"/>
      <c r="X157" s="1215" t="s">
        <v>535</v>
      </c>
      <c r="Y157" s="1215" t="s">
        <v>535</v>
      </c>
      <c r="Z157" s="1215" t="s">
        <v>535</v>
      </c>
      <c r="AA157" s="1215" t="s">
        <v>535</v>
      </c>
      <c r="AB157" s="1215"/>
      <c r="AC157" s="1215"/>
      <c r="AD157" s="1215" t="s">
        <v>535</v>
      </c>
      <c r="AE157" s="1215" t="s">
        <v>535</v>
      </c>
      <c r="AF157" s="1215" t="s">
        <v>535</v>
      </c>
      <c r="AG157" s="1313"/>
      <c r="AH157" s="504">
        <v>185</v>
      </c>
      <c r="AI157" s="505">
        <v>37</v>
      </c>
    </row>
    <row r="158" spans="1:36" ht="21.95" customHeight="1">
      <c r="A158" s="580"/>
      <c r="B158" s="1299"/>
      <c r="C158" s="1215" t="s">
        <v>535</v>
      </c>
      <c r="D158" s="1215" t="s">
        <v>535</v>
      </c>
      <c r="E158" s="1215" t="s">
        <v>535</v>
      </c>
      <c r="F158" s="1215" t="s">
        <v>535</v>
      </c>
      <c r="G158" s="1215"/>
      <c r="H158" s="1215"/>
      <c r="I158" s="1215" t="s">
        <v>535</v>
      </c>
      <c r="J158" s="1215" t="s">
        <v>535</v>
      </c>
      <c r="K158" s="1215" t="s">
        <v>535</v>
      </c>
      <c r="L158" s="1215" t="s">
        <v>535</v>
      </c>
      <c r="M158" s="1215" t="s">
        <v>535</v>
      </c>
      <c r="N158" s="1215"/>
      <c r="O158" s="1215"/>
      <c r="P158" s="1215" t="s">
        <v>535</v>
      </c>
      <c r="Q158" s="1215" t="s">
        <v>535</v>
      </c>
      <c r="R158" s="1215" t="s">
        <v>535</v>
      </c>
      <c r="S158" s="1215"/>
      <c r="T158" s="1215"/>
      <c r="U158" s="1215"/>
      <c r="V158" s="1215"/>
      <c r="W158" s="1215"/>
      <c r="X158" s="1215" t="s">
        <v>535</v>
      </c>
      <c r="Y158" s="1215" t="s">
        <v>535</v>
      </c>
      <c r="Z158" s="1215" t="s">
        <v>535</v>
      </c>
      <c r="AA158" s="1215" t="s">
        <v>535</v>
      </c>
      <c r="AB158" s="1215"/>
      <c r="AC158" s="1215"/>
      <c r="AD158" s="1215" t="s">
        <v>535</v>
      </c>
      <c r="AE158" s="1215" t="s">
        <v>535</v>
      </c>
      <c r="AF158" s="1215" t="s">
        <v>535</v>
      </c>
      <c r="AG158" s="1313"/>
      <c r="AH158" s="504">
        <v>185</v>
      </c>
      <c r="AI158" s="505">
        <v>37</v>
      </c>
    </row>
    <row r="159" spans="1:36" ht="21.95" customHeight="1">
      <c r="A159" s="580"/>
      <c r="B159" s="1502"/>
      <c r="C159" s="559"/>
      <c r="D159" s="559"/>
      <c r="E159" s="559"/>
      <c r="F159" s="559"/>
      <c r="G159" s="559"/>
      <c r="H159" s="559"/>
      <c r="I159" s="559"/>
      <c r="J159" s="559"/>
      <c r="K159" s="559"/>
      <c r="L159" s="559"/>
      <c r="M159" s="559"/>
      <c r="N159" s="559"/>
      <c r="O159" s="559"/>
      <c r="P159" s="559"/>
      <c r="Q159" s="559"/>
      <c r="R159" s="559"/>
      <c r="S159" s="559"/>
      <c r="T159" s="559"/>
      <c r="U159" s="559"/>
      <c r="V159" s="559"/>
      <c r="W159" s="559"/>
      <c r="X159" s="559"/>
      <c r="Y159" s="559"/>
      <c r="Z159" s="559"/>
      <c r="AA159" s="559"/>
      <c r="AB159" s="559"/>
      <c r="AC159" s="559"/>
      <c r="AD159" s="559"/>
      <c r="AE159" s="559"/>
      <c r="AF159" s="559"/>
      <c r="AG159" s="559"/>
      <c r="AH159" s="560"/>
      <c r="AI159" s="560"/>
    </row>
    <row r="160" spans="1:36" ht="21.95" customHeight="1">
      <c r="A160" s="312" t="s">
        <v>527</v>
      </c>
      <c r="C160" s="559"/>
      <c r="D160" s="559"/>
      <c r="E160" s="559"/>
      <c r="F160" s="559"/>
      <c r="G160" s="559"/>
      <c r="H160" s="559"/>
      <c r="I160" s="559"/>
      <c r="J160" s="559"/>
      <c r="K160" s="559"/>
      <c r="L160" s="559"/>
      <c r="M160" s="559"/>
      <c r="N160" s="559"/>
      <c r="O160" s="559"/>
      <c r="P160" s="559"/>
      <c r="Q160" s="559"/>
      <c r="R160" s="559"/>
      <c r="S160" s="559"/>
      <c r="T160" s="559"/>
      <c r="U160" s="559"/>
      <c r="V160" s="559"/>
      <c r="W160" s="559"/>
      <c r="X160" s="559"/>
      <c r="Y160" s="559"/>
      <c r="Z160" s="559"/>
      <c r="AA160" s="559"/>
      <c r="AB160" s="559"/>
      <c r="AC160" s="559"/>
      <c r="AD160" s="559"/>
      <c r="AE160" s="559"/>
      <c r="AF160" s="559"/>
      <c r="AG160" s="559"/>
      <c r="AH160" s="560"/>
      <c r="AI160" s="560"/>
      <c r="AJ160" s="361"/>
    </row>
    <row r="161" spans="1:36" ht="21.95" customHeight="1">
      <c r="A161" s="299" t="s">
        <v>528</v>
      </c>
      <c r="B161" s="299"/>
      <c r="C161" s="153"/>
      <c r="D161" s="299" t="s">
        <v>2</v>
      </c>
      <c r="E161" s="186"/>
      <c r="F161" s="153"/>
      <c r="G161" s="299" t="s">
        <v>3</v>
      </c>
      <c r="H161" s="186"/>
      <c r="I161" s="153"/>
      <c r="J161" s="299" t="s">
        <v>4</v>
      </c>
      <c r="K161" s="186"/>
      <c r="L161" s="153"/>
      <c r="M161" s="299" t="s">
        <v>5</v>
      </c>
      <c r="N161" s="186"/>
      <c r="O161" s="153"/>
      <c r="P161" s="299" t="s">
        <v>6</v>
      </c>
      <c r="Q161" s="186"/>
      <c r="R161" s="134"/>
      <c r="S161" s="199" t="s">
        <v>7</v>
      </c>
      <c r="T161" s="186"/>
      <c r="U161" s="153"/>
      <c r="V161" s="299" t="s">
        <v>8</v>
      </c>
      <c r="W161" s="186"/>
      <c r="X161" s="589" t="s">
        <v>10</v>
      </c>
      <c r="Y161" s="186"/>
      <c r="Z161" s="186"/>
      <c r="AA161" s="565"/>
      <c r="AB161" s="483"/>
      <c r="AC161" s="483"/>
      <c r="AD161" s="483"/>
      <c r="AE161" s="483"/>
      <c r="AF161" s="483"/>
      <c r="AG161" s="484"/>
      <c r="AH161" s="361"/>
      <c r="AI161" s="361"/>
      <c r="AJ161" s="361"/>
    </row>
    <row r="162" spans="1:36" ht="21.95" customHeight="1">
      <c r="A162" s="130">
        <v>8517</v>
      </c>
      <c r="B162" s="500" t="s">
        <v>529</v>
      </c>
      <c r="C162" s="588" t="s">
        <v>124</v>
      </c>
      <c r="D162" s="585"/>
      <c r="E162" s="590"/>
      <c r="F162" s="588" t="s">
        <v>124</v>
      </c>
      <c r="G162" s="591"/>
      <c r="H162" s="590"/>
      <c r="I162" s="121" t="s">
        <v>124</v>
      </c>
      <c r="J162" s="569"/>
      <c r="K162" s="592"/>
      <c r="L162" s="121" t="s">
        <v>124</v>
      </c>
      <c r="M162" s="569"/>
      <c r="N162" s="592"/>
      <c r="O162" s="121" t="s">
        <v>125</v>
      </c>
      <c r="P162" s="569"/>
      <c r="Q162" s="477"/>
      <c r="R162" s="593" t="s">
        <v>28</v>
      </c>
      <c r="S162" s="569"/>
      <c r="T162" s="592"/>
      <c r="U162" s="569" t="s">
        <v>28</v>
      </c>
      <c r="V162" s="569"/>
      <c r="W162" s="477"/>
      <c r="X162" s="145" t="s">
        <v>28</v>
      </c>
      <c r="Y162" s="361"/>
      <c r="Z162" s="361"/>
      <c r="AA162" s="361"/>
      <c r="AB162" s="361"/>
      <c r="AC162" s="361"/>
      <c r="AD162" s="361"/>
      <c r="AE162" s="361"/>
      <c r="AF162" s="361"/>
      <c r="AG162" s="594"/>
      <c r="AH162" s="361"/>
      <c r="AI162" s="361"/>
      <c r="AJ162" s="361"/>
    </row>
    <row r="163" spans="1:36" ht="21.95" customHeight="1">
      <c r="A163" s="595">
        <v>8502</v>
      </c>
      <c r="B163" s="596" t="s">
        <v>530</v>
      </c>
      <c r="C163" s="121" t="s">
        <v>11</v>
      </c>
      <c r="D163" s="569"/>
      <c r="E163" s="477"/>
      <c r="F163" s="121" t="s">
        <v>11</v>
      </c>
      <c r="G163" s="569"/>
      <c r="H163" s="592"/>
      <c r="I163" s="121" t="s">
        <v>11</v>
      </c>
      <c r="J163" s="569"/>
      <c r="K163" s="592"/>
      <c r="L163" s="121" t="s">
        <v>11</v>
      </c>
      <c r="M163" s="569"/>
      <c r="N163" s="592"/>
      <c r="O163" s="121" t="s">
        <v>12</v>
      </c>
      <c r="P163" s="569"/>
      <c r="Q163" s="477"/>
      <c r="R163" s="597"/>
      <c r="S163" s="598"/>
      <c r="T163" s="592"/>
      <c r="U163" s="569"/>
      <c r="V163" s="569"/>
      <c r="W163" s="477"/>
      <c r="X163" s="476"/>
      <c r="Y163" s="483"/>
      <c r="Z163" s="483"/>
      <c r="AA163" s="483"/>
      <c r="AB163" s="483"/>
      <c r="AC163" s="483"/>
      <c r="AD163" s="483"/>
      <c r="AE163" s="483"/>
      <c r="AF163" s="483"/>
      <c r="AG163" s="484"/>
      <c r="AH163" s="361"/>
      <c r="AI163" s="361"/>
      <c r="AJ163" s="361"/>
    </row>
    <row r="164" spans="1:36" ht="21.95" customHeight="1" thickBot="1">
      <c r="A164" s="274"/>
      <c r="B164" s="519"/>
      <c r="C164" s="354"/>
      <c r="D164" s="354"/>
      <c r="E164" s="73"/>
      <c r="F164" s="354"/>
      <c r="G164" s="354"/>
      <c r="H164" s="73"/>
      <c r="I164" s="354"/>
      <c r="J164" s="354"/>
      <c r="K164" s="73"/>
      <c r="L164" s="354"/>
      <c r="M164" s="354"/>
      <c r="N164" s="73"/>
      <c r="O164" s="354"/>
      <c r="P164" s="354"/>
      <c r="Q164" s="73"/>
      <c r="R164" s="168"/>
      <c r="S164" s="354"/>
      <c r="T164" s="73"/>
      <c r="U164" s="354"/>
      <c r="V164" s="354"/>
      <c r="W164" s="73"/>
      <c r="X164" s="73"/>
      <c r="Y164" s="361"/>
      <c r="Z164" s="361"/>
      <c r="AA164" s="361"/>
      <c r="AB164" s="361"/>
      <c r="AC164" s="361"/>
      <c r="AD164" s="361"/>
      <c r="AE164" s="361"/>
      <c r="AF164" s="361"/>
      <c r="AG164" s="361"/>
      <c r="AH164" s="361"/>
      <c r="AI164" s="361"/>
    </row>
    <row r="165" spans="1:36" ht="21.95" customHeight="1" thickBot="1">
      <c r="A165" s="599"/>
      <c r="B165" s="182" t="s">
        <v>480</v>
      </c>
      <c r="C165" s="1234">
        <v>1</v>
      </c>
      <c r="D165" s="1234">
        <v>2</v>
      </c>
      <c r="E165" s="1234">
        <v>3</v>
      </c>
      <c r="F165" s="1234">
        <v>4</v>
      </c>
      <c r="G165" s="1235">
        <v>5</v>
      </c>
      <c r="H165" s="1235">
        <v>6</v>
      </c>
      <c r="I165" s="1213">
        <v>7</v>
      </c>
      <c r="J165" s="1213">
        <v>8</v>
      </c>
      <c r="K165" s="1234">
        <v>9</v>
      </c>
      <c r="L165" s="1234">
        <v>10</v>
      </c>
      <c r="M165" s="1234">
        <v>11</v>
      </c>
      <c r="N165" s="1235">
        <v>12</v>
      </c>
      <c r="O165" s="1235">
        <v>13</v>
      </c>
      <c r="P165" s="1213">
        <v>14</v>
      </c>
      <c r="Q165" s="1213">
        <v>15</v>
      </c>
      <c r="R165" s="1234">
        <v>16</v>
      </c>
      <c r="S165" s="1235">
        <v>17</v>
      </c>
      <c r="T165" s="1235">
        <v>18</v>
      </c>
      <c r="U165" s="1235">
        <v>19</v>
      </c>
      <c r="V165" s="1330">
        <v>20</v>
      </c>
      <c r="W165" s="1330">
        <v>21</v>
      </c>
      <c r="X165" s="1213">
        <v>22</v>
      </c>
      <c r="Y165" s="1234">
        <v>23</v>
      </c>
      <c r="Z165" s="1234">
        <v>24</v>
      </c>
      <c r="AA165" s="1234">
        <v>25</v>
      </c>
      <c r="AB165" s="1235">
        <v>26</v>
      </c>
      <c r="AC165" s="1235">
        <v>27</v>
      </c>
      <c r="AD165" s="1213">
        <v>28</v>
      </c>
      <c r="AE165" s="1213">
        <v>29</v>
      </c>
      <c r="AF165" s="1234">
        <v>30</v>
      </c>
      <c r="AG165" s="1234"/>
      <c r="AH165" s="600" t="s">
        <v>481</v>
      </c>
      <c r="AI165" s="601" t="s">
        <v>482</v>
      </c>
    </row>
    <row r="166" spans="1:36" ht="21.95" customHeight="1">
      <c r="A166" s="602">
        <v>1</v>
      </c>
      <c r="B166" s="153" t="s">
        <v>531</v>
      </c>
      <c r="C166" s="1392" t="s">
        <v>535</v>
      </c>
      <c r="D166" s="1392" t="s">
        <v>535</v>
      </c>
      <c r="E166" s="1392" t="s">
        <v>535</v>
      </c>
      <c r="F166" s="1392" t="s">
        <v>535</v>
      </c>
      <c r="G166" s="1392"/>
      <c r="H166" s="1392"/>
      <c r="I166" s="1392" t="s">
        <v>535</v>
      </c>
      <c r="J166" s="1392" t="s">
        <v>535</v>
      </c>
      <c r="K166" s="1392" t="s">
        <v>535</v>
      </c>
      <c r="L166" s="1392" t="s">
        <v>535</v>
      </c>
      <c r="M166" s="1392" t="s">
        <v>535</v>
      </c>
      <c r="N166" s="1392"/>
      <c r="O166" s="1392"/>
      <c r="P166" s="1392" t="s">
        <v>535</v>
      </c>
      <c r="Q166" s="1392" t="s">
        <v>535</v>
      </c>
      <c r="R166" s="1392" t="s">
        <v>535</v>
      </c>
      <c r="S166" s="1392"/>
      <c r="T166" s="1392"/>
      <c r="U166" s="1392"/>
      <c r="V166" s="1392"/>
      <c r="W166" s="1392"/>
      <c r="X166" s="1392" t="s">
        <v>535</v>
      </c>
      <c r="Y166" s="1392" t="s">
        <v>535</v>
      </c>
      <c r="Z166" s="1392" t="s">
        <v>535</v>
      </c>
      <c r="AA166" s="1392" t="s">
        <v>535</v>
      </c>
      <c r="AB166" s="1392"/>
      <c r="AC166" s="1392"/>
      <c r="AD166" s="1392" t="s">
        <v>535</v>
      </c>
      <c r="AE166" s="1392" t="s">
        <v>535</v>
      </c>
      <c r="AF166" s="1392" t="s">
        <v>535</v>
      </c>
      <c r="AG166" s="1216"/>
      <c r="AH166" s="1320">
        <v>185</v>
      </c>
      <c r="AI166" s="1321">
        <v>37</v>
      </c>
    </row>
    <row r="167" spans="1:36" ht="21.95" customHeight="1">
      <c r="A167" s="602">
        <v>2</v>
      </c>
      <c r="B167" s="153" t="s">
        <v>534</v>
      </c>
      <c r="C167" s="1338" t="s">
        <v>535</v>
      </c>
      <c r="D167" s="1338" t="s">
        <v>535</v>
      </c>
      <c r="E167" s="1338" t="s">
        <v>535</v>
      </c>
      <c r="F167" s="1338" t="s">
        <v>514</v>
      </c>
      <c r="G167" s="1215"/>
      <c r="H167" s="1215"/>
      <c r="I167" s="1215" t="s">
        <v>808</v>
      </c>
      <c r="J167" s="1215" t="s">
        <v>808</v>
      </c>
      <c r="K167" s="1215" t="s">
        <v>808</v>
      </c>
      <c r="L167" s="1215" t="s">
        <v>808</v>
      </c>
      <c r="M167" s="1215" t="s">
        <v>808</v>
      </c>
      <c r="N167" s="1215" t="s">
        <v>808</v>
      </c>
      <c r="O167" s="1215"/>
      <c r="P167" s="1215" t="s">
        <v>807</v>
      </c>
      <c r="Q167" s="1215" t="s">
        <v>807</v>
      </c>
      <c r="R167" s="1215" t="s">
        <v>807</v>
      </c>
      <c r="S167" s="1215"/>
      <c r="T167" s="1215"/>
      <c r="U167" s="1215"/>
      <c r="V167" s="1215"/>
      <c r="W167" s="1215"/>
      <c r="X167" s="1215" t="s">
        <v>808</v>
      </c>
      <c r="Y167" s="1215" t="s">
        <v>808</v>
      </c>
      <c r="Z167" s="1215" t="s">
        <v>808</v>
      </c>
      <c r="AA167" s="1215" t="s">
        <v>808</v>
      </c>
      <c r="AB167" s="1215" t="s">
        <v>808</v>
      </c>
      <c r="AC167" s="1215"/>
      <c r="AD167" s="1215" t="s">
        <v>487</v>
      </c>
      <c r="AE167" s="1215" t="s">
        <v>487</v>
      </c>
      <c r="AF167" s="1215" t="s">
        <v>487</v>
      </c>
      <c r="AG167" s="1216"/>
      <c r="AH167" s="1322">
        <v>185</v>
      </c>
      <c r="AI167" s="1323">
        <v>37</v>
      </c>
    </row>
    <row r="168" spans="1:36" ht="21.95" customHeight="1">
      <c r="A168" s="602">
        <v>3</v>
      </c>
      <c r="B168" s="153" t="s">
        <v>536</v>
      </c>
      <c r="C168" s="1215" t="s">
        <v>487</v>
      </c>
      <c r="D168" s="1215" t="s">
        <v>487</v>
      </c>
      <c r="E168" s="1215" t="s">
        <v>487</v>
      </c>
      <c r="F168" s="1215" t="s">
        <v>487</v>
      </c>
      <c r="G168" s="1215"/>
      <c r="H168" s="1215"/>
      <c r="I168" s="1338">
        <v>5</v>
      </c>
      <c r="J168" s="1338">
        <v>5</v>
      </c>
      <c r="K168" s="1338">
        <v>5</v>
      </c>
      <c r="L168" s="1338">
        <v>5</v>
      </c>
      <c r="M168" s="1335">
        <v>5</v>
      </c>
      <c r="N168" s="1344"/>
      <c r="O168" s="1344"/>
      <c r="P168" s="1338">
        <v>10</v>
      </c>
      <c r="Q168" s="1338">
        <v>10</v>
      </c>
      <c r="R168" s="1338">
        <v>10</v>
      </c>
      <c r="S168" s="1338">
        <v>10</v>
      </c>
      <c r="T168" s="1338">
        <v>10</v>
      </c>
      <c r="U168" s="1338" t="s">
        <v>555</v>
      </c>
      <c r="V168" s="1338" t="s">
        <v>555</v>
      </c>
      <c r="W168" s="1344" t="s">
        <v>487</v>
      </c>
      <c r="X168" s="1344" t="s">
        <v>487</v>
      </c>
      <c r="Y168" s="1344" t="s">
        <v>487</v>
      </c>
      <c r="Z168" s="1344" t="s">
        <v>487</v>
      </c>
      <c r="AA168" s="1344" t="s">
        <v>487</v>
      </c>
      <c r="AB168" s="1392" t="s">
        <v>660</v>
      </c>
      <c r="AC168" s="1392" t="s">
        <v>660</v>
      </c>
      <c r="AD168" s="1392">
        <v>7</v>
      </c>
      <c r="AE168" s="1392">
        <v>7</v>
      </c>
      <c r="AF168" s="1392">
        <v>7</v>
      </c>
      <c r="AG168" s="1216"/>
      <c r="AH168" s="1322">
        <v>117</v>
      </c>
      <c r="AI168" s="1323">
        <v>37</v>
      </c>
    </row>
    <row r="169" spans="1:36" ht="21.95" customHeight="1">
      <c r="A169" s="602">
        <v>4</v>
      </c>
      <c r="B169" s="1241" t="s">
        <v>542</v>
      </c>
      <c r="C169" s="1215" t="s">
        <v>550</v>
      </c>
      <c r="D169" s="1215" t="s">
        <v>550</v>
      </c>
      <c r="E169" s="1215" t="s">
        <v>550</v>
      </c>
      <c r="F169" s="1215" t="s">
        <v>550</v>
      </c>
      <c r="G169" s="1215"/>
      <c r="H169" s="1215"/>
      <c r="I169" s="1215" t="s">
        <v>550</v>
      </c>
      <c r="J169" s="1215" t="s">
        <v>550</v>
      </c>
      <c r="K169" s="1215" t="s">
        <v>550</v>
      </c>
      <c r="L169" s="1215" t="s">
        <v>550</v>
      </c>
      <c r="M169" s="1215" t="s">
        <v>550</v>
      </c>
      <c r="N169" s="1215"/>
      <c r="O169" s="1215"/>
      <c r="P169" s="1215" t="s">
        <v>550</v>
      </c>
      <c r="Q169" s="1215" t="s">
        <v>550</v>
      </c>
      <c r="R169" s="1215" t="s">
        <v>550</v>
      </c>
      <c r="S169" s="1215"/>
      <c r="T169" s="1215"/>
      <c r="U169" s="1215"/>
      <c r="V169" s="1215"/>
      <c r="W169" s="1215"/>
      <c r="X169" s="1215" t="s">
        <v>550</v>
      </c>
      <c r="Y169" s="1215" t="s">
        <v>550</v>
      </c>
      <c r="Z169" s="1215" t="s">
        <v>550</v>
      </c>
      <c r="AA169" s="1215" t="s">
        <v>550</v>
      </c>
      <c r="AB169" s="1215"/>
      <c r="AC169" s="1215"/>
      <c r="AD169" s="1215" t="s">
        <v>550</v>
      </c>
      <c r="AE169" s="1215" t="s">
        <v>550</v>
      </c>
      <c r="AF169" s="1215" t="s">
        <v>550</v>
      </c>
      <c r="AG169" s="1216"/>
      <c r="AH169" s="1322">
        <v>185</v>
      </c>
      <c r="AI169" s="1323">
        <v>37</v>
      </c>
    </row>
    <row r="170" spans="1:36" ht="21.95" customHeight="1" thickBot="1">
      <c r="A170" s="602">
        <v>5</v>
      </c>
      <c r="B170" s="319" t="s">
        <v>771</v>
      </c>
      <c r="C170" s="1215" t="s">
        <v>487</v>
      </c>
      <c r="D170" s="1215">
        <v>4</v>
      </c>
      <c r="E170" s="1215">
        <v>4</v>
      </c>
      <c r="F170" s="1215">
        <v>4</v>
      </c>
      <c r="G170" s="1215"/>
      <c r="H170" s="1215"/>
      <c r="I170" s="1392">
        <v>3</v>
      </c>
      <c r="J170" s="1392">
        <v>3</v>
      </c>
      <c r="K170" s="1392">
        <v>3</v>
      </c>
      <c r="L170" s="1392">
        <v>3</v>
      </c>
      <c r="M170" s="1392">
        <v>3</v>
      </c>
      <c r="N170" s="1215"/>
      <c r="O170" s="1215"/>
      <c r="P170" s="1392" t="s">
        <v>777</v>
      </c>
      <c r="Q170" s="1215">
        <v>3</v>
      </c>
      <c r="R170" s="1215">
        <v>3</v>
      </c>
      <c r="S170" s="1215">
        <v>3</v>
      </c>
      <c r="T170" s="1215">
        <v>3</v>
      </c>
      <c r="U170" s="1215"/>
      <c r="V170" s="1215"/>
      <c r="W170" s="1215"/>
      <c r="X170" s="1215" t="s">
        <v>484</v>
      </c>
      <c r="Y170" s="1215" t="s">
        <v>484</v>
      </c>
      <c r="Z170" s="1215" t="s">
        <v>485</v>
      </c>
      <c r="AA170" s="1215" t="s">
        <v>485</v>
      </c>
      <c r="AB170" s="1215" t="s">
        <v>486</v>
      </c>
      <c r="AC170" s="1215" t="s">
        <v>486</v>
      </c>
      <c r="AD170" s="1215" t="s">
        <v>487</v>
      </c>
      <c r="AE170" s="1215" t="s">
        <v>487</v>
      </c>
      <c r="AF170" s="1215" t="s">
        <v>487</v>
      </c>
      <c r="AG170" s="1216"/>
      <c r="AH170" s="1324">
        <v>185</v>
      </c>
      <c r="AI170" s="1325">
        <v>37</v>
      </c>
    </row>
    <row r="171" spans="1:36" ht="21.95" customHeight="1">
      <c r="A171" s="602">
        <v>6</v>
      </c>
      <c r="B171" s="153" t="s">
        <v>773</v>
      </c>
      <c r="C171" s="1215" t="s">
        <v>485</v>
      </c>
      <c r="D171" s="1215" t="s">
        <v>485</v>
      </c>
      <c r="E171" s="1209" t="s">
        <v>484</v>
      </c>
      <c r="F171" s="1215" t="s">
        <v>484</v>
      </c>
      <c r="G171" s="1215"/>
      <c r="H171" s="1215"/>
      <c r="I171" s="1215">
        <v>3</v>
      </c>
      <c r="J171" s="1215">
        <v>3</v>
      </c>
      <c r="K171" s="172">
        <v>0</v>
      </c>
      <c r="L171" s="1215">
        <v>3</v>
      </c>
      <c r="M171" s="1215">
        <v>3</v>
      </c>
      <c r="N171" s="1215"/>
      <c r="O171" s="1215"/>
      <c r="P171" s="1215" t="s">
        <v>485</v>
      </c>
      <c r="Q171" s="1215" t="s">
        <v>485</v>
      </c>
      <c r="R171" s="1215" t="s">
        <v>485</v>
      </c>
      <c r="S171" s="1215"/>
      <c r="T171" s="1215"/>
      <c r="U171" s="1215" t="s">
        <v>486</v>
      </c>
      <c r="V171" s="1215" t="s">
        <v>486</v>
      </c>
      <c r="W171" s="1215" t="s">
        <v>487</v>
      </c>
      <c r="X171" s="1344" t="s">
        <v>487</v>
      </c>
      <c r="Y171" s="1344" t="s">
        <v>487</v>
      </c>
      <c r="Z171" s="1344" t="s">
        <v>487</v>
      </c>
      <c r="AA171" s="1344" t="s">
        <v>685</v>
      </c>
      <c r="AB171" s="1344"/>
      <c r="AC171" s="1344"/>
      <c r="AD171" s="1215">
        <v>10</v>
      </c>
      <c r="AE171" s="1215">
        <v>10</v>
      </c>
      <c r="AF171" s="1215" t="s">
        <v>487</v>
      </c>
      <c r="AG171" s="1216"/>
      <c r="AH171" s="1326">
        <v>185</v>
      </c>
      <c r="AI171" s="1327">
        <v>37</v>
      </c>
    </row>
    <row r="172" spans="1:36" ht="21.95" customHeight="1">
      <c r="A172" s="602">
        <v>7</v>
      </c>
      <c r="B172" s="902" t="s">
        <v>778</v>
      </c>
      <c r="C172" s="1344" t="s">
        <v>514</v>
      </c>
      <c r="D172" s="1344" t="s">
        <v>514</v>
      </c>
      <c r="E172" s="1344" t="s">
        <v>514</v>
      </c>
      <c r="F172" s="1344" t="s">
        <v>514</v>
      </c>
      <c r="G172" s="1215"/>
      <c r="H172" s="1215"/>
      <c r="I172" s="1344" t="s">
        <v>514</v>
      </c>
      <c r="J172" s="1344" t="s">
        <v>514</v>
      </c>
      <c r="K172" s="1344" t="s">
        <v>514</v>
      </c>
      <c r="L172" s="1344" t="s">
        <v>514</v>
      </c>
      <c r="M172" s="1344" t="s">
        <v>514</v>
      </c>
      <c r="N172" s="1215" t="s">
        <v>533</v>
      </c>
      <c r="O172" s="1215" t="s">
        <v>533</v>
      </c>
      <c r="P172" s="1344" t="s">
        <v>487</v>
      </c>
      <c r="Q172" s="1344" t="s">
        <v>487</v>
      </c>
      <c r="R172" s="1344" t="s">
        <v>487</v>
      </c>
      <c r="S172" s="1215"/>
      <c r="T172" s="1215"/>
      <c r="U172" s="1215"/>
      <c r="V172" s="1215"/>
      <c r="W172" s="1215"/>
      <c r="X172" s="1344" t="s">
        <v>514</v>
      </c>
      <c r="Y172" s="1344" t="s">
        <v>514</v>
      </c>
      <c r="Z172" s="1344" t="s">
        <v>514</v>
      </c>
      <c r="AA172" s="1344" t="s">
        <v>514</v>
      </c>
      <c r="AB172" s="1215"/>
      <c r="AC172" s="1215"/>
      <c r="AD172" s="1344" t="s">
        <v>514</v>
      </c>
      <c r="AE172" s="1344" t="s">
        <v>514</v>
      </c>
      <c r="AF172" s="1344" t="s">
        <v>514</v>
      </c>
      <c r="AG172" s="1216"/>
      <c r="AH172" s="1326">
        <v>148</v>
      </c>
      <c r="AI172" s="1327">
        <v>37</v>
      </c>
    </row>
    <row r="173" spans="1:36" ht="21.95" customHeight="1">
      <c r="A173" s="602">
        <v>8</v>
      </c>
      <c r="B173" s="902"/>
      <c r="C173" s="1215"/>
      <c r="D173" s="1215"/>
      <c r="E173" s="1215"/>
      <c r="F173" s="1215"/>
      <c r="G173" s="1215"/>
      <c r="H173" s="1215"/>
      <c r="I173" s="1215"/>
      <c r="J173" s="1215"/>
      <c r="K173" s="1215"/>
      <c r="L173" s="1215"/>
      <c r="M173" s="1215"/>
      <c r="N173" s="1215"/>
      <c r="O173" s="1215"/>
      <c r="P173" s="1215"/>
      <c r="Q173" s="1215"/>
      <c r="R173" s="1215"/>
      <c r="S173" s="1215"/>
      <c r="T173" s="1215"/>
      <c r="U173" s="1215"/>
      <c r="V173" s="1215"/>
      <c r="W173" s="1215"/>
      <c r="X173" s="1215"/>
      <c r="Y173" s="1215"/>
      <c r="Z173" s="1215"/>
      <c r="AA173" s="1215"/>
      <c r="AB173" s="1215"/>
      <c r="AC173" s="1215"/>
      <c r="AD173" s="1215"/>
      <c r="AE173" s="1215"/>
      <c r="AF173" s="1215"/>
      <c r="AG173" s="1216"/>
      <c r="AH173" s="1326">
        <v>185</v>
      </c>
      <c r="AI173" s="1327">
        <v>37</v>
      </c>
    </row>
    <row r="174" spans="1:36" ht="21.95" customHeight="1">
      <c r="A174" s="602">
        <v>9</v>
      </c>
      <c r="B174" s="153"/>
      <c r="C174" s="1215"/>
      <c r="D174" s="1215"/>
      <c r="E174" s="1215"/>
      <c r="F174" s="1215"/>
      <c r="G174" s="1215"/>
      <c r="H174" s="1215"/>
      <c r="I174" s="1215"/>
      <c r="J174" s="1215"/>
      <c r="K174" s="1215"/>
      <c r="L174" s="1215"/>
      <c r="M174" s="1215"/>
      <c r="N174" s="1215"/>
      <c r="O174" s="1215"/>
      <c r="P174" s="1215"/>
      <c r="Q174" s="1215"/>
      <c r="R174" s="1215"/>
      <c r="S174" s="1215"/>
      <c r="T174" s="1215"/>
      <c r="U174" s="1215"/>
      <c r="V174" s="1215"/>
      <c r="W174" s="1215"/>
      <c r="X174" s="1215"/>
      <c r="Y174" s="1215"/>
      <c r="Z174" s="1215"/>
      <c r="AA174" s="1215"/>
      <c r="AB174" s="1215"/>
      <c r="AC174" s="1215"/>
      <c r="AD174" s="1215"/>
      <c r="AE174" s="1215"/>
      <c r="AF174" s="1215"/>
      <c r="AG174" s="1216"/>
      <c r="AH174" s="1326">
        <v>185</v>
      </c>
      <c r="AI174" s="1327">
        <v>37</v>
      </c>
    </row>
    <row r="175" spans="1:36" ht="21.95" customHeight="1">
      <c r="A175" s="602">
        <v>10</v>
      </c>
      <c r="B175" s="153"/>
      <c r="C175" s="1213"/>
      <c r="D175" s="1213"/>
      <c r="E175" s="1213"/>
      <c r="F175" s="1213"/>
      <c r="G175" s="1213"/>
      <c r="H175" s="1213"/>
      <c r="I175" s="1213"/>
      <c r="J175" s="1213"/>
      <c r="K175" s="1213"/>
      <c r="L175" s="1213"/>
      <c r="M175" s="1213"/>
      <c r="N175" s="1213"/>
      <c r="O175" s="1213"/>
      <c r="P175" s="1213"/>
      <c r="Q175" s="1213"/>
      <c r="R175" s="1213"/>
      <c r="S175" s="1213"/>
      <c r="T175" s="1213"/>
      <c r="U175" s="1213"/>
      <c r="V175" s="1213"/>
      <c r="W175" s="1215"/>
      <c r="X175" s="1213"/>
      <c r="Y175" s="1213"/>
      <c r="Z175" s="1213"/>
      <c r="AA175" s="1213"/>
      <c r="AB175" s="1213"/>
      <c r="AC175" s="1213"/>
      <c r="AD175" s="1213"/>
      <c r="AE175" s="1213"/>
      <c r="AF175" s="1213"/>
      <c r="AG175" s="1230"/>
      <c r="AH175" s="1326">
        <v>185</v>
      </c>
      <c r="AI175" s="1327">
        <v>37</v>
      </c>
    </row>
    <row r="176" spans="1:36" ht="21.95" customHeight="1">
      <c r="A176" s="602">
        <v>11</v>
      </c>
      <c r="B176" s="153"/>
      <c r="C176" s="1213"/>
      <c r="D176" s="1213"/>
      <c r="E176" s="1213"/>
      <c r="F176" s="1213"/>
      <c r="G176" s="1213"/>
      <c r="H176" s="1213"/>
      <c r="I176" s="1213"/>
      <c r="J176" s="1213"/>
      <c r="K176" s="1213"/>
      <c r="L176" s="1213"/>
      <c r="M176" s="1213"/>
      <c r="N176" s="1213"/>
      <c r="O176" s="1213"/>
      <c r="P176" s="1213"/>
      <c r="Q176" s="1213"/>
      <c r="R176" s="1213"/>
      <c r="S176" s="1213"/>
      <c r="T176" s="1213"/>
      <c r="U176" s="1213"/>
      <c r="V176" s="1213"/>
      <c r="W176" s="1215"/>
      <c r="X176" s="1213"/>
      <c r="Y176" s="1213"/>
      <c r="Z176" s="1213"/>
      <c r="AA176" s="1213"/>
      <c r="AB176" s="1213"/>
      <c r="AC176" s="1213"/>
      <c r="AD176" s="1213"/>
      <c r="AE176" s="1213"/>
      <c r="AF176" s="1213"/>
      <c r="AG176" s="1230"/>
      <c r="AH176" s="1326">
        <v>185</v>
      </c>
      <c r="AI176" s="1327">
        <v>37</v>
      </c>
    </row>
    <row r="177" spans="1:35" ht="21.95" customHeight="1" thickBot="1">
      <c r="A177" s="602">
        <v>12</v>
      </c>
      <c r="B177" s="153"/>
      <c r="C177" s="1213"/>
      <c r="D177" s="1213"/>
      <c r="E177" s="1213"/>
      <c r="F177" s="1213"/>
      <c r="G177" s="1213"/>
      <c r="H177" s="1213"/>
      <c r="I177" s="1213"/>
      <c r="J177" s="1213"/>
      <c r="K177" s="1213"/>
      <c r="L177" s="1213"/>
      <c r="M177" s="1213"/>
      <c r="N177" s="1213"/>
      <c r="O177" s="1213"/>
      <c r="P177" s="1213"/>
      <c r="Q177" s="1213"/>
      <c r="R177" s="1213"/>
      <c r="S177" s="1213"/>
      <c r="T177" s="1213"/>
      <c r="U177" s="1213"/>
      <c r="V177" s="1213"/>
      <c r="W177" s="1215"/>
      <c r="X177" s="1213"/>
      <c r="Y177" s="1213"/>
      <c r="Z177" s="1213"/>
      <c r="AA177" s="1213"/>
      <c r="AB177" s="1213"/>
      <c r="AC177" s="1213"/>
      <c r="AD177" s="1213"/>
      <c r="AE177" s="1213"/>
      <c r="AF177" s="1213"/>
      <c r="AG177" s="1230"/>
      <c r="AH177" s="1328">
        <v>185</v>
      </c>
      <c r="AI177" s="1329">
        <v>37</v>
      </c>
    </row>
    <row r="178" spans="1:35" ht="21" customHeight="1">
      <c r="A178" s="312" t="s">
        <v>551</v>
      </c>
    </row>
    <row r="179" spans="1:35" ht="21" customHeight="1">
      <c r="A179" s="556"/>
      <c r="B179" s="297" t="s">
        <v>480</v>
      </c>
      <c r="C179" s="1234">
        <v>1</v>
      </c>
      <c r="D179" s="1234">
        <v>2</v>
      </c>
      <c r="E179" s="1234">
        <v>3</v>
      </c>
      <c r="F179" s="1234">
        <v>4</v>
      </c>
      <c r="G179" s="1235">
        <v>5</v>
      </c>
      <c r="H179" s="1235">
        <v>6</v>
      </c>
      <c r="I179" s="1213">
        <v>7</v>
      </c>
      <c r="J179" s="1213">
        <v>8</v>
      </c>
      <c r="K179" s="1234">
        <v>9</v>
      </c>
      <c r="L179" s="1234">
        <v>10</v>
      </c>
      <c r="M179" s="1234">
        <v>11</v>
      </c>
      <c r="N179" s="1235">
        <v>12</v>
      </c>
      <c r="O179" s="1235">
        <v>13</v>
      </c>
      <c r="P179" s="1213">
        <v>14</v>
      </c>
      <c r="Q179" s="1213">
        <v>15</v>
      </c>
      <c r="R179" s="1234">
        <v>16</v>
      </c>
      <c r="S179" s="1235">
        <v>17</v>
      </c>
      <c r="T179" s="1235">
        <v>18</v>
      </c>
      <c r="U179" s="1235">
        <v>19</v>
      </c>
      <c r="V179" s="1330">
        <v>20</v>
      </c>
      <c r="W179" s="1330">
        <v>21</v>
      </c>
      <c r="X179" s="1213">
        <v>22</v>
      </c>
      <c r="Y179" s="1234">
        <v>23</v>
      </c>
      <c r="Z179" s="1234">
        <v>24</v>
      </c>
      <c r="AA179" s="1234">
        <v>25</v>
      </c>
      <c r="AB179" s="1235">
        <v>26</v>
      </c>
      <c r="AC179" s="1235">
        <v>27</v>
      </c>
      <c r="AD179" s="1213">
        <v>28</v>
      </c>
      <c r="AE179" s="1213">
        <v>29</v>
      </c>
      <c r="AF179" s="1234">
        <v>30</v>
      </c>
      <c r="AG179" s="1234"/>
      <c r="AH179" s="606"/>
    </row>
    <row r="180" spans="1:35" ht="21" customHeight="1" thickBot="1">
      <c r="A180" s="556">
        <v>1</v>
      </c>
      <c r="B180" s="319" t="s">
        <v>552</v>
      </c>
      <c r="C180" s="1213" t="s">
        <v>514</v>
      </c>
      <c r="D180" s="1213" t="s">
        <v>514</v>
      </c>
      <c r="E180" s="1213" t="s">
        <v>514</v>
      </c>
      <c r="F180" s="1213" t="s">
        <v>514</v>
      </c>
      <c r="G180" s="1213"/>
      <c r="H180" s="1213"/>
      <c r="I180" s="1213" t="s">
        <v>514</v>
      </c>
      <c r="J180" s="1213" t="s">
        <v>514</v>
      </c>
      <c r="K180" s="1213" t="s">
        <v>514</v>
      </c>
      <c r="L180" s="1213" t="s">
        <v>514</v>
      </c>
      <c r="M180" s="1213" t="s">
        <v>514</v>
      </c>
      <c r="N180" s="1213"/>
      <c r="O180" s="1213"/>
      <c r="P180" s="1213" t="s">
        <v>514</v>
      </c>
      <c r="Q180" s="1213" t="s">
        <v>514</v>
      </c>
      <c r="R180" s="1213" t="s">
        <v>514</v>
      </c>
      <c r="S180" s="1213"/>
      <c r="T180" s="1213"/>
      <c r="U180" s="1213"/>
      <c r="V180" s="1213"/>
      <c r="W180" s="1213"/>
      <c r="X180" s="1213" t="s">
        <v>514</v>
      </c>
      <c r="Y180" s="1213" t="s">
        <v>514</v>
      </c>
      <c r="Z180" s="1213" t="s">
        <v>514</v>
      </c>
      <c r="AA180" s="1213" t="s">
        <v>514</v>
      </c>
      <c r="AB180" s="1213"/>
      <c r="AC180" s="1213"/>
      <c r="AD180" s="1213" t="s">
        <v>514</v>
      </c>
      <c r="AE180" s="1213" t="s">
        <v>514</v>
      </c>
      <c r="AF180" s="1213" t="s">
        <v>514</v>
      </c>
      <c r="AG180" s="1213"/>
      <c r="AH180" s="606"/>
    </row>
    <row r="181" spans="1:35" ht="21" customHeight="1" thickBot="1">
      <c r="A181" s="556">
        <v>2</v>
      </c>
      <c r="B181" s="545" t="s">
        <v>553</v>
      </c>
      <c r="C181" s="172" t="s">
        <v>484</v>
      </c>
      <c r="D181" s="172" t="s">
        <v>484</v>
      </c>
      <c r="E181" s="1209" t="s">
        <v>485</v>
      </c>
      <c r="F181" s="172" t="s">
        <v>485</v>
      </c>
      <c r="G181" s="172" t="s">
        <v>486</v>
      </c>
      <c r="H181" s="172"/>
      <c r="I181" s="172" t="s">
        <v>487</v>
      </c>
      <c r="J181" s="172" t="s">
        <v>487</v>
      </c>
      <c r="K181" s="172">
        <v>3</v>
      </c>
      <c r="L181" s="172">
        <v>3</v>
      </c>
      <c r="M181" s="172">
        <v>3</v>
      </c>
      <c r="N181" s="172" t="s">
        <v>637</v>
      </c>
      <c r="O181" s="172"/>
      <c r="P181" s="172" t="s">
        <v>684</v>
      </c>
      <c r="Q181" s="172" t="s">
        <v>535</v>
      </c>
      <c r="R181" s="1508" t="s">
        <v>749</v>
      </c>
      <c r="S181" s="172" t="s">
        <v>28</v>
      </c>
      <c r="T181" s="172" t="s">
        <v>486</v>
      </c>
      <c r="U181" s="172" t="s">
        <v>487</v>
      </c>
      <c r="V181" s="172" t="s">
        <v>487</v>
      </c>
      <c r="W181" s="172">
        <v>1</v>
      </c>
      <c r="X181" s="172">
        <v>1</v>
      </c>
      <c r="Y181" s="172">
        <v>1</v>
      </c>
      <c r="Z181" s="1209">
        <v>1</v>
      </c>
      <c r="AA181" s="172">
        <v>1</v>
      </c>
      <c r="AB181" s="172" t="s">
        <v>533</v>
      </c>
      <c r="AC181" s="172" t="s">
        <v>533</v>
      </c>
      <c r="AD181" s="172" t="s">
        <v>487</v>
      </c>
      <c r="AE181" s="172" t="s">
        <v>487</v>
      </c>
      <c r="AF181" s="172">
        <v>3</v>
      </c>
      <c r="AG181" s="172"/>
      <c r="AH181" s="606"/>
    </row>
    <row r="182" spans="1:35" ht="21" customHeight="1" thickBot="1">
      <c r="A182" s="556">
        <v>3</v>
      </c>
      <c r="B182" s="545" t="s">
        <v>554</v>
      </c>
      <c r="C182" s="172">
        <v>11</v>
      </c>
      <c r="D182" s="172">
        <v>11</v>
      </c>
      <c r="E182" s="172">
        <v>11</v>
      </c>
      <c r="F182" s="172">
        <v>11</v>
      </c>
      <c r="G182" s="172" t="s">
        <v>657</v>
      </c>
      <c r="H182" s="172" t="s">
        <v>657</v>
      </c>
      <c r="I182" s="172" t="s">
        <v>487</v>
      </c>
      <c r="J182" s="172" t="s">
        <v>487</v>
      </c>
      <c r="K182" s="172" t="s">
        <v>487</v>
      </c>
      <c r="L182" s="172" t="s">
        <v>487</v>
      </c>
      <c r="M182" s="172" t="s">
        <v>487</v>
      </c>
      <c r="N182" s="607"/>
      <c r="O182" s="172"/>
      <c r="P182" s="172">
        <v>9</v>
      </c>
      <c r="Q182" s="172">
        <v>9</v>
      </c>
      <c r="R182" s="172">
        <v>9</v>
      </c>
      <c r="S182" s="172">
        <v>9</v>
      </c>
      <c r="T182" s="172">
        <v>9</v>
      </c>
      <c r="U182" s="172" t="s">
        <v>543</v>
      </c>
      <c r="V182" s="172" t="s">
        <v>543</v>
      </c>
      <c r="W182" s="172" t="s">
        <v>487</v>
      </c>
      <c r="X182" s="172" t="s">
        <v>487</v>
      </c>
      <c r="Y182" s="172" t="s">
        <v>487</v>
      </c>
      <c r="Z182" s="1209" t="s">
        <v>514</v>
      </c>
      <c r="AA182" s="172" t="s">
        <v>487</v>
      </c>
      <c r="AB182" s="172" t="s">
        <v>637</v>
      </c>
      <c r="AC182" s="172" t="s">
        <v>637</v>
      </c>
      <c r="AD182" s="172" t="s">
        <v>487</v>
      </c>
      <c r="AE182" s="172" t="s">
        <v>487</v>
      </c>
      <c r="AF182" s="172" t="s">
        <v>487</v>
      </c>
      <c r="AG182" s="172"/>
      <c r="AH182" s="606"/>
    </row>
    <row r="183" spans="1:35" ht="21" customHeight="1" thickBot="1">
      <c r="A183" s="556">
        <v>4</v>
      </c>
      <c r="B183" s="545" t="s">
        <v>788</v>
      </c>
      <c r="C183" s="1455" t="s">
        <v>485</v>
      </c>
      <c r="D183" s="1454" t="s">
        <v>485</v>
      </c>
      <c r="E183" s="1454" t="s">
        <v>485</v>
      </c>
      <c r="F183" s="172">
        <v>4</v>
      </c>
      <c r="G183" s="172"/>
      <c r="H183" s="172"/>
      <c r="I183" s="172">
        <v>8</v>
      </c>
      <c r="J183" s="172">
        <v>8</v>
      </c>
      <c r="K183" s="172">
        <v>8</v>
      </c>
      <c r="L183" s="172">
        <v>8</v>
      </c>
      <c r="M183" s="172">
        <v>8</v>
      </c>
      <c r="N183" s="172"/>
      <c r="O183" s="172"/>
      <c r="P183" s="172">
        <v>10</v>
      </c>
      <c r="Q183" s="172">
        <v>10</v>
      </c>
      <c r="R183" s="172">
        <v>10</v>
      </c>
      <c r="S183" s="172">
        <v>10</v>
      </c>
      <c r="T183" s="172">
        <v>10</v>
      </c>
      <c r="U183" s="172" t="s">
        <v>555</v>
      </c>
      <c r="V183" s="172" t="s">
        <v>555</v>
      </c>
      <c r="W183" s="172" t="s">
        <v>487</v>
      </c>
      <c r="X183" s="172" t="s">
        <v>487</v>
      </c>
      <c r="Y183" s="172" t="s">
        <v>487</v>
      </c>
      <c r="Z183" s="1209" t="s">
        <v>514</v>
      </c>
      <c r="AA183" s="172"/>
      <c r="AB183" s="1215" t="s">
        <v>660</v>
      </c>
      <c r="AC183" s="1392" t="s">
        <v>835</v>
      </c>
      <c r="AD183" s="1215">
        <v>7</v>
      </c>
      <c r="AE183" s="172">
        <v>7</v>
      </c>
      <c r="AF183" s="172">
        <v>7</v>
      </c>
      <c r="AG183" s="172"/>
      <c r="AH183" s="606"/>
    </row>
    <row r="184" spans="1:35" ht="21" customHeight="1">
      <c r="A184" s="599">
        <v>5</v>
      </c>
      <c r="B184" s="1668" t="s">
        <v>827</v>
      </c>
      <c r="C184" s="178" t="s">
        <v>514</v>
      </c>
      <c r="D184" s="178" t="s">
        <v>514</v>
      </c>
      <c r="E184" s="178" t="s">
        <v>514</v>
      </c>
      <c r="F184" s="178" t="s">
        <v>514</v>
      </c>
      <c r="G184" s="178"/>
      <c r="H184" s="178"/>
      <c r="I184" s="178" t="s">
        <v>514</v>
      </c>
      <c r="J184" s="178" t="s">
        <v>514</v>
      </c>
      <c r="K184" s="178" t="s">
        <v>514</v>
      </c>
      <c r="L184" s="178" t="s">
        <v>514</v>
      </c>
      <c r="M184" s="178" t="s">
        <v>514</v>
      </c>
      <c r="N184" s="178"/>
      <c r="O184" s="178"/>
      <c r="P184" s="178" t="s">
        <v>514</v>
      </c>
      <c r="Q184" s="178" t="s">
        <v>514</v>
      </c>
      <c r="R184" s="178" t="s">
        <v>514</v>
      </c>
      <c r="S184" s="178"/>
      <c r="T184" s="178"/>
      <c r="U184" s="178"/>
      <c r="V184" s="178"/>
      <c r="W184" s="178" t="s">
        <v>514</v>
      </c>
      <c r="X184" s="178" t="s">
        <v>514</v>
      </c>
      <c r="Y184" s="178" t="s">
        <v>514</v>
      </c>
      <c r="Z184" s="1223" t="s">
        <v>514</v>
      </c>
      <c r="AA184" s="178"/>
      <c r="AB184" s="178"/>
      <c r="AC184" s="178"/>
      <c r="AD184" s="178" t="s">
        <v>514</v>
      </c>
      <c r="AE184" s="178" t="s">
        <v>514</v>
      </c>
      <c r="AF184" s="178" t="s">
        <v>514</v>
      </c>
      <c r="AG184" s="178"/>
      <c r="AH184" s="606"/>
    </row>
    <row r="185" spans="1:35" ht="21" customHeight="1">
      <c r="A185" s="1669">
        <v>6</v>
      </c>
      <c r="B185" s="1467" t="s">
        <v>836</v>
      </c>
      <c r="C185" s="1448" t="s">
        <v>514</v>
      </c>
      <c r="D185" s="1448" t="s">
        <v>514</v>
      </c>
      <c r="E185" s="1448" t="s">
        <v>514</v>
      </c>
      <c r="F185" s="1448" t="s">
        <v>514</v>
      </c>
      <c r="G185" s="1448"/>
      <c r="H185" s="1448"/>
      <c r="I185" s="1448" t="s">
        <v>514</v>
      </c>
      <c r="J185" s="1448" t="s">
        <v>514</v>
      </c>
      <c r="K185" s="1448" t="s">
        <v>514</v>
      </c>
      <c r="L185" s="1448" t="s">
        <v>514</v>
      </c>
      <c r="M185" s="1448" t="s">
        <v>570</v>
      </c>
      <c r="N185" s="1449"/>
      <c r="O185" s="1448"/>
      <c r="P185" s="1448" t="s">
        <v>514</v>
      </c>
      <c r="Q185" s="1448" t="s">
        <v>514</v>
      </c>
      <c r="R185" s="1448" t="s">
        <v>514</v>
      </c>
      <c r="S185" s="1448"/>
      <c r="T185" s="1448"/>
      <c r="U185" s="1448"/>
      <c r="V185" s="1448">
        <v>4</v>
      </c>
      <c r="W185" s="1448"/>
      <c r="X185" s="1448" t="s">
        <v>514</v>
      </c>
      <c r="Y185" s="1448" t="s">
        <v>514</v>
      </c>
      <c r="Z185" s="1448" t="s">
        <v>514</v>
      </c>
      <c r="AA185" s="1448"/>
      <c r="AB185" s="1448"/>
      <c r="AC185" s="1448"/>
      <c r="AD185" s="1448" t="s">
        <v>514</v>
      </c>
      <c r="AE185" s="1448" t="s">
        <v>514</v>
      </c>
      <c r="AF185" s="1448" t="s">
        <v>514</v>
      </c>
      <c r="AG185" s="1448"/>
      <c r="AH185" s="606"/>
    </row>
    <row r="186" spans="1:35" ht="21.95" customHeight="1" thickBot="1">
      <c r="A186" s="1" t="s">
        <v>560</v>
      </c>
      <c r="B186" s="274"/>
      <c r="C186" s="139"/>
      <c r="D186" s="139"/>
      <c r="E186" s="139"/>
      <c r="F186" s="139"/>
      <c r="G186" s="139"/>
      <c r="H186" s="139"/>
      <c r="I186" s="139"/>
      <c r="J186" s="139"/>
      <c r="K186" s="139"/>
      <c r="L186" s="139"/>
      <c r="M186" s="139"/>
      <c r="N186" s="139"/>
      <c r="O186" s="139"/>
      <c r="P186" s="139"/>
      <c r="Q186" s="139"/>
      <c r="R186" s="139"/>
      <c r="S186" s="139"/>
      <c r="T186" s="139"/>
      <c r="U186" s="139"/>
      <c r="V186" s="139"/>
      <c r="W186" s="139"/>
      <c r="X186" s="139"/>
      <c r="Y186" s="139"/>
      <c r="Z186" s="139"/>
      <c r="AA186" s="139"/>
      <c r="AB186" s="139"/>
      <c r="AC186" s="139"/>
      <c r="AD186" s="139"/>
      <c r="AE186" s="139"/>
      <c r="AF186" s="139"/>
      <c r="AG186" s="139"/>
    </row>
    <row r="187" spans="1:35" ht="21.95" customHeight="1">
      <c r="A187" s="1"/>
      <c r="B187" s="1290" t="s">
        <v>516</v>
      </c>
      <c r="C187" s="51" t="s">
        <v>2</v>
      </c>
      <c r="D187" s="51"/>
      <c r="E187" s="51"/>
      <c r="F187" s="51"/>
      <c r="G187" s="1292" t="s">
        <v>3</v>
      </c>
      <c r="H187" s="51"/>
      <c r="I187" s="51"/>
      <c r="J187" s="51"/>
      <c r="K187" s="1292" t="s">
        <v>4</v>
      </c>
      <c r="L187" s="51"/>
      <c r="M187" s="51"/>
      <c r="N187" s="51"/>
      <c r="O187" s="1292" t="s">
        <v>5</v>
      </c>
      <c r="P187" s="51"/>
      <c r="Q187" s="51"/>
      <c r="R187" s="51"/>
      <c r="S187" s="1292" t="s">
        <v>6</v>
      </c>
      <c r="T187" s="51"/>
      <c r="U187" s="51"/>
      <c r="V187" s="51"/>
      <c r="W187" s="51"/>
      <c r="X187" s="1296" t="s">
        <v>7</v>
      </c>
      <c r="Y187" s="51"/>
      <c r="Z187" s="551"/>
      <c r="AA187" s="7"/>
      <c r="AB187" s="525" t="s">
        <v>8</v>
      </c>
      <c r="AC187" s="51"/>
      <c r="AD187" s="51"/>
      <c r="AE187" s="425" t="s">
        <v>10</v>
      </c>
      <c r="AF187" s="51"/>
      <c r="AG187" s="51"/>
      <c r="AH187" s="51"/>
      <c r="AI187" s="526"/>
    </row>
    <row r="188" spans="1:35" ht="21.95" customHeight="1">
      <c r="A188" s="1"/>
      <c r="B188" s="1290">
        <v>3701</v>
      </c>
      <c r="C188" s="55" t="s">
        <v>561</v>
      </c>
      <c r="D188" s="55"/>
      <c r="E188" s="55"/>
      <c r="F188" s="55"/>
      <c r="G188" s="1293" t="s">
        <v>124</v>
      </c>
      <c r="H188" s="55"/>
      <c r="I188" s="55"/>
      <c r="J188" s="55"/>
      <c r="K188" s="1293" t="s">
        <v>124</v>
      </c>
      <c r="L188" s="55"/>
      <c r="M188" s="55"/>
      <c r="N188" s="55"/>
      <c r="O188" s="1293" t="s">
        <v>124</v>
      </c>
      <c r="P188" s="55"/>
      <c r="Q188" s="55"/>
      <c r="R188" s="55"/>
      <c r="S188" s="1293" t="s">
        <v>125</v>
      </c>
      <c r="T188" s="55"/>
      <c r="U188" s="55"/>
      <c r="V188" s="55"/>
      <c r="W188" s="55"/>
      <c r="X188" s="1297"/>
      <c r="Y188" s="55"/>
      <c r="Z188" s="608"/>
      <c r="AA188" s="14"/>
      <c r="AB188" s="609"/>
      <c r="AC188" s="55"/>
      <c r="AD188" s="55"/>
      <c r="AE188" s="610"/>
      <c r="AF188" s="55"/>
      <c r="AG188" s="55"/>
      <c r="AH188" s="55"/>
      <c r="AI188" s="611"/>
    </row>
    <row r="189" spans="1:35" ht="21.95" customHeight="1">
      <c r="B189" s="1290">
        <v>3700</v>
      </c>
      <c r="C189" s="157" t="s">
        <v>512</v>
      </c>
      <c r="D189" s="157"/>
      <c r="E189" s="157"/>
      <c r="F189" s="157"/>
      <c r="G189" s="897" t="s">
        <v>512</v>
      </c>
      <c r="H189" s="157"/>
      <c r="I189" s="157"/>
      <c r="J189" s="157"/>
      <c r="K189" s="897" t="s">
        <v>512</v>
      </c>
      <c r="L189" s="157"/>
      <c r="M189" s="157"/>
      <c r="N189" s="157"/>
      <c r="O189" s="897" t="s">
        <v>512</v>
      </c>
      <c r="P189" s="157"/>
      <c r="Q189" s="157"/>
      <c r="R189" s="157"/>
      <c r="S189" s="897" t="s">
        <v>116</v>
      </c>
      <c r="T189" s="157"/>
      <c r="U189" s="157"/>
      <c r="V189" s="157"/>
      <c r="W189" s="157"/>
      <c r="X189" s="897"/>
      <c r="Y189" s="157"/>
      <c r="Z189" s="568"/>
      <c r="AA189" s="567"/>
      <c r="AB189" s="157"/>
      <c r="AC189" s="157"/>
      <c r="AD189" s="569"/>
      <c r="AE189" s="613"/>
      <c r="AF189" s="157"/>
      <c r="AG189" s="157" t="s">
        <v>28</v>
      </c>
      <c r="AH189" s="569"/>
      <c r="AI189" s="490"/>
    </row>
    <row r="190" spans="1:35" ht="21.95" customHeight="1">
      <c r="A190" s="1"/>
      <c r="B190" s="1290">
        <v>8514</v>
      </c>
      <c r="C190" s="157" t="s">
        <v>124</v>
      </c>
      <c r="D190" s="157"/>
      <c r="E190" s="157"/>
      <c r="F190" s="157"/>
      <c r="G190" s="897" t="s">
        <v>124</v>
      </c>
      <c r="H190" s="157"/>
      <c r="I190" s="157"/>
      <c r="J190" s="157"/>
      <c r="K190" s="897" t="s">
        <v>124</v>
      </c>
      <c r="L190" s="157"/>
      <c r="M190" s="157"/>
      <c r="N190" s="157"/>
      <c r="O190" s="897" t="s">
        <v>124</v>
      </c>
      <c r="P190" s="157"/>
      <c r="Q190" s="157"/>
      <c r="R190" s="157"/>
      <c r="S190" s="897" t="s">
        <v>562</v>
      </c>
      <c r="T190" s="157"/>
      <c r="U190" s="157"/>
      <c r="V190" s="157"/>
      <c r="W190" s="157"/>
      <c r="X190" s="897"/>
      <c r="Y190" s="157"/>
      <c r="Z190" s="568"/>
      <c r="AA190" s="121"/>
      <c r="AB190" s="157"/>
      <c r="AC190" s="157"/>
      <c r="AD190" s="569"/>
      <c r="AE190" s="121"/>
      <c r="AF190" s="157"/>
      <c r="AG190" s="157"/>
      <c r="AH190" s="569"/>
      <c r="AI190" s="490"/>
    </row>
    <row r="191" spans="1:35" ht="21.95" customHeight="1">
      <c r="A191" s="1"/>
      <c r="B191" s="1290">
        <v>8500</v>
      </c>
      <c r="C191" s="55" t="s">
        <v>11</v>
      </c>
      <c r="D191" s="55"/>
      <c r="E191" s="55"/>
      <c r="F191" s="55"/>
      <c r="G191" s="1293" t="s">
        <v>11</v>
      </c>
      <c r="H191" s="55"/>
      <c r="I191" s="55"/>
      <c r="J191" s="55"/>
      <c r="K191" s="1293" t="s">
        <v>11</v>
      </c>
      <c r="L191" s="55"/>
      <c r="M191" s="55"/>
      <c r="N191" s="55"/>
      <c r="O191" s="1293" t="s">
        <v>11</v>
      </c>
      <c r="P191" s="55"/>
      <c r="Q191" s="55"/>
      <c r="R191" s="55"/>
      <c r="S191" s="1293" t="s">
        <v>12</v>
      </c>
      <c r="T191" s="55"/>
      <c r="U191" s="55"/>
      <c r="V191" s="55"/>
      <c r="W191" s="55"/>
      <c r="X191" s="1293"/>
      <c r="Y191" s="55"/>
      <c r="Z191" s="615"/>
      <c r="AA191" s="614"/>
      <c r="AB191" s="55"/>
      <c r="AC191" s="55"/>
      <c r="AD191" s="615"/>
      <c r="AE191" s="614"/>
      <c r="AF191" s="55"/>
      <c r="AG191" s="55"/>
      <c r="AH191" s="598"/>
      <c r="AI191" s="611"/>
    </row>
    <row r="192" spans="1:35" ht="21.95" customHeight="1">
      <c r="A192" s="1"/>
      <c r="B192" s="1290">
        <v>8514</v>
      </c>
      <c r="C192" s="616" t="s">
        <v>124</v>
      </c>
      <c r="D192" s="616"/>
      <c r="E192" s="616"/>
      <c r="F192" s="616"/>
      <c r="G192" s="1294" t="s">
        <v>124</v>
      </c>
      <c r="H192" s="616"/>
      <c r="I192" s="616"/>
      <c r="J192" s="616"/>
      <c r="K192" s="1294" t="s">
        <v>124</v>
      </c>
      <c r="L192" s="616"/>
      <c r="M192" s="616"/>
      <c r="N192" s="616"/>
      <c r="O192" s="1294" t="s">
        <v>124</v>
      </c>
      <c r="P192" s="616"/>
      <c r="Q192" s="616"/>
      <c r="R192" s="616"/>
      <c r="S192" s="1294" t="s">
        <v>562</v>
      </c>
      <c r="T192" s="616"/>
      <c r="U192" s="616"/>
      <c r="V192" s="616"/>
      <c r="W192" s="616"/>
      <c r="X192" s="1297"/>
      <c r="Y192" s="55"/>
      <c r="Z192" s="608"/>
      <c r="AA192" s="14"/>
      <c r="AB192" s="609"/>
      <c r="AC192" s="55"/>
      <c r="AD192" s="55"/>
      <c r="AE192" s="610"/>
      <c r="AF192" s="55"/>
      <c r="AG192" s="55"/>
      <c r="AH192" s="55"/>
      <c r="AI192" s="611"/>
    </row>
    <row r="193" spans="1:35" ht="21.95" customHeight="1" thickBot="1">
      <c r="A193" s="1"/>
      <c r="B193" s="1291" t="s">
        <v>563</v>
      </c>
      <c r="C193" s="53" t="s">
        <v>564</v>
      </c>
      <c r="D193" s="53"/>
      <c r="E193" s="53"/>
      <c r="F193" s="53"/>
      <c r="G193" s="1295" t="s">
        <v>564</v>
      </c>
      <c r="H193" s="53"/>
      <c r="I193" s="53"/>
      <c r="J193" s="53"/>
      <c r="K193" s="53" t="s">
        <v>564</v>
      </c>
      <c r="L193" s="53"/>
      <c r="M193" s="53"/>
      <c r="N193" s="53"/>
      <c r="O193" s="1295" t="s">
        <v>564</v>
      </c>
      <c r="P193" s="53"/>
      <c r="Q193" s="53"/>
      <c r="R193" s="53"/>
      <c r="S193" s="1295" t="s">
        <v>565</v>
      </c>
      <c r="T193" s="53"/>
      <c r="U193" s="53"/>
      <c r="V193" s="53"/>
      <c r="W193" s="53"/>
      <c r="X193" s="1295"/>
      <c r="Y193" s="53"/>
      <c r="Z193" s="575"/>
      <c r="AA193" s="574"/>
      <c r="AB193" s="53"/>
      <c r="AC193" s="53"/>
      <c r="AD193" s="577"/>
      <c r="AE193" s="618"/>
      <c r="AF193" s="53"/>
      <c r="AG193" s="53" t="s">
        <v>28</v>
      </c>
      <c r="AH193" s="577"/>
      <c r="AI193" s="539"/>
    </row>
    <row r="194" spans="1:35" ht="21.95" customHeight="1">
      <c r="A194" s="1"/>
      <c r="B194" s="72"/>
      <c r="C194" s="312"/>
      <c r="F194" s="354"/>
      <c r="G194" s="312"/>
      <c r="J194" s="354"/>
      <c r="K194" s="312"/>
      <c r="N194" s="354"/>
      <c r="O194" s="312"/>
      <c r="R194" s="354"/>
      <c r="S194" s="312"/>
      <c r="V194" s="354"/>
      <c r="W194" s="354"/>
      <c r="Z194" s="354"/>
      <c r="AA194" s="354"/>
      <c r="AD194" s="354"/>
      <c r="AE194" s="354"/>
      <c r="AH194" s="354"/>
    </row>
    <row r="195" spans="1:35" ht="21.95" customHeight="1" thickBot="1">
      <c r="A195" s="1" t="s">
        <v>509</v>
      </c>
      <c r="B195" s="72"/>
      <c r="C195" s="312"/>
      <c r="F195" s="354"/>
      <c r="G195" s="312"/>
      <c r="J195" s="354"/>
      <c r="K195" s="312"/>
      <c r="N195" s="354"/>
      <c r="O195" s="312"/>
      <c r="R195" s="354"/>
      <c r="S195" s="312"/>
      <c r="V195" s="354"/>
      <c r="W195" s="354"/>
      <c r="Z195" s="354"/>
      <c r="AA195" s="354"/>
      <c r="AD195" s="354"/>
      <c r="AE195" s="354"/>
      <c r="AH195" s="354"/>
    </row>
    <row r="196" spans="1:35" ht="21.95" customHeight="1">
      <c r="A196" s="556"/>
      <c r="B196" s="297" t="s">
        <v>480</v>
      </c>
      <c r="C196" s="1234">
        <v>1</v>
      </c>
      <c r="D196" s="1234">
        <v>2</v>
      </c>
      <c r="E196" s="1234">
        <v>3</v>
      </c>
      <c r="F196" s="1234">
        <v>4</v>
      </c>
      <c r="G196" s="1235">
        <v>5</v>
      </c>
      <c r="H196" s="1235">
        <v>6</v>
      </c>
      <c r="I196" s="1213">
        <v>7</v>
      </c>
      <c r="J196" s="1213">
        <v>8</v>
      </c>
      <c r="K196" s="1234">
        <v>9</v>
      </c>
      <c r="L196" s="1234">
        <v>10</v>
      </c>
      <c r="M196" s="1234">
        <v>11</v>
      </c>
      <c r="N196" s="1235">
        <v>12</v>
      </c>
      <c r="O196" s="1235">
        <v>13</v>
      </c>
      <c r="P196" s="1213">
        <v>14</v>
      </c>
      <c r="Q196" s="1213">
        <v>15</v>
      </c>
      <c r="R196" s="1234">
        <v>16</v>
      </c>
      <c r="S196" s="1235">
        <v>17</v>
      </c>
      <c r="T196" s="1235">
        <v>18</v>
      </c>
      <c r="U196" s="1235">
        <v>19</v>
      </c>
      <c r="V196" s="1330">
        <v>20</v>
      </c>
      <c r="W196" s="1330">
        <v>21</v>
      </c>
      <c r="X196" s="1213">
        <v>22</v>
      </c>
      <c r="Y196" s="1234">
        <v>23</v>
      </c>
      <c r="Z196" s="1234">
        <v>24</v>
      </c>
      <c r="AA196" s="1234">
        <v>25</v>
      </c>
      <c r="AB196" s="1235">
        <v>26</v>
      </c>
      <c r="AC196" s="1235">
        <v>27</v>
      </c>
      <c r="AD196" s="1213">
        <v>28</v>
      </c>
      <c r="AE196" s="1213">
        <v>29</v>
      </c>
      <c r="AF196" s="1234">
        <v>30</v>
      </c>
      <c r="AG196" s="1234"/>
      <c r="AH196" s="498" t="s">
        <v>481</v>
      </c>
      <c r="AI196" s="499" t="s">
        <v>482</v>
      </c>
    </row>
    <row r="197" spans="1:35" ht="21.95" customHeight="1">
      <c r="A197" s="556"/>
      <c r="B197" s="1236" t="s">
        <v>768</v>
      </c>
      <c r="C197" s="1215" t="s">
        <v>535</v>
      </c>
      <c r="D197" s="1215" t="s">
        <v>535</v>
      </c>
      <c r="E197" s="1215" t="s">
        <v>535</v>
      </c>
      <c r="F197" s="1215" t="s">
        <v>535</v>
      </c>
      <c r="G197" s="1215"/>
      <c r="H197" s="1215"/>
      <c r="I197" s="1215" t="s">
        <v>535</v>
      </c>
      <c r="J197" s="1215" t="s">
        <v>535</v>
      </c>
      <c r="K197" s="1215" t="s">
        <v>535</v>
      </c>
      <c r="L197" s="1215" t="s">
        <v>535</v>
      </c>
      <c r="M197" s="1215" t="s">
        <v>535</v>
      </c>
      <c r="N197" s="1215"/>
      <c r="O197" s="1215"/>
      <c r="P197" s="1338" t="s">
        <v>535</v>
      </c>
      <c r="Q197" s="1338" t="s">
        <v>535</v>
      </c>
      <c r="R197" s="1338" t="s">
        <v>535</v>
      </c>
      <c r="S197" s="1215"/>
      <c r="T197" s="1215"/>
      <c r="U197" s="1215"/>
      <c r="V197" s="1215"/>
      <c r="W197" s="1215"/>
      <c r="X197" s="1338" t="s">
        <v>535</v>
      </c>
      <c r="Y197" s="1215" t="s">
        <v>535</v>
      </c>
      <c r="Z197" s="1215" t="s">
        <v>535</v>
      </c>
      <c r="AA197" s="1215" t="s">
        <v>535</v>
      </c>
      <c r="AB197" s="1215"/>
      <c r="AC197" s="1215"/>
      <c r="AD197" s="1215" t="s">
        <v>535</v>
      </c>
      <c r="AE197" s="1215" t="s">
        <v>535</v>
      </c>
      <c r="AF197" s="1215" t="s">
        <v>535</v>
      </c>
      <c r="AG197" s="1216"/>
      <c r="AH197" s="603">
        <v>185</v>
      </c>
      <c r="AI197" s="604">
        <v>37</v>
      </c>
    </row>
    <row r="198" spans="1:35" ht="21.95" customHeight="1">
      <c r="A198" s="620">
        <v>8500</v>
      </c>
      <c r="B198" s="1237" t="s">
        <v>151</v>
      </c>
      <c r="C198" s="1215" t="s">
        <v>535</v>
      </c>
      <c r="D198" s="1215" t="s">
        <v>535</v>
      </c>
      <c r="E198" s="1215" t="s">
        <v>535</v>
      </c>
      <c r="F198" s="1215" t="s">
        <v>535</v>
      </c>
      <c r="G198" s="1215"/>
      <c r="H198" s="1215"/>
      <c r="I198" s="1338" t="s">
        <v>535</v>
      </c>
      <c r="J198" s="1338" t="s">
        <v>535</v>
      </c>
      <c r="K198" s="1338" t="s">
        <v>535</v>
      </c>
      <c r="L198" s="1338" t="s">
        <v>535</v>
      </c>
      <c r="M198" s="1338" t="s">
        <v>535</v>
      </c>
      <c r="N198" s="1215"/>
      <c r="O198" s="1215"/>
      <c r="P198" s="1335" t="s">
        <v>535</v>
      </c>
      <c r="Q198" s="1335" t="s">
        <v>535</v>
      </c>
      <c r="R198" s="1335" t="s">
        <v>535</v>
      </c>
      <c r="S198" s="1215"/>
      <c r="T198" s="1215"/>
      <c r="U198" s="1215"/>
      <c r="V198" s="1215"/>
      <c r="W198" s="1215"/>
      <c r="X198" s="1335" t="s">
        <v>535</v>
      </c>
      <c r="Y198" s="1335" t="s">
        <v>535</v>
      </c>
      <c r="Z198" s="1335" t="s">
        <v>535</v>
      </c>
      <c r="AA198" s="1335" t="s">
        <v>535</v>
      </c>
      <c r="AB198" s="1215"/>
      <c r="AC198" s="1215"/>
      <c r="AD198" s="1215" t="s">
        <v>535</v>
      </c>
      <c r="AE198" s="1215" t="s">
        <v>535</v>
      </c>
      <c r="AF198" s="1215" t="s">
        <v>535</v>
      </c>
      <c r="AG198" s="1216"/>
      <c r="AH198" s="603">
        <v>185</v>
      </c>
      <c r="AI198" s="604">
        <v>37</v>
      </c>
    </row>
    <row r="199" spans="1:35" ht="21" customHeight="1">
      <c r="A199" s="442"/>
      <c r="B199" s="1236" t="s">
        <v>567</v>
      </c>
      <c r="C199" s="1392" t="s">
        <v>535</v>
      </c>
      <c r="D199" s="1392" t="s">
        <v>535</v>
      </c>
      <c r="E199" s="1392" t="s">
        <v>749</v>
      </c>
      <c r="F199" s="1215" t="s">
        <v>535</v>
      </c>
      <c r="G199" s="1215"/>
      <c r="H199" s="1215"/>
      <c r="I199" s="1215" t="s">
        <v>535</v>
      </c>
      <c r="J199" s="1215" t="s">
        <v>535</v>
      </c>
      <c r="K199" s="1215" t="s">
        <v>535</v>
      </c>
      <c r="L199" s="1215" t="s">
        <v>535</v>
      </c>
      <c r="M199" s="1215" t="s">
        <v>535</v>
      </c>
      <c r="N199" s="1215"/>
      <c r="O199" s="1215"/>
      <c r="P199" s="1338" t="s">
        <v>535</v>
      </c>
      <c r="Q199" s="1338" t="s">
        <v>535</v>
      </c>
      <c r="R199" s="1338" t="s">
        <v>535</v>
      </c>
      <c r="S199" s="1215"/>
      <c r="T199" s="1215"/>
      <c r="U199" s="1215"/>
      <c r="V199" s="1215"/>
      <c r="W199" s="1215"/>
      <c r="X199" s="1338" t="s">
        <v>535</v>
      </c>
      <c r="Y199" s="1338" t="s">
        <v>535</v>
      </c>
      <c r="Z199" s="1338" t="s">
        <v>535</v>
      </c>
      <c r="AA199" s="1338" t="s">
        <v>535</v>
      </c>
      <c r="AB199" s="1215"/>
      <c r="AC199" s="1215"/>
      <c r="AD199" s="1338" t="s">
        <v>535</v>
      </c>
      <c r="AE199" s="1338" t="s">
        <v>535</v>
      </c>
      <c r="AF199" s="1338" t="s">
        <v>535</v>
      </c>
      <c r="AG199" s="1216"/>
      <c r="AH199" s="603">
        <v>185</v>
      </c>
      <c r="AI199" s="604">
        <v>37</v>
      </c>
    </row>
    <row r="200" spans="1:35" ht="21" customHeight="1">
      <c r="A200" s="442">
        <v>8521</v>
      </c>
      <c r="B200" s="1236" t="s">
        <v>568</v>
      </c>
      <c r="C200" s="1392" t="s">
        <v>535</v>
      </c>
      <c r="D200" s="1392" t="s">
        <v>535</v>
      </c>
      <c r="E200" s="1392" t="s">
        <v>535</v>
      </c>
      <c r="F200" s="1392" t="s">
        <v>535</v>
      </c>
      <c r="G200" s="1392"/>
      <c r="H200" s="1392"/>
      <c r="I200" s="1392" t="s">
        <v>535</v>
      </c>
      <c r="J200" s="1392" t="s">
        <v>535</v>
      </c>
      <c r="K200" s="1392" t="s">
        <v>570</v>
      </c>
      <c r="L200" s="1344" t="s">
        <v>514</v>
      </c>
      <c r="M200" s="1215" t="s">
        <v>535</v>
      </c>
      <c r="N200" s="1215"/>
      <c r="O200" s="1215"/>
      <c r="P200" s="1215" t="s">
        <v>535</v>
      </c>
      <c r="Q200" s="1215" t="s">
        <v>535</v>
      </c>
      <c r="R200" s="1215" t="s">
        <v>535</v>
      </c>
      <c r="S200" s="1215"/>
      <c r="T200" s="1215"/>
      <c r="U200" s="1215"/>
      <c r="V200" s="1215"/>
      <c r="W200" s="1215"/>
      <c r="X200" s="1215" t="s">
        <v>535</v>
      </c>
      <c r="Y200" s="1215" t="s">
        <v>535</v>
      </c>
      <c r="Z200" s="1215" t="s">
        <v>535</v>
      </c>
      <c r="AA200" s="1215" t="s">
        <v>535</v>
      </c>
      <c r="AB200" s="1215"/>
      <c r="AC200" s="1215"/>
      <c r="AD200" s="1215" t="s">
        <v>535</v>
      </c>
      <c r="AE200" s="1215" t="s">
        <v>535</v>
      </c>
      <c r="AF200" s="1215" t="s">
        <v>535</v>
      </c>
      <c r="AG200" s="1216"/>
      <c r="AH200" s="603">
        <v>185</v>
      </c>
      <c r="AI200" s="604">
        <v>37</v>
      </c>
    </row>
    <row r="201" spans="1:35" ht="21" customHeight="1">
      <c r="A201" s="442"/>
      <c r="B201" s="1236" t="s">
        <v>758</v>
      </c>
      <c r="C201" s="1215" t="s">
        <v>535</v>
      </c>
      <c r="D201" s="1215" t="s">
        <v>535</v>
      </c>
      <c r="E201" s="1215" t="s">
        <v>535</v>
      </c>
      <c r="F201" s="1215" t="s">
        <v>535</v>
      </c>
      <c r="G201" s="1215"/>
      <c r="H201" s="1215"/>
      <c r="I201" s="1215" t="s">
        <v>535</v>
      </c>
      <c r="J201" s="1215" t="s">
        <v>535</v>
      </c>
      <c r="K201" s="1215" t="s">
        <v>535</v>
      </c>
      <c r="L201" s="1215" t="s">
        <v>535</v>
      </c>
      <c r="M201" s="1215" t="s">
        <v>535</v>
      </c>
      <c r="N201" s="1215"/>
      <c r="O201" s="1215"/>
      <c r="P201" s="1215" t="s">
        <v>535</v>
      </c>
      <c r="Q201" s="1215" t="s">
        <v>535</v>
      </c>
      <c r="R201" s="1215" t="s">
        <v>535</v>
      </c>
      <c r="S201" s="1215"/>
      <c r="T201" s="1215"/>
      <c r="U201" s="1215"/>
      <c r="V201" s="1215"/>
      <c r="W201" s="1215"/>
      <c r="X201" s="1215" t="s">
        <v>535</v>
      </c>
      <c r="Y201" s="1215" t="s">
        <v>535</v>
      </c>
      <c r="Z201" s="1215" t="s">
        <v>535</v>
      </c>
      <c r="AA201" s="1215" t="s">
        <v>535</v>
      </c>
      <c r="AB201" s="1215"/>
      <c r="AC201" s="1215"/>
      <c r="AD201" s="1215" t="s">
        <v>535</v>
      </c>
      <c r="AE201" s="1215" t="s">
        <v>535</v>
      </c>
      <c r="AF201" s="1215" t="s">
        <v>535</v>
      </c>
      <c r="AG201" s="1216"/>
      <c r="AH201" s="603">
        <v>185</v>
      </c>
      <c r="AI201" s="604">
        <v>37</v>
      </c>
    </row>
    <row r="202" spans="1:35" ht="21" customHeight="1">
      <c r="A202" s="442">
        <v>8514</v>
      </c>
      <c r="B202" s="1238" t="s">
        <v>569</v>
      </c>
      <c r="C202" s="1215" t="s">
        <v>535</v>
      </c>
      <c r="D202" s="1215" t="s">
        <v>535</v>
      </c>
      <c r="E202" s="1215" t="s">
        <v>535</v>
      </c>
      <c r="F202" s="1215" t="s">
        <v>535</v>
      </c>
      <c r="G202" s="1215"/>
      <c r="H202" s="1215"/>
      <c r="I202" s="1215" t="s">
        <v>535</v>
      </c>
      <c r="J202" s="1215" t="s">
        <v>535</v>
      </c>
      <c r="K202" s="1215" t="s">
        <v>535</v>
      </c>
      <c r="L202" s="1215" t="s">
        <v>535</v>
      </c>
      <c r="M202" s="1215" t="s">
        <v>535</v>
      </c>
      <c r="N202" s="1215"/>
      <c r="O202" s="1215"/>
      <c r="P202" s="1345" t="s">
        <v>535</v>
      </c>
      <c r="Q202" s="1345" t="s">
        <v>535</v>
      </c>
      <c r="R202" s="1345" t="s">
        <v>535</v>
      </c>
      <c r="S202" s="1215"/>
      <c r="T202" s="1215"/>
      <c r="U202" s="1215"/>
      <c r="V202" s="1215"/>
      <c r="W202" s="1215"/>
      <c r="X202" s="1345" t="s">
        <v>535</v>
      </c>
      <c r="Y202" s="1345" t="s">
        <v>535</v>
      </c>
      <c r="Z202" s="1335" t="s">
        <v>535</v>
      </c>
      <c r="AA202" s="1335" t="s">
        <v>535</v>
      </c>
      <c r="AB202" s="1215"/>
      <c r="AC202" s="1215"/>
      <c r="AD202" s="1215" t="s">
        <v>535</v>
      </c>
      <c r="AE202" s="1215" t="s">
        <v>535</v>
      </c>
      <c r="AF202" s="1215" t="s">
        <v>535</v>
      </c>
      <c r="AG202" s="1216"/>
      <c r="AH202" s="603">
        <v>185</v>
      </c>
      <c r="AI202" s="604">
        <v>37</v>
      </c>
    </row>
    <row r="203" spans="1:35" ht="21.95" customHeight="1">
      <c r="A203" s="442">
        <v>3701</v>
      </c>
      <c r="B203" s="1236"/>
      <c r="C203" s="1215" t="s">
        <v>535</v>
      </c>
      <c r="D203" s="1215" t="s">
        <v>535</v>
      </c>
      <c r="E203" s="1215" t="s">
        <v>535</v>
      </c>
      <c r="F203" s="1215" t="s">
        <v>535</v>
      </c>
      <c r="G203" s="1215"/>
      <c r="H203" s="1215"/>
      <c r="I203" s="1215" t="s">
        <v>535</v>
      </c>
      <c r="J203" s="1215" t="s">
        <v>535</v>
      </c>
      <c r="K203" s="1215" t="s">
        <v>535</v>
      </c>
      <c r="L203" s="1215" t="s">
        <v>535</v>
      </c>
      <c r="M203" s="1215" t="s">
        <v>535</v>
      </c>
      <c r="N203" s="1215"/>
      <c r="O203" s="1215"/>
      <c r="P203" s="1215" t="s">
        <v>535</v>
      </c>
      <c r="Q203" s="1215" t="s">
        <v>535</v>
      </c>
      <c r="R203" s="1215" t="s">
        <v>535</v>
      </c>
      <c r="S203" s="1215"/>
      <c r="T203" s="1215"/>
      <c r="U203" s="1215"/>
      <c r="V203" s="1215"/>
      <c r="W203" s="1215"/>
      <c r="X203" s="1215" t="s">
        <v>535</v>
      </c>
      <c r="Y203" s="1215" t="s">
        <v>535</v>
      </c>
      <c r="Z203" s="1215" t="s">
        <v>535</v>
      </c>
      <c r="AA203" s="1215" t="s">
        <v>535</v>
      </c>
      <c r="AB203" s="1215"/>
      <c r="AC203" s="1215"/>
      <c r="AD203" s="1215" t="s">
        <v>535</v>
      </c>
      <c r="AE203" s="1215" t="s">
        <v>535</v>
      </c>
      <c r="AF203" s="1215" t="s">
        <v>535</v>
      </c>
      <c r="AG203" s="1216"/>
      <c r="AH203" s="603">
        <v>185</v>
      </c>
      <c r="AI203" s="604">
        <v>37</v>
      </c>
    </row>
    <row r="204" spans="1:35" ht="21.95" customHeight="1">
      <c r="A204" s="442">
        <v>3701</v>
      </c>
      <c r="B204" s="1236" t="s">
        <v>345</v>
      </c>
      <c r="C204" s="1215" t="s">
        <v>535</v>
      </c>
      <c r="D204" s="1215" t="s">
        <v>535</v>
      </c>
      <c r="E204" s="1215" t="s">
        <v>535</v>
      </c>
      <c r="F204" s="1215" t="s">
        <v>535</v>
      </c>
      <c r="G204" s="1215"/>
      <c r="H204" s="1215"/>
      <c r="I204" s="1374" t="s">
        <v>535</v>
      </c>
      <c r="J204" s="1374" t="s">
        <v>535</v>
      </c>
      <c r="K204" s="1374" t="s">
        <v>535</v>
      </c>
      <c r="L204" s="1335" t="s">
        <v>535</v>
      </c>
      <c r="M204" s="1335" t="s">
        <v>535</v>
      </c>
      <c r="N204" s="1215"/>
      <c r="O204" s="1215"/>
      <c r="P204" s="1344" t="s">
        <v>535</v>
      </c>
      <c r="Q204" s="1344" t="s">
        <v>535</v>
      </c>
      <c r="R204" s="1344" t="s">
        <v>535</v>
      </c>
      <c r="S204" s="1215"/>
      <c r="T204" s="1215"/>
      <c r="U204" s="1215"/>
      <c r="V204" s="1215"/>
      <c r="W204" s="1215"/>
      <c r="X204" s="1215" t="s">
        <v>535</v>
      </c>
      <c r="Y204" s="1215" t="s">
        <v>535</v>
      </c>
      <c r="Z204" s="1215" t="s">
        <v>535</v>
      </c>
      <c r="AA204" s="1215" t="s">
        <v>535</v>
      </c>
      <c r="AB204" s="1215"/>
      <c r="AC204" s="1215"/>
      <c r="AD204" s="1215" t="s">
        <v>535</v>
      </c>
      <c r="AE204" s="1215" t="s">
        <v>535</v>
      </c>
      <c r="AF204" s="1215" t="s">
        <v>535</v>
      </c>
      <c r="AG204" s="1216"/>
      <c r="AH204" s="603">
        <v>185</v>
      </c>
      <c r="AI204" s="604">
        <v>37</v>
      </c>
    </row>
    <row r="205" spans="1:35" ht="21.95" customHeight="1" thickBot="1">
      <c r="A205" s="442">
        <v>3701</v>
      </c>
      <c r="B205" s="1236" t="s">
        <v>348</v>
      </c>
      <c r="C205" s="1215" t="s">
        <v>535</v>
      </c>
      <c r="D205" s="1215" t="s">
        <v>535</v>
      </c>
      <c r="E205" s="1215" t="s">
        <v>535</v>
      </c>
      <c r="F205" s="1215" t="s">
        <v>535</v>
      </c>
      <c r="G205" s="1215"/>
      <c r="H205" s="1215"/>
      <c r="I205" s="1215" t="s">
        <v>535</v>
      </c>
      <c r="J205" s="1215" t="s">
        <v>535</v>
      </c>
      <c r="K205" s="1215" t="s">
        <v>535</v>
      </c>
      <c r="L205" s="1215" t="s">
        <v>535</v>
      </c>
      <c r="M205" s="1215" t="s">
        <v>535</v>
      </c>
      <c r="N205" s="1215"/>
      <c r="O205" s="1215"/>
      <c r="P205" s="1215">
        <v>19</v>
      </c>
      <c r="Q205" s="1215">
        <v>19</v>
      </c>
      <c r="R205" s="1374">
        <v>19</v>
      </c>
      <c r="S205" s="1215"/>
      <c r="T205" s="1215"/>
      <c r="U205" s="1215"/>
      <c r="V205" s="1215"/>
      <c r="W205" s="1215"/>
      <c r="X205" s="1374" t="s">
        <v>535</v>
      </c>
      <c r="Y205" s="1374" t="s">
        <v>535</v>
      </c>
      <c r="Z205" s="1374" t="s">
        <v>535</v>
      </c>
      <c r="AA205" s="1374" t="s">
        <v>535</v>
      </c>
      <c r="AB205" s="1215"/>
      <c r="AC205" s="1215"/>
      <c r="AD205" s="1215" t="s">
        <v>535</v>
      </c>
      <c r="AE205" s="1215" t="s">
        <v>535</v>
      </c>
      <c r="AF205" s="1215" t="s">
        <v>535</v>
      </c>
      <c r="AG205" s="1216"/>
      <c r="AH205" s="603">
        <v>185</v>
      </c>
      <c r="AI205" s="604">
        <v>37</v>
      </c>
    </row>
    <row r="206" spans="1:35" ht="21.95" customHeight="1" thickBot="1">
      <c r="A206" s="442">
        <v>3701</v>
      </c>
      <c r="B206" s="1236" t="s">
        <v>350</v>
      </c>
      <c r="C206" s="1215" t="s">
        <v>535</v>
      </c>
      <c r="D206" s="1215" t="s">
        <v>535</v>
      </c>
      <c r="E206" s="1209" t="s">
        <v>514</v>
      </c>
      <c r="F206" s="1215" t="s">
        <v>535</v>
      </c>
      <c r="G206" s="1215"/>
      <c r="H206" s="1215"/>
      <c r="I206" s="1215" t="s">
        <v>514</v>
      </c>
      <c r="J206" s="1215" t="s">
        <v>535</v>
      </c>
      <c r="K206" s="1215" t="s">
        <v>535</v>
      </c>
      <c r="L206" s="1215" t="s">
        <v>535</v>
      </c>
      <c r="M206" s="1215" t="s">
        <v>535</v>
      </c>
      <c r="N206" s="1215"/>
      <c r="O206" s="1215"/>
      <c r="P206" s="1338" t="s">
        <v>535</v>
      </c>
      <c r="Q206" s="1338" t="s">
        <v>535</v>
      </c>
      <c r="R206" s="1338" t="s">
        <v>535</v>
      </c>
      <c r="S206" s="1215"/>
      <c r="T206" s="1215"/>
      <c r="U206" s="1215"/>
      <c r="V206" s="1215"/>
      <c r="W206" s="1215"/>
      <c r="X206" s="1338" t="s">
        <v>535</v>
      </c>
      <c r="Y206" s="1338" t="s">
        <v>535</v>
      </c>
      <c r="Z206" s="1338" t="s">
        <v>535</v>
      </c>
      <c r="AA206" s="1338" t="s">
        <v>535</v>
      </c>
      <c r="AB206" s="1215"/>
      <c r="AC206" s="1215"/>
      <c r="AD206" s="1215" t="s">
        <v>535</v>
      </c>
      <c r="AE206" s="1215" t="s">
        <v>535</v>
      </c>
      <c r="AF206" s="1215" t="s">
        <v>535</v>
      </c>
      <c r="AG206" s="1216"/>
      <c r="AH206" s="603">
        <v>185</v>
      </c>
      <c r="AI206" s="604">
        <v>37</v>
      </c>
    </row>
    <row r="207" spans="1:35" ht="21.95" customHeight="1" thickBot="1">
      <c r="A207" s="442">
        <v>3701</v>
      </c>
      <c r="B207" s="1236" t="s">
        <v>351</v>
      </c>
      <c r="C207" s="1345" t="s">
        <v>535</v>
      </c>
      <c r="D207" s="1345" t="s">
        <v>535</v>
      </c>
      <c r="E207" s="1209" t="s">
        <v>514</v>
      </c>
      <c r="F207" s="1215" t="s">
        <v>535</v>
      </c>
      <c r="G207" s="1215"/>
      <c r="H207" s="1215"/>
      <c r="I207" s="1215">
        <v>19</v>
      </c>
      <c r="J207" s="1215">
        <v>19</v>
      </c>
      <c r="K207" s="1215">
        <v>19</v>
      </c>
      <c r="L207" s="1215">
        <v>19</v>
      </c>
      <c r="M207" s="1215">
        <v>19</v>
      </c>
      <c r="N207" s="1215"/>
      <c r="O207" s="1215"/>
      <c r="P207" s="1215" t="s">
        <v>535</v>
      </c>
      <c r="Q207" s="1215" t="s">
        <v>535</v>
      </c>
      <c r="R207" s="1215" t="s">
        <v>535</v>
      </c>
      <c r="S207" s="1215"/>
      <c r="T207" s="1215"/>
      <c r="U207" s="1215"/>
      <c r="V207" s="1215"/>
      <c r="W207" s="1215"/>
      <c r="X207" s="1215" t="s">
        <v>535</v>
      </c>
      <c r="Y207" s="1215" t="s">
        <v>535</v>
      </c>
      <c r="Z207" s="1215" t="s">
        <v>535</v>
      </c>
      <c r="AA207" s="1215" t="s">
        <v>535</v>
      </c>
      <c r="AB207" s="1215"/>
      <c r="AC207" s="1215"/>
      <c r="AD207" s="1215" t="s">
        <v>535</v>
      </c>
      <c r="AE207" s="1215" t="s">
        <v>535</v>
      </c>
      <c r="AF207" s="1215" t="s">
        <v>535</v>
      </c>
      <c r="AG207" s="1216"/>
      <c r="AH207" s="603">
        <v>185</v>
      </c>
      <c r="AI207" s="604">
        <v>37</v>
      </c>
    </row>
    <row r="208" spans="1:35" ht="21.95" customHeight="1" thickBot="1">
      <c r="A208" s="442">
        <v>3701</v>
      </c>
      <c r="B208" s="1236" t="s">
        <v>571</v>
      </c>
      <c r="C208" s="1215">
        <v>19</v>
      </c>
      <c r="D208" s="1215">
        <v>19</v>
      </c>
      <c r="E208" s="1215">
        <v>19</v>
      </c>
      <c r="F208" s="1215">
        <v>19</v>
      </c>
      <c r="G208" s="1215"/>
      <c r="H208" s="1215"/>
      <c r="I208" s="1215" t="s">
        <v>535</v>
      </c>
      <c r="J208" s="1215" t="s">
        <v>535</v>
      </c>
      <c r="K208" s="1215" t="s">
        <v>535</v>
      </c>
      <c r="L208" s="1215" t="s">
        <v>535</v>
      </c>
      <c r="M208" s="1215" t="s">
        <v>535</v>
      </c>
      <c r="N208" s="1215"/>
      <c r="O208" s="1215"/>
      <c r="P208" s="1215" t="s">
        <v>535</v>
      </c>
      <c r="Q208" s="1215" t="s">
        <v>535</v>
      </c>
      <c r="R208" s="1215" t="s">
        <v>535</v>
      </c>
      <c r="S208" s="1215"/>
      <c r="T208" s="1215"/>
      <c r="U208" s="1215"/>
      <c r="V208" s="1215"/>
      <c r="W208" s="1215"/>
      <c r="X208" s="1215" t="s">
        <v>535</v>
      </c>
      <c r="Y208" s="1215" t="s">
        <v>535</v>
      </c>
      <c r="Z208" s="1209" t="s">
        <v>514</v>
      </c>
      <c r="AA208" s="1215" t="s">
        <v>535</v>
      </c>
      <c r="AB208" s="1215"/>
      <c r="AC208" s="1215"/>
      <c r="AD208" s="1215" t="s">
        <v>535</v>
      </c>
      <c r="AE208" s="1215" t="s">
        <v>535</v>
      </c>
      <c r="AF208" s="1215" t="s">
        <v>535</v>
      </c>
      <c r="AG208" s="1216"/>
      <c r="AH208" s="603">
        <v>185</v>
      </c>
      <c r="AI208" s="604">
        <v>37</v>
      </c>
    </row>
    <row r="209" spans="1:35" ht="21.95" customHeight="1">
      <c r="A209" s="442">
        <v>3701</v>
      </c>
      <c r="B209" s="545" t="s">
        <v>490</v>
      </c>
      <c r="C209" s="1215" t="s">
        <v>535</v>
      </c>
      <c r="D209" s="1215" t="s">
        <v>535</v>
      </c>
      <c r="E209" s="1209" t="s">
        <v>514</v>
      </c>
      <c r="F209" s="1215" t="s">
        <v>535</v>
      </c>
      <c r="G209" s="1215"/>
      <c r="H209" s="1215"/>
      <c r="I209" s="1215" t="s">
        <v>535</v>
      </c>
      <c r="J209" s="1215" t="s">
        <v>535</v>
      </c>
      <c r="K209" s="1215" t="s">
        <v>535</v>
      </c>
      <c r="L209" s="1215" t="s">
        <v>535</v>
      </c>
      <c r="M209" s="1215" t="s">
        <v>535</v>
      </c>
      <c r="N209" s="1215"/>
      <c r="O209" s="1215"/>
      <c r="P209" s="1215" t="s">
        <v>535</v>
      </c>
      <c r="Q209" s="1215" t="s">
        <v>535</v>
      </c>
      <c r="R209" s="1215" t="s">
        <v>535</v>
      </c>
      <c r="S209" s="1215"/>
      <c r="T209" s="1215"/>
      <c r="U209" s="1215"/>
      <c r="V209" s="1215"/>
      <c r="W209" s="1215"/>
      <c r="X209" s="1215">
        <v>19</v>
      </c>
      <c r="Y209" s="1215">
        <v>19</v>
      </c>
      <c r="Z209" s="1215">
        <v>19</v>
      </c>
      <c r="AA209" s="1215">
        <v>19</v>
      </c>
      <c r="AB209" s="1215"/>
      <c r="AC209" s="1215"/>
      <c r="AD209" s="1215" t="s">
        <v>535</v>
      </c>
      <c r="AE209" s="1215" t="s">
        <v>535</v>
      </c>
      <c r="AF209" s="1215" t="s">
        <v>535</v>
      </c>
      <c r="AG209" s="1216"/>
      <c r="AH209" s="603">
        <v>185</v>
      </c>
      <c r="AI209" s="604">
        <v>37</v>
      </c>
    </row>
    <row r="210" spans="1:35" ht="21.95" customHeight="1">
      <c r="A210" s="1318">
        <v>3701</v>
      </c>
      <c r="B210" s="1319" t="s">
        <v>573</v>
      </c>
      <c r="C210" s="1215" t="s">
        <v>535</v>
      </c>
      <c r="D210" s="1215" t="s">
        <v>535</v>
      </c>
      <c r="E210" s="1215" t="s">
        <v>535</v>
      </c>
      <c r="F210" s="1215" t="s">
        <v>535</v>
      </c>
      <c r="G210" s="1215"/>
      <c r="H210" s="1215"/>
      <c r="I210" s="1215" t="s">
        <v>535</v>
      </c>
      <c r="J210" s="1215" t="s">
        <v>535</v>
      </c>
      <c r="K210" s="1215" t="s">
        <v>535</v>
      </c>
      <c r="L210" s="1215" t="s">
        <v>535</v>
      </c>
      <c r="M210" s="1215" t="s">
        <v>535</v>
      </c>
      <c r="N210" s="1215"/>
      <c r="O210" s="1215"/>
      <c r="P210" s="1338" t="s">
        <v>535</v>
      </c>
      <c r="Q210" s="1338" t="s">
        <v>535</v>
      </c>
      <c r="R210" s="1338" t="s">
        <v>535</v>
      </c>
      <c r="S210" s="1215"/>
      <c r="T210" s="1215"/>
      <c r="U210" s="1215"/>
      <c r="V210" s="1215"/>
      <c r="W210" s="1215"/>
      <c r="X210" s="1338" t="s">
        <v>535</v>
      </c>
      <c r="Y210" s="1392" t="s">
        <v>535</v>
      </c>
      <c r="Z210" s="1392" t="s">
        <v>535</v>
      </c>
      <c r="AA210" s="1392" t="s">
        <v>535</v>
      </c>
      <c r="AB210" s="1392"/>
      <c r="AC210" s="1392"/>
      <c r="AD210" s="1392">
        <v>19</v>
      </c>
      <c r="AE210" s="1392">
        <v>19</v>
      </c>
      <c r="AF210" s="1392">
        <v>19</v>
      </c>
      <c r="AG210" s="1215"/>
      <c r="AH210" s="603">
        <v>185</v>
      </c>
      <c r="AI210" s="604">
        <v>37</v>
      </c>
    </row>
    <row r="211" spans="1:35" ht="21.95" customHeight="1">
      <c r="A211" s="442">
        <v>3701</v>
      </c>
      <c r="B211" s="545" t="s">
        <v>513</v>
      </c>
      <c r="C211" s="1215" t="s">
        <v>535</v>
      </c>
      <c r="D211" s="1215" t="s">
        <v>535</v>
      </c>
      <c r="E211" s="1215" t="s">
        <v>535</v>
      </c>
      <c r="F211" s="1215" t="s">
        <v>535</v>
      </c>
      <c r="G211" s="1215"/>
      <c r="H211" s="1215"/>
      <c r="I211" s="1215" t="s">
        <v>535</v>
      </c>
      <c r="J211" s="1215" t="s">
        <v>535</v>
      </c>
      <c r="K211" s="1215" t="s">
        <v>535</v>
      </c>
      <c r="L211" s="1215" t="s">
        <v>535</v>
      </c>
      <c r="M211" s="1215" t="s">
        <v>535</v>
      </c>
      <c r="N211" s="1215"/>
      <c r="O211" s="1215"/>
      <c r="P211" s="1215" t="s">
        <v>535</v>
      </c>
      <c r="Q211" s="1215" t="s">
        <v>535</v>
      </c>
      <c r="R211" s="1215" t="s">
        <v>535</v>
      </c>
      <c r="S211" s="1215"/>
      <c r="T211" s="1215"/>
      <c r="U211" s="1215"/>
      <c r="V211" s="1215"/>
      <c r="W211" s="1215"/>
      <c r="X211" s="1215" t="s">
        <v>535</v>
      </c>
      <c r="Y211" s="1215" t="s">
        <v>535</v>
      </c>
      <c r="Z211" s="1215" t="s">
        <v>535</v>
      </c>
      <c r="AA211" s="1215" t="s">
        <v>535</v>
      </c>
      <c r="AB211" s="1215"/>
      <c r="AC211" s="1215"/>
      <c r="AD211" s="1215" t="s">
        <v>535</v>
      </c>
      <c r="AE211" s="1215" t="s">
        <v>535</v>
      </c>
      <c r="AF211" s="1215" t="s">
        <v>535</v>
      </c>
      <c r="AG211" s="1216"/>
      <c r="AH211" s="603">
        <v>185</v>
      </c>
      <c r="AI211" s="604">
        <v>37</v>
      </c>
    </row>
    <row r="212" spans="1:35" ht="21.95" customHeight="1">
      <c r="A212" s="442">
        <v>3701</v>
      </c>
      <c r="B212" s="1239" t="s">
        <v>575</v>
      </c>
      <c r="C212" s="1215" t="s">
        <v>535</v>
      </c>
      <c r="D212" s="1215" t="s">
        <v>535</v>
      </c>
      <c r="E212" s="1215" t="s">
        <v>535</v>
      </c>
      <c r="F212" s="1215" t="s">
        <v>535</v>
      </c>
      <c r="G212" s="1215"/>
      <c r="H212" s="1215"/>
      <c r="I212" s="1215" t="s">
        <v>535</v>
      </c>
      <c r="J212" s="1215" t="s">
        <v>535</v>
      </c>
      <c r="K212" s="1215" t="s">
        <v>535</v>
      </c>
      <c r="L212" s="1215" t="s">
        <v>535</v>
      </c>
      <c r="M212" s="1215" t="s">
        <v>535</v>
      </c>
      <c r="N212" s="1215"/>
      <c r="O212" s="1215"/>
      <c r="P212" s="1215" t="s">
        <v>535</v>
      </c>
      <c r="Q212" s="1215" t="s">
        <v>535</v>
      </c>
      <c r="R212" s="1215" t="s">
        <v>535</v>
      </c>
      <c r="S212" s="1215"/>
      <c r="T212" s="1215"/>
      <c r="U212" s="1215"/>
      <c r="V212" s="1215"/>
      <c r="W212" s="1215"/>
      <c r="X212" s="1215" t="s">
        <v>535</v>
      </c>
      <c r="Y212" s="1215" t="s">
        <v>535</v>
      </c>
      <c r="Z212" s="1215" t="s">
        <v>535</v>
      </c>
      <c r="AA212" s="1215" t="s">
        <v>535</v>
      </c>
      <c r="AB212" s="1215"/>
      <c r="AC212" s="1215"/>
      <c r="AD212" s="1215" t="s">
        <v>535</v>
      </c>
      <c r="AE212" s="1215" t="s">
        <v>535</v>
      </c>
      <c r="AF212" s="1215" t="s">
        <v>535</v>
      </c>
      <c r="AG212" s="1216"/>
      <c r="AH212" s="603">
        <v>185</v>
      </c>
      <c r="AI212" s="604">
        <v>37</v>
      </c>
    </row>
    <row r="213" spans="1:35" ht="21.95" customHeight="1">
      <c r="A213" s="442">
        <v>3701</v>
      </c>
      <c r="B213" s="1240" t="s">
        <v>576</v>
      </c>
      <c r="C213" s="1374" t="s">
        <v>535</v>
      </c>
      <c r="D213" s="1374" t="s">
        <v>535</v>
      </c>
      <c r="E213" s="1374" t="s">
        <v>535</v>
      </c>
      <c r="F213" s="1374" t="s">
        <v>535</v>
      </c>
      <c r="G213" s="1374"/>
      <c r="H213" s="1374"/>
      <c r="I213" s="1215" t="s">
        <v>535</v>
      </c>
      <c r="J213" s="1215" t="s">
        <v>535</v>
      </c>
      <c r="K213" s="1215" t="s">
        <v>535</v>
      </c>
      <c r="L213" s="1215" t="s">
        <v>535</v>
      </c>
      <c r="M213" s="1215" t="s">
        <v>535</v>
      </c>
      <c r="N213" s="1215"/>
      <c r="O213" s="1215"/>
      <c r="P213" s="1215" t="s">
        <v>535</v>
      </c>
      <c r="Q213" s="1215" t="s">
        <v>535</v>
      </c>
      <c r="R213" s="1215" t="s">
        <v>535</v>
      </c>
      <c r="S213" s="1215"/>
      <c r="T213" s="1215"/>
      <c r="U213" s="1215"/>
      <c r="V213" s="1215"/>
      <c r="W213" s="1215"/>
      <c r="X213" s="1215" t="s">
        <v>535</v>
      </c>
      <c r="Y213" s="1215" t="s">
        <v>535</v>
      </c>
      <c r="Z213" s="1215" t="s">
        <v>535</v>
      </c>
      <c r="AA213" s="1215" t="s">
        <v>535</v>
      </c>
      <c r="AB213" s="1215"/>
      <c r="AC213" s="1215"/>
      <c r="AD213" s="1215" t="s">
        <v>535</v>
      </c>
      <c r="AE213" s="1215" t="s">
        <v>535</v>
      </c>
      <c r="AF213" s="1215" t="s">
        <v>535</v>
      </c>
      <c r="AG213" s="1216"/>
      <c r="AH213" s="603">
        <v>185</v>
      </c>
      <c r="AI213" s="604">
        <v>37</v>
      </c>
    </row>
    <row r="214" spans="1:35" ht="21.95" customHeight="1">
      <c r="A214" s="903">
        <v>3701</v>
      </c>
      <c r="B214" s="1240"/>
      <c r="C214" s="1229"/>
      <c r="D214" s="1229"/>
      <c r="E214" s="1229"/>
      <c r="F214" s="1229"/>
      <c r="G214" s="1229"/>
      <c r="H214" s="1229"/>
      <c r="I214" s="1229"/>
      <c r="J214" s="1229"/>
      <c r="K214" s="1229"/>
      <c r="L214" s="1229"/>
      <c r="M214" s="1229"/>
      <c r="N214" s="1229"/>
      <c r="O214" s="1229"/>
      <c r="P214" s="1229"/>
      <c r="Q214" s="1229"/>
      <c r="R214" s="1229"/>
      <c r="S214" s="1229"/>
      <c r="T214" s="1229"/>
      <c r="U214" s="1229"/>
      <c r="V214" s="1229"/>
      <c r="W214" s="1229"/>
      <c r="X214" s="1229"/>
      <c r="Y214" s="1229"/>
      <c r="Z214" s="1229"/>
      <c r="AA214" s="1229"/>
      <c r="AB214" s="1229"/>
      <c r="AC214" s="1229"/>
      <c r="AD214" s="1229"/>
      <c r="AE214" s="1229"/>
      <c r="AF214" s="1229"/>
      <c r="AG214" s="1229"/>
      <c r="AH214" s="904"/>
      <c r="AI214" s="904"/>
    </row>
    <row r="215" spans="1:35" ht="21.95" customHeight="1">
      <c r="A215" s="578"/>
      <c r="B215" s="621"/>
      <c r="C215" s="559"/>
      <c r="D215" s="559"/>
      <c r="E215" s="559"/>
      <c r="F215" s="559"/>
      <c r="G215" s="559"/>
      <c r="H215" s="559"/>
      <c r="I215" s="559"/>
      <c r="J215" s="559"/>
      <c r="K215" s="520"/>
      <c r="L215" s="559"/>
      <c r="M215" s="559"/>
      <c r="N215" s="559"/>
      <c r="O215" s="559"/>
      <c r="P215" s="541"/>
      <c r="Q215" s="541"/>
      <c r="R215" s="541"/>
      <c r="S215" s="559"/>
      <c r="T215" s="559"/>
      <c r="U215" s="559"/>
      <c r="V215" s="559"/>
      <c r="W215" s="559"/>
      <c r="X215" s="559"/>
      <c r="Y215" s="559"/>
      <c r="Z215" s="559"/>
      <c r="AA215" s="559"/>
      <c r="AB215" s="559"/>
      <c r="AC215" s="559"/>
      <c r="AD215" s="559"/>
      <c r="AE215" s="559"/>
      <c r="AF215" s="559"/>
      <c r="AG215" s="559"/>
      <c r="AH215" s="560"/>
      <c r="AI215" s="560"/>
    </row>
    <row r="216" spans="1:35" ht="21" customHeight="1" thickBot="1">
      <c r="A216" s="1" t="s">
        <v>577</v>
      </c>
    </row>
    <row r="217" spans="1:35" ht="21" customHeight="1">
      <c r="B217" s="201" t="s">
        <v>516</v>
      </c>
      <c r="C217" s="7"/>
      <c r="D217" s="525" t="s">
        <v>2</v>
      </c>
      <c r="E217" s="51"/>
      <c r="F217" s="551"/>
      <c r="G217" s="7"/>
      <c r="H217" s="525" t="s">
        <v>3</v>
      </c>
      <c r="I217" s="51"/>
      <c r="J217" s="551"/>
      <c r="K217" s="7"/>
      <c r="L217" s="525" t="s">
        <v>4</v>
      </c>
      <c r="M217" s="51"/>
      <c r="N217" s="551"/>
      <c r="O217" s="7"/>
      <c r="P217" s="525" t="s">
        <v>5</v>
      </c>
      <c r="Q217" s="51"/>
      <c r="R217" s="551"/>
      <c r="S217" s="7"/>
      <c r="T217" s="525" t="s">
        <v>6</v>
      </c>
      <c r="U217" s="51"/>
      <c r="V217" s="551"/>
      <c r="W217" s="7"/>
      <c r="X217" s="525" t="s">
        <v>7</v>
      </c>
      <c r="Y217" s="51"/>
      <c r="Z217" s="551"/>
      <c r="AA217" s="7"/>
      <c r="AB217" s="525" t="s">
        <v>8</v>
      </c>
      <c r="AC217" s="51"/>
      <c r="AD217" s="51"/>
      <c r="AE217" s="425" t="s">
        <v>10</v>
      </c>
      <c r="AF217" s="51"/>
      <c r="AG217" s="51"/>
      <c r="AH217" s="51"/>
      <c r="AI217" s="526"/>
    </row>
    <row r="218" spans="1:35" ht="21" customHeight="1">
      <c r="B218" s="9">
        <v>8502</v>
      </c>
      <c r="C218" s="14" t="s">
        <v>11</v>
      </c>
      <c r="D218" s="609"/>
      <c r="E218" s="55"/>
      <c r="F218" s="608"/>
      <c r="G218" s="14" t="s">
        <v>11</v>
      </c>
      <c r="H218" s="609"/>
      <c r="I218" s="55"/>
      <c r="J218" s="608"/>
      <c r="K218" s="14" t="s">
        <v>11</v>
      </c>
      <c r="L218" s="609"/>
      <c r="M218" s="55"/>
      <c r="N218" s="608"/>
      <c r="O218" s="14" t="s">
        <v>11</v>
      </c>
      <c r="P218" s="609"/>
      <c r="Q218" s="55"/>
      <c r="R218" s="608"/>
      <c r="S218" s="14" t="s">
        <v>12</v>
      </c>
      <c r="T218" s="609"/>
      <c r="U218" s="55"/>
      <c r="V218" s="608"/>
      <c r="W218" s="14"/>
      <c r="X218" s="609"/>
      <c r="Y218" s="55"/>
      <c r="Z218" s="608"/>
      <c r="AA218" s="14"/>
      <c r="AB218" s="609"/>
      <c r="AC218" s="55"/>
      <c r="AD218" s="55"/>
      <c r="AE218" s="610"/>
      <c r="AF218" s="55"/>
      <c r="AG218" s="55"/>
      <c r="AH218" s="55"/>
      <c r="AI218" s="611"/>
    </row>
    <row r="219" spans="1:35" ht="21" customHeight="1">
      <c r="B219" s="612">
        <v>3701</v>
      </c>
      <c r="C219" s="121" t="s">
        <v>11</v>
      </c>
      <c r="D219" s="131"/>
      <c r="E219" s="55"/>
      <c r="F219" s="608"/>
      <c r="G219" s="121" t="s">
        <v>11</v>
      </c>
      <c r="H219" s="609"/>
      <c r="I219" s="55"/>
      <c r="J219" s="608"/>
      <c r="K219" s="121" t="s">
        <v>11</v>
      </c>
      <c r="L219" s="609"/>
      <c r="M219" s="55"/>
      <c r="N219" s="608"/>
      <c r="O219" s="121" t="s">
        <v>11</v>
      </c>
      <c r="P219" s="609"/>
      <c r="Q219" s="55"/>
      <c r="R219" s="608"/>
      <c r="S219" s="14" t="s">
        <v>12</v>
      </c>
      <c r="T219" s="609"/>
      <c r="U219" s="55"/>
      <c r="V219" s="608"/>
      <c r="W219" s="14"/>
      <c r="X219" s="609"/>
      <c r="Y219" s="55"/>
      <c r="Z219" s="608"/>
      <c r="AA219" s="14"/>
      <c r="AB219" s="609"/>
      <c r="AC219" s="55"/>
      <c r="AD219" s="55"/>
      <c r="AE219" s="610"/>
      <c r="AF219" s="55"/>
      <c r="AG219" s="55"/>
      <c r="AH219" s="55"/>
      <c r="AI219" s="611"/>
    </row>
    <row r="220" spans="1:35" ht="21" customHeight="1">
      <c r="B220" s="612">
        <v>3705</v>
      </c>
      <c r="C220" s="121" t="s">
        <v>147</v>
      </c>
      <c r="D220" s="131"/>
      <c r="E220" s="55"/>
      <c r="F220" s="608"/>
      <c r="G220" s="121" t="s">
        <v>147</v>
      </c>
      <c r="H220" s="609"/>
      <c r="I220" s="55"/>
      <c r="J220" s="608"/>
      <c r="K220" s="121" t="s">
        <v>147</v>
      </c>
      <c r="L220" s="609"/>
      <c r="M220" s="55"/>
      <c r="N220" s="608"/>
      <c r="O220" s="121" t="s">
        <v>147</v>
      </c>
      <c r="P220" s="609"/>
      <c r="Q220" s="55"/>
      <c r="R220" s="608"/>
      <c r="S220" s="121" t="s">
        <v>578</v>
      </c>
      <c r="T220" s="609"/>
      <c r="U220" s="55"/>
      <c r="V220" s="608"/>
      <c r="W220" s="14"/>
      <c r="X220" s="609"/>
      <c r="Y220" s="55"/>
      <c r="Z220" s="608"/>
      <c r="AA220" s="14"/>
      <c r="AB220" s="609"/>
      <c r="AC220" s="55"/>
      <c r="AD220" s="55"/>
      <c r="AE220" s="610"/>
      <c r="AF220" s="55"/>
      <c r="AG220" s="55"/>
      <c r="AH220" s="55"/>
      <c r="AI220" s="611"/>
    </row>
    <row r="221" spans="1:35" ht="21" customHeight="1">
      <c r="B221" s="612">
        <v>3702</v>
      </c>
      <c r="C221" s="567" t="s">
        <v>828</v>
      </c>
      <c r="D221" s="131"/>
      <c r="E221" s="55"/>
      <c r="F221" s="608"/>
      <c r="G221" s="567" t="s">
        <v>828</v>
      </c>
      <c r="H221" s="131"/>
      <c r="I221" s="55"/>
      <c r="J221" s="608"/>
      <c r="K221" s="567" t="s">
        <v>828</v>
      </c>
      <c r="L221" s="131"/>
      <c r="M221" s="55"/>
      <c r="N221" s="608"/>
      <c r="O221" s="567" t="s">
        <v>828</v>
      </c>
      <c r="P221" s="131"/>
      <c r="Q221" s="55"/>
      <c r="R221" s="608"/>
      <c r="S221" s="567" t="s">
        <v>829</v>
      </c>
      <c r="T221" s="131"/>
      <c r="U221" s="55"/>
      <c r="V221" s="608"/>
      <c r="W221" s="14"/>
      <c r="X221" s="609"/>
      <c r="Y221" s="55"/>
      <c r="Z221" s="608"/>
      <c r="AA221" s="14"/>
      <c r="AB221" s="609"/>
      <c r="AC221" s="55"/>
      <c r="AD221" s="55"/>
      <c r="AE221" s="610"/>
      <c r="AF221" s="55"/>
      <c r="AG221" s="55"/>
      <c r="AH221" s="55"/>
      <c r="AI221" s="611"/>
    </row>
    <row r="222" spans="1:35" ht="21" customHeight="1">
      <c r="B222" s="612"/>
      <c r="C222" s="567"/>
      <c r="D222" s="131"/>
      <c r="E222" s="55"/>
      <c r="F222" s="608"/>
      <c r="G222" s="609"/>
      <c r="H222" s="609"/>
      <c r="I222" s="55"/>
      <c r="J222" s="608"/>
      <c r="K222" s="609"/>
      <c r="L222" s="609"/>
      <c r="M222" s="55"/>
      <c r="N222" s="608"/>
      <c r="O222" s="609"/>
      <c r="P222" s="609"/>
      <c r="Q222" s="55"/>
      <c r="R222" s="608"/>
      <c r="S222" s="609"/>
      <c r="T222" s="609"/>
      <c r="U222" s="55"/>
      <c r="V222" s="608"/>
      <c r="W222" s="14"/>
      <c r="X222" s="609"/>
      <c r="Y222" s="55"/>
      <c r="Z222" s="608"/>
      <c r="AA222" s="14"/>
      <c r="AB222" s="609"/>
      <c r="AC222" s="55"/>
      <c r="AD222" s="55"/>
      <c r="AE222" s="610"/>
      <c r="AF222" s="55"/>
      <c r="AG222" s="55"/>
      <c r="AH222" s="55"/>
      <c r="AI222" s="611"/>
    </row>
    <row r="223" spans="1:35" ht="21" customHeight="1">
      <c r="B223" s="612" t="s">
        <v>164</v>
      </c>
      <c r="C223" s="567" t="s">
        <v>518</v>
      </c>
      <c r="D223" s="131"/>
      <c r="E223" s="55"/>
      <c r="F223" s="608"/>
      <c r="G223" s="567" t="s">
        <v>518</v>
      </c>
      <c r="H223" s="131"/>
      <c r="I223" s="55"/>
      <c r="J223" s="608"/>
      <c r="K223" s="567" t="s">
        <v>518</v>
      </c>
      <c r="L223" s="131"/>
      <c r="M223" s="55"/>
      <c r="N223" s="608"/>
      <c r="O223" s="567" t="s">
        <v>518</v>
      </c>
      <c r="P223" s="131"/>
      <c r="Q223" s="55"/>
      <c r="R223" s="608"/>
      <c r="S223" s="609" t="s">
        <v>519</v>
      </c>
      <c r="T223" s="609"/>
      <c r="U223" s="55"/>
      <c r="V223" s="608"/>
      <c r="W223" s="14"/>
      <c r="X223" s="609"/>
      <c r="Y223" s="55"/>
      <c r="Z223" s="608"/>
      <c r="AA223" s="14"/>
      <c r="AB223" s="609"/>
      <c r="AC223" s="55"/>
      <c r="AD223" s="55"/>
      <c r="AE223" s="610"/>
      <c r="AF223" s="55"/>
      <c r="AG223" s="55"/>
      <c r="AH223" s="55"/>
      <c r="AI223" s="611"/>
    </row>
    <row r="224" spans="1:35" ht="21" customHeight="1">
      <c r="B224" s="612" t="s">
        <v>167</v>
      </c>
      <c r="C224" s="567" t="s">
        <v>521</v>
      </c>
      <c r="D224" s="131"/>
      <c r="E224" s="55"/>
      <c r="F224" s="608"/>
      <c r="G224" s="567" t="s">
        <v>521</v>
      </c>
      <c r="H224" s="131"/>
      <c r="I224" s="55"/>
      <c r="J224" s="608"/>
      <c r="K224" s="567" t="s">
        <v>521</v>
      </c>
      <c r="L224" s="131"/>
      <c r="M224" s="55"/>
      <c r="N224" s="608"/>
      <c r="O224" s="567" t="s">
        <v>521</v>
      </c>
      <c r="P224" s="131"/>
      <c r="Q224" s="55"/>
      <c r="R224" s="608"/>
      <c r="S224" s="609" t="s">
        <v>522</v>
      </c>
      <c r="T224" s="609"/>
      <c r="U224" s="55"/>
      <c r="V224" s="608"/>
      <c r="W224" s="14"/>
      <c r="X224" s="609"/>
      <c r="Y224" s="55"/>
      <c r="Z224" s="608"/>
      <c r="AA224" s="14"/>
      <c r="AB224" s="609"/>
      <c r="AC224" s="55"/>
      <c r="AD224" s="55"/>
      <c r="AE224" s="610"/>
      <c r="AF224" s="55"/>
      <c r="AG224" s="55"/>
      <c r="AH224" s="55"/>
      <c r="AI224" s="611"/>
    </row>
    <row r="225" spans="1:35" ht="21" customHeight="1" thickBot="1">
      <c r="B225" s="617" t="s">
        <v>170</v>
      </c>
      <c r="C225" s="574" t="s">
        <v>524</v>
      </c>
      <c r="D225" s="48"/>
      <c r="E225" s="622"/>
      <c r="F225" s="240"/>
      <c r="G225" s="574" t="s">
        <v>524</v>
      </c>
      <c r="H225" s="48"/>
      <c r="I225" s="622"/>
      <c r="J225" s="240"/>
      <c r="K225" s="574" t="s">
        <v>524</v>
      </c>
      <c r="L225" s="48"/>
      <c r="M225" s="622"/>
      <c r="N225" s="240"/>
      <c r="O225" s="574" t="s">
        <v>524</v>
      </c>
      <c r="P225" s="48"/>
      <c r="Q225" s="622"/>
      <c r="R225" s="240"/>
      <c r="S225" s="149" t="s">
        <v>525</v>
      </c>
      <c r="T225" s="149"/>
      <c r="U225" s="622"/>
      <c r="V225" s="240"/>
      <c r="W225" s="623"/>
      <c r="X225" s="149"/>
      <c r="Y225" s="622"/>
      <c r="Z225" s="240"/>
      <c r="AA225" s="623"/>
      <c r="AB225" s="149"/>
      <c r="AC225" s="622"/>
      <c r="AD225" s="622"/>
      <c r="AE225" s="624"/>
      <c r="AF225" s="622"/>
      <c r="AG225" s="622"/>
      <c r="AH225" s="622"/>
      <c r="AI225" s="625"/>
    </row>
    <row r="226" spans="1:35" ht="21" customHeight="1">
      <c r="B226" s="274"/>
      <c r="C226" s="312"/>
      <c r="D226" s="72"/>
      <c r="G226" s="312"/>
      <c r="H226" s="72"/>
      <c r="K226" s="312"/>
      <c r="L226" s="72"/>
      <c r="O226" s="312"/>
      <c r="P226" s="72"/>
      <c r="S226" s="312"/>
      <c r="T226" s="312"/>
      <c r="X226" s="312"/>
      <c r="AB226" s="312"/>
      <c r="AE226" s="312"/>
    </row>
    <row r="227" spans="1:35" ht="21" customHeight="1" thickBot="1">
      <c r="A227" s="626" t="s">
        <v>586</v>
      </c>
    </row>
    <row r="228" spans="1:35" ht="21" customHeight="1">
      <c r="A228" s="556"/>
      <c r="B228" s="297" t="s">
        <v>480</v>
      </c>
      <c r="C228" s="1234">
        <v>1</v>
      </c>
      <c r="D228" s="1234">
        <v>2</v>
      </c>
      <c r="E228" s="1234">
        <v>3</v>
      </c>
      <c r="F228" s="1234">
        <v>4</v>
      </c>
      <c r="G228" s="1235">
        <v>5</v>
      </c>
      <c r="H228" s="1235">
        <v>6</v>
      </c>
      <c r="I228" s="1213">
        <v>7</v>
      </c>
      <c r="J228" s="1213">
        <v>8</v>
      </c>
      <c r="K228" s="1234">
        <v>9</v>
      </c>
      <c r="L228" s="1234">
        <v>10</v>
      </c>
      <c r="M228" s="1234">
        <v>11</v>
      </c>
      <c r="N228" s="1235">
        <v>12</v>
      </c>
      <c r="O228" s="1235">
        <v>13</v>
      </c>
      <c r="P228" s="1213">
        <v>14</v>
      </c>
      <c r="Q228" s="1213">
        <v>15</v>
      </c>
      <c r="R228" s="1234">
        <v>16</v>
      </c>
      <c r="S228" s="1235">
        <v>17</v>
      </c>
      <c r="T228" s="1235">
        <v>18</v>
      </c>
      <c r="U228" s="1235">
        <v>19</v>
      </c>
      <c r="V228" s="1330">
        <v>20</v>
      </c>
      <c r="W228" s="1330">
        <v>21</v>
      </c>
      <c r="X228" s="1213">
        <v>22</v>
      </c>
      <c r="Y228" s="1234">
        <v>23</v>
      </c>
      <c r="Z228" s="1234">
        <v>24</v>
      </c>
      <c r="AA228" s="1234">
        <v>25</v>
      </c>
      <c r="AB228" s="1235">
        <v>26</v>
      </c>
      <c r="AC228" s="1235">
        <v>27</v>
      </c>
      <c r="AD228" s="1213">
        <v>28</v>
      </c>
      <c r="AE228" s="1213">
        <v>29</v>
      </c>
      <c r="AF228" s="1234">
        <v>30</v>
      </c>
      <c r="AG228" s="1234"/>
      <c r="AH228" s="498" t="s">
        <v>481</v>
      </c>
      <c r="AI228" s="499" t="s">
        <v>482</v>
      </c>
    </row>
    <row r="229" spans="1:35" ht="21" customHeight="1">
      <c r="A229" s="442">
        <v>3702</v>
      </c>
      <c r="B229" s="153" t="s">
        <v>587</v>
      </c>
      <c r="C229" s="557">
        <v>1</v>
      </c>
      <c r="D229" s="557">
        <v>1</v>
      </c>
      <c r="E229" s="557">
        <v>1</v>
      </c>
      <c r="F229" s="557">
        <v>1</v>
      </c>
      <c r="G229" s="1208"/>
      <c r="H229" s="1208"/>
      <c r="I229" s="1208">
        <v>1</v>
      </c>
      <c r="J229" s="1208">
        <v>1</v>
      </c>
      <c r="K229" s="557">
        <v>1</v>
      </c>
      <c r="L229" s="557">
        <v>1</v>
      </c>
      <c r="M229" s="557">
        <v>1</v>
      </c>
      <c r="N229" s="1215"/>
      <c r="O229" s="1215"/>
      <c r="P229" s="1365">
        <v>1</v>
      </c>
      <c r="Q229" s="1365">
        <v>1</v>
      </c>
      <c r="R229" s="1365">
        <v>1</v>
      </c>
      <c r="S229" s="1365"/>
      <c r="T229" s="1365"/>
      <c r="U229" s="1365"/>
      <c r="V229" s="1365"/>
      <c r="W229" s="1365"/>
      <c r="X229" s="1365">
        <v>1</v>
      </c>
      <c r="Y229" s="1365">
        <v>1</v>
      </c>
      <c r="Z229" s="1365">
        <v>1</v>
      </c>
      <c r="AA229" s="1365">
        <v>1</v>
      </c>
      <c r="AB229" s="1338"/>
      <c r="AC229" s="1338"/>
      <c r="AD229" s="557">
        <v>1</v>
      </c>
      <c r="AE229" s="557">
        <v>1</v>
      </c>
      <c r="AF229" s="557">
        <v>1</v>
      </c>
      <c r="AG229" s="1208"/>
      <c r="AH229" s="504">
        <v>185</v>
      </c>
      <c r="AI229" s="505">
        <v>37</v>
      </c>
    </row>
    <row r="230" spans="1:35" ht="21" customHeight="1">
      <c r="A230" s="442">
        <v>3701</v>
      </c>
      <c r="B230" s="153" t="s">
        <v>588</v>
      </c>
      <c r="C230" s="557" t="s">
        <v>535</v>
      </c>
      <c r="D230" s="557" t="s">
        <v>535</v>
      </c>
      <c r="E230" s="557" t="s">
        <v>535</v>
      </c>
      <c r="F230" s="557" t="s">
        <v>535</v>
      </c>
      <c r="G230" s="1208"/>
      <c r="H230" s="1208"/>
      <c r="I230" s="1208" t="s">
        <v>535</v>
      </c>
      <c r="J230" s="1208" t="s">
        <v>535</v>
      </c>
      <c r="K230" s="557" t="s">
        <v>535</v>
      </c>
      <c r="L230" s="557" t="s">
        <v>535</v>
      </c>
      <c r="M230" s="557" t="s">
        <v>535</v>
      </c>
      <c r="N230" s="1215"/>
      <c r="O230" s="1215"/>
      <c r="P230" s="557" t="s">
        <v>535</v>
      </c>
      <c r="Q230" s="557" t="s">
        <v>535</v>
      </c>
      <c r="R230" s="557" t="s">
        <v>535</v>
      </c>
      <c r="S230" s="557"/>
      <c r="T230" s="557"/>
      <c r="U230" s="1208"/>
      <c r="V230" s="1208"/>
      <c r="W230" s="1208"/>
      <c r="X230" s="1387" t="s">
        <v>535</v>
      </c>
      <c r="Y230" s="1387" t="s">
        <v>535</v>
      </c>
      <c r="Z230" s="1387" t="s">
        <v>535</v>
      </c>
      <c r="AA230" s="1387" t="s">
        <v>535</v>
      </c>
      <c r="AB230" s="1215"/>
      <c r="AC230" s="1215"/>
      <c r="AD230" s="1387" t="s">
        <v>535</v>
      </c>
      <c r="AE230" s="1368" t="s">
        <v>535</v>
      </c>
      <c r="AF230" s="1368" t="s">
        <v>535</v>
      </c>
      <c r="AG230" s="1208"/>
      <c r="AH230" s="504">
        <v>185</v>
      </c>
      <c r="AI230" s="505">
        <v>37</v>
      </c>
    </row>
    <row r="231" spans="1:35" ht="21" customHeight="1">
      <c r="A231" s="442">
        <v>3702</v>
      </c>
      <c r="B231" s="153" t="s">
        <v>589</v>
      </c>
      <c r="C231" s="557">
        <v>1</v>
      </c>
      <c r="D231" s="557">
        <v>1</v>
      </c>
      <c r="E231" s="557">
        <v>1</v>
      </c>
      <c r="F231" s="557">
        <v>1</v>
      </c>
      <c r="G231" s="1208"/>
      <c r="H231" s="1208"/>
      <c r="I231" s="1208">
        <v>1</v>
      </c>
      <c r="J231" s="1208">
        <v>1</v>
      </c>
      <c r="K231" s="557">
        <v>1</v>
      </c>
      <c r="L231" s="557">
        <v>1</v>
      </c>
      <c r="M231" s="557">
        <v>1</v>
      </c>
      <c r="N231" s="1215"/>
      <c r="O231" s="1215"/>
      <c r="P231" s="557">
        <v>1</v>
      </c>
      <c r="Q231" s="557">
        <v>1</v>
      </c>
      <c r="R231" s="557">
        <v>1</v>
      </c>
      <c r="S231" s="557"/>
      <c r="T231" s="557"/>
      <c r="U231" s="1208"/>
      <c r="V231" s="1208"/>
      <c r="W231" s="1208"/>
      <c r="X231" s="1208">
        <v>1</v>
      </c>
      <c r="Y231" s="1208">
        <v>1</v>
      </c>
      <c r="Z231" s="1208">
        <v>1</v>
      </c>
      <c r="AA231" s="1208">
        <v>1</v>
      </c>
      <c r="AB231" s="1215"/>
      <c r="AC231" s="1215"/>
      <c r="AD231" s="1365">
        <v>1</v>
      </c>
      <c r="AE231" s="1365">
        <v>1</v>
      </c>
      <c r="AF231" s="1387" t="s">
        <v>837</v>
      </c>
      <c r="AG231" s="1208"/>
      <c r="AH231" s="504">
        <v>185</v>
      </c>
      <c r="AI231" s="505">
        <v>37</v>
      </c>
    </row>
    <row r="232" spans="1:35" ht="21" customHeight="1">
      <c r="A232" s="627">
        <v>3706</v>
      </c>
      <c r="B232" s="1607" t="s">
        <v>791</v>
      </c>
      <c r="C232" s="902" t="s">
        <v>514</v>
      </c>
      <c r="D232" s="902" t="s">
        <v>514</v>
      </c>
      <c r="E232" s="902" t="s">
        <v>514</v>
      </c>
      <c r="F232" s="902" t="s">
        <v>514</v>
      </c>
      <c r="G232" s="902" t="s">
        <v>514</v>
      </c>
      <c r="H232" s="902"/>
      <c r="I232" s="902" t="s">
        <v>514</v>
      </c>
      <c r="J232" s="902" t="s">
        <v>514</v>
      </c>
      <c r="K232" s="902" t="s">
        <v>514</v>
      </c>
      <c r="L232" s="902" t="s">
        <v>514</v>
      </c>
      <c r="M232" s="902" t="s">
        <v>514</v>
      </c>
      <c r="N232" s="902"/>
      <c r="O232" s="902" t="s">
        <v>514</v>
      </c>
      <c r="P232" s="902" t="s">
        <v>514</v>
      </c>
      <c r="Q232" s="902" t="s">
        <v>514</v>
      </c>
      <c r="R232" s="902" t="s">
        <v>514</v>
      </c>
      <c r="S232" s="902"/>
      <c r="T232" s="902"/>
      <c r="U232" s="902"/>
      <c r="V232" s="902"/>
      <c r="W232" s="902"/>
      <c r="X232" s="1439" t="s">
        <v>749</v>
      </c>
      <c r="Y232" s="557" t="s">
        <v>535</v>
      </c>
      <c r="Z232" s="557" t="s">
        <v>535</v>
      </c>
      <c r="AA232" s="557" t="s">
        <v>535</v>
      </c>
      <c r="AB232" s="902"/>
      <c r="AC232" s="902"/>
      <c r="AD232" s="557" t="s">
        <v>535</v>
      </c>
      <c r="AE232" s="557" t="s">
        <v>535</v>
      </c>
      <c r="AF232" s="557" t="s">
        <v>535</v>
      </c>
      <c r="AG232" s="902"/>
      <c r="AH232" s="504">
        <v>185</v>
      </c>
      <c r="AI232" s="505">
        <v>37</v>
      </c>
    </row>
    <row r="233" spans="1:35" ht="21" customHeight="1">
      <c r="A233" s="628"/>
      <c r="B233" s="629" t="s">
        <v>590</v>
      </c>
      <c r="C233" s="630"/>
      <c r="D233" s="630"/>
      <c r="E233" s="630"/>
      <c r="F233" s="630"/>
      <c r="G233" s="630"/>
      <c r="H233" s="630"/>
      <c r="I233" s="630"/>
      <c r="J233" s="630"/>
      <c r="K233" s="630"/>
      <c r="L233" s="630"/>
      <c r="M233" s="630"/>
      <c r="N233" s="630"/>
      <c r="O233" s="630"/>
      <c r="P233" s="630"/>
      <c r="Q233" s="630"/>
      <c r="R233" s="630"/>
      <c r="S233" s="630"/>
      <c r="T233" s="630"/>
      <c r="U233" s="630"/>
      <c r="V233" s="630"/>
      <c r="W233" s="630"/>
      <c r="X233" s="630"/>
      <c r="Y233" s="630"/>
      <c r="Z233" s="630"/>
      <c r="AA233" s="630"/>
      <c r="AB233" s="630"/>
      <c r="AC233" s="630"/>
      <c r="AD233" s="630"/>
      <c r="AE233" s="630"/>
      <c r="AF233" s="630"/>
      <c r="AG233" s="631"/>
      <c r="AH233" s="632"/>
      <c r="AI233" s="633"/>
    </row>
    <row r="234" spans="1:35" ht="21" customHeight="1">
      <c r="A234" s="442">
        <v>3702</v>
      </c>
      <c r="B234" s="902" t="s">
        <v>520</v>
      </c>
      <c r="C234" s="557" t="s">
        <v>591</v>
      </c>
      <c r="D234" s="557" t="s">
        <v>591</v>
      </c>
      <c r="E234" s="557" t="s">
        <v>591</v>
      </c>
      <c r="F234" s="557" t="s">
        <v>591</v>
      </c>
      <c r="G234" s="502"/>
      <c r="H234" s="502"/>
      <c r="I234" s="557" t="s">
        <v>591</v>
      </c>
      <c r="J234" s="557" t="s">
        <v>591</v>
      </c>
      <c r="K234" s="557" t="s">
        <v>591</v>
      </c>
      <c r="L234" s="557" t="s">
        <v>591</v>
      </c>
      <c r="M234" s="557" t="s">
        <v>591</v>
      </c>
      <c r="N234" s="186"/>
      <c r="O234" s="1344"/>
      <c r="P234" s="557" t="s">
        <v>591</v>
      </c>
      <c r="Q234" s="1365" t="s">
        <v>591</v>
      </c>
      <c r="R234" s="1365" t="s">
        <v>591</v>
      </c>
      <c r="S234" s="557"/>
      <c r="T234" s="557"/>
      <c r="U234" s="1215"/>
      <c r="V234" s="1215"/>
      <c r="W234" s="557"/>
      <c r="X234" s="1365" t="s">
        <v>591</v>
      </c>
      <c r="Y234" s="1365" t="s">
        <v>591</v>
      </c>
      <c r="Z234" s="1365" t="s">
        <v>591</v>
      </c>
      <c r="AA234" s="1365" t="s">
        <v>591</v>
      </c>
      <c r="AB234" s="502"/>
      <c r="AC234" s="502"/>
      <c r="AD234" s="557" t="s">
        <v>591</v>
      </c>
      <c r="AE234" s="557" t="s">
        <v>591</v>
      </c>
      <c r="AF234" s="557" t="s">
        <v>591</v>
      </c>
      <c r="AG234" s="557"/>
      <c r="AH234" s="504">
        <v>185</v>
      </c>
      <c r="AI234" s="505">
        <v>37</v>
      </c>
    </row>
    <row r="235" spans="1:35" ht="21" customHeight="1">
      <c r="A235" s="442"/>
      <c r="B235" s="153" t="s">
        <v>517</v>
      </c>
      <c r="C235" s="557" t="s">
        <v>592</v>
      </c>
      <c r="D235" s="557" t="s">
        <v>592</v>
      </c>
      <c r="E235" s="557" t="s">
        <v>592</v>
      </c>
      <c r="F235" s="557" t="s">
        <v>592</v>
      </c>
      <c r="G235" s="502"/>
      <c r="H235" s="502"/>
      <c r="I235" s="557" t="s">
        <v>592</v>
      </c>
      <c r="J235" s="557" t="s">
        <v>592</v>
      </c>
      <c r="K235" s="557" t="s">
        <v>592</v>
      </c>
      <c r="L235" s="557" t="s">
        <v>592</v>
      </c>
      <c r="M235" s="557" t="s">
        <v>592</v>
      </c>
      <c r="N235" s="1231"/>
      <c r="O235" s="1215"/>
      <c r="P235" s="557" t="s">
        <v>592</v>
      </c>
      <c r="Q235" s="557" t="s">
        <v>592</v>
      </c>
      <c r="R235" s="557" t="s">
        <v>592</v>
      </c>
      <c r="S235" s="557"/>
      <c r="T235" s="557"/>
      <c r="U235" s="1215"/>
      <c r="V235" s="1215"/>
      <c r="W235" s="557"/>
      <c r="X235" s="557" t="s">
        <v>592</v>
      </c>
      <c r="Y235" s="557" t="s">
        <v>592</v>
      </c>
      <c r="Z235" s="557" t="s">
        <v>592</v>
      </c>
      <c r="AA235" s="557" t="s">
        <v>592</v>
      </c>
      <c r="AB235" s="502"/>
      <c r="AC235" s="502"/>
      <c r="AD235" s="557" t="s">
        <v>592</v>
      </c>
      <c r="AE235" s="557" t="s">
        <v>592</v>
      </c>
      <c r="AF235" s="1362" t="s">
        <v>592</v>
      </c>
      <c r="AG235" s="557"/>
      <c r="AH235" s="504">
        <v>185</v>
      </c>
      <c r="AI235" s="505">
        <v>37</v>
      </c>
    </row>
    <row r="236" spans="1:35" ht="21" customHeight="1">
      <c r="A236" s="442"/>
      <c r="B236" s="134" t="s">
        <v>523</v>
      </c>
      <c r="C236" s="1563" t="s">
        <v>556</v>
      </c>
      <c r="D236" s="1563" t="s">
        <v>556</v>
      </c>
      <c r="E236" s="1632" t="s">
        <v>556</v>
      </c>
      <c r="F236" s="1563" t="s">
        <v>556</v>
      </c>
      <c r="G236" s="1655"/>
      <c r="H236" s="1655"/>
      <c r="I236" s="1563" t="s">
        <v>556</v>
      </c>
      <c r="J236" s="1563" t="s">
        <v>556</v>
      </c>
      <c r="K236" s="1563" t="s">
        <v>556</v>
      </c>
      <c r="L236" s="1563" t="s">
        <v>556</v>
      </c>
      <c r="M236" s="1563" t="s">
        <v>556</v>
      </c>
      <c r="N236" s="1656"/>
      <c r="O236" s="1219"/>
      <c r="P236" s="1563" t="s">
        <v>556</v>
      </c>
      <c r="Q236" s="1563" t="s">
        <v>556</v>
      </c>
      <c r="R236" s="1563" t="s">
        <v>556</v>
      </c>
      <c r="S236" s="1563"/>
      <c r="T236" s="1563"/>
      <c r="U236" s="1219"/>
      <c r="V236" s="1219"/>
      <c r="W236" s="1563"/>
      <c r="X236" s="1563" t="s">
        <v>556</v>
      </c>
      <c r="Y236" s="1563" t="s">
        <v>556</v>
      </c>
      <c r="Z236" s="1563" t="s">
        <v>556</v>
      </c>
      <c r="AA236" s="1563" t="s">
        <v>556</v>
      </c>
      <c r="AB236" s="1655"/>
      <c r="AC236" s="1655"/>
      <c r="AD236" s="1563" t="s">
        <v>556</v>
      </c>
      <c r="AE236" s="1563" t="s">
        <v>556</v>
      </c>
      <c r="AF236" s="1563" t="s">
        <v>556</v>
      </c>
      <c r="AG236" s="1563"/>
      <c r="AH236" s="603">
        <v>185</v>
      </c>
      <c r="AI236" s="604">
        <v>37</v>
      </c>
    </row>
    <row r="237" spans="1:35" ht="21" customHeight="1">
      <c r="B237" s="1657" t="s">
        <v>838</v>
      </c>
      <c r="C237" s="902" t="s">
        <v>514</v>
      </c>
      <c r="D237" s="902" t="s">
        <v>514</v>
      </c>
      <c r="E237" s="902" t="s">
        <v>514</v>
      </c>
      <c r="F237" s="902" t="s">
        <v>514</v>
      </c>
      <c r="G237" s="902" t="s">
        <v>514</v>
      </c>
      <c r="H237" s="902"/>
      <c r="I237" s="902" t="s">
        <v>514</v>
      </c>
      <c r="J237" s="902" t="s">
        <v>514</v>
      </c>
      <c r="K237" s="902" t="s">
        <v>514</v>
      </c>
      <c r="L237" s="902" t="s">
        <v>514</v>
      </c>
      <c r="M237" s="902" t="s">
        <v>514</v>
      </c>
      <c r="N237" s="902"/>
      <c r="O237" s="902" t="s">
        <v>514</v>
      </c>
      <c r="P237" s="902" t="s">
        <v>514</v>
      </c>
      <c r="Q237" s="902" t="s">
        <v>514</v>
      </c>
      <c r="R237" s="902" t="s">
        <v>514</v>
      </c>
      <c r="S237" s="902"/>
      <c r="T237" s="902"/>
      <c r="U237" s="902"/>
      <c r="V237" s="902"/>
      <c r="W237" s="902"/>
      <c r="X237" s="902" t="s">
        <v>514</v>
      </c>
      <c r="Y237" s="902" t="s">
        <v>514</v>
      </c>
      <c r="Z237" s="902" t="s">
        <v>514</v>
      </c>
      <c r="AA237" s="902" t="s">
        <v>514</v>
      </c>
      <c r="AB237" s="902"/>
      <c r="AC237" s="902"/>
      <c r="AD237" s="902" t="s">
        <v>514</v>
      </c>
      <c r="AE237" s="1653" t="s">
        <v>570</v>
      </c>
      <c r="AF237" s="902" t="s">
        <v>514</v>
      </c>
      <c r="AG237" s="902" t="s">
        <v>514</v>
      </c>
      <c r="AH237" s="902"/>
      <c r="AI237" s="902"/>
    </row>
    <row r="238" spans="1:35" ht="21" customHeight="1"/>
    <row r="239" spans="1:35" ht="21" customHeight="1" thickBot="1">
      <c r="A239" s="1" t="s">
        <v>593</v>
      </c>
    </row>
    <row r="240" spans="1:35" ht="21" customHeight="1">
      <c r="B240" s="201" t="s">
        <v>516</v>
      </c>
      <c r="C240" s="7"/>
      <c r="D240" s="525" t="s">
        <v>2</v>
      </c>
      <c r="E240" s="51"/>
      <c r="F240" s="551"/>
      <c r="G240" s="7"/>
      <c r="H240" s="525" t="s">
        <v>3</v>
      </c>
      <c r="I240" s="51"/>
      <c r="J240" s="551"/>
      <c r="K240" s="7"/>
      <c r="L240" s="525" t="s">
        <v>4</v>
      </c>
      <c r="M240" s="51"/>
      <c r="N240" s="551"/>
      <c r="O240" s="7"/>
      <c r="P240" s="525" t="s">
        <v>5</v>
      </c>
      <c r="Q240" s="51"/>
      <c r="R240" s="551"/>
      <c r="S240" s="7"/>
      <c r="T240" s="525" t="s">
        <v>6</v>
      </c>
      <c r="U240" s="51"/>
      <c r="V240" s="551"/>
      <c r="W240" s="7"/>
      <c r="X240" s="525" t="s">
        <v>7</v>
      </c>
      <c r="Y240" s="51"/>
      <c r="Z240" s="551"/>
      <c r="AA240" s="7"/>
      <c r="AB240" s="525" t="s">
        <v>8</v>
      </c>
      <c r="AC240" s="51"/>
      <c r="AD240" s="51"/>
      <c r="AE240" s="425" t="s">
        <v>10</v>
      </c>
      <c r="AF240" s="51"/>
      <c r="AG240" s="51"/>
      <c r="AH240" s="51"/>
      <c r="AI240" s="526"/>
    </row>
    <row r="241" spans="1:35" ht="21" customHeight="1">
      <c r="B241" s="9">
        <v>8500</v>
      </c>
      <c r="C241" s="121" t="s">
        <v>33</v>
      </c>
      <c r="D241" s="609"/>
      <c r="E241" s="55"/>
      <c r="F241" s="608"/>
      <c r="G241" s="121" t="s">
        <v>33</v>
      </c>
      <c r="H241" s="609"/>
      <c r="I241" s="55"/>
      <c r="J241" s="608"/>
      <c r="K241" s="121" t="s">
        <v>33</v>
      </c>
      <c r="L241" s="609"/>
      <c r="M241" s="55"/>
      <c r="N241" s="608"/>
      <c r="O241" s="121" t="s">
        <v>33</v>
      </c>
      <c r="P241" s="609"/>
      <c r="Q241" s="55"/>
      <c r="R241" s="608"/>
      <c r="S241" s="121" t="s">
        <v>34</v>
      </c>
      <c r="T241" s="609"/>
      <c r="U241" s="55"/>
      <c r="V241" s="608"/>
      <c r="W241" s="14"/>
      <c r="X241" s="609"/>
      <c r="Y241" s="55"/>
      <c r="Z241" s="608"/>
      <c r="AA241" s="14"/>
      <c r="AB241" s="609"/>
      <c r="AC241" s="55"/>
      <c r="AD241" s="55"/>
      <c r="AE241" s="610"/>
      <c r="AF241" s="55"/>
      <c r="AG241" s="55"/>
      <c r="AH241" s="55"/>
      <c r="AI241" s="611"/>
    </row>
    <row r="242" spans="1:35" ht="21" customHeight="1" thickBot="1">
      <c r="B242" s="163" t="s">
        <v>594</v>
      </c>
      <c r="C242" s="634" t="s">
        <v>595</v>
      </c>
      <c r="D242" s="635"/>
      <c r="E242" s="622"/>
      <c r="F242" s="240"/>
      <c r="G242" s="634" t="s">
        <v>595</v>
      </c>
      <c r="H242" s="149"/>
      <c r="I242" s="622"/>
      <c r="J242" s="240"/>
      <c r="K242" s="634" t="s">
        <v>595</v>
      </c>
      <c r="L242" s="149"/>
      <c r="M242" s="622"/>
      <c r="N242" s="240"/>
      <c r="O242" s="634" t="s">
        <v>596</v>
      </c>
      <c r="P242" s="149"/>
      <c r="Q242" s="622"/>
      <c r="R242" s="240"/>
      <c r="S242" s="634" t="s">
        <v>16</v>
      </c>
      <c r="T242" s="149"/>
      <c r="U242" s="622"/>
      <c r="V242" s="240"/>
      <c r="W242" s="623"/>
      <c r="X242" s="149"/>
      <c r="Y242" s="622"/>
      <c r="Z242" s="240"/>
      <c r="AA242" s="623"/>
      <c r="AB242" s="149"/>
      <c r="AC242" s="622"/>
      <c r="AD242" s="622"/>
      <c r="AE242" s="624"/>
      <c r="AF242" s="622"/>
      <c r="AG242" s="622"/>
      <c r="AH242" s="622"/>
      <c r="AI242" s="625"/>
    </row>
    <row r="243" spans="1:35" ht="21" customHeight="1" thickBot="1">
      <c r="A243" s="60" t="s">
        <v>597</v>
      </c>
    </row>
    <row r="244" spans="1:35" ht="21" customHeight="1">
      <c r="A244" s="636"/>
      <c r="B244" s="297" t="s">
        <v>480</v>
      </c>
      <c r="C244" s="1234">
        <v>1</v>
      </c>
      <c r="D244" s="1234">
        <v>2</v>
      </c>
      <c r="E244" s="1234">
        <v>3</v>
      </c>
      <c r="F244" s="1234">
        <v>4</v>
      </c>
      <c r="G244" s="1235">
        <v>5</v>
      </c>
      <c r="H244" s="1235">
        <v>6</v>
      </c>
      <c r="I244" s="1213">
        <v>7</v>
      </c>
      <c r="J244" s="1213">
        <v>8</v>
      </c>
      <c r="K244" s="1234">
        <v>9</v>
      </c>
      <c r="L244" s="1234">
        <v>10</v>
      </c>
      <c r="M244" s="1234">
        <v>11</v>
      </c>
      <c r="N244" s="1235">
        <v>12</v>
      </c>
      <c r="O244" s="1235">
        <v>13</v>
      </c>
      <c r="P244" s="1213">
        <v>14</v>
      </c>
      <c r="Q244" s="1213">
        <v>15</v>
      </c>
      <c r="R244" s="1234">
        <v>16</v>
      </c>
      <c r="S244" s="1235">
        <v>17</v>
      </c>
      <c r="T244" s="1235">
        <v>18</v>
      </c>
      <c r="U244" s="1235">
        <v>19</v>
      </c>
      <c r="V244" s="1330">
        <v>20</v>
      </c>
      <c r="W244" s="1330">
        <v>21</v>
      </c>
      <c r="X244" s="1213">
        <v>22</v>
      </c>
      <c r="Y244" s="1234">
        <v>23</v>
      </c>
      <c r="Z244" s="1234">
        <v>24</v>
      </c>
      <c r="AA244" s="1234">
        <v>25</v>
      </c>
      <c r="AB244" s="1235">
        <v>26</v>
      </c>
      <c r="AC244" s="1235">
        <v>27</v>
      </c>
      <c r="AD244" s="1213">
        <v>28</v>
      </c>
      <c r="AE244" s="1213">
        <v>29</v>
      </c>
      <c r="AF244" s="1234">
        <v>30</v>
      </c>
      <c r="AG244" s="1234"/>
      <c r="AH244" s="498" t="s">
        <v>481</v>
      </c>
      <c r="AI244" s="499" t="s">
        <v>482</v>
      </c>
    </row>
    <row r="245" spans="1:35" ht="21" customHeight="1">
      <c r="A245" s="155">
        <v>8500</v>
      </c>
      <c r="B245" s="637" t="s">
        <v>598</v>
      </c>
      <c r="C245" s="557" t="s">
        <v>535</v>
      </c>
      <c r="D245" s="557" t="s">
        <v>535</v>
      </c>
      <c r="E245" s="557" t="s">
        <v>535</v>
      </c>
      <c r="F245" s="557" t="s">
        <v>535</v>
      </c>
      <c r="G245" s="1208"/>
      <c r="H245" s="1208"/>
      <c r="I245" s="1208" t="s">
        <v>535</v>
      </c>
      <c r="J245" s="1208" t="s">
        <v>535</v>
      </c>
      <c r="K245" s="557" t="s">
        <v>535</v>
      </c>
      <c r="L245" s="557" t="s">
        <v>535</v>
      </c>
      <c r="M245" s="557" t="s">
        <v>535</v>
      </c>
      <c r="N245" s="1215"/>
      <c r="O245" s="1215"/>
      <c r="P245" s="1365" t="s">
        <v>535</v>
      </c>
      <c r="Q245" s="1365" t="s">
        <v>535</v>
      </c>
      <c r="R245" s="1365" t="s">
        <v>535</v>
      </c>
      <c r="S245" s="557"/>
      <c r="T245" s="557"/>
      <c r="U245" s="1208"/>
      <c r="V245" s="1208"/>
      <c r="W245" s="1208"/>
      <c r="X245" s="1208" t="s">
        <v>535</v>
      </c>
      <c r="Y245" s="1208" t="s">
        <v>535</v>
      </c>
      <c r="Z245" s="1208" t="s">
        <v>535</v>
      </c>
      <c r="AA245" s="1208" t="s">
        <v>535</v>
      </c>
      <c r="AB245" s="1215"/>
      <c r="AC245" s="1215"/>
      <c r="AD245" s="557" t="s">
        <v>535</v>
      </c>
      <c r="AE245" s="557" t="s">
        <v>535</v>
      </c>
      <c r="AF245" s="557" t="s">
        <v>535</v>
      </c>
      <c r="AG245" s="1208"/>
      <c r="AH245" s="638">
        <v>185</v>
      </c>
      <c r="AI245" s="639">
        <v>37</v>
      </c>
    </row>
    <row r="246" spans="1:35" ht="21" customHeight="1">
      <c r="A246" s="500" t="s">
        <v>599</v>
      </c>
      <c r="B246" s="153" t="s">
        <v>600</v>
      </c>
      <c r="C246" s="557" t="s">
        <v>535</v>
      </c>
      <c r="D246" s="557" t="s">
        <v>535</v>
      </c>
      <c r="E246" s="557" t="s">
        <v>535</v>
      </c>
      <c r="F246" s="557" t="s">
        <v>535</v>
      </c>
      <c r="G246" s="1208"/>
      <c r="H246" s="1208"/>
      <c r="I246" s="1208" t="s">
        <v>535</v>
      </c>
      <c r="J246" s="1208" t="s">
        <v>535</v>
      </c>
      <c r="K246" s="557" t="s">
        <v>535</v>
      </c>
      <c r="L246" s="557" t="s">
        <v>535</v>
      </c>
      <c r="M246" s="557" t="s">
        <v>535</v>
      </c>
      <c r="N246" s="1215"/>
      <c r="O246" s="1215"/>
      <c r="P246" s="557" t="s">
        <v>535</v>
      </c>
      <c r="Q246" s="557" t="s">
        <v>535</v>
      </c>
      <c r="R246" s="557" t="s">
        <v>535</v>
      </c>
      <c r="S246" s="557"/>
      <c r="T246" s="557"/>
      <c r="U246" s="1208"/>
      <c r="V246" s="1208"/>
      <c r="W246" s="1208"/>
      <c r="X246" s="1208" t="s">
        <v>535</v>
      </c>
      <c r="Y246" s="1208" t="s">
        <v>535</v>
      </c>
      <c r="Z246" s="1208" t="s">
        <v>535</v>
      </c>
      <c r="AA246" s="1208" t="s">
        <v>535</v>
      </c>
      <c r="AB246" s="1215"/>
      <c r="AC246" s="1215"/>
      <c r="AD246" s="557" t="s">
        <v>535</v>
      </c>
      <c r="AE246" s="557" t="s">
        <v>535</v>
      </c>
      <c r="AF246" s="557" t="s">
        <v>535</v>
      </c>
      <c r="AG246" s="1208"/>
      <c r="AH246" s="638">
        <v>185</v>
      </c>
      <c r="AI246" s="639">
        <v>37</v>
      </c>
    </row>
    <row r="247" spans="1:35" ht="21.95" customHeight="1">
      <c r="A247" s="442"/>
      <c r="B247" s="153" t="s">
        <v>601</v>
      </c>
      <c r="C247" s="557" t="s">
        <v>535</v>
      </c>
      <c r="D247" s="557" t="s">
        <v>535</v>
      </c>
      <c r="E247" s="557" t="s">
        <v>535</v>
      </c>
      <c r="F247" s="557" t="s">
        <v>535</v>
      </c>
      <c r="G247" s="1208"/>
      <c r="H247" s="1208"/>
      <c r="I247" s="1208" t="s">
        <v>535</v>
      </c>
      <c r="J247" s="1208" t="s">
        <v>535</v>
      </c>
      <c r="K247" s="557" t="s">
        <v>535</v>
      </c>
      <c r="L247" s="557" t="s">
        <v>535</v>
      </c>
      <c r="M247" s="557" t="s">
        <v>535</v>
      </c>
      <c r="N247" s="1215"/>
      <c r="O247" s="1215"/>
      <c r="P247" s="557" t="s">
        <v>535</v>
      </c>
      <c r="Q247" s="557" t="s">
        <v>535</v>
      </c>
      <c r="R247" s="557" t="s">
        <v>535</v>
      </c>
      <c r="S247" s="557"/>
      <c r="T247" s="557"/>
      <c r="U247" s="1208"/>
      <c r="V247" s="1208"/>
      <c r="W247" s="1208"/>
      <c r="X247" s="1208" t="s">
        <v>535</v>
      </c>
      <c r="Y247" s="1208" t="s">
        <v>535</v>
      </c>
      <c r="Z247" s="1208" t="s">
        <v>535</v>
      </c>
      <c r="AA247" s="1208" t="s">
        <v>535</v>
      </c>
      <c r="AB247" s="1215"/>
      <c r="AC247" s="1215"/>
      <c r="AD247" s="557" t="s">
        <v>535</v>
      </c>
      <c r="AE247" s="557" t="s">
        <v>535</v>
      </c>
      <c r="AF247" s="557" t="s">
        <v>535</v>
      </c>
      <c r="AG247" s="1208"/>
      <c r="AH247" s="638">
        <v>185</v>
      </c>
      <c r="AI247" s="639">
        <v>37</v>
      </c>
    </row>
    <row r="248" spans="1:35" ht="21.95" customHeight="1">
      <c r="A248" s="519">
        <v>3701</v>
      </c>
      <c r="B248" s="134" t="s">
        <v>603</v>
      </c>
      <c r="C248" s="1563" t="s">
        <v>535</v>
      </c>
      <c r="D248" s="1563" t="s">
        <v>535</v>
      </c>
      <c r="E248" s="1563" t="s">
        <v>535</v>
      </c>
      <c r="F248" s="1563" t="s">
        <v>535</v>
      </c>
      <c r="G248" s="1564"/>
      <c r="H248" s="1564"/>
      <c r="I248" s="1564" t="s">
        <v>535</v>
      </c>
      <c r="J248" s="1564" t="s">
        <v>535</v>
      </c>
      <c r="K248" s="1563" t="s">
        <v>535</v>
      </c>
      <c r="L248" s="1563" t="s">
        <v>535</v>
      </c>
      <c r="M248" s="1563" t="s">
        <v>535</v>
      </c>
      <c r="N248" s="1219"/>
      <c r="O248" s="1219"/>
      <c r="P248" s="1589" t="s">
        <v>535</v>
      </c>
      <c r="Q248" s="1589" t="s">
        <v>535</v>
      </c>
      <c r="R248" s="1589" t="s">
        <v>535</v>
      </c>
      <c r="S248" s="1563"/>
      <c r="T248" s="1563"/>
      <c r="U248" s="1564"/>
      <c r="V248" s="1564"/>
      <c r="W248" s="1564"/>
      <c r="X248" s="1564" t="s">
        <v>535</v>
      </c>
      <c r="Y248" s="1564" t="s">
        <v>535</v>
      </c>
      <c r="Z248" s="1564" t="s">
        <v>535</v>
      </c>
      <c r="AA248" s="1564" t="s">
        <v>535</v>
      </c>
      <c r="AB248" s="1219"/>
      <c r="AC248" s="1219"/>
      <c r="AD248" s="1622" t="s">
        <v>535</v>
      </c>
      <c r="AE248" s="1622" t="s">
        <v>535</v>
      </c>
      <c r="AF248" s="1622" t="s">
        <v>535</v>
      </c>
      <c r="AG248" s="1564"/>
      <c r="AH248" s="1565">
        <v>185</v>
      </c>
      <c r="AI248" s="1566">
        <v>37</v>
      </c>
    </row>
    <row r="249" spans="1:35" ht="21" customHeight="1">
      <c r="A249" s="902">
        <v>8500</v>
      </c>
      <c r="B249" s="1615" t="s">
        <v>793</v>
      </c>
      <c r="C249" s="1567" t="s">
        <v>535</v>
      </c>
      <c r="D249" s="1567" t="s">
        <v>535</v>
      </c>
      <c r="E249" s="1567" t="s">
        <v>535</v>
      </c>
      <c r="F249" s="1567" t="s">
        <v>535</v>
      </c>
      <c r="G249" s="1568"/>
      <c r="H249" s="1568"/>
      <c r="I249" s="1568" t="s">
        <v>535</v>
      </c>
      <c r="J249" s="1580" t="s">
        <v>535</v>
      </c>
      <c r="K249" s="1580" t="s">
        <v>535</v>
      </c>
      <c r="L249" s="1580" t="s">
        <v>535</v>
      </c>
      <c r="M249" s="1580" t="s">
        <v>535</v>
      </c>
      <c r="N249" s="1636"/>
      <c r="O249" s="1636"/>
      <c r="P249" s="1580" t="s">
        <v>535</v>
      </c>
      <c r="Q249" s="1580" t="s">
        <v>535</v>
      </c>
      <c r="R249" s="1580" t="s">
        <v>535</v>
      </c>
      <c r="S249" s="1580"/>
      <c r="T249" s="1580"/>
      <c r="U249" s="1580"/>
      <c r="V249" s="1580"/>
      <c r="W249" s="1580"/>
      <c r="X249" s="1580" t="s">
        <v>749</v>
      </c>
      <c r="Y249" s="1568" t="s">
        <v>535</v>
      </c>
      <c r="Z249" s="1568" t="s">
        <v>535</v>
      </c>
      <c r="AA249" s="1568" t="s">
        <v>535</v>
      </c>
      <c r="AB249" s="1229"/>
      <c r="AC249" s="1229"/>
      <c r="AD249" s="1567" t="s">
        <v>535</v>
      </c>
      <c r="AE249" s="1567" t="s">
        <v>535</v>
      </c>
      <c r="AF249" s="1567" t="s">
        <v>535</v>
      </c>
      <c r="AG249" s="1568"/>
      <c r="AH249" s="1565">
        <v>185</v>
      </c>
      <c r="AI249" s="1566">
        <v>37</v>
      </c>
    </row>
    <row r="250" spans="1:35" ht="21.95" customHeight="1">
      <c r="A250" s="1616">
        <v>3350</v>
      </c>
      <c r="B250" s="1615" t="s">
        <v>839</v>
      </c>
      <c r="C250" s="1567" t="s">
        <v>535</v>
      </c>
      <c r="D250" s="1567" t="s">
        <v>535</v>
      </c>
      <c r="E250" s="1567" t="s">
        <v>535</v>
      </c>
      <c r="F250" s="1567" t="s">
        <v>535</v>
      </c>
      <c r="G250" s="1568"/>
      <c r="H250" s="1568"/>
      <c r="I250" s="1568" t="s">
        <v>535</v>
      </c>
      <c r="J250" s="1568" t="s">
        <v>535</v>
      </c>
      <c r="K250" s="1567" t="s">
        <v>535</v>
      </c>
      <c r="L250" s="1567" t="s">
        <v>535</v>
      </c>
      <c r="M250" s="1567" t="s">
        <v>535</v>
      </c>
      <c r="N250" s="1229"/>
      <c r="O250" s="1229"/>
      <c r="P250" s="1567" t="s">
        <v>535</v>
      </c>
      <c r="Q250" s="1567" t="s">
        <v>535</v>
      </c>
      <c r="R250" s="1567" t="s">
        <v>535</v>
      </c>
      <c r="S250" s="1567"/>
      <c r="T250" s="1567"/>
      <c r="U250" s="1568"/>
      <c r="V250" s="1568"/>
      <c r="W250" s="1568"/>
      <c r="X250" s="1568" t="s">
        <v>535</v>
      </c>
      <c r="Y250" s="1568" t="s">
        <v>535</v>
      </c>
      <c r="Z250" s="1568" t="s">
        <v>535</v>
      </c>
      <c r="AA250" s="1568" t="s">
        <v>535</v>
      </c>
      <c r="AB250" s="1229"/>
      <c r="AC250" s="1229"/>
      <c r="AD250" s="1567" t="s">
        <v>535</v>
      </c>
      <c r="AE250" s="1567" t="s">
        <v>535</v>
      </c>
      <c r="AF250" s="1580" t="s">
        <v>535</v>
      </c>
      <c r="AG250" s="1568"/>
      <c r="AH250" s="1565">
        <v>185</v>
      </c>
      <c r="AI250" s="1566">
        <v>37</v>
      </c>
    </row>
    <row r="251" spans="1:35" ht="21.95" customHeight="1">
      <c r="A251" s="1616"/>
      <c r="B251" s="1654" t="s">
        <v>822</v>
      </c>
      <c r="C251" s="1567" t="s">
        <v>535</v>
      </c>
      <c r="D251" s="1567" t="s">
        <v>535</v>
      </c>
      <c r="E251" s="1567" t="s">
        <v>535</v>
      </c>
      <c r="F251" s="1567" t="s">
        <v>535</v>
      </c>
      <c r="G251" s="1568"/>
      <c r="H251" s="1568"/>
      <c r="I251" s="1676" t="s">
        <v>535</v>
      </c>
      <c r="J251" s="1676" t="s">
        <v>535</v>
      </c>
      <c r="K251" s="1676" t="s">
        <v>535</v>
      </c>
      <c r="L251" s="1676" t="s">
        <v>535</v>
      </c>
      <c r="M251" s="1676" t="s">
        <v>535</v>
      </c>
      <c r="N251" s="1544"/>
      <c r="O251" s="1544"/>
      <c r="P251" s="1676" t="s">
        <v>535</v>
      </c>
      <c r="Q251" s="1676" t="s">
        <v>535</v>
      </c>
      <c r="R251" s="1676" t="s">
        <v>535</v>
      </c>
      <c r="S251" s="1676"/>
      <c r="T251" s="1676"/>
      <c r="U251" s="1676"/>
      <c r="V251" s="1676"/>
      <c r="W251" s="1676"/>
      <c r="X251" s="1676" t="s">
        <v>535</v>
      </c>
      <c r="Y251" s="1676" t="s">
        <v>535</v>
      </c>
      <c r="Z251" s="1676" t="s">
        <v>535</v>
      </c>
      <c r="AA251" s="1676" t="s">
        <v>535</v>
      </c>
      <c r="AB251" s="1229"/>
      <c r="AC251" s="1229"/>
      <c r="AD251" s="1567" t="s">
        <v>535</v>
      </c>
      <c r="AE251" s="1567" t="s">
        <v>535</v>
      </c>
      <c r="AF251" s="1567" t="s">
        <v>535</v>
      </c>
      <c r="AG251" s="1568"/>
      <c r="AH251" s="1618"/>
      <c r="AI251" s="1619"/>
    </row>
    <row r="253" spans="1:35" ht="25.5" customHeight="1" thickBot="1">
      <c r="A253" s="1" t="s">
        <v>604</v>
      </c>
    </row>
    <row r="254" spans="1:35" ht="21" customHeight="1">
      <c r="A254" s="1"/>
      <c r="B254" s="201" t="s">
        <v>516</v>
      </c>
      <c r="C254" s="7"/>
      <c r="D254" s="525" t="s">
        <v>2</v>
      </c>
      <c r="E254" s="51"/>
      <c r="F254" s="551"/>
      <c r="G254" s="7"/>
      <c r="H254" s="525" t="s">
        <v>3</v>
      </c>
      <c r="I254" s="51"/>
      <c r="J254" s="551"/>
      <c r="K254" s="7"/>
      <c r="L254" s="525" t="s">
        <v>4</v>
      </c>
      <c r="M254" s="51"/>
      <c r="N254" s="551"/>
      <c r="O254" s="7"/>
      <c r="P254" s="525" t="s">
        <v>5</v>
      </c>
      <c r="Q254" s="51"/>
      <c r="R254" s="551"/>
      <c r="S254" s="7"/>
      <c r="T254" s="525" t="s">
        <v>6</v>
      </c>
      <c r="U254" s="51"/>
      <c r="V254" s="551"/>
      <c r="W254" s="7"/>
      <c r="X254" s="525" t="s">
        <v>7</v>
      </c>
      <c r="Y254" s="51"/>
      <c r="Z254" s="551"/>
      <c r="AA254" s="7"/>
      <c r="AB254" s="525" t="s">
        <v>8</v>
      </c>
      <c r="AC254" s="51"/>
      <c r="AD254" s="51"/>
      <c r="AE254" s="425" t="s">
        <v>10</v>
      </c>
      <c r="AF254" s="51"/>
      <c r="AG254" s="51"/>
      <c r="AH254" s="51"/>
      <c r="AI254" s="526"/>
    </row>
    <row r="255" spans="1:35" ht="21" customHeight="1">
      <c r="A255" s="1"/>
      <c r="B255" s="9"/>
      <c r="C255" s="14"/>
      <c r="D255" s="609"/>
      <c r="E255" s="55"/>
      <c r="F255" s="608"/>
      <c r="G255" s="14"/>
      <c r="H255" s="609"/>
      <c r="I255" s="55"/>
      <c r="J255" s="608"/>
      <c r="K255" s="14"/>
      <c r="L255" s="609"/>
      <c r="M255" s="55"/>
      <c r="N255" s="608"/>
      <c r="O255" s="14"/>
      <c r="P255" s="609"/>
      <c r="Q255" s="55"/>
      <c r="R255" s="608"/>
      <c r="S255" s="14"/>
      <c r="T255" s="609"/>
      <c r="U255" s="55"/>
      <c r="V255" s="608"/>
      <c r="W255" s="14"/>
      <c r="X255" s="609"/>
      <c r="Y255" s="55"/>
      <c r="Z255" s="608"/>
      <c r="AA255" s="14"/>
      <c r="AB255" s="609"/>
      <c r="AC255" s="55"/>
      <c r="AD255" s="55"/>
      <c r="AE255" s="610"/>
      <c r="AF255" s="55"/>
      <c r="AG255" s="55"/>
      <c r="AH255" s="55"/>
      <c r="AI255" s="611"/>
    </row>
    <row r="256" spans="1:35" ht="21" customHeight="1">
      <c r="B256" s="612"/>
      <c r="C256" s="121"/>
      <c r="D256" s="157"/>
      <c r="E256" s="157"/>
      <c r="F256" s="568"/>
      <c r="G256" s="121"/>
      <c r="H256" s="157"/>
      <c r="I256" s="157"/>
      <c r="J256" s="568"/>
      <c r="K256" s="121"/>
      <c r="L256" s="157"/>
      <c r="M256" s="157"/>
      <c r="N256" s="568"/>
      <c r="O256" s="121"/>
      <c r="P256" s="157"/>
      <c r="Q256" s="157"/>
      <c r="R256" s="568"/>
      <c r="S256" s="121"/>
      <c r="T256" s="157"/>
      <c r="U256" s="157"/>
      <c r="V256" s="568"/>
      <c r="W256" s="121"/>
      <c r="X256" s="157"/>
      <c r="Y256" s="157"/>
      <c r="Z256" s="568"/>
      <c r="AA256" s="567"/>
      <c r="AB256" s="157"/>
      <c r="AC256" s="157"/>
      <c r="AD256" s="569"/>
      <c r="AE256" s="613"/>
      <c r="AF256" s="157"/>
      <c r="AG256" s="157" t="s">
        <v>28</v>
      </c>
      <c r="AH256" s="569"/>
      <c r="AI256" s="490"/>
    </row>
    <row r="257" spans="1:35" ht="21" customHeight="1" thickBot="1">
      <c r="A257" s="1"/>
      <c r="B257" s="47"/>
      <c r="C257" s="574"/>
      <c r="D257" s="53"/>
      <c r="E257" s="53"/>
      <c r="F257" s="575"/>
      <c r="G257" s="574"/>
      <c r="H257" s="53"/>
      <c r="I257" s="53"/>
      <c r="J257" s="575"/>
      <c r="K257" s="574"/>
      <c r="L257" s="53"/>
      <c r="M257" s="53"/>
      <c r="N257" s="575"/>
      <c r="O257" s="574"/>
      <c r="P257" s="53"/>
      <c r="Q257" s="53"/>
      <c r="R257" s="575"/>
      <c r="S257" s="574"/>
      <c r="T257" s="53"/>
      <c r="U257" s="53"/>
      <c r="V257" s="575"/>
      <c r="W257" s="57"/>
      <c r="X257" s="53"/>
      <c r="Y257" s="53"/>
      <c r="Z257" s="575"/>
      <c r="AA257" s="57"/>
      <c r="AB257" s="53"/>
      <c r="AC257" s="53"/>
      <c r="AD257" s="577"/>
      <c r="AE257" s="57"/>
      <c r="AF257" s="53"/>
      <c r="AG257" s="53"/>
      <c r="AH257" s="577"/>
      <c r="AI257" s="539"/>
    </row>
    <row r="258" spans="1:35" ht="33" customHeight="1" thickBot="1">
      <c r="A258" s="1" t="s">
        <v>605</v>
      </c>
      <c r="B258" s="72"/>
      <c r="C258" s="312"/>
      <c r="F258" s="354"/>
      <c r="G258" s="312"/>
      <c r="J258" s="354"/>
      <c r="K258" s="312"/>
      <c r="N258" s="354"/>
      <c r="O258" s="312"/>
      <c r="R258" s="354"/>
      <c r="S258" s="312"/>
      <c r="V258" s="354"/>
      <c r="W258" s="354"/>
      <c r="Z258" s="354"/>
      <c r="AA258" s="354"/>
      <c r="AD258" s="354"/>
      <c r="AE258" s="354"/>
      <c r="AH258" s="354"/>
    </row>
    <row r="259" spans="1:35" ht="21" customHeight="1">
      <c r="A259" s="556" t="s">
        <v>528</v>
      </c>
      <c r="B259" s="297" t="s">
        <v>480</v>
      </c>
      <c r="C259" s="1234">
        <v>1</v>
      </c>
      <c r="D259" s="1234">
        <v>2</v>
      </c>
      <c r="E259" s="1234">
        <v>3</v>
      </c>
      <c r="F259" s="1234">
        <v>4</v>
      </c>
      <c r="G259" s="1235">
        <v>5</v>
      </c>
      <c r="H259" s="1235">
        <v>6</v>
      </c>
      <c r="I259" s="1213">
        <v>7</v>
      </c>
      <c r="J259" s="1213">
        <v>8</v>
      </c>
      <c r="K259" s="1234">
        <v>9</v>
      </c>
      <c r="L259" s="1234">
        <v>10</v>
      </c>
      <c r="M259" s="1234">
        <v>11</v>
      </c>
      <c r="N259" s="1235">
        <v>12</v>
      </c>
      <c r="O259" s="1235">
        <v>13</v>
      </c>
      <c r="P259" s="1213">
        <v>14</v>
      </c>
      <c r="Q259" s="1213">
        <v>15</v>
      </c>
      <c r="R259" s="1234">
        <v>16</v>
      </c>
      <c r="S259" s="1235">
        <v>17</v>
      </c>
      <c r="T259" s="1235">
        <v>18</v>
      </c>
      <c r="U259" s="1235">
        <v>19</v>
      </c>
      <c r="V259" s="1330">
        <v>20</v>
      </c>
      <c r="W259" s="1330">
        <v>21</v>
      </c>
      <c r="X259" s="1213">
        <v>22</v>
      </c>
      <c r="Y259" s="1234">
        <v>23</v>
      </c>
      <c r="Z259" s="1234">
        <v>24</v>
      </c>
      <c r="AA259" s="1234">
        <v>25</v>
      </c>
      <c r="AB259" s="1235">
        <v>26</v>
      </c>
      <c r="AC259" s="1235">
        <v>27</v>
      </c>
      <c r="AD259" s="1213">
        <v>28</v>
      </c>
      <c r="AE259" s="1213">
        <v>29</v>
      </c>
      <c r="AF259" s="1234">
        <v>30</v>
      </c>
      <c r="AG259" s="1234"/>
      <c r="AH259" s="498" t="s">
        <v>481</v>
      </c>
      <c r="AI259" s="499" t="s">
        <v>482</v>
      </c>
    </row>
    <row r="260" spans="1:35" ht="21" customHeight="1">
      <c r="A260" s="442"/>
      <c r="B260" s="619" t="s">
        <v>606</v>
      </c>
      <c r="C260" s="557" t="s">
        <v>535</v>
      </c>
      <c r="D260" s="557" t="s">
        <v>535</v>
      </c>
      <c r="E260" s="557" t="s">
        <v>535</v>
      </c>
      <c r="F260" s="557" t="s">
        <v>535</v>
      </c>
      <c r="G260" s="1208"/>
      <c r="H260" s="1208"/>
      <c r="I260" s="1208" t="s">
        <v>535</v>
      </c>
      <c r="J260" s="1208" t="s">
        <v>535</v>
      </c>
      <c r="K260" s="557" t="s">
        <v>535</v>
      </c>
      <c r="L260" s="557" t="s">
        <v>535</v>
      </c>
      <c r="M260" s="557" t="s">
        <v>535</v>
      </c>
      <c r="N260" s="1215"/>
      <c r="O260" s="1215"/>
      <c r="P260" s="557" t="s">
        <v>535</v>
      </c>
      <c r="Q260" s="557" t="s">
        <v>535</v>
      </c>
      <c r="R260" s="557" t="s">
        <v>535</v>
      </c>
      <c r="S260" s="557"/>
      <c r="T260" s="557"/>
      <c r="U260" s="1208"/>
      <c r="V260" s="1208"/>
      <c r="W260" s="1208"/>
      <c r="X260" s="1208" t="s">
        <v>535</v>
      </c>
      <c r="Y260" s="1208" t="s">
        <v>535</v>
      </c>
      <c r="Z260" s="1208" t="s">
        <v>535</v>
      </c>
      <c r="AA260" s="1208" t="s">
        <v>535</v>
      </c>
      <c r="AB260" s="1215"/>
      <c r="AC260" s="1215"/>
      <c r="AD260" s="557" t="s">
        <v>535</v>
      </c>
      <c r="AE260" s="557" t="s">
        <v>535</v>
      </c>
      <c r="AF260" s="557" t="s">
        <v>535</v>
      </c>
      <c r="AG260" s="1208"/>
      <c r="AH260" s="638">
        <v>185</v>
      </c>
      <c r="AI260" s="639">
        <v>37</v>
      </c>
    </row>
    <row r="261" spans="1:35" ht="21" customHeight="1">
      <c r="A261" s="442"/>
      <c r="B261" s="619" t="s">
        <v>607</v>
      </c>
      <c r="C261" s="557" t="s">
        <v>535</v>
      </c>
      <c r="D261" s="557" t="s">
        <v>535</v>
      </c>
      <c r="E261" s="557" t="s">
        <v>535</v>
      </c>
      <c r="F261" s="557" t="s">
        <v>535</v>
      </c>
      <c r="G261" s="1208"/>
      <c r="H261" s="1208"/>
      <c r="I261" s="1208" t="s">
        <v>535</v>
      </c>
      <c r="J261" s="1208" t="s">
        <v>535</v>
      </c>
      <c r="K261" s="557" t="s">
        <v>535</v>
      </c>
      <c r="L261" s="557" t="s">
        <v>535</v>
      </c>
      <c r="M261" s="557" t="s">
        <v>535</v>
      </c>
      <c r="N261" s="1215"/>
      <c r="O261" s="1215"/>
      <c r="P261" s="1365" t="s">
        <v>535</v>
      </c>
      <c r="Q261" s="1365" t="s">
        <v>535</v>
      </c>
      <c r="R261" s="1365" t="s">
        <v>535</v>
      </c>
      <c r="S261" s="557"/>
      <c r="T261" s="557"/>
      <c r="U261" s="1208"/>
      <c r="V261" s="1208"/>
      <c r="W261" s="1208"/>
      <c r="X261" s="1208" t="s">
        <v>535</v>
      </c>
      <c r="Y261" s="1208" t="s">
        <v>535</v>
      </c>
      <c r="Z261" s="1208" t="s">
        <v>535</v>
      </c>
      <c r="AA261" s="1208" t="s">
        <v>535</v>
      </c>
      <c r="AB261" s="1215"/>
      <c r="AC261" s="1215"/>
      <c r="AD261" s="557" t="s">
        <v>535</v>
      </c>
      <c r="AE261" s="557" t="s">
        <v>535</v>
      </c>
      <c r="AF261" s="557" t="s">
        <v>535</v>
      </c>
      <c r="AG261" s="1208"/>
      <c r="AH261" s="638">
        <v>185</v>
      </c>
      <c r="AI261" s="639">
        <v>37</v>
      </c>
    </row>
    <row r="262" spans="1:35" ht="21" customHeight="1">
      <c r="A262" s="442"/>
      <c r="B262" s="619" t="s">
        <v>608</v>
      </c>
      <c r="C262" s="557" t="s">
        <v>535</v>
      </c>
      <c r="D262" s="557" t="s">
        <v>535</v>
      </c>
      <c r="E262" s="557" t="s">
        <v>535</v>
      </c>
      <c r="F262" s="557" t="s">
        <v>535</v>
      </c>
      <c r="G262" s="1208"/>
      <c r="H262" s="1208"/>
      <c r="I262" s="1208" t="s">
        <v>535</v>
      </c>
      <c r="J262" s="1208" t="s">
        <v>535</v>
      </c>
      <c r="K262" s="557" t="s">
        <v>535</v>
      </c>
      <c r="L262" s="557" t="s">
        <v>535</v>
      </c>
      <c r="M262" s="557" t="s">
        <v>535</v>
      </c>
      <c r="N262" s="1215"/>
      <c r="O262" s="1215"/>
      <c r="P262" s="557" t="s">
        <v>535</v>
      </c>
      <c r="Q262" s="557" t="s">
        <v>535</v>
      </c>
      <c r="R262" s="557" t="s">
        <v>535</v>
      </c>
      <c r="S262" s="557"/>
      <c r="T262" s="557"/>
      <c r="U262" s="1208"/>
      <c r="V262" s="1208"/>
      <c r="W262" s="1208"/>
      <c r="X262" s="1208" t="s">
        <v>535</v>
      </c>
      <c r="Y262" s="1208" t="s">
        <v>535</v>
      </c>
      <c r="Z262" s="1208" t="s">
        <v>535</v>
      </c>
      <c r="AA262" s="1208" t="s">
        <v>535</v>
      </c>
      <c r="AB262" s="1215"/>
      <c r="AC262" s="1215"/>
      <c r="AD262" s="557" t="s">
        <v>535</v>
      </c>
      <c r="AE262" s="557" t="s">
        <v>535</v>
      </c>
      <c r="AF262" s="557" t="s">
        <v>535</v>
      </c>
      <c r="AG262" s="1208"/>
      <c r="AH262" s="638">
        <v>185</v>
      </c>
      <c r="AI262" s="639">
        <v>37</v>
      </c>
    </row>
    <row r="263" spans="1:35" ht="21" customHeight="1">
      <c r="A263" s="442"/>
      <c r="B263" s="619" t="s">
        <v>609</v>
      </c>
      <c r="C263" s="557" t="s">
        <v>535</v>
      </c>
      <c r="D263" s="557" t="s">
        <v>535</v>
      </c>
      <c r="E263" s="557" t="s">
        <v>535</v>
      </c>
      <c r="F263" s="557" t="s">
        <v>535</v>
      </c>
      <c r="G263" s="1208"/>
      <c r="H263" s="1208"/>
      <c r="I263" s="1208" t="s">
        <v>535</v>
      </c>
      <c r="J263" s="1208" t="s">
        <v>535</v>
      </c>
      <c r="K263" s="557" t="s">
        <v>535</v>
      </c>
      <c r="L263" s="557" t="s">
        <v>535</v>
      </c>
      <c r="M263" s="557" t="s">
        <v>535</v>
      </c>
      <c r="N263" s="1215"/>
      <c r="O263" s="1215"/>
      <c r="P263" s="557" t="s">
        <v>535</v>
      </c>
      <c r="Q263" s="557" t="s">
        <v>535</v>
      </c>
      <c r="R263" s="557" t="s">
        <v>535</v>
      </c>
      <c r="S263" s="557"/>
      <c r="T263" s="557"/>
      <c r="U263" s="1208"/>
      <c r="V263" s="1208"/>
      <c r="W263" s="1208"/>
      <c r="X263" s="1365" t="s">
        <v>535</v>
      </c>
      <c r="Y263" s="1365" t="s">
        <v>535</v>
      </c>
      <c r="Z263" s="1365" t="s">
        <v>535</v>
      </c>
      <c r="AA263" s="1365" t="s">
        <v>535</v>
      </c>
      <c r="AB263" s="1215"/>
      <c r="AC263" s="1215"/>
      <c r="AD263" s="1365" t="s">
        <v>535</v>
      </c>
      <c r="AE263" s="1365" t="s">
        <v>535</v>
      </c>
      <c r="AF263" s="557" t="s">
        <v>535</v>
      </c>
      <c r="AG263" s="1208"/>
      <c r="AH263" s="638">
        <v>185</v>
      </c>
      <c r="AI263" s="639">
        <v>37</v>
      </c>
    </row>
    <row r="264" spans="1:35" ht="21" customHeight="1">
      <c r="A264" s="442"/>
      <c r="B264" s="619" t="s">
        <v>610</v>
      </c>
      <c r="C264" s="557" t="s">
        <v>535</v>
      </c>
      <c r="D264" s="557" t="s">
        <v>535</v>
      </c>
      <c r="E264" s="557" t="s">
        <v>535</v>
      </c>
      <c r="F264" s="557" t="s">
        <v>535</v>
      </c>
      <c r="G264" s="1208"/>
      <c r="H264" s="1208"/>
      <c r="I264" s="1208" t="s">
        <v>535</v>
      </c>
      <c r="J264" s="1208" t="s">
        <v>535</v>
      </c>
      <c r="K264" s="557" t="s">
        <v>535</v>
      </c>
      <c r="L264" s="557" t="s">
        <v>535</v>
      </c>
      <c r="M264" s="557" t="s">
        <v>535</v>
      </c>
      <c r="N264" s="1215"/>
      <c r="O264" s="1215"/>
      <c r="P264" s="1591" t="s">
        <v>535</v>
      </c>
      <c r="Q264" s="1387" t="s">
        <v>535</v>
      </c>
      <c r="R264" s="1387" t="s">
        <v>535</v>
      </c>
      <c r="S264" s="557"/>
      <c r="T264" s="557"/>
      <c r="U264" s="1208"/>
      <c r="V264" s="1208"/>
      <c r="W264" s="1208"/>
      <c r="X264" s="1208" t="s">
        <v>535</v>
      </c>
      <c r="Y264" s="1208" t="s">
        <v>535</v>
      </c>
      <c r="Z264" s="1208" t="s">
        <v>535</v>
      </c>
      <c r="AA264" s="1208" t="s">
        <v>535</v>
      </c>
      <c r="AB264" s="1215"/>
      <c r="AC264" s="1215"/>
      <c r="AD264" s="557" t="s">
        <v>535</v>
      </c>
      <c r="AE264" s="557" t="s">
        <v>535</v>
      </c>
      <c r="AF264" s="557" t="s">
        <v>535</v>
      </c>
      <c r="AG264" s="1208"/>
      <c r="AH264" s="638">
        <v>185</v>
      </c>
      <c r="AI264" s="639">
        <v>37</v>
      </c>
    </row>
    <row r="265" spans="1:35" ht="21" customHeight="1">
      <c r="A265" s="442"/>
      <c r="B265" s="619" t="s">
        <v>611</v>
      </c>
      <c r="C265" s="557" t="s">
        <v>535</v>
      </c>
      <c r="D265" s="557" t="s">
        <v>535</v>
      </c>
      <c r="E265" s="557" t="s">
        <v>535</v>
      </c>
      <c r="F265" s="557" t="s">
        <v>535</v>
      </c>
      <c r="G265" s="1208"/>
      <c r="H265" s="1208"/>
      <c r="I265" s="1208" t="s">
        <v>535</v>
      </c>
      <c r="J265" s="1208" t="s">
        <v>535</v>
      </c>
      <c r="K265" s="557" t="s">
        <v>535</v>
      </c>
      <c r="L265" s="557" t="s">
        <v>535</v>
      </c>
      <c r="M265" s="557" t="s">
        <v>535</v>
      </c>
      <c r="N265" s="1215"/>
      <c r="O265" s="1215"/>
      <c r="P265" s="557" t="s">
        <v>535</v>
      </c>
      <c r="Q265" s="557" t="s">
        <v>535</v>
      </c>
      <c r="R265" s="557" t="s">
        <v>535</v>
      </c>
      <c r="S265" s="557"/>
      <c r="T265" s="557"/>
      <c r="U265" s="1208"/>
      <c r="V265" s="1208"/>
      <c r="W265" s="1208"/>
      <c r="X265" s="1208" t="s">
        <v>535</v>
      </c>
      <c r="Y265" s="1208" t="s">
        <v>535</v>
      </c>
      <c r="Z265" s="1208" t="s">
        <v>535</v>
      </c>
      <c r="AA265" s="1208" t="s">
        <v>535</v>
      </c>
      <c r="AB265" s="1215"/>
      <c r="AC265" s="1215"/>
      <c r="AD265" s="557" t="s">
        <v>535</v>
      </c>
      <c r="AE265" s="557" t="s">
        <v>535</v>
      </c>
      <c r="AF265" s="557" t="s">
        <v>535</v>
      </c>
      <c r="AG265" s="1208"/>
      <c r="AH265" s="638">
        <v>185</v>
      </c>
      <c r="AI265" s="639">
        <v>37</v>
      </c>
    </row>
    <row r="266" spans="1:35" ht="21" customHeight="1">
      <c r="A266" s="442"/>
      <c r="B266" s="619" t="s">
        <v>612</v>
      </c>
      <c r="C266" s="557" t="s">
        <v>535</v>
      </c>
      <c r="D266" s="557" t="s">
        <v>535</v>
      </c>
      <c r="E266" s="557" t="s">
        <v>535</v>
      </c>
      <c r="F266" s="557" t="s">
        <v>535</v>
      </c>
      <c r="G266" s="1208"/>
      <c r="H266" s="1208"/>
      <c r="I266" s="1208" t="s">
        <v>535</v>
      </c>
      <c r="J266" s="1208" t="s">
        <v>535</v>
      </c>
      <c r="K266" s="557" t="s">
        <v>535</v>
      </c>
      <c r="L266" s="557" t="s">
        <v>535</v>
      </c>
      <c r="M266" s="557" t="s">
        <v>535</v>
      </c>
      <c r="N266" s="1215"/>
      <c r="O266" s="1215"/>
      <c r="P266" s="557" t="s">
        <v>535</v>
      </c>
      <c r="Q266" s="557" t="s">
        <v>535</v>
      </c>
      <c r="R266" s="557" t="s">
        <v>535</v>
      </c>
      <c r="S266" s="557"/>
      <c r="T266" s="557"/>
      <c r="U266" s="1208"/>
      <c r="V266" s="1208"/>
      <c r="W266" s="1208"/>
      <c r="X266" s="1208" t="s">
        <v>535</v>
      </c>
      <c r="Y266" s="1208" t="s">
        <v>535</v>
      </c>
      <c r="Z266" s="1208" t="s">
        <v>535</v>
      </c>
      <c r="AA266" s="1208" t="s">
        <v>535</v>
      </c>
      <c r="AB266" s="1215"/>
      <c r="AC266" s="1215"/>
      <c r="AD266" s="557" t="s">
        <v>535</v>
      </c>
      <c r="AE266" s="557" t="s">
        <v>535</v>
      </c>
      <c r="AF266" s="557" t="s">
        <v>535</v>
      </c>
      <c r="AG266" s="1208"/>
      <c r="AH266" s="638">
        <v>185</v>
      </c>
      <c r="AI266" s="639">
        <v>37</v>
      </c>
    </row>
    <row r="267" spans="1:35" ht="21" customHeight="1">
      <c r="A267" s="442"/>
      <c r="B267" s="619" t="s">
        <v>613</v>
      </c>
      <c r="C267" s="1365" t="s">
        <v>535</v>
      </c>
      <c r="D267" s="557" t="s">
        <v>535</v>
      </c>
      <c r="E267" s="557" t="s">
        <v>535</v>
      </c>
      <c r="F267" s="557" t="s">
        <v>535</v>
      </c>
      <c r="G267" s="1208"/>
      <c r="H267" s="1208"/>
      <c r="I267" s="1208" t="s">
        <v>535</v>
      </c>
      <c r="J267" s="1208" t="s">
        <v>535</v>
      </c>
      <c r="K267" s="557" t="s">
        <v>535</v>
      </c>
      <c r="L267" s="557" t="s">
        <v>535</v>
      </c>
      <c r="M267" s="557" t="s">
        <v>535</v>
      </c>
      <c r="N267" s="1215"/>
      <c r="O267" s="1215"/>
      <c r="P267" s="557" t="s">
        <v>535</v>
      </c>
      <c r="Q267" s="557" t="s">
        <v>535</v>
      </c>
      <c r="R267" s="557" t="s">
        <v>535</v>
      </c>
      <c r="S267" s="557"/>
      <c r="T267" s="557"/>
      <c r="U267" s="1208"/>
      <c r="V267" s="1208"/>
      <c r="W267" s="1208"/>
      <c r="X267" s="1387" t="s">
        <v>535</v>
      </c>
      <c r="Y267" s="1387" t="s">
        <v>535</v>
      </c>
      <c r="Z267" s="1387" t="s">
        <v>535</v>
      </c>
      <c r="AA267" s="1387" t="s">
        <v>535</v>
      </c>
      <c r="AB267" s="1215"/>
      <c r="AC267" s="1215"/>
      <c r="AD267" s="1387" t="s">
        <v>535</v>
      </c>
      <c r="AE267" s="1387" t="s">
        <v>535</v>
      </c>
      <c r="AF267" s="1387" t="s">
        <v>535</v>
      </c>
      <c r="AG267" s="1208"/>
      <c r="AH267" s="638">
        <v>185</v>
      </c>
      <c r="AI267" s="639">
        <v>37</v>
      </c>
    </row>
    <row r="268" spans="1:35" ht="21" customHeight="1">
      <c r="A268" s="442"/>
      <c r="B268" s="619" t="s">
        <v>614</v>
      </c>
      <c r="C268" s="557" t="s">
        <v>535</v>
      </c>
      <c r="D268" s="557" t="s">
        <v>535</v>
      </c>
      <c r="E268" s="557" t="s">
        <v>535</v>
      </c>
      <c r="F268" s="557" t="s">
        <v>535</v>
      </c>
      <c r="G268" s="1208"/>
      <c r="H268" s="1208"/>
      <c r="I268" s="1208" t="s">
        <v>535</v>
      </c>
      <c r="J268" s="1208" t="s">
        <v>535</v>
      </c>
      <c r="K268" s="557" t="s">
        <v>535</v>
      </c>
      <c r="L268" s="557" t="s">
        <v>535</v>
      </c>
      <c r="M268" s="557" t="s">
        <v>535</v>
      </c>
      <c r="N268" s="1215"/>
      <c r="O268" s="1215"/>
      <c r="P268" s="1387" t="s">
        <v>535</v>
      </c>
      <c r="Q268" s="1387" t="s">
        <v>535</v>
      </c>
      <c r="R268" s="1387" t="s">
        <v>535</v>
      </c>
      <c r="S268" s="557"/>
      <c r="T268" s="557"/>
      <c r="U268" s="1208"/>
      <c r="V268" s="1208"/>
      <c r="W268" s="1208"/>
      <c r="X268" s="1208" t="s">
        <v>535</v>
      </c>
      <c r="Y268" s="1208" t="s">
        <v>535</v>
      </c>
      <c r="Z268" s="1208" t="s">
        <v>535</v>
      </c>
      <c r="AA268" s="1208" t="s">
        <v>535</v>
      </c>
      <c r="AB268" s="1215"/>
      <c r="AC268" s="1215"/>
      <c r="AD268" s="557" t="s">
        <v>535</v>
      </c>
      <c r="AE268" s="557" t="s">
        <v>535</v>
      </c>
      <c r="AF268" s="557" t="s">
        <v>535</v>
      </c>
      <c r="AG268" s="1208"/>
      <c r="AH268" s="638">
        <v>185</v>
      </c>
      <c r="AI268" s="639">
        <v>37</v>
      </c>
    </row>
    <row r="269" spans="1:35" ht="21" customHeight="1">
      <c r="A269" s="442"/>
      <c r="B269" s="619" t="s">
        <v>615</v>
      </c>
      <c r="C269" s="557" t="s">
        <v>535</v>
      </c>
      <c r="D269" s="557" t="s">
        <v>535</v>
      </c>
      <c r="E269" s="557" t="s">
        <v>535</v>
      </c>
      <c r="F269" s="557" t="s">
        <v>535</v>
      </c>
      <c r="G269" s="1208"/>
      <c r="H269" s="1208"/>
      <c r="I269" s="1208" t="s">
        <v>535</v>
      </c>
      <c r="J269" s="1208" t="s">
        <v>535</v>
      </c>
      <c r="K269" s="557" t="s">
        <v>535</v>
      </c>
      <c r="L269" s="557" t="s">
        <v>535</v>
      </c>
      <c r="M269" s="557" t="s">
        <v>535</v>
      </c>
      <c r="N269" s="1215"/>
      <c r="O269" s="1215"/>
      <c r="P269" s="1365" t="s">
        <v>535</v>
      </c>
      <c r="Q269" s="1365" t="s">
        <v>535</v>
      </c>
      <c r="R269" s="1365" t="s">
        <v>535</v>
      </c>
      <c r="S269" s="557"/>
      <c r="T269" s="557"/>
      <c r="U269" s="1208"/>
      <c r="V269" s="1208"/>
      <c r="W269" s="1208"/>
      <c r="X269" s="1208" t="s">
        <v>535</v>
      </c>
      <c r="Y269" s="1208" t="s">
        <v>535</v>
      </c>
      <c r="Z269" s="1208" t="s">
        <v>535</v>
      </c>
      <c r="AA269" s="1208" t="s">
        <v>535</v>
      </c>
      <c r="AB269" s="1215"/>
      <c r="AC269" s="1215"/>
      <c r="AD269" s="557" t="s">
        <v>535</v>
      </c>
      <c r="AE269" s="1439" t="s">
        <v>535</v>
      </c>
      <c r="AF269" s="1439" t="s">
        <v>535</v>
      </c>
      <c r="AG269" s="1208"/>
      <c r="AH269" s="638">
        <v>185</v>
      </c>
      <c r="AI269" s="639">
        <v>37</v>
      </c>
    </row>
    <row r="270" spans="1:35" ht="21" customHeight="1">
      <c r="A270" s="442"/>
      <c r="B270" s="153" t="s">
        <v>616</v>
      </c>
      <c r="C270" s="557" t="s">
        <v>535</v>
      </c>
      <c r="D270" s="557" t="s">
        <v>535</v>
      </c>
      <c r="E270" s="557" t="s">
        <v>535</v>
      </c>
      <c r="F270" s="557" t="s">
        <v>535</v>
      </c>
      <c r="G270" s="1208"/>
      <c r="H270" s="1208"/>
      <c r="I270" s="1208" t="s">
        <v>535</v>
      </c>
      <c r="J270" s="1208" t="s">
        <v>535</v>
      </c>
      <c r="K270" s="557" t="s">
        <v>535</v>
      </c>
      <c r="L270" s="557" t="s">
        <v>535</v>
      </c>
      <c r="M270" s="557" t="s">
        <v>535</v>
      </c>
      <c r="N270" s="1215"/>
      <c r="O270" s="1215"/>
      <c r="P270" s="1208" t="s">
        <v>535</v>
      </c>
      <c r="Q270" s="1685" t="s">
        <v>535</v>
      </c>
      <c r="R270" s="1685" t="s">
        <v>535</v>
      </c>
      <c r="S270" s="557"/>
      <c r="T270" s="557"/>
      <c r="U270" s="1208"/>
      <c r="V270" s="1208"/>
      <c r="W270" s="1208"/>
      <c r="X270" s="1208" t="s">
        <v>535</v>
      </c>
      <c r="Y270" s="1208" t="s">
        <v>535</v>
      </c>
      <c r="Z270" s="1208" t="s">
        <v>535</v>
      </c>
      <c r="AA270" s="1208" t="s">
        <v>535</v>
      </c>
      <c r="AB270" s="1215"/>
      <c r="AC270" s="1215"/>
      <c r="AD270" s="557" t="s">
        <v>535</v>
      </c>
      <c r="AE270" s="557" t="s">
        <v>535</v>
      </c>
      <c r="AF270" s="557" t="s">
        <v>535</v>
      </c>
      <c r="AG270" s="1208"/>
      <c r="AH270" s="638">
        <v>185</v>
      </c>
      <c r="AI270" s="639">
        <v>37</v>
      </c>
    </row>
    <row r="271" spans="1:35" ht="21" customHeight="1">
      <c r="A271" s="442"/>
      <c r="B271" s="153" t="s">
        <v>617</v>
      </c>
      <c r="C271" s="557" t="s">
        <v>535</v>
      </c>
      <c r="D271" s="557" t="s">
        <v>535</v>
      </c>
      <c r="E271" s="557" t="s">
        <v>535</v>
      </c>
      <c r="F271" s="557" t="s">
        <v>535</v>
      </c>
      <c r="G271" s="1208"/>
      <c r="H271" s="1208"/>
      <c r="I271" s="1208" t="s">
        <v>535</v>
      </c>
      <c r="J271" s="1208" t="s">
        <v>535</v>
      </c>
      <c r="K271" s="557" t="s">
        <v>535</v>
      </c>
      <c r="L271" s="1365" t="s">
        <v>535</v>
      </c>
      <c r="M271" s="1365" t="s">
        <v>535</v>
      </c>
      <c r="N271" s="1338"/>
      <c r="O271" s="1338"/>
      <c r="P271" s="1365" t="s">
        <v>535</v>
      </c>
      <c r="Q271" s="1365" t="s">
        <v>535</v>
      </c>
      <c r="R271" s="1365" t="s">
        <v>535</v>
      </c>
      <c r="S271" s="557"/>
      <c r="T271" s="557"/>
      <c r="U271" s="1208"/>
      <c r="V271" s="1208"/>
      <c r="W271" s="1208"/>
      <c r="X271" s="1208" t="s">
        <v>535</v>
      </c>
      <c r="Y271" s="1208" t="s">
        <v>535</v>
      </c>
      <c r="Z271" s="1208" t="s">
        <v>535</v>
      </c>
      <c r="AA271" s="1208" t="s">
        <v>535</v>
      </c>
      <c r="AB271" s="1215"/>
      <c r="AC271" s="1215"/>
      <c r="AD271" s="557" t="s">
        <v>535</v>
      </c>
      <c r="AE271" s="557" t="s">
        <v>535</v>
      </c>
      <c r="AF271" s="557" t="s">
        <v>535</v>
      </c>
      <c r="AG271" s="1208"/>
      <c r="AH271" s="638">
        <v>185</v>
      </c>
      <c r="AI271" s="639">
        <v>37</v>
      </c>
    </row>
    <row r="272" spans="1:35" ht="21" customHeight="1">
      <c r="A272" s="134"/>
      <c r="B272" s="134" t="s">
        <v>619</v>
      </c>
      <c r="C272" s="1563" t="s">
        <v>535</v>
      </c>
      <c r="D272" s="1563" t="s">
        <v>535</v>
      </c>
      <c r="E272" s="1563" t="s">
        <v>535</v>
      </c>
      <c r="F272" s="1563" t="s">
        <v>535</v>
      </c>
      <c r="G272" s="1564"/>
      <c r="H272" s="1564"/>
      <c r="I272" s="1564" t="s">
        <v>535</v>
      </c>
      <c r="J272" s="1564" t="s">
        <v>535</v>
      </c>
      <c r="K272" s="1563" t="s">
        <v>535</v>
      </c>
      <c r="L272" s="1563" t="s">
        <v>535</v>
      </c>
      <c r="M272" s="1563" t="s">
        <v>535</v>
      </c>
      <c r="N272" s="1219"/>
      <c r="O272" s="1219"/>
      <c r="P272" s="1589" t="s">
        <v>535</v>
      </c>
      <c r="Q272" s="1589" t="s">
        <v>535</v>
      </c>
      <c r="R272" s="1589" t="s">
        <v>535</v>
      </c>
      <c r="S272" s="1563"/>
      <c r="T272" s="1563"/>
      <c r="U272" s="1564"/>
      <c r="V272" s="1564"/>
      <c r="W272" s="1564"/>
      <c r="X272" s="1564" t="s">
        <v>535</v>
      </c>
      <c r="Y272" s="1564" t="s">
        <v>535</v>
      </c>
      <c r="Z272" s="1564" t="s">
        <v>535</v>
      </c>
      <c r="AA272" s="1564" t="s">
        <v>535</v>
      </c>
      <c r="AB272" s="1219"/>
      <c r="AC272" s="1219"/>
      <c r="AD272" s="1563" t="s">
        <v>535</v>
      </c>
      <c r="AE272" s="1563" t="s">
        <v>535</v>
      </c>
      <c r="AF272" s="1563" t="s">
        <v>535</v>
      </c>
      <c r="AG272" s="1564"/>
      <c r="AH272" s="1565">
        <v>185</v>
      </c>
      <c r="AI272" s="1566">
        <v>37</v>
      </c>
    </row>
    <row r="273" spans="1:35" ht="21" customHeight="1">
      <c r="A273" s="902"/>
      <c r="B273" s="902" t="s">
        <v>618</v>
      </c>
      <c r="C273" s="1596" t="s">
        <v>535</v>
      </c>
      <c r="D273" s="1596" t="s">
        <v>535</v>
      </c>
      <c r="E273" s="1596" t="s">
        <v>535</v>
      </c>
      <c r="F273" s="1596" t="s">
        <v>535</v>
      </c>
      <c r="G273" s="1596"/>
      <c r="H273" s="1596"/>
      <c r="I273" s="1596" t="s">
        <v>535</v>
      </c>
      <c r="J273" s="1596" t="s">
        <v>535</v>
      </c>
      <c r="K273" s="1596" t="s">
        <v>535</v>
      </c>
      <c r="L273" s="1596" t="s">
        <v>535</v>
      </c>
      <c r="M273" s="1596" t="s">
        <v>535</v>
      </c>
      <c r="N273" s="1595"/>
      <c r="O273" s="1595"/>
      <c r="P273" s="1596" t="s">
        <v>535</v>
      </c>
      <c r="Q273" s="1596" t="s">
        <v>535</v>
      </c>
      <c r="R273" s="1596" t="s">
        <v>535</v>
      </c>
      <c r="S273" s="1596"/>
      <c r="T273" s="1596"/>
      <c r="U273" s="1596"/>
      <c r="V273" s="1596"/>
      <c r="W273" s="1596"/>
      <c r="X273" s="1596" t="s">
        <v>535</v>
      </c>
      <c r="Y273" s="1596" t="s">
        <v>535</v>
      </c>
      <c r="Z273" s="1596" t="s">
        <v>535</v>
      </c>
      <c r="AA273" s="1596" t="s">
        <v>535</v>
      </c>
      <c r="AB273" s="1595"/>
      <c r="AC273" s="1595"/>
      <c r="AD273" s="1596" t="s">
        <v>535</v>
      </c>
      <c r="AE273" s="1596" t="s">
        <v>535</v>
      </c>
      <c r="AF273" s="1596" t="s">
        <v>535</v>
      </c>
      <c r="AG273" s="1598"/>
      <c r="AH273" s="1618">
        <v>185</v>
      </c>
      <c r="AI273" s="1619">
        <v>37</v>
      </c>
    </row>
  </sheetData>
  <sheetProtection password="CC44" sheet="1" objects="1" scenarios="1"/>
  <sortState xmlns:xlrd2="http://schemas.microsoft.com/office/spreadsheetml/2017/richdata2" ref="B153:AF158">
    <sortCondition sortBy="fontColor" ref="B157" dxfId="0"/>
  </sortState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rowBreaks count="1" manualBreakCount="1">
    <brk id="159" max="16383" man="1"/>
  </rowBreaks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6"/>
  <dimension ref="A1:D21"/>
  <sheetViews>
    <sheetView zoomScale="67" zoomScaleNormal="67" workbookViewId="0">
      <selection activeCell="B21" sqref="B21"/>
    </sheetView>
  </sheetViews>
  <sheetFormatPr defaultRowHeight="12.75"/>
  <cols>
    <col min="1" max="1" width="92.140625" customWidth="1"/>
    <col min="2" max="3" width="14.5703125" customWidth="1"/>
    <col min="4" max="4" width="14.28515625" customWidth="1"/>
  </cols>
  <sheetData>
    <row r="1" spans="1:4" ht="23.25">
      <c r="A1" s="640" t="s">
        <v>840</v>
      </c>
    </row>
    <row r="3" spans="1:4" ht="48" customHeight="1">
      <c r="A3" s="641" t="s">
        <v>28</v>
      </c>
      <c r="B3" s="642" t="s">
        <v>841</v>
      </c>
      <c r="C3" s="643" t="s">
        <v>842</v>
      </c>
      <c r="D3" s="644"/>
    </row>
    <row r="4" spans="1:4" ht="45" customHeight="1">
      <c r="A4" s="645" t="s">
        <v>843</v>
      </c>
      <c r="B4" s="646">
        <v>350</v>
      </c>
      <c r="C4" s="647">
        <v>350</v>
      </c>
      <c r="D4" s="648"/>
    </row>
    <row r="5" spans="1:4" ht="45" customHeight="1">
      <c r="A5" s="649" t="s">
        <v>844</v>
      </c>
      <c r="B5" s="650">
        <v>450</v>
      </c>
      <c r="C5" s="650">
        <v>450</v>
      </c>
      <c r="D5" s="651"/>
    </row>
    <row r="6" spans="1:4" ht="45" customHeight="1">
      <c r="A6" s="649" t="s">
        <v>845</v>
      </c>
      <c r="B6" s="650">
        <v>600</v>
      </c>
      <c r="C6" s="647">
        <v>600</v>
      </c>
      <c r="D6" s="651"/>
    </row>
    <row r="7" spans="1:4" ht="48.75" customHeight="1">
      <c r="A7" s="649" t="s">
        <v>846</v>
      </c>
      <c r="B7" s="650">
        <v>375</v>
      </c>
      <c r="C7" s="652" t="s">
        <v>847</v>
      </c>
    </row>
    <row r="8" spans="1:4" ht="58.5" customHeight="1">
      <c r="A8" s="649" t="s">
        <v>848</v>
      </c>
      <c r="B8" s="650">
        <v>450</v>
      </c>
      <c r="C8" s="653">
        <v>350</v>
      </c>
    </row>
    <row r="9" spans="1:4" ht="45" customHeight="1">
      <c r="A9" s="654" t="s">
        <v>849</v>
      </c>
      <c r="B9" s="655">
        <v>315</v>
      </c>
      <c r="C9" s="656" t="s">
        <v>850</v>
      </c>
    </row>
    <row r="10" spans="1:4" ht="45" customHeight="1">
      <c r="A10" s="657" t="s">
        <v>851</v>
      </c>
      <c r="B10" s="655">
        <v>450</v>
      </c>
      <c r="C10" s="658" t="s">
        <v>852</v>
      </c>
    </row>
    <row r="11" spans="1:4" ht="45" customHeight="1">
      <c r="A11" s="657" t="s">
        <v>853</v>
      </c>
      <c r="B11" s="655">
        <v>100</v>
      </c>
    </row>
    <row r="12" spans="1:4" ht="45" customHeight="1">
      <c r="A12" s="657" t="s">
        <v>854</v>
      </c>
      <c r="B12" s="655">
        <v>230</v>
      </c>
    </row>
    <row r="13" spans="1:4" ht="45" customHeight="1">
      <c r="A13" s="659" t="s">
        <v>855</v>
      </c>
      <c r="B13" s="660">
        <v>220</v>
      </c>
    </row>
    <row r="14" spans="1:4" ht="45" customHeight="1">
      <c r="A14" s="661" t="s">
        <v>856</v>
      </c>
      <c r="B14" s="662">
        <v>250</v>
      </c>
    </row>
    <row r="15" spans="1:4" ht="45" customHeight="1">
      <c r="A15" s="661" t="s">
        <v>857</v>
      </c>
      <c r="B15" s="662">
        <v>350</v>
      </c>
    </row>
    <row r="16" spans="1:4" ht="45" customHeight="1">
      <c r="A16" s="661" t="s">
        <v>858</v>
      </c>
      <c r="B16" s="662">
        <v>0.4</v>
      </c>
    </row>
    <row r="17" spans="1:2" ht="45" customHeight="1">
      <c r="A17" s="661" t="s">
        <v>859</v>
      </c>
      <c r="B17" s="662">
        <v>250</v>
      </c>
    </row>
    <row r="18" spans="1:2" ht="45" customHeight="1">
      <c r="A18" s="661" t="s">
        <v>860</v>
      </c>
      <c r="B18" s="662">
        <v>350</v>
      </c>
    </row>
    <row r="19" spans="1:2" ht="45" customHeight="1">
      <c r="A19" s="663" t="s">
        <v>861</v>
      </c>
      <c r="B19" s="664">
        <v>310</v>
      </c>
    </row>
    <row r="20" spans="1:2" ht="45" customHeight="1">
      <c r="A20" s="663" t="s">
        <v>862</v>
      </c>
      <c r="B20" s="664">
        <v>100</v>
      </c>
    </row>
    <row r="21" spans="1:2" ht="45" customHeight="1">
      <c r="A21" s="663"/>
      <c r="B21" s="665"/>
    </row>
  </sheetData>
  <sheetProtection password="CC44" sheet="1" objects="1" scenarios="1"/>
  <phoneticPr fontId="8" type="noConversion"/>
  <pageMargins left="0" right="0" top="0.39374999999999999" bottom="0.19652777777777777" header="0.51180555555555551" footer="0.51180555555555551"/>
  <pageSetup paperSize="9" scale="85" firstPageNumber="0" orientation="portrait" horizontalDpi="300" verticalDpi="3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17"/>
  <dimension ref="A1:K47"/>
  <sheetViews>
    <sheetView zoomScale="67" zoomScaleNormal="67" workbookViewId="0">
      <selection activeCell="I33" sqref="I33"/>
    </sheetView>
  </sheetViews>
  <sheetFormatPr defaultRowHeight="12.75"/>
  <cols>
    <col min="1" max="1" width="18.5703125" customWidth="1"/>
    <col min="2" max="2" width="30.7109375" customWidth="1"/>
    <col min="3" max="3" width="13.7109375" customWidth="1"/>
    <col min="4" max="4" width="8.140625" customWidth="1"/>
    <col min="5" max="5" width="18.28515625" customWidth="1"/>
    <col min="6" max="6" width="26.5703125" customWidth="1"/>
    <col min="7" max="7" width="12.85546875" style="666" customWidth="1"/>
    <col min="8" max="8" width="2.7109375" customWidth="1"/>
    <col min="9" max="9" width="22.85546875" customWidth="1"/>
    <col min="10" max="10" width="27" customWidth="1"/>
    <col min="11" max="11" width="11.42578125" customWidth="1"/>
  </cols>
  <sheetData>
    <row r="1" spans="1:11" ht="20.25">
      <c r="F1" s="667" t="s">
        <v>863</v>
      </c>
    </row>
    <row r="2" spans="1:11" ht="15.95" customHeight="1">
      <c r="A2" s="605" t="s">
        <v>864</v>
      </c>
      <c r="B2" s="1088"/>
      <c r="C2" s="1088"/>
      <c r="D2" s="1088"/>
      <c r="E2" s="605" t="s">
        <v>865</v>
      </c>
      <c r="F2" s="1088"/>
      <c r="G2" s="1089"/>
      <c r="H2" s="1088"/>
      <c r="I2" s="605" t="s">
        <v>866</v>
      </c>
      <c r="J2" s="1088"/>
    </row>
    <row r="3" spans="1:11" ht="15" customHeight="1" thickBot="1">
      <c r="A3" s="1090" t="s">
        <v>867</v>
      </c>
      <c r="B3" s="1090" t="s">
        <v>868</v>
      </c>
      <c r="C3" s="1090" t="s">
        <v>869</v>
      </c>
      <c r="D3" s="1088"/>
      <c r="E3" s="1091" t="s">
        <v>867</v>
      </c>
      <c r="F3" s="1091" t="s">
        <v>868</v>
      </c>
      <c r="G3" s="1092" t="s">
        <v>869</v>
      </c>
      <c r="H3" s="1088"/>
      <c r="I3" s="1091" t="s">
        <v>867</v>
      </c>
      <c r="J3" s="1091" t="s">
        <v>868</v>
      </c>
      <c r="K3" s="669" t="s">
        <v>869</v>
      </c>
    </row>
    <row r="4" spans="1:11" ht="15" customHeight="1" thickBot="1">
      <c r="A4" s="1093" t="s">
        <v>26</v>
      </c>
      <c r="B4" s="1093" t="s">
        <v>870</v>
      </c>
      <c r="C4" s="1198"/>
      <c r="D4" s="1088"/>
      <c r="E4" s="1094" t="s">
        <v>26</v>
      </c>
      <c r="F4" s="1093" t="s">
        <v>721</v>
      </c>
      <c r="G4" s="1201"/>
      <c r="H4" s="1088"/>
      <c r="I4" s="1094" t="s">
        <v>871</v>
      </c>
      <c r="J4" s="1095"/>
      <c r="K4" s="46"/>
    </row>
    <row r="5" spans="1:11" ht="15" customHeight="1" thickBot="1">
      <c r="A5" s="1093"/>
      <c r="B5" s="1093" t="s">
        <v>872</v>
      </c>
      <c r="C5" s="1198" t="s">
        <v>873</v>
      </c>
      <c r="D5" s="1088"/>
      <c r="E5" s="1097"/>
      <c r="F5" s="1098"/>
      <c r="G5" s="1199"/>
      <c r="H5" s="1088"/>
      <c r="I5" s="1097"/>
      <c r="J5" s="1093" t="s">
        <v>874</v>
      </c>
      <c r="K5" s="191"/>
    </row>
    <row r="6" spans="1:11" ht="15" customHeight="1" thickBot="1">
      <c r="A6" s="1093"/>
      <c r="B6" s="1093" t="s">
        <v>35</v>
      </c>
      <c r="C6" s="1198"/>
      <c r="D6" s="1088"/>
      <c r="E6" s="1094" t="s">
        <v>870</v>
      </c>
      <c r="F6" s="1095" t="s">
        <v>656</v>
      </c>
      <c r="G6" s="1201" t="s">
        <v>875</v>
      </c>
      <c r="H6" s="1088"/>
      <c r="I6" s="1099"/>
      <c r="J6" s="1100" t="s">
        <v>876</v>
      </c>
      <c r="K6" s="136"/>
    </row>
    <row r="7" spans="1:11" ht="15" customHeight="1">
      <c r="A7" s="1093"/>
      <c r="B7" s="1093" t="s">
        <v>877</v>
      </c>
      <c r="C7" s="1198" t="s">
        <v>873</v>
      </c>
      <c r="D7" s="1088"/>
      <c r="E7" s="1097"/>
      <c r="F7" s="1093" t="s">
        <v>658</v>
      </c>
      <c r="G7" s="1199"/>
      <c r="H7" s="1088"/>
      <c r="I7" s="1094" t="s">
        <v>871</v>
      </c>
      <c r="J7" s="1095" t="s">
        <v>737</v>
      </c>
      <c r="K7" s="46"/>
    </row>
    <row r="8" spans="1:11" ht="15" customHeight="1" thickBot="1">
      <c r="A8" s="1093"/>
      <c r="B8" s="1093" t="s">
        <v>878</v>
      </c>
      <c r="C8" s="1198"/>
      <c r="D8" s="1088"/>
      <c r="E8" s="1101"/>
      <c r="F8" s="1102" t="s">
        <v>659</v>
      </c>
      <c r="G8" s="1103">
        <v>41133</v>
      </c>
      <c r="H8" s="1088"/>
      <c r="I8" s="1104"/>
      <c r="J8" s="1100" t="s">
        <v>602</v>
      </c>
      <c r="K8" s="56"/>
    </row>
    <row r="9" spans="1:11" ht="15" customHeight="1">
      <c r="A9" s="1093"/>
      <c r="B9" s="1093" t="s">
        <v>879</v>
      </c>
      <c r="C9" s="1198"/>
      <c r="D9" s="1088"/>
      <c r="E9" s="1094" t="s">
        <v>872</v>
      </c>
      <c r="F9" s="1098"/>
      <c r="G9" s="1201"/>
      <c r="H9" s="1088"/>
      <c r="I9" s="1097"/>
      <c r="J9" s="1105" t="s">
        <v>880</v>
      </c>
      <c r="K9" s="191"/>
    </row>
    <row r="10" spans="1:11" ht="15" customHeight="1">
      <c r="A10" s="1093"/>
      <c r="B10" s="1093" t="s">
        <v>881</v>
      </c>
      <c r="C10" s="1198"/>
      <c r="D10" s="1088"/>
      <c r="E10" s="1104"/>
      <c r="F10" s="1106" t="s">
        <v>669</v>
      </c>
      <c r="G10" s="1202"/>
      <c r="H10" s="1088"/>
      <c r="I10" s="1099"/>
      <c r="J10" s="1093"/>
      <c r="K10" s="136"/>
    </row>
    <row r="11" spans="1:11" ht="15" customHeight="1" thickBot="1">
      <c r="A11" s="1093"/>
      <c r="B11" s="1093" t="s">
        <v>882</v>
      </c>
      <c r="C11" s="1198"/>
      <c r="D11" s="1088"/>
      <c r="E11" s="1097"/>
      <c r="F11" s="1107" t="s">
        <v>670</v>
      </c>
      <c r="G11" s="1199"/>
      <c r="H11" s="1088"/>
      <c r="I11" s="1101"/>
      <c r="J11" s="1108" t="s">
        <v>883</v>
      </c>
      <c r="K11" s="49"/>
    </row>
    <row r="12" spans="1:11" ht="15" customHeight="1" thickBot="1">
      <c r="A12" s="1093"/>
      <c r="B12" s="1093"/>
      <c r="C12" s="1096"/>
      <c r="D12" s="1088"/>
      <c r="E12" s="1101"/>
      <c r="F12" s="1109" t="s">
        <v>671</v>
      </c>
      <c r="G12" s="1203"/>
      <c r="H12" s="1088"/>
      <c r="I12" s="1094"/>
      <c r="J12" s="1093" t="s">
        <v>587</v>
      </c>
      <c r="K12" s="46"/>
    </row>
    <row r="13" spans="1:11" ht="15" customHeight="1">
      <c r="A13" s="1088"/>
      <c r="B13" s="1088"/>
      <c r="C13" s="1088"/>
      <c r="D13" s="1088"/>
      <c r="E13" s="1094" t="s">
        <v>35</v>
      </c>
      <c r="F13" s="1098" t="s">
        <v>717</v>
      </c>
      <c r="G13" s="1201"/>
      <c r="H13" s="1088"/>
      <c r="I13" s="1097"/>
      <c r="J13" s="1093" t="s">
        <v>517</v>
      </c>
      <c r="K13" s="191"/>
    </row>
    <row r="14" spans="1:11" ht="15" customHeight="1">
      <c r="A14" s="605" t="s">
        <v>884</v>
      </c>
      <c r="B14" s="1088"/>
      <c r="C14" s="1088"/>
      <c r="D14" s="1088"/>
      <c r="E14" s="1097"/>
      <c r="F14" s="1107" t="s">
        <v>885</v>
      </c>
      <c r="G14" s="1199"/>
      <c r="H14" s="1088"/>
      <c r="I14" s="1097"/>
      <c r="J14" s="1106" t="s">
        <v>523</v>
      </c>
      <c r="K14" s="191"/>
    </row>
    <row r="15" spans="1:11" ht="15" customHeight="1" thickBot="1">
      <c r="A15" s="1090" t="s">
        <v>867</v>
      </c>
      <c r="B15" s="1090" t="s">
        <v>868</v>
      </c>
      <c r="C15" s="1090" t="s">
        <v>869</v>
      </c>
      <c r="D15" s="1088"/>
      <c r="E15" s="1101"/>
      <c r="F15" s="1110" t="s">
        <v>886</v>
      </c>
      <c r="G15" s="1204"/>
      <c r="H15" s="1088"/>
      <c r="I15" s="1101"/>
      <c r="J15" s="1110"/>
      <c r="K15" s="49"/>
    </row>
    <row r="16" spans="1:11" ht="15" customHeight="1">
      <c r="A16" s="1093" t="s">
        <v>26</v>
      </c>
      <c r="B16" s="1093" t="s">
        <v>27</v>
      </c>
      <c r="C16" s="1198"/>
      <c r="D16" s="1088"/>
      <c r="E16" s="1094" t="s">
        <v>877</v>
      </c>
      <c r="F16" s="1111" t="s">
        <v>672</v>
      </c>
      <c r="G16" s="1201"/>
      <c r="H16" s="1088"/>
      <c r="I16" s="1088"/>
      <c r="J16" s="1088"/>
    </row>
    <row r="17" spans="1:11" ht="15" customHeight="1" thickBot="1">
      <c r="A17" s="1093"/>
      <c r="B17" s="1093" t="s">
        <v>887</v>
      </c>
      <c r="C17" s="1198"/>
      <c r="D17" s="1088"/>
      <c r="E17" s="1097"/>
      <c r="F17" s="1107" t="s">
        <v>888</v>
      </c>
      <c r="G17" s="1199"/>
      <c r="H17" s="1088"/>
      <c r="I17" s="605"/>
      <c r="J17" s="1088"/>
    </row>
    <row r="18" spans="1:11" ht="15" customHeight="1" thickBot="1">
      <c r="A18" s="1093"/>
      <c r="B18" s="1093" t="s">
        <v>889</v>
      </c>
      <c r="C18" s="1198"/>
      <c r="D18" s="1088"/>
      <c r="E18" s="1101"/>
      <c r="F18" s="1110" t="s">
        <v>674</v>
      </c>
      <c r="G18" s="1201"/>
      <c r="H18" s="1088"/>
      <c r="I18" s="605"/>
      <c r="J18" s="1088"/>
    </row>
    <row r="19" spans="1:11" ht="15" customHeight="1" thickBot="1">
      <c r="A19" s="1093"/>
      <c r="B19" s="1093" t="s">
        <v>117</v>
      </c>
      <c r="C19" s="1198"/>
      <c r="D19" s="1088"/>
      <c r="E19" s="1094" t="s">
        <v>37</v>
      </c>
      <c r="F19" s="1112" t="s">
        <v>890</v>
      </c>
      <c r="G19" s="1205"/>
      <c r="H19" s="1088"/>
      <c r="I19" s="1091" t="s">
        <v>867</v>
      </c>
      <c r="J19" s="1091" t="s">
        <v>868</v>
      </c>
      <c r="K19" s="669" t="s">
        <v>869</v>
      </c>
    </row>
    <row r="20" spans="1:11" ht="15" customHeight="1">
      <c r="A20" s="1093"/>
      <c r="B20" s="1093"/>
      <c r="C20" s="1198"/>
      <c r="D20" s="1088"/>
      <c r="E20" s="1104"/>
      <c r="F20" s="1093" t="s">
        <v>483</v>
      </c>
      <c r="G20" s="1199"/>
      <c r="H20" s="1088"/>
      <c r="I20" s="1094" t="s">
        <v>566</v>
      </c>
      <c r="J20" s="1095" t="s">
        <v>26</v>
      </c>
      <c r="K20" s="46"/>
    </row>
    <row r="21" spans="1:11" ht="15" customHeight="1">
      <c r="A21" s="1093"/>
      <c r="B21" s="1093" t="s">
        <v>891</v>
      </c>
      <c r="C21" s="1198"/>
      <c r="D21" s="1088"/>
      <c r="E21" s="1104"/>
      <c r="F21" s="1111"/>
      <c r="G21" s="1199"/>
      <c r="H21" s="1088"/>
      <c r="I21" s="1097"/>
      <c r="J21" s="1093" t="s">
        <v>37</v>
      </c>
      <c r="K21" s="191"/>
    </row>
    <row r="22" spans="1:11" ht="15" customHeight="1" thickBot="1">
      <c r="A22" s="1093"/>
      <c r="B22" s="1107" t="s">
        <v>348</v>
      </c>
      <c r="C22" s="1198"/>
      <c r="D22" s="1088"/>
      <c r="E22" s="1104"/>
      <c r="F22" s="1106" t="s">
        <v>507</v>
      </c>
      <c r="G22" s="1199"/>
      <c r="H22" s="1088"/>
      <c r="I22" s="1099"/>
      <c r="J22" s="1100" t="s">
        <v>567</v>
      </c>
      <c r="K22" s="136"/>
    </row>
    <row r="23" spans="1:11" ht="15" customHeight="1" thickBot="1">
      <c r="A23" s="1093"/>
      <c r="B23" s="1107" t="s">
        <v>350</v>
      </c>
      <c r="C23" s="1198"/>
      <c r="D23" s="1088"/>
      <c r="E23" s="1113"/>
      <c r="F23" s="1102" t="s">
        <v>892</v>
      </c>
      <c r="G23" s="1203"/>
      <c r="H23" s="1088"/>
      <c r="I23" s="1094"/>
      <c r="J23" s="1095" t="s">
        <v>606</v>
      </c>
      <c r="K23" s="46"/>
    </row>
    <row r="24" spans="1:11" ht="15" customHeight="1">
      <c r="A24" s="1093"/>
      <c r="B24" s="1107" t="s">
        <v>351</v>
      </c>
      <c r="C24" s="1198"/>
      <c r="D24" s="1088"/>
      <c r="E24" s="1094" t="s">
        <v>878</v>
      </c>
      <c r="F24" s="1098" t="s">
        <v>893</v>
      </c>
      <c r="G24" s="1201"/>
      <c r="H24" s="1088"/>
      <c r="I24" s="1104"/>
      <c r="J24" s="1100" t="s">
        <v>120</v>
      </c>
      <c r="K24" s="56"/>
    </row>
    <row r="25" spans="1:11" ht="15" customHeight="1">
      <c r="A25" s="1093"/>
      <c r="B25" s="1107" t="s">
        <v>571</v>
      </c>
      <c r="C25" s="1198"/>
      <c r="D25" s="1088"/>
      <c r="E25" s="1097"/>
      <c r="F25" s="1093" t="s">
        <v>489</v>
      </c>
      <c r="G25" s="1199"/>
      <c r="H25" s="1088"/>
      <c r="I25" s="1097"/>
      <c r="J25" s="1105" t="s">
        <v>871</v>
      </c>
      <c r="K25" s="191"/>
    </row>
    <row r="26" spans="1:11" ht="15" customHeight="1">
      <c r="A26" s="1093"/>
      <c r="B26" s="1111" t="s">
        <v>572</v>
      </c>
      <c r="C26" s="1198"/>
      <c r="D26" s="1088"/>
      <c r="E26" s="1097"/>
      <c r="F26" s="1093" t="s">
        <v>664</v>
      </c>
      <c r="G26" s="1199"/>
      <c r="H26" s="1088"/>
      <c r="I26" s="1099"/>
      <c r="J26" s="1093"/>
      <c r="K26" s="136"/>
    </row>
    <row r="27" spans="1:11" ht="15" customHeight="1" thickBot="1">
      <c r="A27" s="1093"/>
      <c r="B27" s="1111" t="s">
        <v>513</v>
      </c>
      <c r="C27" s="1198"/>
      <c r="D27" s="1088"/>
      <c r="E27" s="1101"/>
      <c r="F27" s="1109" t="s">
        <v>665</v>
      </c>
      <c r="G27" s="1203"/>
      <c r="H27" s="1088"/>
      <c r="I27" s="1101"/>
      <c r="J27" s="1108"/>
      <c r="K27" s="49"/>
    </row>
    <row r="28" spans="1:11" ht="15" customHeight="1">
      <c r="A28" s="1093"/>
      <c r="B28" s="1107"/>
      <c r="C28" s="1198"/>
      <c r="D28" s="1088"/>
      <c r="E28" s="1094" t="s">
        <v>879</v>
      </c>
      <c r="F28" s="1115" t="s">
        <v>549</v>
      </c>
      <c r="G28" s="1201"/>
      <c r="H28" s="1088"/>
      <c r="I28" s="1094"/>
      <c r="J28" s="1093"/>
      <c r="K28" s="46"/>
    </row>
    <row r="29" spans="1:11" ht="15" customHeight="1">
      <c r="A29" s="1116"/>
      <c r="B29" s="1107" t="s">
        <v>574</v>
      </c>
      <c r="C29" s="1199"/>
      <c r="D29" s="1088"/>
      <c r="E29" s="1097"/>
      <c r="F29" s="1107" t="s">
        <v>662</v>
      </c>
      <c r="G29" s="1199"/>
      <c r="H29" s="1088"/>
      <c r="I29" s="1097"/>
      <c r="J29" s="1093"/>
      <c r="K29" s="191"/>
    </row>
    <row r="30" spans="1:11" ht="15" customHeight="1">
      <c r="A30" s="1117"/>
      <c r="B30" s="1118" t="s">
        <v>575</v>
      </c>
      <c r="C30" s="1200"/>
      <c r="D30" s="1088"/>
      <c r="E30" s="1119"/>
      <c r="F30" s="1120" t="s">
        <v>666</v>
      </c>
      <c r="G30" s="1199"/>
      <c r="H30" s="1088"/>
      <c r="I30" s="1097"/>
      <c r="J30" s="1106"/>
      <c r="K30" s="191"/>
    </row>
    <row r="31" spans="1:11" ht="15" customHeight="1" thickBot="1">
      <c r="A31" s="605" t="s">
        <v>894</v>
      </c>
      <c r="B31" s="1088"/>
      <c r="C31" s="1088"/>
      <c r="D31" s="1088"/>
      <c r="E31" s="1212"/>
      <c r="F31" s="1102" t="s">
        <v>531</v>
      </c>
      <c r="G31" s="1206"/>
      <c r="H31" s="1088"/>
      <c r="I31" s="1101"/>
      <c r="J31" s="1110"/>
      <c r="K31" s="49"/>
    </row>
    <row r="32" spans="1:11" ht="15" customHeight="1">
      <c r="A32" s="1090" t="s">
        <v>867</v>
      </c>
      <c r="B32" s="1090" t="s">
        <v>868</v>
      </c>
      <c r="C32" s="1090" t="s">
        <v>869</v>
      </c>
      <c r="D32" s="1088"/>
      <c r="E32" s="1094" t="s">
        <v>881</v>
      </c>
      <c r="F32" s="1121" t="s">
        <v>895</v>
      </c>
      <c r="G32" s="1201"/>
      <c r="H32" s="1088"/>
      <c r="I32" s="1114"/>
      <c r="J32" s="1088"/>
    </row>
    <row r="33" spans="1:10" ht="15" customHeight="1">
      <c r="A33" s="1093" t="s">
        <v>26</v>
      </c>
      <c r="B33" s="1093" t="s">
        <v>119</v>
      </c>
      <c r="C33" s="1198"/>
      <c r="D33" s="1088"/>
      <c r="E33" s="1097"/>
      <c r="F33" s="1111" t="s">
        <v>534</v>
      </c>
      <c r="G33" s="1199"/>
      <c r="H33" s="1088"/>
      <c r="I33" s="1114"/>
      <c r="J33" s="1088"/>
    </row>
    <row r="34" spans="1:10" ht="15" customHeight="1" thickBot="1">
      <c r="A34" s="1093"/>
      <c r="B34" s="1093" t="s">
        <v>896</v>
      </c>
      <c r="C34" s="1198"/>
      <c r="D34" s="1088"/>
      <c r="E34" s="1101"/>
      <c r="F34" s="1093" t="s">
        <v>897</v>
      </c>
      <c r="G34" s="1203"/>
      <c r="H34" s="1088"/>
      <c r="I34" s="1114"/>
      <c r="J34" s="1088"/>
    </row>
    <row r="35" spans="1:10" ht="15" customHeight="1">
      <c r="A35" s="1093"/>
      <c r="B35" s="1093" t="s">
        <v>898</v>
      </c>
      <c r="C35" s="1198"/>
      <c r="D35" s="1088"/>
      <c r="E35" s="1094" t="s">
        <v>882</v>
      </c>
      <c r="F35" s="1111" t="s">
        <v>899</v>
      </c>
      <c r="G35" s="1201"/>
      <c r="H35" s="1088"/>
      <c r="I35" s="1114"/>
      <c r="J35" s="1088"/>
    </row>
    <row r="36" spans="1:10" ht="15" customHeight="1">
      <c r="A36" s="1093"/>
      <c r="B36" s="1093" t="s">
        <v>900</v>
      </c>
      <c r="C36" s="1198"/>
      <c r="D36" s="1088"/>
      <c r="E36" s="1097"/>
      <c r="F36" s="1093" t="s">
        <v>536</v>
      </c>
      <c r="G36" s="1199"/>
      <c r="H36" s="1088"/>
      <c r="I36" s="1114"/>
      <c r="J36" s="1088"/>
    </row>
    <row r="37" spans="1:10" ht="15" customHeight="1" thickBot="1">
      <c r="A37" s="605"/>
      <c r="B37" s="1088"/>
      <c r="C37" s="1088"/>
      <c r="D37" s="1088"/>
      <c r="E37" s="1101"/>
      <c r="F37" s="1093" t="s">
        <v>901</v>
      </c>
      <c r="G37" s="1203"/>
      <c r="H37" s="1088"/>
      <c r="I37" s="1114"/>
      <c r="J37" s="1088"/>
    </row>
    <row r="38" spans="1:10" ht="15" customHeight="1">
      <c r="A38" s="72"/>
      <c r="B38" s="72"/>
      <c r="C38" s="72"/>
      <c r="I38" s="1688"/>
    </row>
    <row r="39" spans="1:10" ht="15" customHeight="1"/>
    <row r="40" spans="1:10" ht="15" customHeight="1"/>
    <row r="41" spans="1:10" ht="15" customHeight="1"/>
    <row r="42" spans="1:10" ht="15" customHeight="1"/>
    <row r="43" spans="1:10" ht="15" customHeight="1"/>
    <row r="44" spans="1:10" ht="15" customHeight="1"/>
    <row r="45" spans="1:10" ht="15" customHeight="1"/>
    <row r="46" spans="1:10" ht="15" customHeight="1"/>
    <row r="47" spans="1:10" ht="15" customHeight="1"/>
  </sheetData>
  <sheetProtection password="CC44" sheet="1" objects="1" scenarios="1"/>
  <phoneticPr fontId="8" type="noConversion"/>
  <pageMargins left="0.19652777777777777" right="0" top="0" bottom="0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25">
    <tabColor indexed="35"/>
  </sheetPr>
  <dimension ref="A2:R58"/>
  <sheetViews>
    <sheetView zoomScale="75" workbookViewId="0">
      <selection activeCell="R22" sqref="R22"/>
    </sheetView>
  </sheetViews>
  <sheetFormatPr defaultColWidth="9.140625" defaultRowHeight="12.75"/>
  <cols>
    <col min="1" max="2" width="9.140625" style="905"/>
    <col min="3" max="3" width="17.28515625" style="905" customWidth="1"/>
    <col min="4" max="5" width="9" style="905" customWidth="1"/>
    <col min="6" max="6" width="11" style="905" customWidth="1"/>
    <col min="7" max="7" width="19.42578125" style="905" customWidth="1"/>
    <col min="8" max="8" width="10.5703125" style="905" customWidth="1"/>
    <col min="9" max="9" width="9.85546875" style="905" customWidth="1"/>
    <col min="10" max="10" width="11.85546875" style="905" customWidth="1"/>
    <col min="11" max="11" width="19" style="905" customWidth="1"/>
    <col min="12" max="12" width="9.7109375" style="905" customWidth="1"/>
    <col min="13" max="13" width="9" style="905" customWidth="1"/>
    <col min="14" max="15" width="10.42578125" style="905" customWidth="1"/>
    <col min="16" max="16" width="11" style="905" customWidth="1"/>
    <col min="17" max="17" width="14.7109375" style="905" customWidth="1"/>
    <col min="18" max="18" width="11" style="905" customWidth="1"/>
    <col min="19" max="16384" width="9.140625" style="905"/>
  </cols>
  <sheetData>
    <row r="2" spans="1:17" ht="23.25">
      <c r="G2" s="1280" t="s">
        <v>902</v>
      </c>
    </row>
    <row r="3" spans="1:17" ht="13.5" thickBot="1"/>
    <row r="4" spans="1:17" ht="27.95" customHeight="1">
      <c r="A4" s="1061"/>
      <c r="B4" s="1062"/>
      <c r="C4" s="1126" t="s">
        <v>903</v>
      </c>
      <c r="D4" s="1127"/>
      <c r="E4" s="1128"/>
      <c r="F4" s="1129"/>
      <c r="G4" s="1126" t="s">
        <v>904</v>
      </c>
      <c r="H4" s="1127"/>
      <c r="I4" s="1128"/>
      <c r="J4" s="1129"/>
      <c r="K4" s="1126" t="s">
        <v>905</v>
      </c>
      <c r="L4" s="1130"/>
      <c r="M4" s="1131"/>
      <c r="N4" s="1129"/>
      <c r="O4" s="1128"/>
      <c r="P4" s="1128"/>
      <c r="Q4" s="1132"/>
    </row>
    <row r="5" spans="1:17" ht="27.95" customHeight="1">
      <c r="A5" s="1133"/>
      <c r="C5" s="1134"/>
      <c r="D5" s="1135"/>
      <c r="E5" s="1066"/>
      <c r="F5" s="1136"/>
      <c r="G5" s="1137" t="s">
        <v>906</v>
      </c>
      <c r="H5" s="1135"/>
      <c r="I5" s="1066"/>
      <c r="J5" s="1136"/>
      <c r="K5" s="1137" t="s">
        <v>906</v>
      </c>
      <c r="L5" s="1138"/>
      <c r="M5" s="1139"/>
      <c r="N5" s="1136"/>
      <c r="O5" s="1066"/>
      <c r="P5" s="1140"/>
      <c r="Q5" s="1136"/>
    </row>
    <row r="6" spans="1:17" ht="27.95" customHeight="1">
      <c r="A6" s="1133"/>
      <c r="C6" s="1134"/>
      <c r="D6" s="1135"/>
      <c r="E6" s="1066"/>
      <c r="F6" s="1136"/>
      <c r="G6" s="1137" t="s">
        <v>907</v>
      </c>
      <c r="H6" s="1135"/>
      <c r="I6" s="1066"/>
      <c r="J6" s="1136"/>
      <c r="K6" s="1137" t="s">
        <v>907</v>
      </c>
      <c r="L6" s="1138"/>
      <c r="M6" s="1139"/>
      <c r="N6" s="1136"/>
      <c r="O6" s="1066"/>
      <c r="P6" s="1140"/>
      <c r="Q6" s="1136"/>
    </row>
    <row r="7" spans="1:17" ht="17.100000000000001" customHeight="1">
      <c r="A7" s="1133"/>
      <c r="C7" s="1137" t="s">
        <v>908</v>
      </c>
      <c r="D7" s="1141"/>
      <c r="E7" s="1140"/>
      <c r="F7" s="1142"/>
      <c r="G7" s="1143" t="s">
        <v>909</v>
      </c>
      <c r="H7" s="1141"/>
      <c r="I7" s="1140"/>
      <c r="J7" s="1142"/>
      <c r="K7" s="1143" t="s">
        <v>909</v>
      </c>
      <c r="L7" s="1144"/>
      <c r="M7" s="1145"/>
      <c r="N7" s="1142"/>
      <c r="O7" s="1140"/>
      <c r="P7" s="1140" t="s">
        <v>910</v>
      </c>
      <c r="Q7" s="1136" t="s">
        <v>910</v>
      </c>
    </row>
    <row r="8" spans="1:17" ht="24" customHeight="1">
      <c r="A8" s="1133"/>
      <c r="C8" s="1137"/>
      <c r="D8" s="1146" t="s">
        <v>911</v>
      </c>
      <c r="E8" s="1147" t="s">
        <v>912</v>
      </c>
      <c r="F8" s="1142" t="s">
        <v>913</v>
      </c>
      <c r="G8" s="1137" t="s">
        <v>914</v>
      </c>
      <c r="H8" s="1146" t="s">
        <v>911</v>
      </c>
      <c r="I8" s="1147" t="s">
        <v>912</v>
      </c>
      <c r="J8" s="1142" t="s">
        <v>913</v>
      </c>
      <c r="K8" s="1137" t="s">
        <v>914</v>
      </c>
      <c r="L8" s="1148" t="s">
        <v>911</v>
      </c>
      <c r="M8" s="1147" t="s">
        <v>912</v>
      </c>
      <c r="N8" s="1142" t="s">
        <v>913</v>
      </c>
      <c r="O8" s="1140"/>
      <c r="P8" s="1149" t="s">
        <v>911</v>
      </c>
      <c r="Q8" s="1136" t="s">
        <v>915</v>
      </c>
    </row>
    <row r="9" spans="1:17" ht="17.100000000000001" customHeight="1" thickBot="1">
      <c r="A9" s="1133"/>
      <c r="C9" s="1137"/>
      <c r="D9" s="1150" t="s">
        <v>916</v>
      </c>
      <c r="E9" s="1147"/>
      <c r="F9" s="1142"/>
      <c r="G9" s="1151" t="s">
        <v>917</v>
      </c>
      <c r="H9" s="1150" t="s">
        <v>916</v>
      </c>
      <c r="I9" s="1147"/>
      <c r="J9" s="1142"/>
      <c r="K9" s="1151" t="s">
        <v>917</v>
      </c>
      <c r="L9" s="1152" t="s">
        <v>916</v>
      </c>
      <c r="M9" s="1153"/>
      <c r="N9" s="1142"/>
      <c r="O9" s="1140"/>
      <c r="P9" s="1147" t="s">
        <v>916</v>
      </c>
      <c r="Q9" s="1154" t="s">
        <v>916</v>
      </c>
    </row>
    <row r="10" spans="1:17" ht="17.100000000000001" customHeight="1">
      <c r="A10" s="1155" t="s">
        <v>918</v>
      </c>
      <c r="B10" s="1069">
        <v>2007</v>
      </c>
      <c r="C10" s="1156"/>
      <c r="D10" s="1157"/>
      <c r="E10" s="1158"/>
      <c r="F10" s="1159"/>
      <c r="G10" s="1160"/>
      <c r="H10" s="1161"/>
      <c r="I10" s="1158"/>
      <c r="J10" s="1162"/>
      <c r="K10" s="1160"/>
      <c r="L10" s="1157"/>
      <c r="M10" s="1163"/>
      <c r="N10" s="1162"/>
      <c r="O10" s="1158"/>
      <c r="P10" s="1164"/>
      <c r="Q10" s="1165"/>
    </row>
    <row r="11" spans="1:17" ht="17.100000000000001" customHeight="1">
      <c r="A11" s="948" t="s">
        <v>919</v>
      </c>
      <c r="B11" s="965">
        <v>2007</v>
      </c>
      <c r="C11" s="1166"/>
      <c r="D11" s="1167"/>
      <c r="E11" s="1171"/>
      <c r="F11" s="1168"/>
      <c r="G11" s="1169"/>
      <c r="H11" s="1170"/>
      <c r="I11" s="1171"/>
      <c r="J11" s="950"/>
      <c r="K11" s="1169"/>
      <c r="L11" s="1167"/>
      <c r="M11" s="1172"/>
      <c r="N11" s="950"/>
      <c r="O11" s="1171"/>
      <c r="P11" s="971">
        <v>1380</v>
      </c>
      <c r="Q11" s="1173"/>
    </row>
    <row r="12" spans="1:17" ht="17.100000000000001" customHeight="1">
      <c r="A12" s="948" t="s">
        <v>920</v>
      </c>
      <c r="B12" s="965">
        <v>2007</v>
      </c>
      <c r="C12" s="1166"/>
      <c r="D12" s="1167"/>
      <c r="E12" s="1171"/>
      <c r="F12" s="1168"/>
      <c r="G12" s="1169"/>
      <c r="H12" s="1170"/>
      <c r="I12" s="1171"/>
      <c r="J12" s="950"/>
      <c r="K12" s="1169"/>
      <c r="L12" s="1167"/>
      <c r="M12" s="1172"/>
      <c r="N12" s="950"/>
      <c r="O12" s="1171"/>
      <c r="P12" s="971"/>
      <c r="Q12" s="1173"/>
    </row>
    <row r="13" spans="1:17" ht="17.100000000000001" customHeight="1">
      <c r="A13" s="948" t="s">
        <v>921</v>
      </c>
      <c r="B13" s="965">
        <v>2007</v>
      </c>
      <c r="C13" s="1166"/>
      <c r="D13" s="1167"/>
      <c r="E13" s="1171"/>
      <c r="F13" s="1168"/>
      <c r="G13" s="1169"/>
      <c r="H13" s="1170"/>
      <c r="I13" s="1171"/>
      <c r="J13" s="950"/>
      <c r="K13" s="1169"/>
      <c r="L13" s="1167"/>
      <c r="M13" s="1172"/>
      <c r="N13" s="950"/>
      <c r="O13" s="1171"/>
      <c r="P13" s="971"/>
      <c r="Q13" s="1173"/>
    </row>
    <row r="14" spans="1:17" ht="17.100000000000001" customHeight="1">
      <c r="A14" s="948" t="s">
        <v>922</v>
      </c>
      <c r="B14" s="965">
        <v>2007</v>
      </c>
      <c r="C14" s="1166"/>
      <c r="D14" s="1167"/>
      <c r="E14" s="1171"/>
      <c r="F14" s="1168"/>
      <c r="G14" s="1169"/>
      <c r="H14" s="1170"/>
      <c r="I14" s="1171"/>
      <c r="J14" s="950"/>
      <c r="K14" s="1169"/>
      <c r="L14" s="1167"/>
      <c r="M14" s="1172"/>
      <c r="N14" s="950"/>
      <c r="O14" s="1171"/>
      <c r="P14" s="971"/>
      <c r="Q14" s="1173">
        <v>520</v>
      </c>
    </row>
    <row r="15" spans="1:17" ht="17.100000000000001" customHeight="1">
      <c r="A15" s="948" t="s">
        <v>923</v>
      </c>
      <c r="B15" s="965">
        <v>2007</v>
      </c>
      <c r="C15" s="1166"/>
      <c r="D15" s="1167"/>
      <c r="E15" s="1171"/>
      <c r="F15" s="1168"/>
      <c r="G15" s="1169"/>
      <c r="H15" s="1170"/>
      <c r="I15" s="1171"/>
      <c r="J15" s="950"/>
      <c r="K15" s="1169"/>
      <c r="L15" s="1167"/>
      <c r="M15" s="1172"/>
      <c r="N15" s="950"/>
      <c r="O15" s="1171"/>
      <c r="P15" s="971"/>
      <c r="Q15" s="1173">
        <v>99</v>
      </c>
    </row>
    <row r="16" spans="1:17" ht="17.100000000000001" customHeight="1">
      <c r="A16" s="948" t="s">
        <v>924</v>
      </c>
      <c r="B16" s="965">
        <v>2008</v>
      </c>
      <c r="C16" s="1166"/>
      <c r="D16" s="1167"/>
      <c r="E16" s="1171"/>
      <c r="F16" s="1168"/>
      <c r="G16" s="1169"/>
      <c r="H16" s="1170"/>
      <c r="I16" s="1171"/>
      <c r="J16" s="950"/>
      <c r="K16" s="1169"/>
      <c r="L16" s="1167"/>
      <c r="M16" s="1172"/>
      <c r="N16" s="950"/>
      <c r="O16" s="1171"/>
      <c r="P16" s="971"/>
      <c r="Q16" s="1173">
        <v>270</v>
      </c>
    </row>
    <row r="17" spans="1:17" ht="17.100000000000001" customHeight="1">
      <c r="A17" s="948" t="s">
        <v>925</v>
      </c>
      <c r="B17" s="965">
        <v>2008</v>
      </c>
      <c r="C17" s="1166"/>
      <c r="D17" s="1167"/>
      <c r="E17" s="1171"/>
      <c r="F17" s="1168"/>
      <c r="G17" s="1169"/>
      <c r="H17" s="1170"/>
      <c r="I17" s="1171"/>
      <c r="J17" s="950"/>
      <c r="K17" s="1169"/>
      <c r="L17" s="1167"/>
      <c r="M17" s="1172"/>
      <c r="N17" s="950"/>
      <c r="O17" s="1171"/>
      <c r="P17" s="971"/>
      <c r="Q17" s="1173">
        <v>550</v>
      </c>
    </row>
    <row r="18" spans="1:17" ht="17.100000000000001" customHeight="1">
      <c r="A18" s="948" t="s">
        <v>926</v>
      </c>
      <c r="B18" s="965">
        <v>2008</v>
      </c>
      <c r="C18" s="1166"/>
      <c r="D18" s="1167"/>
      <c r="E18" s="1171"/>
      <c r="F18" s="1168"/>
      <c r="G18" s="1169"/>
      <c r="H18" s="1170"/>
      <c r="I18" s="1171"/>
      <c r="J18" s="950"/>
      <c r="K18" s="1169"/>
      <c r="L18" s="1167"/>
      <c r="M18" s="1172"/>
      <c r="N18" s="950"/>
      <c r="O18" s="1171"/>
      <c r="P18" s="971"/>
      <c r="Q18" s="1173">
        <v>200</v>
      </c>
    </row>
    <row r="19" spans="1:17" ht="17.100000000000001" customHeight="1">
      <c r="A19" s="948" t="s">
        <v>927</v>
      </c>
      <c r="B19" s="965">
        <v>2008</v>
      </c>
      <c r="C19" s="1166"/>
      <c r="D19" s="1167"/>
      <c r="E19" s="1171"/>
      <c r="F19" s="1168"/>
      <c r="G19" s="1169"/>
      <c r="H19" s="1170"/>
      <c r="I19" s="1171"/>
      <c r="J19" s="950"/>
      <c r="K19" s="1169"/>
      <c r="L19" s="1167"/>
      <c r="M19" s="1172"/>
      <c r="N19" s="950"/>
      <c r="O19" s="1171"/>
      <c r="P19" s="971"/>
      <c r="Q19" s="1173">
        <v>249</v>
      </c>
    </row>
    <row r="20" spans="1:17" ht="17.100000000000001" customHeight="1">
      <c r="A20" s="948" t="s">
        <v>928</v>
      </c>
      <c r="B20" s="965">
        <v>2008</v>
      </c>
      <c r="C20" s="1166"/>
      <c r="D20" s="1167"/>
      <c r="E20" s="1171"/>
      <c r="F20" s="1168" t="e">
        <f>SUM(C20/D20)</f>
        <v>#DIV/0!</v>
      </c>
      <c r="G20" s="1166"/>
      <c r="H20" s="1167"/>
      <c r="I20" s="1171"/>
      <c r="J20" s="1174"/>
      <c r="K20" s="1169"/>
      <c r="L20" s="1167"/>
      <c r="M20" s="1172"/>
      <c r="N20" s="1174" t="e">
        <f>SUM(K20/L20)</f>
        <v>#DIV/0!</v>
      </c>
      <c r="O20" s="1175"/>
      <c r="P20" s="971"/>
      <c r="Q20" s="1173">
        <v>129</v>
      </c>
    </row>
    <row r="21" spans="1:17" ht="17.100000000000001" customHeight="1">
      <c r="A21" s="948" t="s">
        <v>929</v>
      </c>
      <c r="B21" s="965">
        <v>2008</v>
      </c>
      <c r="C21" s="1166"/>
      <c r="D21" s="1167"/>
      <c r="E21" s="1171">
        <f>SUM(C21-C20)</f>
        <v>0</v>
      </c>
      <c r="F21" s="1168" t="e">
        <f>SUM(D21/E21)</f>
        <v>#DIV/0!</v>
      </c>
      <c r="G21" s="1166"/>
      <c r="H21" s="1167"/>
      <c r="I21" s="1171">
        <f>SUM(G21-G20)</f>
        <v>0</v>
      </c>
      <c r="J21" s="1176" t="e">
        <f>SUM(H21/I21)</f>
        <v>#DIV/0!</v>
      </c>
      <c r="K21" s="1169"/>
      <c r="L21" s="1167"/>
      <c r="M21" s="1172"/>
      <c r="N21" s="1174" t="e">
        <f>SUM(K21/L21)</f>
        <v>#DIV/0!</v>
      </c>
      <c r="O21" s="1175"/>
      <c r="P21" s="971"/>
      <c r="Q21" s="1173">
        <v>660</v>
      </c>
    </row>
    <row r="22" spans="1:17" ht="17.100000000000001" customHeight="1">
      <c r="A22" s="948" t="s">
        <v>918</v>
      </c>
      <c r="B22" s="965">
        <v>2008</v>
      </c>
      <c r="C22" s="1166"/>
      <c r="D22" s="1167"/>
      <c r="E22" s="1171">
        <f t="shared" ref="E22:E27" si="0">SUM(C22-C21)</f>
        <v>0</v>
      </c>
      <c r="F22" s="1168" t="e">
        <f t="shared" ref="F22:F28" si="1">SUM(D22/E22)</f>
        <v>#DIV/0!</v>
      </c>
      <c r="G22" s="1166"/>
      <c r="H22" s="1167"/>
      <c r="I22" s="1171">
        <f t="shared" ref="I22:I27" si="2">SUM(G22-G21)</f>
        <v>0</v>
      </c>
      <c r="J22" s="1176" t="e">
        <f t="shared" ref="J22:J27" si="3">SUM(H22/I22)</f>
        <v>#DIV/0!</v>
      </c>
      <c r="K22" s="1166"/>
      <c r="L22" s="1167"/>
      <c r="M22" s="1172"/>
      <c r="N22" s="1174" t="e">
        <f t="shared" ref="N22:N27" si="4">SUM(L22/M22)</f>
        <v>#DIV/0!</v>
      </c>
      <c r="O22" s="1175"/>
      <c r="P22" s="971"/>
      <c r="Q22" s="1173">
        <v>550</v>
      </c>
    </row>
    <row r="23" spans="1:17" ht="17.100000000000001" customHeight="1">
      <c r="A23" s="948" t="s">
        <v>919</v>
      </c>
      <c r="B23" s="965">
        <v>2008</v>
      </c>
      <c r="C23" s="1166"/>
      <c r="D23" s="1167"/>
      <c r="E23" s="1177">
        <f t="shared" si="0"/>
        <v>0</v>
      </c>
      <c r="F23" s="1178" t="e">
        <f t="shared" si="1"/>
        <v>#DIV/0!</v>
      </c>
      <c r="G23" s="1166"/>
      <c r="H23" s="1167"/>
      <c r="I23" s="1171">
        <f t="shared" si="2"/>
        <v>0</v>
      </c>
      <c r="J23" s="1176" t="e">
        <f t="shared" si="3"/>
        <v>#DIV/0!</v>
      </c>
      <c r="K23" s="1166"/>
      <c r="L23" s="1167"/>
      <c r="M23" s="1172"/>
      <c r="N23" s="1174" t="e">
        <f t="shared" si="4"/>
        <v>#DIV/0!</v>
      </c>
      <c r="O23" s="1175"/>
      <c r="P23" s="971"/>
      <c r="Q23" s="1173">
        <v>230</v>
      </c>
    </row>
    <row r="24" spans="1:17" ht="17.100000000000001" customHeight="1">
      <c r="A24" s="948" t="s">
        <v>920</v>
      </c>
      <c r="B24" s="965">
        <v>2008</v>
      </c>
      <c r="C24" s="1166"/>
      <c r="D24" s="1167"/>
      <c r="E24" s="1177">
        <f t="shared" si="0"/>
        <v>0</v>
      </c>
      <c r="F24" s="1178" t="e">
        <f t="shared" si="1"/>
        <v>#DIV/0!</v>
      </c>
      <c r="G24" s="1166"/>
      <c r="H24" s="1167"/>
      <c r="I24" s="1171">
        <f t="shared" si="2"/>
        <v>0</v>
      </c>
      <c r="J24" s="1176" t="e">
        <f t="shared" si="3"/>
        <v>#DIV/0!</v>
      </c>
      <c r="K24" s="1166"/>
      <c r="L24" s="1167"/>
      <c r="M24" s="1172"/>
      <c r="N24" s="1174" t="e">
        <f t="shared" si="4"/>
        <v>#DIV/0!</v>
      </c>
      <c r="O24" s="1175"/>
      <c r="P24" s="971"/>
      <c r="Q24" s="1173">
        <v>290</v>
      </c>
    </row>
    <row r="25" spans="1:17" ht="17.100000000000001" customHeight="1">
      <c r="A25" s="948" t="s">
        <v>921</v>
      </c>
      <c r="B25" s="965">
        <v>2008</v>
      </c>
      <c r="C25" s="1166"/>
      <c r="D25" s="1167"/>
      <c r="E25" s="1177">
        <f t="shared" si="0"/>
        <v>0</v>
      </c>
      <c r="F25" s="1178" t="e">
        <f t="shared" si="1"/>
        <v>#DIV/0!</v>
      </c>
      <c r="G25" s="1166"/>
      <c r="H25" s="1167"/>
      <c r="I25" s="1171">
        <f t="shared" si="2"/>
        <v>0</v>
      </c>
      <c r="J25" s="1176" t="e">
        <f t="shared" si="3"/>
        <v>#DIV/0!</v>
      </c>
      <c r="K25" s="1166"/>
      <c r="L25" s="1167"/>
      <c r="M25" s="1172"/>
      <c r="N25" s="1174" t="e">
        <f t="shared" si="4"/>
        <v>#DIV/0!</v>
      </c>
      <c r="O25" s="1175"/>
      <c r="P25" s="971"/>
      <c r="Q25" s="1173"/>
    </row>
    <row r="26" spans="1:17" ht="17.100000000000001" customHeight="1">
      <c r="A26" s="948" t="s">
        <v>922</v>
      </c>
      <c r="B26" s="965">
        <v>2008</v>
      </c>
      <c r="C26" s="1166"/>
      <c r="D26" s="1167"/>
      <c r="E26" s="1177">
        <f t="shared" si="0"/>
        <v>0</v>
      </c>
      <c r="F26" s="1178" t="e">
        <f t="shared" si="1"/>
        <v>#DIV/0!</v>
      </c>
      <c r="G26" s="1166"/>
      <c r="H26" s="1167"/>
      <c r="I26" s="1171">
        <f t="shared" si="2"/>
        <v>0</v>
      </c>
      <c r="J26" s="1176" t="e">
        <f t="shared" si="3"/>
        <v>#DIV/0!</v>
      </c>
      <c r="K26" s="1166"/>
      <c r="L26" s="1167"/>
      <c r="M26" s="1172"/>
      <c r="N26" s="1174" t="e">
        <f t="shared" si="4"/>
        <v>#DIV/0!</v>
      </c>
      <c r="O26" s="1175"/>
      <c r="P26" s="971"/>
      <c r="Q26" s="1173">
        <v>209</v>
      </c>
    </row>
    <row r="27" spans="1:17" ht="17.100000000000001" customHeight="1" thickBot="1">
      <c r="A27" s="1179" t="s">
        <v>923</v>
      </c>
      <c r="B27" s="1180">
        <v>2008</v>
      </c>
      <c r="C27" s="1181"/>
      <c r="D27" s="1167"/>
      <c r="E27" s="1177">
        <f t="shared" si="0"/>
        <v>0</v>
      </c>
      <c r="F27" s="1178" t="e">
        <f t="shared" si="1"/>
        <v>#DIV/0!</v>
      </c>
      <c r="G27" s="1181"/>
      <c r="H27" s="1167"/>
      <c r="I27" s="1171">
        <f t="shared" si="2"/>
        <v>0</v>
      </c>
      <c r="J27" s="1176" t="e">
        <f t="shared" si="3"/>
        <v>#DIV/0!</v>
      </c>
      <c r="K27" s="1181"/>
      <c r="L27" s="1167"/>
      <c r="M27" s="1172"/>
      <c r="N27" s="1174" t="e">
        <f t="shared" si="4"/>
        <v>#DIV/0!</v>
      </c>
      <c r="O27" s="1175"/>
      <c r="P27" s="971"/>
      <c r="Q27" s="1182">
        <v>550</v>
      </c>
    </row>
    <row r="28" spans="1:17" ht="13.5" thickBot="1">
      <c r="A28" s="1134" t="s">
        <v>179</v>
      </c>
      <c r="C28" s="1183"/>
      <c r="D28" s="1184">
        <f>SUM(D10:D27)</f>
        <v>0</v>
      </c>
      <c r="E28" s="960"/>
      <c r="F28" s="1168" t="e">
        <f t="shared" si="1"/>
        <v>#DIV/0!</v>
      </c>
      <c r="G28" s="1183"/>
      <c r="H28" s="1185"/>
      <c r="I28" s="1186">
        <f>SUM(I20:I27)</f>
        <v>0</v>
      </c>
      <c r="J28" s="1187"/>
      <c r="K28" s="1183"/>
      <c r="L28" s="1185">
        <f>SUM(L10:L27)</f>
        <v>0</v>
      </c>
      <c r="M28" s="1188">
        <f>SUM(M27,M25,M23)</f>
        <v>0</v>
      </c>
      <c r="N28" s="1189" t="e">
        <f>SUM(N10:N27)</f>
        <v>#DIV/0!</v>
      </c>
      <c r="O28" s="1190"/>
      <c r="P28" s="1191">
        <f>SUM(P11:P27)</f>
        <v>1380</v>
      </c>
      <c r="Q28" s="978">
        <f>SUM(Q11:Q27)</f>
        <v>4506</v>
      </c>
    </row>
    <row r="30" spans="1:17">
      <c r="A30" s="905" t="s">
        <v>144</v>
      </c>
    </row>
    <row r="31" spans="1:17" ht="13.5" thickBot="1"/>
    <row r="32" spans="1:17" ht="38.25">
      <c r="A32" s="1061"/>
      <c r="B32" s="1062"/>
      <c r="C32" s="1126" t="s">
        <v>930</v>
      </c>
      <c r="D32" s="1127"/>
      <c r="E32" s="1128"/>
      <c r="F32" s="1129"/>
      <c r="G32" s="1126" t="s">
        <v>904</v>
      </c>
      <c r="H32" s="1127"/>
      <c r="I32" s="1128"/>
      <c r="J32" s="1129"/>
      <c r="K32" s="1126" t="s">
        <v>905</v>
      </c>
      <c r="L32" s="1130"/>
      <c r="M32" s="1131"/>
      <c r="N32" s="1129"/>
      <c r="O32" s="1128"/>
      <c r="P32" s="1128"/>
      <c r="Q32" s="1132"/>
    </row>
    <row r="33" spans="1:18">
      <c r="A33" s="1133"/>
      <c r="C33" s="1134"/>
      <c r="D33" s="1135"/>
      <c r="E33" s="1066"/>
      <c r="F33" s="1136"/>
      <c r="G33" s="1137" t="s">
        <v>906</v>
      </c>
      <c r="H33" s="1135"/>
      <c r="I33" s="1066"/>
      <c r="J33" s="1136"/>
      <c r="K33" s="1137" t="s">
        <v>906</v>
      </c>
      <c r="L33" s="1138"/>
      <c r="M33" s="1139"/>
      <c r="N33" s="1136"/>
      <c r="O33" s="1066"/>
      <c r="P33" s="1140"/>
      <c r="Q33" s="1136"/>
    </row>
    <row r="34" spans="1:18">
      <c r="A34" s="1133"/>
      <c r="C34" s="1134"/>
      <c r="D34" s="1135"/>
      <c r="E34" s="1066"/>
      <c r="F34" s="1136"/>
      <c r="G34" s="1137" t="s">
        <v>907</v>
      </c>
      <c r="H34" s="1135"/>
      <c r="I34" s="1066"/>
      <c r="J34" s="1136"/>
      <c r="K34" s="1137" t="s">
        <v>907</v>
      </c>
      <c r="L34" s="1138"/>
      <c r="M34" s="1139"/>
      <c r="N34" s="1136"/>
      <c r="O34" s="1066"/>
      <c r="P34" s="1140"/>
      <c r="Q34" s="1136"/>
    </row>
    <row r="35" spans="1:18">
      <c r="A35" s="1133"/>
      <c r="C35" s="1137" t="s">
        <v>908</v>
      </c>
      <c r="D35" s="1141"/>
      <c r="E35" s="1140"/>
      <c r="F35" s="1142"/>
      <c r="G35" s="1143" t="s">
        <v>909</v>
      </c>
      <c r="H35" s="1141"/>
      <c r="I35" s="1140"/>
      <c r="J35" s="1142"/>
      <c r="K35" s="1143" t="s">
        <v>909</v>
      </c>
      <c r="L35" s="1144"/>
      <c r="M35" s="1145"/>
      <c r="N35" s="1142"/>
      <c r="O35" s="1140"/>
      <c r="P35" s="1140"/>
      <c r="Q35" s="1136"/>
    </row>
    <row r="36" spans="1:18" ht="38.25">
      <c r="A36" s="1133"/>
      <c r="C36" s="1137"/>
      <c r="D36" s="1146" t="s">
        <v>911</v>
      </c>
      <c r="E36" s="1147" t="s">
        <v>912</v>
      </c>
      <c r="F36" s="1142" t="s">
        <v>913</v>
      </c>
      <c r="G36" s="1137" t="s">
        <v>914</v>
      </c>
      <c r="H36" s="1146" t="s">
        <v>911</v>
      </c>
      <c r="I36" s="1147" t="s">
        <v>912</v>
      </c>
      <c r="J36" s="1142" t="s">
        <v>913</v>
      </c>
      <c r="K36" s="1137" t="s">
        <v>914</v>
      </c>
      <c r="L36" s="1148" t="s">
        <v>911</v>
      </c>
      <c r="M36" s="1147" t="s">
        <v>912</v>
      </c>
      <c r="N36" s="1142" t="s">
        <v>913</v>
      </c>
      <c r="O36" s="1140" t="s">
        <v>931</v>
      </c>
      <c r="P36" s="1149" t="s">
        <v>932</v>
      </c>
      <c r="Q36" s="1136" t="s">
        <v>915</v>
      </c>
    </row>
    <row r="37" spans="1:18">
      <c r="A37" s="1133"/>
      <c r="C37" s="1137"/>
      <c r="D37" s="1150" t="s">
        <v>916</v>
      </c>
      <c r="E37" s="1147"/>
      <c r="F37" s="1142"/>
      <c r="G37" s="1151" t="s">
        <v>917</v>
      </c>
      <c r="H37" s="1150" t="s">
        <v>916</v>
      </c>
      <c r="I37" s="1147"/>
      <c r="J37" s="1142"/>
      <c r="K37" s="1151" t="s">
        <v>917</v>
      </c>
      <c r="L37" s="1152" t="s">
        <v>916</v>
      </c>
      <c r="M37" s="1153"/>
      <c r="N37" s="1142"/>
      <c r="O37" s="1147" t="s">
        <v>916</v>
      </c>
      <c r="P37" s="1147" t="s">
        <v>916</v>
      </c>
      <c r="Q37" s="1154" t="s">
        <v>916</v>
      </c>
    </row>
    <row r="38" spans="1:18">
      <c r="A38" s="1133" t="s">
        <v>933</v>
      </c>
      <c r="C38" s="1192" t="s">
        <v>934</v>
      </c>
      <c r="D38" s="1150"/>
      <c r="E38" s="1147"/>
      <c r="F38" s="1142"/>
      <c r="G38" s="1192" t="s">
        <v>935</v>
      </c>
      <c r="H38" s="1150"/>
      <c r="I38" s="1147"/>
      <c r="J38" s="1142"/>
      <c r="K38" s="1192" t="s">
        <v>936</v>
      </c>
      <c r="L38" s="1152"/>
      <c r="M38" s="1153"/>
      <c r="N38" s="1142"/>
      <c r="O38" s="1147"/>
      <c r="P38" s="1147"/>
      <c r="Q38" s="1154"/>
    </row>
    <row r="39" spans="1:18">
      <c r="A39" s="948" t="s">
        <v>924</v>
      </c>
      <c r="B39" s="965"/>
      <c r="C39" s="1166">
        <v>4409</v>
      </c>
      <c r="D39" s="1167">
        <v>1327.62</v>
      </c>
      <c r="E39" s="1171"/>
      <c r="F39" s="1193"/>
      <c r="G39" s="1166">
        <v>84969</v>
      </c>
      <c r="H39" s="1167">
        <v>550.71</v>
      </c>
      <c r="I39" s="1171"/>
      <c r="J39" s="1176"/>
      <c r="K39" s="1166">
        <v>76733</v>
      </c>
      <c r="L39" s="1167">
        <v>2081.21</v>
      </c>
      <c r="M39" s="1172"/>
      <c r="N39" s="1176"/>
      <c r="O39" s="1194"/>
      <c r="P39" s="1195">
        <f t="shared" ref="P39:P50" si="5">SUM(D39,H39,L39,O39)</f>
        <v>3959.54</v>
      </c>
      <c r="Q39" s="1173">
        <v>79</v>
      </c>
      <c r="R39" s="1281">
        <f t="shared" ref="R39:R50" si="6">SUM(P39:Q39)</f>
        <v>4038.54</v>
      </c>
    </row>
    <row r="40" spans="1:18">
      <c r="A40" s="948" t="s">
        <v>925</v>
      </c>
      <c r="B40" s="965"/>
      <c r="C40" s="1166"/>
      <c r="D40" s="1167">
        <v>1732.94</v>
      </c>
      <c r="E40" s="1171"/>
      <c r="F40" s="1193"/>
      <c r="G40" s="1166"/>
      <c r="H40" s="1167">
        <v>2337.4</v>
      </c>
      <c r="I40" s="1171"/>
      <c r="J40" s="1176"/>
      <c r="K40" s="1166"/>
      <c r="L40" s="1167">
        <v>2629.78</v>
      </c>
      <c r="M40" s="1172"/>
      <c r="N40" s="1176"/>
      <c r="O40" s="1194"/>
      <c r="P40" s="1195">
        <f t="shared" si="5"/>
        <v>6700.1200000000008</v>
      </c>
      <c r="Q40" s="1173">
        <v>554.85</v>
      </c>
      <c r="R40" s="1281">
        <f t="shared" si="6"/>
        <v>7254.9700000000012</v>
      </c>
    </row>
    <row r="41" spans="1:18">
      <c r="A41" s="948" t="s">
        <v>926</v>
      </c>
      <c r="B41" s="965"/>
      <c r="C41" s="1166"/>
      <c r="D41" s="1167">
        <v>1232.28</v>
      </c>
      <c r="E41" s="1171"/>
      <c r="F41" s="1193"/>
      <c r="G41" s="1166"/>
      <c r="H41" s="1167">
        <v>1406.96</v>
      </c>
      <c r="I41" s="1171"/>
      <c r="J41" s="1176"/>
      <c r="K41" s="1166"/>
      <c r="L41" s="1167">
        <v>2154.09</v>
      </c>
      <c r="M41" s="1172"/>
      <c r="N41" s="1176"/>
      <c r="O41" s="1194"/>
      <c r="P41" s="1195">
        <f t="shared" si="5"/>
        <v>4793.33</v>
      </c>
      <c r="Q41" s="1173">
        <v>445.95</v>
      </c>
      <c r="R41" s="1281">
        <f t="shared" si="6"/>
        <v>5239.28</v>
      </c>
    </row>
    <row r="42" spans="1:18">
      <c r="A42" s="948" t="s">
        <v>927</v>
      </c>
      <c r="B42" s="965"/>
      <c r="C42" s="1166"/>
      <c r="D42" s="1167">
        <v>936.43</v>
      </c>
      <c r="E42" s="1171"/>
      <c r="F42" s="1193"/>
      <c r="G42" s="1166"/>
      <c r="H42" s="1167">
        <v>2045.56</v>
      </c>
      <c r="I42" s="1171"/>
      <c r="J42" s="1176"/>
      <c r="K42" s="1166"/>
      <c r="L42" s="1167">
        <v>3968.04</v>
      </c>
      <c r="M42" s="1172"/>
      <c r="N42" s="1176"/>
      <c r="O42" s="1194"/>
      <c r="P42" s="1195">
        <f t="shared" si="5"/>
        <v>6950.03</v>
      </c>
      <c r="Q42" s="1173">
        <v>138.94999999999999</v>
      </c>
      <c r="R42" s="1281">
        <f t="shared" si="6"/>
        <v>7088.98</v>
      </c>
    </row>
    <row r="43" spans="1:18">
      <c r="A43" s="948" t="s">
        <v>928</v>
      </c>
      <c r="B43" s="965"/>
      <c r="C43" s="1166"/>
      <c r="D43" s="1282">
        <v>1079.6400000000001</v>
      </c>
      <c r="E43" s="1171">
        <f>C43-C42</f>
        <v>0</v>
      </c>
      <c r="F43" s="1193" t="e">
        <f t="shared" ref="F43:F50" si="7">D43/E43</f>
        <v>#DIV/0!</v>
      </c>
      <c r="G43" s="1166"/>
      <c r="H43" s="1167">
        <v>1591.62</v>
      </c>
      <c r="I43" s="1171">
        <f>G43-G42</f>
        <v>0</v>
      </c>
      <c r="J43" s="1176" t="e">
        <f t="shared" ref="J43:J50" si="8">H43/I43</f>
        <v>#DIV/0!</v>
      </c>
      <c r="K43" s="1166"/>
      <c r="L43" s="1167">
        <v>2873.81</v>
      </c>
      <c r="M43" s="1172">
        <f>K43-K42</f>
        <v>0</v>
      </c>
      <c r="N43" s="1176" t="e">
        <f t="shared" ref="N43:N50" si="9">L43/M43</f>
        <v>#DIV/0!</v>
      </c>
      <c r="O43" s="1194">
        <v>175.02</v>
      </c>
      <c r="P43" s="1195">
        <f t="shared" si="5"/>
        <v>5720.09</v>
      </c>
      <c r="Q43" s="1173">
        <v>375.95</v>
      </c>
      <c r="R43" s="1281">
        <f t="shared" si="6"/>
        <v>6096.04</v>
      </c>
    </row>
    <row r="44" spans="1:18">
      <c r="A44" s="948" t="s">
        <v>929</v>
      </c>
      <c r="B44" s="965"/>
      <c r="C44" s="1166"/>
      <c r="D44" s="1167">
        <v>1262.4100000000001</v>
      </c>
      <c r="E44" s="1171">
        <v>21546</v>
      </c>
      <c r="F44" s="1193">
        <f t="shared" si="7"/>
        <v>5.8591385872087627E-2</v>
      </c>
      <c r="G44" s="1166"/>
      <c r="H44" s="1167">
        <v>873.76</v>
      </c>
      <c r="I44" s="1171">
        <v>119963</v>
      </c>
      <c r="J44" s="1176">
        <f t="shared" si="8"/>
        <v>7.2835791035569296E-3</v>
      </c>
      <c r="K44" s="1166"/>
      <c r="L44" s="1167">
        <v>3074.18</v>
      </c>
      <c r="M44" s="1172">
        <v>131836</v>
      </c>
      <c r="N44" s="1176">
        <f t="shared" si="9"/>
        <v>2.3318213538032099E-2</v>
      </c>
      <c r="O44" s="1194"/>
      <c r="P44" s="1195">
        <f t="shared" si="5"/>
        <v>5210.3500000000004</v>
      </c>
      <c r="Q44" s="1173">
        <v>257</v>
      </c>
      <c r="R44" s="1281">
        <f t="shared" si="6"/>
        <v>5467.35</v>
      </c>
    </row>
    <row r="45" spans="1:18">
      <c r="A45" s="948" t="s">
        <v>918</v>
      </c>
      <c r="B45" s="965"/>
      <c r="C45" s="1166"/>
      <c r="D45" s="1167">
        <v>974.5</v>
      </c>
      <c r="E45" s="1171">
        <f>C45-C44</f>
        <v>0</v>
      </c>
      <c r="F45" s="1193" t="e">
        <f t="shared" si="7"/>
        <v>#DIV/0!</v>
      </c>
      <c r="G45" s="1166"/>
      <c r="H45" s="1167">
        <v>2184.4899999999998</v>
      </c>
      <c r="I45" s="1171">
        <f>G45-G44</f>
        <v>0</v>
      </c>
      <c r="J45" s="1176" t="e">
        <f t="shared" si="8"/>
        <v>#DIV/0!</v>
      </c>
      <c r="K45" s="1166"/>
      <c r="L45" s="1167">
        <v>4361.0200000000004</v>
      </c>
      <c r="M45" s="1172"/>
      <c r="N45" s="1176" t="e">
        <f t="shared" si="9"/>
        <v>#DIV/0!</v>
      </c>
      <c r="O45" s="1194">
        <v>267.95</v>
      </c>
      <c r="P45" s="1195">
        <f t="shared" si="5"/>
        <v>7787.96</v>
      </c>
      <c r="Q45" s="1173">
        <v>317.89999999999998</v>
      </c>
      <c r="R45" s="1281">
        <f t="shared" si="6"/>
        <v>8105.86</v>
      </c>
    </row>
    <row r="46" spans="1:18">
      <c r="A46" s="948" t="s">
        <v>919</v>
      </c>
      <c r="B46" s="965"/>
      <c r="C46" s="1166"/>
      <c r="D46" s="1167">
        <v>1989</v>
      </c>
      <c r="E46" s="1171">
        <f>C46-C45</f>
        <v>0</v>
      </c>
      <c r="F46" s="1193" t="e">
        <f t="shared" si="7"/>
        <v>#DIV/0!</v>
      </c>
      <c r="G46" s="1166"/>
      <c r="H46" s="1167">
        <v>2585.92</v>
      </c>
      <c r="I46" s="1171">
        <f>G46-G45</f>
        <v>0</v>
      </c>
      <c r="J46" s="1176" t="e">
        <f t="shared" si="8"/>
        <v>#DIV/0!</v>
      </c>
      <c r="K46" s="1166"/>
      <c r="L46" s="1167">
        <v>4456</v>
      </c>
      <c r="M46" s="1172">
        <f>K46-K45</f>
        <v>0</v>
      </c>
      <c r="N46" s="1176" t="e">
        <f t="shared" si="9"/>
        <v>#DIV/0!</v>
      </c>
      <c r="O46" s="1194"/>
      <c r="P46" s="1195">
        <f t="shared" si="5"/>
        <v>9030.92</v>
      </c>
      <c r="Q46" s="1173">
        <v>617.79999999999995</v>
      </c>
      <c r="R46" s="1281">
        <f t="shared" si="6"/>
        <v>9648.7199999999993</v>
      </c>
    </row>
    <row r="47" spans="1:18">
      <c r="A47" s="948" t="s">
        <v>920</v>
      </c>
      <c r="B47" s="965"/>
      <c r="C47" s="1166"/>
      <c r="D47" s="1167">
        <v>661.56</v>
      </c>
      <c r="E47" s="1171"/>
      <c r="F47" s="1193" t="e">
        <f t="shared" si="7"/>
        <v>#DIV/0!</v>
      </c>
      <c r="G47" s="1166"/>
      <c r="H47" s="1167">
        <v>1976.13</v>
      </c>
      <c r="I47" s="1171"/>
      <c r="J47" s="1176" t="e">
        <f t="shared" si="8"/>
        <v>#DIV/0!</v>
      </c>
      <c r="K47" s="1166"/>
      <c r="L47" s="1167">
        <v>2913.91</v>
      </c>
      <c r="M47" s="1172"/>
      <c r="N47" s="1176" t="e">
        <f t="shared" si="9"/>
        <v>#DIV/0!</v>
      </c>
      <c r="O47" s="1194"/>
      <c r="P47" s="1195">
        <f t="shared" si="5"/>
        <v>5551.6</v>
      </c>
      <c r="Q47" s="1173">
        <v>277.89999999999998</v>
      </c>
      <c r="R47" s="1281">
        <f t="shared" si="6"/>
        <v>5829.5</v>
      </c>
    </row>
    <row r="48" spans="1:18">
      <c r="A48" s="948" t="s">
        <v>921</v>
      </c>
      <c r="B48" s="965"/>
      <c r="C48" s="1166"/>
      <c r="D48" s="1167">
        <v>686.25</v>
      </c>
      <c r="E48" s="1171"/>
      <c r="F48" s="1193" t="e">
        <f t="shared" si="7"/>
        <v>#DIV/0!</v>
      </c>
      <c r="G48" s="1166"/>
      <c r="H48" s="1167">
        <v>541.12</v>
      </c>
      <c r="I48" s="1171"/>
      <c r="J48" s="1176" t="e">
        <f t="shared" si="8"/>
        <v>#DIV/0!</v>
      </c>
      <c r="K48" s="1166"/>
      <c r="L48" s="1167"/>
      <c r="M48" s="1172"/>
      <c r="N48" s="1176" t="e">
        <f t="shared" si="9"/>
        <v>#DIV/0!</v>
      </c>
      <c r="O48" s="1194"/>
      <c r="P48" s="1195">
        <f t="shared" si="5"/>
        <v>1227.3699999999999</v>
      </c>
      <c r="Q48" s="1210"/>
      <c r="R48" s="1281">
        <f t="shared" si="6"/>
        <v>1227.3699999999999</v>
      </c>
    </row>
    <row r="49" spans="1:18">
      <c r="A49" s="948" t="s">
        <v>922</v>
      </c>
      <c r="B49" s="965"/>
      <c r="C49" s="1166"/>
      <c r="D49" s="1167"/>
      <c r="E49" s="1171"/>
      <c r="F49" s="1193" t="e">
        <f t="shared" si="7"/>
        <v>#DIV/0!</v>
      </c>
      <c r="G49" s="1166"/>
      <c r="H49" s="1167"/>
      <c r="I49" s="1171"/>
      <c r="J49" s="1176" t="e">
        <f t="shared" si="8"/>
        <v>#DIV/0!</v>
      </c>
      <c r="K49" s="1166"/>
      <c r="L49" s="1167"/>
      <c r="M49" s="1172"/>
      <c r="N49" s="1176" t="e">
        <f t="shared" si="9"/>
        <v>#DIV/0!</v>
      </c>
      <c r="O49" s="1194"/>
      <c r="P49" s="1195">
        <f t="shared" si="5"/>
        <v>0</v>
      </c>
      <c r="Q49" s="1173"/>
      <c r="R49" s="1281">
        <f t="shared" si="6"/>
        <v>0</v>
      </c>
    </row>
    <row r="50" spans="1:18" ht="13.5" thickBot="1">
      <c r="A50" s="1179" t="s">
        <v>923</v>
      </c>
      <c r="B50" s="965"/>
      <c r="C50" s="1181"/>
      <c r="D50" s="1167"/>
      <c r="E50" s="1171"/>
      <c r="F50" s="1193" t="e">
        <f t="shared" si="7"/>
        <v>#DIV/0!</v>
      </c>
      <c r="G50" s="1181"/>
      <c r="H50" s="1167"/>
      <c r="I50" s="1171"/>
      <c r="J50" s="1176" t="e">
        <f t="shared" si="8"/>
        <v>#DIV/0!</v>
      </c>
      <c r="K50" s="1181"/>
      <c r="L50" s="1167"/>
      <c r="M50" s="1172"/>
      <c r="N50" s="1176" t="e">
        <f t="shared" si="9"/>
        <v>#DIV/0!</v>
      </c>
      <c r="O50" s="1194"/>
      <c r="P50" s="1195">
        <f t="shared" si="5"/>
        <v>0</v>
      </c>
      <c r="Q50" s="1182"/>
      <c r="R50" s="1281">
        <f t="shared" si="6"/>
        <v>0</v>
      </c>
    </row>
    <row r="51" spans="1:18" ht="13.5" thickBot="1">
      <c r="A51" s="1134" t="s">
        <v>179</v>
      </c>
      <c r="C51" s="1183"/>
      <c r="D51" s="1283">
        <f>SUM(D39:D50)</f>
        <v>11882.63</v>
      </c>
      <c r="E51" s="1186">
        <f>SUM(E39:E50)</f>
        <v>21546</v>
      </c>
      <c r="F51" s="1193">
        <f>SUM(D51/E51)</f>
        <v>0.55150051053559823</v>
      </c>
      <c r="G51" s="1284"/>
      <c r="H51" s="1185">
        <f>SUM(H39:H50)</f>
        <v>16093.67</v>
      </c>
      <c r="I51" s="1186">
        <f>SUM(I39:I50)</f>
        <v>119963</v>
      </c>
      <c r="J51" s="1196" t="e">
        <f>SUM(J39:J50)</f>
        <v>#DIV/0!</v>
      </c>
      <c r="K51" s="1284"/>
      <c r="L51" s="1185">
        <f>SUM(L39:L50)</f>
        <v>28512.039999999997</v>
      </c>
      <c r="M51" s="1197">
        <f>SUM(M39:M50)</f>
        <v>131836</v>
      </c>
      <c r="N51" s="1189" t="e">
        <f>SUM(N39:N50)</f>
        <v>#DIV/0!</v>
      </c>
      <c r="O51" s="1285"/>
      <c r="P51" s="1281">
        <f>SUM(P39:P50)</f>
        <v>56931.31</v>
      </c>
      <c r="Q51" s="1281">
        <f t="shared" ref="Q51" si="10">SUM(Q39:Q50)</f>
        <v>3065.2999999999997</v>
      </c>
      <c r="R51" s="1281">
        <f>SUM(P51:Q51)</f>
        <v>59996.61</v>
      </c>
    </row>
    <row r="58" spans="1:18">
      <c r="J58" s="905">
        <v>59</v>
      </c>
    </row>
  </sheetData>
  <pageMargins left="0" right="0" top="0" bottom="0" header="0" footer="0"/>
  <pageSetup paperSize="9" scale="75" orientation="landscape" horizontalDpi="300" verticalDpi="30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4">
    <tabColor indexed="35"/>
  </sheetPr>
  <dimension ref="A2:M23"/>
  <sheetViews>
    <sheetView zoomScale="90" zoomScaleNormal="90" workbookViewId="0">
      <selection activeCell="C20" sqref="C20"/>
    </sheetView>
  </sheetViews>
  <sheetFormatPr defaultRowHeight="12.75"/>
  <cols>
    <col min="1" max="1" width="7.85546875" customWidth="1"/>
    <col min="2" max="2" width="6.140625" customWidth="1"/>
    <col min="3" max="3" width="16.42578125" customWidth="1"/>
    <col min="4" max="4" width="14.42578125" customWidth="1"/>
    <col min="5" max="6" width="14.7109375" customWidth="1"/>
    <col min="7" max="7" width="13.42578125" customWidth="1"/>
    <col min="8" max="9" width="14.140625" customWidth="1"/>
    <col min="10" max="10" width="14.7109375" customWidth="1"/>
    <col min="11" max="11" width="14.42578125" customWidth="1"/>
    <col min="12" max="12" width="13.42578125" customWidth="1"/>
    <col min="13" max="13" width="14.85546875" customWidth="1"/>
  </cols>
  <sheetData>
    <row r="2" spans="1:13" ht="13.5" thickBot="1"/>
    <row r="3" spans="1:13" ht="38.25">
      <c r="A3" s="1061"/>
      <c r="B3" s="1062"/>
      <c r="C3" s="1126" t="s">
        <v>937</v>
      </c>
      <c r="D3" s="1437"/>
      <c r="E3" s="1126" t="s">
        <v>938</v>
      </c>
      <c r="F3" s="1437"/>
      <c r="G3" s="1126" t="s">
        <v>939</v>
      </c>
      <c r="H3" s="1436"/>
      <c r="I3" s="1435" t="s">
        <v>940</v>
      </c>
      <c r="J3" s="1434"/>
      <c r="K3" s="1128"/>
      <c r="L3" s="1132"/>
      <c r="M3" s="905"/>
    </row>
    <row r="4" spans="1:13">
      <c r="A4" s="1133"/>
      <c r="B4" s="905"/>
      <c r="C4" s="1134"/>
      <c r="D4" s="1433"/>
      <c r="E4" s="1137"/>
      <c r="F4" s="1433"/>
      <c r="G4" s="1137"/>
      <c r="H4" s="1432"/>
      <c r="I4" s="1066"/>
      <c r="J4" s="1431"/>
      <c r="K4" s="1140"/>
      <c r="L4" s="1136"/>
      <c r="M4" s="905"/>
    </row>
    <row r="5" spans="1:13">
      <c r="A5" s="1133"/>
      <c r="B5" s="905"/>
      <c r="C5" s="1134"/>
      <c r="D5" s="1433"/>
      <c r="E5" s="1137"/>
      <c r="F5" s="1433"/>
      <c r="G5" s="1137"/>
      <c r="H5" s="1432"/>
      <c r="I5" s="1066"/>
      <c r="J5" s="1431"/>
      <c r="K5" s="1140"/>
      <c r="L5" s="1136"/>
      <c r="M5" s="905"/>
    </row>
    <row r="6" spans="1:13">
      <c r="A6" s="1133"/>
      <c r="B6" s="905"/>
      <c r="C6" s="1137"/>
      <c r="D6" s="1430"/>
      <c r="E6" s="1143"/>
      <c r="F6" s="1430"/>
      <c r="G6" s="1143"/>
      <c r="H6" s="1429"/>
      <c r="I6" s="1140"/>
      <c r="J6" s="1428"/>
      <c r="K6" s="1140"/>
      <c r="L6" s="1136"/>
      <c r="M6" s="905"/>
    </row>
    <row r="7" spans="1:13" ht="14.25" customHeight="1">
      <c r="A7" s="1133"/>
      <c r="B7" s="905"/>
      <c r="C7" s="1137"/>
      <c r="D7" s="1427" t="str">
        <f>'[1]KM tal på biler 2013'!D9</f>
        <v>Diesel</v>
      </c>
      <c r="E7" s="1137"/>
      <c r="F7" s="1427" t="str">
        <f>'[1]KM tal på biler 2013'!F9</f>
        <v>Diesel</v>
      </c>
      <c r="G7" s="1137"/>
      <c r="H7" s="1426" t="str">
        <f>'[1]KM tal på biler 2013'!H9</f>
        <v>Diesel</v>
      </c>
      <c r="I7" s="1140"/>
      <c r="J7" s="1422" t="str">
        <f>'[1]KM tal på biler 2013'!J9</f>
        <v>Benzin</v>
      </c>
      <c r="K7" s="1149" t="str">
        <f>'[1]KM tal på biler 2013'!K9</f>
        <v>Brændstof i alt</v>
      </c>
      <c r="L7" s="1136" t="str">
        <f>'[1]KM tal på biler 2013'!L9</f>
        <v>Vask mm.</v>
      </c>
      <c r="M7" s="905"/>
    </row>
    <row r="8" spans="1:13">
      <c r="A8" s="1133"/>
      <c r="B8" s="905"/>
      <c r="C8" s="1137"/>
      <c r="D8" s="1427" t="str">
        <f>'[1]KM tal på biler 2013'!D10</f>
        <v>Kr.</v>
      </c>
      <c r="E8" s="1151"/>
      <c r="F8" s="1422" t="str">
        <f>'[1]KM tal på biler 2013'!F10</f>
        <v>Kr.</v>
      </c>
      <c r="G8" s="1151"/>
      <c r="H8" s="1424" t="str">
        <f>'[1]KM tal på biler 2013'!H10</f>
        <v>Kr.</v>
      </c>
      <c r="I8" s="1147"/>
      <c r="J8" s="1422" t="str">
        <f>'[1]KM tal på biler 2013'!J10</f>
        <v>Kr.</v>
      </c>
      <c r="K8" s="1147" t="str">
        <f>'[1]KM tal på biler 2013'!K10</f>
        <v>Kr.</v>
      </c>
      <c r="L8" s="1154" t="str">
        <f>'[1]KM tal på biler 2013'!L10</f>
        <v>Kr.</v>
      </c>
      <c r="M8" s="905"/>
    </row>
    <row r="9" spans="1:13">
      <c r="A9" s="1133" t="str">
        <f>'[1]KM tal på biler 2013'!A11</f>
        <v>Brændstof kortnr.</v>
      </c>
      <c r="B9" s="905"/>
      <c r="C9" s="1425">
        <f>'[1]KM tal på biler 2013'!C11</f>
        <v>82001</v>
      </c>
      <c r="D9" s="1422"/>
      <c r="E9" s="1425">
        <f>'[1]KM tal på biler 2013'!E11</f>
        <v>82002</v>
      </c>
      <c r="F9" s="1422"/>
      <c r="G9" s="1425">
        <f>'[1]KM tal på biler 2013'!G11</f>
        <v>82003</v>
      </c>
      <c r="H9" s="1424"/>
      <c r="I9" s="1423">
        <f>'[1]KM tal på biler 2013'!I11</f>
        <v>82004</v>
      </c>
      <c r="J9" s="1422"/>
      <c r="K9" s="1147"/>
      <c r="L9" s="1154"/>
      <c r="M9" s="905"/>
    </row>
    <row r="10" spans="1:13">
      <c r="A10" s="948" t="str">
        <f>'[1]KM tal på biler 2013'!A12</f>
        <v>Januar</v>
      </c>
      <c r="B10" s="965"/>
      <c r="C10" s="1166"/>
      <c r="D10" s="1416">
        <f>'[1]KM tal på biler 2013'!D12</f>
        <v>1144.17</v>
      </c>
      <c r="E10" s="1166"/>
      <c r="F10" s="1416">
        <f>'[1]KM tal på biler 2013'!F12</f>
        <v>2081.46</v>
      </c>
      <c r="G10" s="1166"/>
      <c r="H10" s="1416">
        <f>'[1]KM tal på biler 2013'!H12</f>
        <v>4436.5200000000004</v>
      </c>
      <c r="I10" s="1194"/>
      <c r="J10" s="1421">
        <f>'[1]KM tal på biler 2013'!J12</f>
        <v>0</v>
      </c>
      <c r="K10" s="1415">
        <f>'[1]KM tal på biler 2013'!K12</f>
        <v>7662.1500000000005</v>
      </c>
      <c r="L10" s="1414">
        <f>'[1]KM tal på biler 2013'!L12</f>
        <v>802.46</v>
      </c>
      <c r="M10" s="1413">
        <f>'[1]KM tal på biler 2013'!M12</f>
        <v>8464.61</v>
      </c>
    </row>
    <row r="11" spans="1:13">
      <c r="A11" s="948" t="str">
        <f>'[1]KM tal på biler 2013'!A13</f>
        <v>Februar</v>
      </c>
      <c r="B11" s="965"/>
      <c r="C11" s="1166"/>
      <c r="D11" s="1416">
        <f>'[1]KM tal på biler 2013'!D13</f>
        <v>1405.66</v>
      </c>
      <c r="E11" s="1166"/>
      <c r="F11" s="1416">
        <f>'[1]KM tal på biler 2013'!F13</f>
        <v>1189.3499999999999</v>
      </c>
      <c r="G11" s="1166"/>
      <c r="H11" s="1416">
        <f>'[1]KM tal på biler 2013'!H13</f>
        <v>3161.52</v>
      </c>
      <c r="I11" s="1194"/>
      <c r="J11" s="1421">
        <f>'[1]KM tal på biler 2013'!J13</f>
        <v>0</v>
      </c>
      <c r="K11" s="1415">
        <f>'[1]KM tal på biler 2013'!K13</f>
        <v>5756.5300000000007</v>
      </c>
      <c r="L11" s="1414">
        <f>'[1]KM tal på biler 2013'!L13</f>
        <v>669.65</v>
      </c>
      <c r="M11" s="1413">
        <f>'[1]KM tal på biler 2013'!M13</f>
        <v>6426.18</v>
      </c>
    </row>
    <row r="12" spans="1:13">
      <c r="A12" s="948" t="str">
        <f>'[1]KM tal på biler 2013'!A14</f>
        <v>Marts</v>
      </c>
      <c r="B12" s="965"/>
      <c r="C12" s="1166"/>
      <c r="D12" s="1416">
        <f>'[1]KM tal på biler 2013'!D14</f>
        <v>1371.46</v>
      </c>
      <c r="E12" s="1166"/>
      <c r="F12" s="1416">
        <f>'[1]KM tal på biler 2013'!F14</f>
        <v>2078.42</v>
      </c>
      <c r="G12" s="1166"/>
      <c r="H12" s="1416">
        <f>'[1]KM tal på biler 2013'!H14</f>
        <v>4959.1499999999996</v>
      </c>
      <c r="I12" s="1194"/>
      <c r="J12" s="1421">
        <f>'[1]KM tal på biler 2013'!J14</f>
        <v>860</v>
      </c>
      <c r="K12" s="1415">
        <f>'[1]KM tal på biler 2013'!K14</f>
        <v>9269.0299999999988</v>
      </c>
      <c r="L12" s="1414">
        <f>'[1]KM tal på biler 2013'!L14</f>
        <v>1238.45</v>
      </c>
      <c r="M12" s="1413">
        <f>'[1]KM tal på biler 2013'!M14</f>
        <v>10507.48</v>
      </c>
    </row>
    <row r="13" spans="1:13">
      <c r="A13" s="948" t="str">
        <f>'[1]KM tal på biler 2013'!A15</f>
        <v>April</v>
      </c>
      <c r="B13" s="965"/>
      <c r="C13" s="1166"/>
      <c r="D13" s="1416">
        <f>'[1]KM tal på biler 2013'!D15</f>
        <v>615.72</v>
      </c>
      <c r="E13" s="1166"/>
      <c r="F13" s="1416">
        <f>'[1]KM tal på biler 2013'!F15</f>
        <v>1846.98</v>
      </c>
      <c r="G13" s="1166"/>
      <c r="H13" s="1416">
        <f>'[1]KM tal på biler 2013'!H15</f>
        <v>2603.65</v>
      </c>
      <c r="I13" s="1194"/>
      <c r="J13" s="1421">
        <f>'[1]KM tal på biler 2013'!J15</f>
        <v>0</v>
      </c>
      <c r="K13" s="1415">
        <f>'[1]KM tal på biler 2013'!K15</f>
        <v>5066.3500000000004</v>
      </c>
      <c r="L13" s="1414">
        <f>'[1]KM tal på biler 2013'!L15</f>
        <v>489.7</v>
      </c>
      <c r="M13" s="1413">
        <f>'[1]KM tal på biler 2013'!M15</f>
        <v>5556.05</v>
      </c>
    </row>
    <row r="14" spans="1:13" ht="15">
      <c r="A14" s="948" t="str">
        <f>'[1]KM tal på biler 2013'!A16</f>
        <v>Maj</v>
      </c>
      <c r="B14" s="965"/>
      <c r="C14" s="1166"/>
      <c r="D14" s="1416">
        <f>'[1]KM tal på biler 2013'!D16</f>
        <v>563.91999999999996</v>
      </c>
      <c r="E14" s="1420"/>
      <c r="F14" s="1416">
        <f>'[1]KM tal på biler 2013'!F16</f>
        <v>2408.64</v>
      </c>
      <c r="G14" s="1420"/>
      <c r="H14" s="1416">
        <f>'[1]KM tal på biler 2013'!H16</f>
        <v>3100.91</v>
      </c>
      <c r="I14" s="1194"/>
      <c r="J14" s="1407">
        <f>'[1]KM tal på biler 2013'!J16</f>
        <v>910.12</v>
      </c>
      <c r="K14" s="1415">
        <f>'[1]KM tal på biler 2013'!K16</f>
        <v>6983.5899999999992</v>
      </c>
      <c r="L14" s="1414">
        <f>'[1]KM tal på biler 2013'!L16</f>
        <v>359.83</v>
      </c>
      <c r="M14" s="1413">
        <f>'[1]KM tal på biler 2013'!M16</f>
        <v>7343.4199999999992</v>
      </c>
    </row>
    <row r="15" spans="1:13" ht="15">
      <c r="A15" s="948" t="str">
        <f>'[1]KM tal på biler 2013'!A17</f>
        <v>Juni</v>
      </c>
      <c r="B15" s="965"/>
      <c r="C15" s="1166"/>
      <c r="D15" s="1416">
        <f>'[1]KM tal på biler 2013'!D17</f>
        <v>2163.13</v>
      </c>
      <c r="E15" s="1418"/>
      <c r="F15" s="1416">
        <f>'[1]KM tal på biler 2013'!F17</f>
        <v>3065.5</v>
      </c>
      <c r="G15" s="1418"/>
      <c r="H15" s="1416">
        <f>'[1]KM tal på biler 2013'!H17</f>
        <v>932.53</v>
      </c>
      <c r="I15" s="1194"/>
      <c r="J15" s="1407">
        <f>'[1]KM tal på biler 2013'!J17</f>
        <v>707</v>
      </c>
      <c r="K15" s="1415">
        <f>'[1]KM tal på biler 2013'!K17</f>
        <v>6868.16</v>
      </c>
      <c r="L15" s="1414">
        <f>'[1]KM tal på biler 2013'!L17</f>
        <v>259.85000000000002</v>
      </c>
      <c r="M15" s="1413">
        <f>'[1]KM tal på biler 2013'!M17</f>
        <v>7128.01</v>
      </c>
    </row>
    <row r="16" spans="1:13" ht="15">
      <c r="A16" s="948" t="str">
        <f>'[1]KM tal på biler 2013'!A18</f>
        <v>Juli</v>
      </c>
      <c r="B16" s="965"/>
      <c r="C16" s="1166"/>
      <c r="D16" s="1416">
        <f>'[1]KM tal på biler 2013'!D18</f>
        <v>709.48</v>
      </c>
      <c r="E16" s="1417"/>
      <c r="F16" s="1416">
        <f>'[1]KM tal på biler 2013'!F18</f>
        <v>2092.9299999999998</v>
      </c>
      <c r="G16" s="1417"/>
      <c r="H16" s="1416">
        <f>'[1]KM tal på biler 2013'!H18</f>
        <v>3153.76</v>
      </c>
      <c r="I16" s="1194"/>
      <c r="J16" s="1407">
        <f>'[1]KM tal på biler 2013'!J18</f>
        <v>614.08000000000004</v>
      </c>
      <c r="K16" s="1415">
        <f>'[1]KM tal på biler 2013'!K18</f>
        <v>6570.25</v>
      </c>
      <c r="L16" s="1414">
        <f>'[1]KM tal på biler 2013'!L18</f>
        <v>284.83</v>
      </c>
      <c r="M16" s="1413">
        <f>'[1]KM tal på biler 2013'!M18</f>
        <v>6855.08</v>
      </c>
    </row>
    <row r="17" spans="1:13" ht="15">
      <c r="A17" s="948" t="str">
        <f>'[1]KM tal på biler 2013'!A19</f>
        <v>August</v>
      </c>
      <c r="B17" s="965"/>
      <c r="C17" s="1166"/>
      <c r="D17" s="1416">
        <f>'[1]KM tal på biler 2013'!D19</f>
        <v>626.01</v>
      </c>
      <c r="E17" s="1418"/>
      <c r="F17" s="1416">
        <f>'[1]KM tal på biler 2013'!F19</f>
        <v>397.7</v>
      </c>
      <c r="G17" s="1418"/>
      <c r="H17" s="1416">
        <f>'[1]KM tal på biler 2013'!H19</f>
        <v>2105.67</v>
      </c>
      <c r="I17" s="1194"/>
      <c r="J17" s="1407">
        <f>'[1]KM tal på biler 2013'!J19</f>
        <v>0</v>
      </c>
      <c r="K17" s="1415">
        <f>'[1]KM tal på biler 2013'!K19</f>
        <v>3129.38</v>
      </c>
      <c r="L17" s="1414">
        <f>'[1]KM tal på biler 2013'!L19</f>
        <v>294.83</v>
      </c>
      <c r="M17" s="1413">
        <f>'[1]KM tal på biler 2013'!M19</f>
        <v>3424.21</v>
      </c>
    </row>
    <row r="18" spans="1:13" ht="15">
      <c r="A18" s="948" t="str">
        <f>'[1]KM tal på biler 2013'!A20</f>
        <v>September</v>
      </c>
      <c r="B18" s="965"/>
      <c r="C18" s="1166"/>
      <c r="D18" s="1416">
        <f>'[1]KM tal på biler 2013'!D20</f>
        <v>2202.42</v>
      </c>
      <c r="E18" s="1418"/>
      <c r="F18" s="1416">
        <f>'[1]KM tal på biler 2013'!F20</f>
        <v>2117.2800000000002</v>
      </c>
      <c r="G18" s="1417"/>
      <c r="H18" s="1416">
        <f>'[1]KM tal på biler 2013'!H20</f>
        <v>2529.5100000000002</v>
      </c>
      <c r="I18" s="1194"/>
      <c r="J18" s="1407">
        <f>'[1]KM tal på biler 2013'!J20</f>
        <v>1803.03</v>
      </c>
      <c r="K18" s="1415">
        <f>'[1]KM tal på biler 2013'!K20</f>
        <v>8652.2400000000016</v>
      </c>
      <c r="L18" s="1414">
        <f>'[1]KM tal på biler 2013'!L20</f>
        <v>399.75</v>
      </c>
      <c r="M18" s="1413">
        <f>'[1]KM tal på biler 2013'!M20</f>
        <v>9051.9900000000016</v>
      </c>
    </row>
    <row r="19" spans="1:13" ht="15">
      <c r="A19" s="948" t="str">
        <f>'[1]KM tal på biler 2013'!A21</f>
        <v>Oktober</v>
      </c>
      <c r="B19" s="965"/>
      <c r="C19" s="1166"/>
      <c r="D19" s="1416">
        <f>'[1]KM tal på biler 2013'!D21</f>
        <v>1927.37</v>
      </c>
      <c r="E19" s="1418"/>
      <c r="F19" s="1416">
        <f>'[1]KM tal på biler 2013'!F21</f>
        <v>0</v>
      </c>
      <c r="G19" s="1417"/>
      <c r="H19" s="1416">
        <f>'[1]KM tal på biler 2013'!H21</f>
        <v>4416.78</v>
      </c>
      <c r="I19" s="1194"/>
      <c r="J19" s="1407">
        <f>'[1]KM tal på biler 2013'!J21</f>
        <v>767.05</v>
      </c>
      <c r="K19" s="1415">
        <f>'[1]KM tal på biler 2013'!K21</f>
        <v>7111.2</v>
      </c>
      <c r="L19" s="1419">
        <f>'[1]KM tal på biler 2013'!L21</f>
        <v>319.8</v>
      </c>
      <c r="M19" s="1413">
        <f>'[1]KM tal på biler 2013'!M21</f>
        <v>7431</v>
      </c>
    </row>
    <row r="20" spans="1:13" ht="15">
      <c r="A20" s="948" t="str">
        <f>'[1]KM tal på biler 2013'!A22</f>
        <v>November</v>
      </c>
      <c r="B20" s="965"/>
      <c r="C20" s="1166"/>
      <c r="D20" s="1416">
        <f>'[1]KM tal på biler 2013'!D22</f>
        <v>1777.57</v>
      </c>
      <c r="E20" s="1418"/>
      <c r="F20" s="1416">
        <f>'[1]KM tal på biler 2013'!F22</f>
        <v>2589.11</v>
      </c>
      <c r="G20" s="1417"/>
      <c r="H20" s="1416">
        <f>'[1]KM tal på biler 2013'!H22</f>
        <v>3619.28</v>
      </c>
      <c r="I20" s="1194"/>
      <c r="J20" s="1407">
        <f>'[1]KM tal på biler 2013'!J22</f>
        <v>2052.0700000000002</v>
      </c>
      <c r="K20" s="1415">
        <f>'[1]KM tal på biler 2013'!K22</f>
        <v>10038.030000000001</v>
      </c>
      <c r="L20" s="1414">
        <f>'[1]KM tal på biler 2013'!L22</f>
        <v>459.8</v>
      </c>
      <c r="M20" s="1413">
        <f>'[1]KM tal på biler 2013'!M22</f>
        <v>10497.83</v>
      </c>
    </row>
    <row r="21" spans="1:13" ht="15.75" thickBot="1">
      <c r="A21" s="1412" t="str">
        <f>'[1]KM tal på biler 2013'!A23</f>
        <v>December</v>
      </c>
      <c r="B21" s="988"/>
      <c r="C21" s="1411"/>
      <c r="D21" s="1416">
        <f>'[1]KM tal på biler 2013'!D23</f>
        <v>1142.05</v>
      </c>
      <c r="E21" s="1410"/>
      <c r="F21" s="1408">
        <f>'[1]KM tal på biler 2013'!F23</f>
        <v>0</v>
      </c>
      <c r="G21" s="1409"/>
      <c r="H21" s="1408">
        <f>'[1]KM tal på biler 2013'!H23</f>
        <v>0</v>
      </c>
      <c r="I21" s="1194"/>
      <c r="J21" s="1407">
        <f>'[1]KM tal på biler 2013'!J23</f>
        <v>0</v>
      </c>
      <c r="K21" s="1406">
        <f>'[1]KM tal på biler 2013'!K23</f>
        <v>1142.05</v>
      </c>
      <c r="L21" s="1405">
        <f>'[1]KM tal på biler 2013'!L23</f>
        <v>2013</v>
      </c>
      <c r="M21" s="1404">
        <f>'[1]KM tal på biler 2013'!M23</f>
        <v>3155.05</v>
      </c>
    </row>
    <row r="22" spans="1:13" ht="13.5" thickBot="1">
      <c r="A22" s="1284" t="str">
        <f>'[1]KM tal på biler 2013'!A24</f>
        <v>Total</v>
      </c>
      <c r="B22" s="975"/>
      <c r="C22" s="973"/>
      <c r="D22" s="1416">
        <f>'[1]KM tal på biler 2013'!D24</f>
        <v>15648.96</v>
      </c>
      <c r="E22" s="1284"/>
      <c r="F22" s="1402">
        <f>'[1]KM tal på biler 2013'!F24</f>
        <v>19867.37</v>
      </c>
      <c r="G22" s="1284"/>
      <c r="H22" s="1402">
        <f>'[1]KM tal på biler 2013'!H24</f>
        <v>35019.279999999999</v>
      </c>
      <c r="I22" s="1403"/>
      <c r="J22" s="1402">
        <f>'[1]KM tal på biler 2013'!J24</f>
        <v>7713.35</v>
      </c>
      <c r="K22" s="1401">
        <f>'[1]KM tal på biler 2013'!K24</f>
        <v>78248.959999999992</v>
      </c>
      <c r="L22" s="1401">
        <f>'[1]KM tal på biler 2013'!L24</f>
        <v>7591.9500000000007</v>
      </c>
      <c r="M22" s="1400">
        <f>'[1]KM tal på biler 2013'!M24</f>
        <v>85840.909999999989</v>
      </c>
    </row>
    <row r="23" spans="1:13">
      <c r="A23" s="905"/>
      <c r="B23" s="905"/>
      <c r="C23" s="905"/>
      <c r="D23" s="905"/>
      <c r="E23" s="905"/>
      <c r="F23" s="905"/>
      <c r="G23" s="905"/>
      <c r="H23" s="905"/>
      <c r="I23" s="905"/>
      <c r="J23" s="905"/>
      <c r="K23" s="905"/>
      <c r="L23" s="905"/>
      <c r="M23" s="905"/>
    </row>
  </sheetData>
  <sheetProtection password="CAF7" sheet="1" objects="1" scenarios="1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36">
    <tabColor indexed="39"/>
  </sheetPr>
  <dimension ref="A1:Q338"/>
  <sheetViews>
    <sheetView topLeftCell="A19" zoomScale="75" zoomScaleNormal="75" workbookViewId="0">
      <selection activeCell="M47" sqref="M47"/>
    </sheetView>
  </sheetViews>
  <sheetFormatPr defaultColWidth="9.140625" defaultRowHeight="12.75"/>
  <cols>
    <col min="1" max="1" width="23.85546875" style="905" customWidth="1"/>
    <col min="2" max="2" width="11.140625" style="905" customWidth="1"/>
    <col min="3" max="5" width="11.7109375" style="905" customWidth="1"/>
    <col min="6" max="6" width="12.28515625" style="905" customWidth="1"/>
    <col min="7" max="7" width="11.140625" style="905" bestFit="1" customWidth="1"/>
    <col min="8" max="8" width="12.28515625" style="905" customWidth="1"/>
    <col min="9" max="9" width="13" style="905" customWidth="1"/>
    <col min="10" max="10" width="12.5703125" style="905" customWidth="1"/>
    <col min="11" max="11" width="12.140625" style="905" customWidth="1"/>
    <col min="12" max="12" width="11.140625" style="905" customWidth="1"/>
    <col min="13" max="13" width="13.5703125" style="905" customWidth="1"/>
    <col min="14" max="14" width="15" style="905" customWidth="1"/>
    <col min="15" max="16384" width="9.140625" style="905"/>
  </cols>
  <sheetData>
    <row r="1" spans="1:14" ht="20.25">
      <c r="A1" s="1698" t="s">
        <v>941</v>
      </c>
      <c r="B1" s="1698"/>
      <c r="C1" s="1698"/>
      <c r="D1" s="1698"/>
      <c r="E1" s="1698"/>
      <c r="F1" s="1698"/>
      <c r="G1" s="1698"/>
      <c r="H1" s="1698"/>
      <c r="I1" s="1698"/>
      <c r="J1" s="1698"/>
      <c r="K1" s="1698"/>
      <c r="L1" s="1698"/>
      <c r="M1" s="1698"/>
      <c r="N1" s="1698"/>
    </row>
    <row r="2" spans="1:14">
      <c r="A2" s="906"/>
      <c r="B2" s="906"/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6"/>
    </row>
    <row r="3" spans="1:14">
      <c r="A3" s="907"/>
      <c r="B3" s="908" t="s">
        <v>924</v>
      </c>
      <c r="C3" s="908" t="s">
        <v>925</v>
      </c>
      <c r="D3" s="909" t="s">
        <v>926</v>
      </c>
      <c r="E3" s="908" t="s">
        <v>927</v>
      </c>
      <c r="F3" s="908" t="s">
        <v>928</v>
      </c>
      <c r="G3" s="909" t="s">
        <v>929</v>
      </c>
      <c r="H3" s="908" t="s">
        <v>918</v>
      </c>
      <c r="I3" s="908" t="s">
        <v>919</v>
      </c>
      <c r="J3" s="908" t="s">
        <v>920</v>
      </c>
      <c r="K3" s="908" t="s">
        <v>921</v>
      </c>
      <c r="L3" s="908" t="s">
        <v>922</v>
      </c>
      <c r="M3" s="908" t="s">
        <v>923</v>
      </c>
      <c r="N3" s="907" t="s">
        <v>137</v>
      </c>
    </row>
    <row r="4" spans="1:14">
      <c r="A4" s="910" t="s">
        <v>183</v>
      </c>
      <c r="B4" s="911">
        <v>8818.15</v>
      </c>
      <c r="C4" s="911">
        <v>8497.49</v>
      </c>
      <c r="D4" s="911">
        <v>8818.15</v>
      </c>
      <c r="E4" s="911">
        <v>8818.15</v>
      </c>
      <c r="F4" s="911">
        <v>8978.48</v>
      </c>
      <c r="G4" s="911">
        <v>9138.81</v>
      </c>
      <c r="H4" s="911">
        <v>8978.48</v>
      </c>
      <c r="I4" s="911">
        <v>8978.48</v>
      </c>
      <c r="J4" s="911">
        <v>8657.82</v>
      </c>
      <c r="K4" s="911">
        <v>8818.15</v>
      </c>
      <c r="L4" s="911">
        <v>6894</v>
      </c>
      <c r="M4" s="911">
        <v>6894</v>
      </c>
      <c r="N4" s="911">
        <f t="shared" ref="N4:N16" si="0">SUM(B4:M4)</f>
        <v>102290.15999999997</v>
      </c>
    </row>
    <row r="5" spans="1:14">
      <c r="A5" s="910" t="s">
        <v>942</v>
      </c>
      <c r="B5" s="911">
        <v>87.25</v>
      </c>
      <c r="C5" s="911">
        <v>90</v>
      </c>
      <c r="D5" s="911">
        <v>67.75</v>
      </c>
      <c r="E5" s="911">
        <v>27</v>
      </c>
      <c r="F5" s="911">
        <v>12</v>
      </c>
      <c r="G5" s="912"/>
      <c r="H5" s="911"/>
      <c r="I5" s="911">
        <v>87.25</v>
      </c>
      <c r="J5" s="913">
        <v>38</v>
      </c>
      <c r="K5" s="911">
        <v>22.5</v>
      </c>
      <c r="L5" s="911">
        <v>50.5</v>
      </c>
      <c r="M5" s="911">
        <v>87.5</v>
      </c>
      <c r="N5" s="911">
        <f t="shared" si="0"/>
        <v>569.75</v>
      </c>
    </row>
    <row r="6" spans="1:14">
      <c r="A6" s="910" t="s">
        <v>943</v>
      </c>
      <c r="B6" s="911"/>
      <c r="C6" s="911"/>
      <c r="D6" s="911"/>
      <c r="E6" s="911"/>
      <c r="F6" s="911"/>
      <c r="G6" s="912"/>
      <c r="H6" s="911"/>
      <c r="I6" s="911"/>
      <c r="J6" s="911"/>
      <c r="K6" s="911"/>
      <c r="L6" s="911"/>
      <c r="M6" s="907"/>
      <c r="N6" s="911">
        <f t="shared" si="0"/>
        <v>0</v>
      </c>
    </row>
    <row r="7" spans="1:14">
      <c r="A7" s="910" t="s">
        <v>944</v>
      </c>
      <c r="B7" s="911">
        <v>4.25</v>
      </c>
      <c r="C7" s="911">
        <v>21.5</v>
      </c>
      <c r="D7" s="911">
        <v>17</v>
      </c>
      <c r="E7" s="911">
        <v>8.5</v>
      </c>
      <c r="F7" s="911">
        <v>14.25</v>
      </c>
      <c r="G7" s="912">
        <v>8.5</v>
      </c>
      <c r="H7" s="911"/>
      <c r="I7" s="911">
        <v>8.5</v>
      </c>
      <c r="J7" s="911">
        <v>22</v>
      </c>
      <c r="K7" s="911"/>
      <c r="L7" s="911">
        <v>28.25</v>
      </c>
      <c r="M7" s="907">
        <v>17.75</v>
      </c>
      <c r="N7" s="911">
        <f t="shared" si="0"/>
        <v>150.5</v>
      </c>
    </row>
    <row r="8" spans="1:14">
      <c r="A8" s="910" t="s">
        <v>945</v>
      </c>
      <c r="B8" s="911">
        <v>358</v>
      </c>
      <c r="C8" s="911">
        <v>464.75</v>
      </c>
      <c r="D8" s="911">
        <v>534.25</v>
      </c>
      <c r="E8" s="911">
        <v>826</v>
      </c>
      <c r="F8" s="911">
        <v>218.75</v>
      </c>
      <c r="G8" s="912">
        <v>876.5</v>
      </c>
      <c r="H8" s="911">
        <v>1539.25</v>
      </c>
      <c r="I8" s="911">
        <v>1624.75</v>
      </c>
      <c r="J8" s="911">
        <v>961</v>
      </c>
      <c r="K8" s="911">
        <v>620</v>
      </c>
      <c r="L8" s="911">
        <v>415</v>
      </c>
      <c r="M8" s="911">
        <v>431.25</v>
      </c>
      <c r="N8" s="911">
        <f t="shared" si="0"/>
        <v>8869.5</v>
      </c>
    </row>
    <row r="9" spans="1:14">
      <c r="A9" s="910" t="s">
        <v>946</v>
      </c>
      <c r="B9" s="911"/>
      <c r="C9" s="911">
        <v>22.5</v>
      </c>
      <c r="D9" s="911">
        <v>152.25</v>
      </c>
      <c r="E9" s="911">
        <v>159</v>
      </c>
      <c r="F9" s="911">
        <v>18</v>
      </c>
      <c r="G9" s="912">
        <v>32.5</v>
      </c>
      <c r="H9" s="911">
        <v>37</v>
      </c>
      <c r="I9" s="911">
        <v>21</v>
      </c>
      <c r="J9" s="911"/>
      <c r="K9" s="911">
        <v>19.75</v>
      </c>
      <c r="L9" s="911">
        <v>6</v>
      </c>
      <c r="M9" s="911">
        <v>55.75</v>
      </c>
      <c r="N9" s="911">
        <f t="shared" si="0"/>
        <v>523.75</v>
      </c>
    </row>
    <row r="10" spans="1:14">
      <c r="A10" s="910" t="s">
        <v>947</v>
      </c>
      <c r="B10" s="911">
        <v>354</v>
      </c>
      <c r="C10" s="911">
        <v>304.5</v>
      </c>
      <c r="D10" s="911">
        <v>291.75</v>
      </c>
      <c r="E10" s="911">
        <v>331.75</v>
      </c>
      <c r="F10" s="911">
        <v>97</v>
      </c>
      <c r="G10" s="912">
        <v>161.25</v>
      </c>
      <c r="H10" s="911">
        <v>67.5</v>
      </c>
      <c r="I10" s="911">
        <v>152.5</v>
      </c>
      <c r="J10" s="911">
        <v>208</v>
      </c>
      <c r="K10" s="911">
        <v>233.5</v>
      </c>
      <c r="L10" s="911">
        <v>330</v>
      </c>
      <c r="M10" s="911">
        <v>441.5</v>
      </c>
      <c r="N10" s="911">
        <f t="shared" si="0"/>
        <v>2973.25</v>
      </c>
    </row>
    <row r="11" spans="1:14">
      <c r="A11" s="910" t="s">
        <v>948</v>
      </c>
      <c r="B11" s="911"/>
      <c r="C11" s="911"/>
      <c r="D11" s="911"/>
      <c r="E11" s="911"/>
      <c r="F11" s="911"/>
      <c r="G11" s="912"/>
      <c r="H11" s="911"/>
      <c r="I11" s="911"/>
      <c r="J11" s="911"/>
      <c r="K11" s="911"/>
      <c r="L11" s="911"/>
      <c r="M11" s="911"/>
      <c r="N11" s="911">
        <f t="shared" si="0"/>
        <v>0</v>
      </c>
    </row>
    <row r="12" spans="1:14">
      <c r="A12" s="910" t="s">
        <v>949</v>
      </c>
      <c r="B12" s="911">
        <v>394.25</v>
      </c>
      <c r="C12" s="911">
        <v>222.5</v>
      </c>
      <c r="D12" s="911">
        <v>235.25</v>
      </c>
      <c r="E12" s="911">
        <v>273</v>
      </c>
      <c r="F12" s="911">
        <v>401.25</v>
      </c>
      <c r="G12" s="912">
        <v>398</v>
      </c>
      <c r="H12" s="911">
        <v>141.75</v>
      </c>
      <c r="I12" s="911">
        <v>269</v>
      </c>
      <c r="J12" s="911">
        <v>370.75</v>
      </c>
      <c r="K12" s="911">
        <v>576.75</v>
      </c>
      <c r="L12" s="911">
        <v>683</v>
      </c>
      <c r="M12" s="911">
        <v>407.75</v>
      </c>
      <c r="N12" s="911">
        <f t="shared" si="0"/>
        <v>4373.25</v>
      </c>
    </row>
    <row r="13" spans="1:14">
      <c r="A13" s="910" t="s">
        <v>950</v>
      </c>
      <c r="B13" s="911">
        <v>328.75</v>
      </c>
      <c r="C13" s="911">
        <v>179</v>
      </c>
      <c r="D13" s="911">
        <v>179</v>
      </c>
      <c r="E13" s="911">
        <v>171.5</v>
      </c>
      <c r="F13" s="911">
        <v>307</v>
      </c>
      <c r="G13" s="912">
        <v>294.5</v>
      </c>
      <c r="H13" s="911">
        <v>375</v>
      </c>
      <c r="I13" s="911">
        <v>229.5</v>
      </c>
      <c r="J13" s="911">
        <v>146</v>
      </c>
      <c r="K13" s="911">
        <v>177.75</v>
      </c>
      <c r="L13" s="911">
        <v>139.5</v>
      </c>
      <c r="M13" s="911">
        <v>129</v>
      </c>
      <c r="N13" s="911">
        <f t="shared" si="0"/>
        <v>2656.5</v>
      </c>
    </row>
    <row r="14" spans="1:14">
      <c r="A14" s="910" t="s">
        <v>951</v>
      </c>
      <c r="B14" s="911">
        <v>81</v>
      </c>
      <c r="C14" s="911">
        <v>153.75</v>
      </c>
      <c r="D14" s="911">
        <v>79</v>
      </c>
      <c r="E14" s="911">
        <v>135.25</v>
      </c>
      <c r="F14" s="911">
        <v>417</v>
      </c>
      <c r="G14" s="912">
        <v>111.5</v>
      </c>
      <c r="H14" s="911"/>
      <c r="I14" s="911">
        <v>35.75</v>
      </c>
      <c r="J14" s="911">
        <v>129.75</v>
      </c>
      <c r="K14" s="911">
        <v>128.5</v>
      </c>
      <c r="L14" s="911">
        <v>314.25</v>
      </c>
      <c r="M14" s="911">
        <v>213.5</v>
      </c>
      <c r="N14" s="911">
        <f t="shared" si="0"/>
        <v>1799.25</v>
      </c>
    </row>
    <row r="15" spans="1:14" ht="13.5" thickBot="1">
      <c r="A15" s="914" t="s">
        <v>952</v>
      </c>
      <c r="B15" s="915"/>
      <c r="C15" s="915">
        <v>29.5</v>
      </c>
      <c r="D15" s="915"/>
      <c r="E15" s="915"/>
      <c r="F15" s="915"/>
      <c r="G15" s="916"/>
      <c r="H15" s="915"/>
      <c r="I15" s="915">
        <v>14.75</v>
      </c>
      <c r="J15" s="915"/>
      <c r="K15" s="915"/>
      <c r="L15" s="915"/>
      <c r="M15" s="915">
        <v>9.25</v>
      </c>
      <c r="N15" s="917">
        <f t="shared" si="0"/>
        <v>53.5</v>
      </c>
    </row>
    <row r="16" spans="1:14" ht="13.5" thickBot="1">
      <c r="A16" s="918" t="s">
        <v>953</v>
      </c>
      <c r="B16" s="919">
        <f>SUM(B4+B5+B6-B7-B8-B9-B10-B12-B13-B14-B15)</f>
        <v>7385.15</v>
      </c>
      <c r="C16" s="919">
        <f t="shared" ref="C16:M16" si="1">SUM(C4+C5+C6+C7-C8-C9-C10-C12-C13-C14-C15)</f>
        <v>7232.49</v>
      </c>
      <c r="D16" s="919">
        <f t="shared" si="1"/>
        <v>7431.4</v>
      </c>
      <c r="E16" s="919">
        <f t="shared" si="1"/>
        <v>6957.15</v>
      </c>
      <c r="F16" s="919">
        <f t="shared" si="1"/>
        <v>7545.73</v>
      </c>
      <c r="G16" s="919">
        <f t="shared" si="1"/>
        <v>7273.0599999999995</v>
      </c>
      <c r="H16" s="919">
        <f t="shared" si="1"/>
        <v>6817.98</v>
      </c>
      <c r="I16" s="919">
        <f t="shared" si="1"/>
        <v>6726.98</v>
      </c>
      <c r="J16" s="919">
        <f t="shared" si="1"/>
        <v>6902.32</v>
      </c>
      <c r="K16" s="919">
        <f t="shared" si="1"/>
        <v>7084.4</v>
      </c>
      <c r="L16" s="919">
        <f t="shared" si="1"/>
        <v>5085</v>
      </c>
      <c r="M16" s="920">
        <f t="shared" si="1"/>
        <v>5311.25</v>
      </c>
      <c r="N16" s="921">
        <f t="shared" si="0"/>
        <v>81752.909999999989</v>
      </c>
    </row>
    <row r="17" spans="1:14">
      <c r="A17" s="922"/>
      <c r="B17" s="923"/>
      <c r="C17" s="923"/>
      <c r="D17" s="923"/>
      <c r="E17" s="923"/>
      <c r="F17" s="923"/>
      <c r="G17" s="923"/>
      <c r="H17" s="923"/>
      <c r="I17" s="923"/>
      <c r="J17" s="923"/>
      <c r="K17" s="923"/>
      <c r="L17" s="923"/>
      <c r="M17" s="923"/>
      <c r="N17" s="923"/>
    </row>
    <row r="18" spans="1:14">
      <c r="A18" s="922"/>
      <c r="B18" s="923"/>
      <c r="C18" s="923"/>
      <c r="D18" s="923"/>
      <c r="E18" s="923"/>
      <c r="F18" s="923"/>
      <c r="G18" s="923"/>
      <c r="H18" s="923"/>
      <c r="I18" s="923"/>
      <c r="J18" s="923"/>
      <c r="K18" s="923"/>
      <c r="L18" s="923"/>
      <c r="M18" s="923"/>
      <c r="N18" s="924" t="s">
        <v>954</v>
      </c>
    </row>
    <row r="19" spans="1:14">
      <c r="A19" s="910" t="s">
        <v>955</v>
      </c>
      <c r="B19" s="911">
        <f t="shared" ref="B19:M19" si="2">SUM(B5*100/B16)</f>
        <v>1.181424886427493</v>
      </c>
      <c r="C19" s="911">
        <f t="shared" si="2"/>
        <v>1.2443847139781736</v>
      </c>
      <c r="D19" s="911">
        <f t="shared" si="2"/>
        <v>0.91167209408725147</v>
      </c>
      <c r="E19" s="911">
        <f t="shared" si="2"/>
        <v>0.38808995062633406</v>
      </c>
      <c r="F19" s="911">
        <f t="shared" si="2"/>
        <v>0.15903033901292521</v>
      </c>
      <c r="G19" s="911">
        <f t="shared" si="2"/>
        <v>0</v>
      </c>
      <c r="H19" s="911">
        <f t="shared" si="2"/>
        <v>0</v>
      </c>
      <c r="I19" s="911">
        <f t="shared" si="2"/>
        <v>1.2970158971782286</v>
      </c>
      <c r="J19" s="911">
        <f t="shared" si="2"/>
        <v>0.55053952873816348</v>
      </c>
      <c r="K19" s="911">
        <f t="shared" si="2"/>
        <v>0.31759923211563434</v>
      </c>
      <c r="L19" s="911">
        <f t="shared" si="2"/>
        <v>0.99311701081612591</v>
      </c>
      <c r="M19" s="911">
        <f t="shared" si="2"/>
        <v>1.6474464579901154</v>
      </c>
      <c r="N19" s="925">
        <f>SUM(B19:M19)/12</f>
        <v>0.72419334258087042</v>
      </c>
    </row>
    <row r="20" spans="1:14">
      <c r="A20" s="922"/>
      <c r="B20" s="923"/>
      <c r="C20" s="923"/>
      <c r="D20" s="923"/>
      <c r="E20" s="923"/>
      <c r="F20" s="923"/>
      <c r="G20" s="923"/>
      <c r="H20" s="923"/>
      <c r="I20" s="923"/>
      <c r="J20" s="923"/>
      <c r="K20" s="923"/>
      <c r="L20" s="923"/>
      <c r="M20" s="923"/>
      <c r="N20" s="906"/>
    </row>
    <row r="21" spans="1:14">
      <c r="A21" s="910" t="s">
        <v>956</v>
      </c>
      <c r="B21" s="911">
        <f t="shared" ref="B21:M21" si="3">SUM(B10*100/B16)</f>
        <v>4.7934029775969345</v>
      </c>
      <c r="C21" s="911">
        <f t="shared" si="3"/>
        <v>4.2101682822928206</v>
      </c>
      <c r="D21" s="911">
        <f t="shared" si="3"/>
        <v>3.9259089808111529</v>
      </c>
      <c r="E21" s="911">
        <f t="shared" si="3"/>
        <v>4.768475597047642</v>
      </c>
      <c r="F21" s="911">
        <f t="shared" si="3"/>
        <v>1.2854952403544786</v>
      </c>
      <c r="G21" s="911">
        <f t="shared" si="3"/>
        <v>2.217086068312375</v>
      </c>
      <c r="H21" s="911">
        <f t="shared" si="3"/>
        <v>0.99002930486742413</v>
      </c>
      <c r="I21" s="911">
        <f t="shared" si="3"/>
        <v>2.2669905366152419</v>
      </c>
      <c r="J21" s="911">
        <f t="shared" si="3"/>
        <v>3.013479525724684</v>
      </c>
      <c r="K21" s="911">
        <f t="shared" si="3"/>
        <v>3.2959742532889167</v>
      </c>
      <c r="L21" s="911">
        <f t="shared" si="3"/>
        <v>6.4896755162241888</v>
      </c>
      <c r="M21" s="911">
        <f t="shared" si="3"/>
        <v>8.3125441280301242</v>
      </c>
      <c r="N21" s="925">
        <f>SUM(B21:M21)/12</f>
        <v>3.7974358675971658</v>
      </c>
    </row>
    <row r="22" spans="1:14" ht="13.5" thickBot="1">
      <c r="A22" s="926" t="s">
        <v>957</v>
      </c>
      <c r="B22" s="917">
        <f t="shared" ref="B22:M22" si="4">SUM(B11*100/B16)</f>
        <v>0</v>
      </c>
      <c r="C22" s="917">
        <f t="shared" si="4"/>
        <v>0</v>
      </c>
      <c r="D22" s="917">
        <f t="shared" si="4"/>
        <v>0</v>
      </c>
      <c r="E22" s="917">
        <f t="shared" si="4"/>
        <v>0</v>
      </c>
      <c r="F22" s="917">
        <f t="shared" si="4"/>
        <v>0</v>
      </c>
      <c r="G22" s="917">
        <f t="shared" si="4"/>
        <v>0</v>
      </c>
      <c r="H22" s="917">
        <f t="shared" si="4"/>
        <v>0</v>
      </c>
      <c r="I22" s="917">
        <f t="shared" si="4"/>
        <v>0</v>
      </c>
      <c r="J22" s="917">
        <f t="shared" si="4"/>
        <v>0</v>
      </c>
      <c r="K22" s="917">
        <f t="shared" si="4"/>
        <v>0</v>
      </c>
      <c r="L22" s="917">
        <f t="shared" si="4"/>
        <v>0</v>
      </c>
      <c r="M22" s="917">
        <f t="shared" si="4"/>
        <v>0</v>
      </c>
      <c r="N22" s="927">
        <f>SUM(B22:M22)/12</f>
        <v>0</v>
      </c>
    </row>
    <row r="23" spans="1:14" ht="13.5" thickBot="1">
      <c r="A23" s="928" t="s">
        <v>958</v>
      </c>
      <c r="B23" s="929">
        <f t="shared" ref="B23:M23" si="5">SUM(B21:B21)</f>
        <v>4.7934029775969345</v>
      </c>
      <c r="C23" s="929">
        <f t="shared" si="5"/>
        <v>4.2101682822928206</v>
      </c>
      <c r="D23" s="929">
        <f t="shared" si="5"/>
        <v>3.9259089808111529</v>
      </c>
      <c r="E23" s="929">
        <f t="shared" si="5"/>
        <v>4.768475597047642</v>
      </c>
      <c r="F23" s="929">
        <f t="shared" si="5"/>
        <v>1.2854952403544786</v>
      </c>
      <c r="G23" s="929">
        <f t="shared" si="5"/>
        <v>2.217086068312375</v>
      </c>
      <c r="H23" s="929">
        <f t="shared" si="5"/>
        <v>0.99002930486742413</v>
      </c>
      <c r="I23" s="929">
        <f t="shared" si="5"/>
        <v>2.2669905366152419</v>
      </c>
      <c r="J23" s="929">
        <f t="shared" si="5"/>
        <v>3.013479525724684</v>
      </c>
      <c r="K23" s="929">
        <f t="shared" si="5"/>
        <v>3.2959742532889167</v>
      </c>
      <c r="L23" s="929">
        <f t="shared" si="5"/>
        <v>6.4896755162241888</v>
      </c>
      <c r="M23" s="929">
        <f t="shared" si="5"/>
        <v>8.3125441280301242</v>
      </c>
      <c r="N23" s="930">
        <f>SUM(N21:N22)</f>
        <v>3.7974358675971658</v>
      </c>
    </row>
    <row r="24" spans="1:14">
      <c r="A24" s="922" t="s">
        <v>959</v>
      </c>
      <c r="B24" s="923"/>
      <c r="C24" s="923"/>
      <c r="D24" s="931">
        <f>SUM(B23:D23)/3</f>
        <v>4.3098267469003027</v>
      </c>
      <c r="E24" s="923"/>
      <c r="F24" s="923"/>
      <c r="G24" s="931">
        <f>SUM(E23,F23,G23)/3</f>
        <v>2.7570189685714985</v>
      </c>
      <c r="H24" s="923"/>
      <c r="I24" s="923"/>
      <c r="J24" s="931">
        <f>SUM(H23,I23,J23)/3</f>
        <v>2.0901664557357833</v>
      </c>
      <c r="K24" s="923"/>
      <c r="L24" s="923"/>
      <c r="M24" s="931">
        <f>SUM(K23,L23,M23)/3</f>
        <v>6.0327312991810764</v>
      </c>
      <c r="N24" s="932">
        <f>SUM(D24:M24)/4</f>
        <v>3.7974358675971653</v>
      </c>
    </row>
    <row r="25" spans="1:14">
      <c r="A25" s="922" t="s">
        <v>960</v>
      </c>
      <c r="B25" s="923"/>
      <c r="C25" s="923"/>
      <c r="D25" s="933"/>
      <c r="E25" s="923"/>
      <c r="F25" s="923"/>
      <c r="G25" s="933"/>
      <c r="H25" s="923"/>
      <c r="I25" s="923"/>
      <c r="J25" s="933"/>
      <c r="K25" s="923"/>
      <c r="L25" s="923"/>
      <c r="M25" s="933"/>
      <c r="N25" s="925">
        <f>SUM(D25:G25,J25,M25)/4</f>
        <v>0</v>
      </c>
    </row>
    <row r="26" spans="1:14">
      <c r="A26" s="922"/>
      <c r="B26" s="923"/>
      <c r="C26" s="923"/>
      <c r="D26" s="923"/>
      <c r="E26" s="923"/>
      <c r="F26" s="923"/>
      <c r="G26" s="923"/>
      <c r="H26" s="923"/>
      <c r="I26" s="923"/>
      <c r="J26" s="923"/>
      <c r="K26" s="923"/>
      <c r="L26" s="923"/>
      <c r="M26" s="923"/>
      <c r="N26" s="923"/>
    </row>
    <row r="27" spans="1:14">
      <c r="A27" s="910" t="s">
        <v>961</v>
      </c>
      <c r="B27" s="911">
        <f t="shared" ref="B27:M27" si="6">B14*100/B16</f>
        <v>1.0967955965687901</v>
      </c>
      <c r="C27" s="911">
        <f t="shared" si="6"/>
        <v>2.1258238863793797</v>
      </c>
      <c r="D27" s="911">
        <f t="shared" si="6"/>
        <v>1.0630567591570903</v>
      </c>
      <c r="E27" s="911">
        <f t="shared" si="6"/>
        <v>1.9440431786004329</v>
      </c>
      <c r="F27" s="911">
        <f t="shared" si="6"/>
        <v>5.5263042806991507</v>
      </c>
      <c r="G27" s="911">
        <f t="shared" si="6"/>
        <v>1.5330548627400298</v>
      </c>
      <c r="H27" s="911">
        <f t="shared" si="6"/>
        <v>0</v>
      </c>
      <c r="I27" s="911">
        <f t="shared" si="6"/>
        <v>0.5314420438294748</v>
      </c>
      <c r="J27" s="911">
        <f t="shared" si="6"/>
        <v>1.8798027329941238</v>
      </c>
      <c r="K27" s="911">
        <f t="shared" si="6"/>
        <v>1.8138445034159563</v>
      </c>
      <c r="L27" s="911">
        <f t="shared" si="6"/>
        <v>6.1799410029498523</v>
      </c>
      <c r="M27" s="911">
        <f t="shared" si="6"/>
        <v>4.019769357495881</v>
      </c>
      <c r="N27" s="925">
        <f>SUM(B27:M27)/12</f>
        <v>2.3094898504025134</v>
      </c>
    </row>
    <row r="28" spans="1:14">
      <c r="A28" s="910" t="s">
        <v>962</v>
      </c>
      <c r="B28" s="911">
        <f t="shared" ref="B28:M28" si="7">B12*100/B16</f>
        <v>5.3384156042869817</v>
      </c>
      <c r="C28" s="911">
        <f t="shared" si="7"/>
        <v>3.0763955428904848</v>
      </c>
      <c r="D28" s="911">
        <f t="shared" si="7"/>
        <v>3.1656215517937403</v>
      </c>
      <c r="E28" s="911">
        <f t="shared" si="7"/>
        <v>3.9240206118884888</v>
      </c>
      <c r="F28" s="911">
        <f t="shared" si="7"/>
        <v>5.3175769607446863</v>
      </c>
      <c r="G28" s="911">
        <f t="shared" si="7"/>
        <v>5.4722496445787607</v>
      </c>
      <c r="H28" s="911">
        <f t="shared" si="7"/>
        <v>2.0790615402215908</v>
      </c>
      <c r="I28" s="911">
        <f t="shared" si="7"/>
        <v>3.9988226514721319</v>
      </c>
      <c r="J28" s="911">
        <f t="shared" si="7"/>
        <v>5.3713823757808967</v>
      </c>
      <c r="K28" s="911">
        <f t="shared" si="7"/>
        <v>8.1411269832307607</v>
      </c>
      <c r="L28" s="911">
        <f t="shared" si="7"/>
        <v>13.431661750245821</v>
      </c>
      <c r="M28" s="911">
        <f t="shared" si="7"/>
        <v>7.6771004942339376</v>
      </c>
      <c r="N28" s="925">
        <f>SUM(B28:M28)/12</f>
        <v>5.5827863092806913</v>
      </c>
    </row>
    <row r="29" spans="1:14" ht="13.5" thickBot="1">
      <c r="A29" s="910" t="s">
        <v>963</v>
      </c>
      <c r="B29" s="911">
        <f t="shared" ref="B29:M29" si="8">B8*100/B16</f>
        <v>4.8475657231065048</v>
      </c>
      <c r="C29" s="911">
        <f t="shared" si="8"/>
        <v>6.4258643980150687</v>
      </c>
      <c r="D29" s="911">
        <f t="shared" si="8"/>
        <v>7.1890895389832332</v>
      </c>
      <c r="E29" s="911">
        <f t="shared" si="8"/>
        <v>11.872677748790814</v>
      </c>
      <c r="F29" s="911">
        <f t="shared" si="8"/>
        <v>2.8989905549231154</v>
      </c>
      <c r="G29" s="911">
        <f t="shared" si="8"/>
        <v>12.051323651942925</v>
      </c>
      <c r="H29" s="911">
        <f t="shared" si="8"/>
        <v>22.576334926180483</v>
      </c>
      <c r="I29" s="911">
        <f t="shared" si="8"/>
        <v>24.15274015977452</v>
      </c>
      <c r="J29" s="911">
        <f t="shared" si="8"/>
        <v>13.922854924141449</v>
      </c>
      <c r="K29" s="911">
        <f t="shared" si="8"/>
        <v>8.7516232849641469</v>
      </c>
      <c r="L29" s="911">
        <f t="shared" si="8"/>
        <v>8.1612586037364796</v>
      </c>
      <c r="M29" s="911">
        <f t="shared" si="8"/>
        <v>8.1195575429512825</v>
      </c>
      <c r="N29" s="925">
        <f>SUM(B29:M29)/12</f>
        <v>10.914156754792501</v>
      </c>
    </row>
    <row r="30" spans="1:14" ht="13.5" thickBot="1">
      <c r="A30" s="934" t="s">
        <v>964</v>
      </c>
      <c r="B30" s="935">
        <f t="shared" ref="B30:M30" si="9">SUM(B4-B16)*100/B16</f>
        <v>19.403803578803412</v>
      </c>
      <c r="C30" s="935">
        <f t="shared" si="9"/>
        <v>17.490518479804329</v>
      </c>
      <c r="D30" s="935">
        <f t="shared" si="9"/>
        <v>18.660683047608796</v>
      </c>
      <c r="E30" s="935">
        <f t="shared" si="9"/>
        <v>26.749459189466954</v>
      </c>
      <c r="F30" s="935">
        <f t="shared" si="9"/>
        <v>18.987559851730715</v>
      </c>
      <c r="G30" s="935">
        <f t="shared" si="9"/>
        <v>25.652888880333727</v>
      </c>
      <c r="H30" s="935">
        <f t="shared" si="9"/>
        <v>31.688271306163998</v>
      </c>
      <c r="I30" s="935">
        <f t="shared" si="9"/>
        <v>33.469699627470277</v>
      </c>
      <c r="J30" s="935">
        <f t="shared" si="9"/>
        <v>25.43347743946963</v>
      </c>
      <c r="K30" s="935">
        <f t="shared" si="9"/>
        <v>24.472785274688047</v>
      </c>
      <c r="L30" s="935">
        <f t="shared" si="9"/>
        <v>35.575221238938056</v>
      </c>
      <c r="M30" s="935">
        <f t="shared" si="9"/>
        <v>29.799952930101199</v>
      </c>
      <c r="N30" s="936">
        <f>SUM(B30:M30)/12</f>
        <v>25.615360070381595</v>
      </c>
    </row>
    <row r="31" spans="1:14">
      <c r="A31" s="922"/>
      <c r="B31" s="923"/>
      <c r="C31" s="923"/>
      <c r="D31" s="923"/>
      <c r="E31" s="923"/>
      <c r="F31" s="923"/>
      <c r="G31" s="923"/>
      <c r="H31" s="923"/>
      <c r="I31" s="923"/>
      <c r="J31" s="923"/>
      <c r="K31" s="923"/>
      <c r="L31" s="923"/>
      <c r="M31" s="923"/>
      <c r="N31" s="906"/>
    </row>
    <row r="32" spans="1:14">
      <c r="A32" s="937" t="s">
        <v>965</v>
      </c>
      <c r="B32" s="923"/>
      <c r="C32" s="923"/>
      <c r="D32" s="923"/>
      <c r="E32" s="923"/>
      <c r="F32" s="923"/>
      <c r="G32" s="923"/>
      <c r="H32" s="923"/>
      <c r="I32" s="923"/>
      <c r="J32" s="923"/>
      <c r="K32" s="923"/>
      <c r="L32" s="923"/>
      <c r="M32" s="923"/>
      <c r="N32" s="906"/>
    </row>
    <row r="33" spans="1:14">
      <c r="A33" s="910" t="s">
        <v>966</v>
      </c>
      <c r="B33" s="938">
        <v>55</v>
      </c>
      <c r="C33" s="938">
        <v>53</v>
      </c>
      <c r="D33" s="938">
        <v>55</v>
      </c>
      <c r="E33" s="938">
        <v>55</v>
      </c>
      <c r="F33" s="938">
        <v>56</v>
      </c>
      <c r="G33" s="938">
        <v>57</v>
      </c>
      <c r="H33" s="938">
        <v>56</v>
      </c>
      <c r="I33" s="938">
        <v>56</v>
      </c>
      <c r="J33" s="938">
        <v>54</v>
      </c>
      <c r="K33" s="938">
        <v>55</v>
      </c>
      <c r="L33" s="938">
        <v>43</v>
      </c>
      <c r="M33" s="938">
        <v>43</v>
      </c>
      <c r="N33" s="938">
        <v>43</v>
      </c>
    </row>
    <row r="34" spans="1:14">
      <c r="A34" s="910" t="s">
        <v>967</v>
      </c>
      <c r="B34" s="938"/>
      <c r="C34" s="938"/>
      <c r="D34" s="938"/>
      <c r="E34" s="938"/>
      <c r="F34" s="938"/>
      <c r="G34" s="938"/>
      <c r="H34" s="938"/>
      <c r="I34" s="938"/>
      <c r="J34" s="938"/>
      <c r="K34" s="938"/>
      <c r="L34" s="938"/>
      <c r="M34" s="938"/>
      <c r="N34" s="938"/>
    </row>
    <row r="35" spans="1:14">
      <c r="A35" s="910" t="s">
        <v>968</v>
      </c>
      <c r="B35" s="938"/>
      <c r="C35" s="938"/>
      <c r="D35" s="938"/>
      <c r="E35" s="938"/>
      <c r="F35" s="938"/>
      <c r="G35" s="938"/>
      <c r="H35" s="938"/>
      <c r="I35" s="938"/>
      <c r="J35" s="938"/>
      <c r="K35" s="938"/>
      <c r="L35" s="938"/>
      <c r="M35" s="938"/>
      <c r="N35" s="938"/>
    </row>
    <row r="36" spans="1:14">
      <c r="A36" s="910" t="s">
        <v>965</v>
      </c>
      <c r="B36" s="938"/>
      <c r="C36" s="938"/>
      <c r="D36" s="938"/>
      <c r="E36" s="938"/>
      <c r="F36" s="938"/>
      <c r="G36" s="938"/>
      <c r="H36" s="938"/>
      <c r="I36" s="938"/>
      <c r="J36" s="938"/>
      <c r="K36" s="938"/>
      <c r="L36" s="938"/>
      <c r="M36" s="938"/>
      <c r="N36" s="938"/>
    </row>
    <row r="37" spans="1:14">
      <c r="A37" s="910" t="s">
        <v>969</v>
      </c>
      <c r="B37" s="939">
        <f t="shared" ref="B37:M37" si="10">SUM(B36*100)/B33-100</f>
        <v>-100</v>
      </c>
      <c r="C37" s="939">
        <f t="shared" si="10"/>
        <v>-100</v>
      </c>
      <c r="D37" s="939">
        <f t="shared" si="10"/>
        <v>-100</v>
      </c>
      <c r="E37" s="939">
        <f t="shared" si="10"/>
        <v>-100</v>
      </c>
      <c r="F37" s="939">
        <f t="shared" si="10"/>
        <v>-100</v>
      </c>
      <c r="G37" s="939">
        <f t="shared" si="10"/>
        <v>-100</v>
      </c>
      <c r="H37" s="939">
        <f t="shared" si="10"/>
        <v>-100</v>
      </c>
      <c r="I37" s="939">
        <f t="shared" si="10"/>
        <v>-100</v>
      </c>
      <c r="J37" s="939">
        <f t="shared" si="10"/>
        <v>-100</v>
      </c>
      <c r="K37" s="939">
        <f t="shared" si="10"/>
        <v>-100</v>
      </c>
      <c r="L37" s="939">
        <f t="shared" si="10"/>
        <v>-100</v>
      </c>
      <c r="M37" s="939">
        <f t="shared" si="10"/>
        <v>-100</v>
      </c>
      <c r="N37" s="938"/>
    </row>
    <row r="38" spans="1:14">
      <c r="A38" s="922" t="s">
        <v>970</v>
      </c>
      <c r="B38" s="940"/>
      <c r="C38" s="940"/>
      <c r="D38" s="941">
        <f>SUM(B37:D37/3)</f>
        <v>-33.333333333333336</v>
      </c>
      <c r="E38" s="940"/>
      <c r="F38" s="940"/>
      <c r="G38" s="941">
        <f>SUM(E37:G37)/3</f>
        <v>-100</v>
      </c>
      <c r="H38" s="940"/>
      <c r="I38" s="940"/>
      <c r="J38" s="941">
        <f>SUM(H37:J37)/3</f>
        <v>-100</v>
      </c>
      <c r="K38" s="940"/>
      <c r="L38" s="940"/>
      <c r="M38" s="941">
        <f>SUM(K37:M37)/3</f>
        <v>-100</v>
      </c>
      <c r="N38" s="940"/>
    </row>
    <row r="39" spans="1:14">
      <c r="A39" s="922"/>
      <c r="B39" s="923"/>
      <c r="C39" s="923"/>
      <c r="D39" s="923"/>
      <c r="E39" s="923"/>
      <c r="F39" s="923"/>
      <c r="G39" s="923"/>
      <c r="H39" s="923"/>
      <c r="I39" s="923"/>
      <c r="J39" s="923"/>
      <c r="K39" s="923"/>
      <c r="L39" s="923"/>
      <c r="M39" s="923"/>
      <c r="N39" s="906"/>
    </row>
    <row r="40" spans="1:14" ht="16.5" thickBot="1">
      <c r="E40" s="942" t="s">
        <v>971</v>
      </c>
      <c r="F40" s="943"/>
      <c r="G40" s="944">
        <v>2012</v>
      </c>
    </row>
    <row r="41" spans="1:14">
      <c r="A41" s="945" t="s">
        <v>972</v>
      </c>
      <c r="B41" s="946" t="s">
        <v>924</v>
      </c>
      <c r="C41" s="946" t="s">
        <v>925</v>
      </c>
      <c r="D41" s="946" t="s">
        <v>926</v>
      </c>
      <c r="E41" s="946" t="s">
        <v>927</v>
      </c>
      <c r="F41" s="946" t="s">
        <v>928</v>
      </c>
      <c r="G41" s="946" t="s">
        <v>929</v>
      </c>
      <c r="H41" s="946" t="s">
        <v>918</v>
      </c>
      <c r="I41" s="946" t="s">
        <v>919</v>
      </c>
      <c r="J41" s="946" t="s">
        <v>920</v>
      </c>
      <c r="K41" s="946" t="s">
        <v>921</v>
      </c>
      <c r="L41" s="946" t="s">
        <v>922</v>
      </c>
      <c r="M41" s="946" t="s">
        <v>923</v>
      </c>
      <c r="N41" s="947" t="s">
        <v>137</v>
      </c>
    </row>
    <row r="42" spans="1:14">
      <c r="A42" s="948" t="s">
        <v>973</v>
      </c>
      <c r="B42" s="949">
        <v>57</v>
      </c>
      <c r="C42" s="949">
        <v>29</v>
      </c>
      <c r="D42" s="949">
        <v>23</v>
      </c>
      <c r="E42" s="949">
        <v>73</v>
      </c>
      <c r="F42" s="949">
        <v>55</v>
      </c>
      <c r="G42" s="949">
        <v>54</v>
      </c>
      <c r="H42" s="949">
        <v>56</v>
      </c>
      <c r="I42" s="949">
        <v>66</v>
      </c>
      <c r="J42" s="949">
        <v>56</v>
      </c>
      <c r="K42" s="949">
        <v>54</v>
      </c>
      <c r="L42" s="949">
        <v>51</v>
      </c>
      <c r="M42" s="949">
        <v>45</v>
      </c>
      <c r="N42" s="950">
        <f>SUM(B42:M42)</f>
        <v>619</v>
      </c>
    </row>
    <row r="43" spans="1:14">
      <c r="A43" s="948" t="s">
        <v>974</v>
      </c>
      <c r="B43" s="949">
        <v>3239</v>
      </c>
      <c r="C43" s="949">
        <v>2286</v>
      </c>
      <c r="D43" s="949">
        <v>2099</v>
      </c>
      <c r="E43" s="949">
        <v>2593</v>
      </c>
      <c r="F43" s="949">
        <v>2443</v>
      </c>
      <c r="G43" s="949">
        <v>2268</v>
      </c>
      <c r="H43" s="949">
        <v>2010</v>
      </c>
      <c r="I43" s="949">
        <v>2499</v>
      </c>
      <c r="J43" s="949">
        <v>3442</v>
      </c>
      <c r="K43" s="949">
        <v>2473</v>
      </c>
      <c r="L43" s="949">
        <v>3279</v>
      </c>
      <c r="M43" s="949">
        <v>2845</v>
      </c>
      <c r="N43" s="950">
        <f>SUM(B43:M43)</f>
        <v>31476</v>
      </c>
    </row>
    <row r="44" spans="1:14">
      <c r="A44" s="948" t="s">
        <v>975</v>
      </c>
      <c r="B44" s="949">
        <v>222</v>
      </c>
      <c r="C44" s="949">
        <v>209</v>
      </c>
      <c r="D44" s="949">
        <v>298</v>
      </c>
      <c r="E44" s="949">
        <v>628</v>
      </c>
      <c r="F44" s="949">
        <v>2015</v>
      </c>
      <c r="G44" s="949">
        <v>2895</v>
      </c>
      <c r="H44" s="949">
        <v>3217</v>
      </c>
      <c r="I44" s="949">
        <v>2773</v>
      </c>
      <c r="J44" s="949">
        <v>1893</v>
      </c>
      <c r="K44" s="949">
        <v>748</v>
      </c>
      <c r="L44" s="949">
        <v>418</v>
      </c>
      <c r="M44" s="949">
        <v>260</v>
      </c>
      <c r="N44" s="950">
        <f>SUM(B44:M44)</f>
        <v>15576</v>
      </c>
    </row>
    <row r="45" spans="1:14">
      <c r="A45" s="948" t="s">
        <v>976</v>
      </c>
      <c r="B45" s="949">
        <v>1084</v>
      </c>
      <c r="C45" s="949">
        <v>923</v>
      </c>
      <c r="D45" s="949">
        <v>591</v>
      </c>
      <c r="E45" s="949">
        <v>848</v>
      </c>
      <c r="F45" s="949">
        <v>999</v>
      </c>
      <c r="G45" s="949">
        <v>968</v>
      </c>
      <c r="H45" s="949">
        <v>761</v>
      </c>
      <c r="I45" s="949">
        <v>835</v>
      </c>
      <c r="J45" s="949">
        <v>804</v>
      </c>
      <c r="K45" s="949">
        <v>799</v>
      </c>
      <c r="L45" s="949">
        <v>823</v>
      </c>
      <c r="M45" s="949">
        <v>696</v>
      </c>
      <c r="N45" s="950">
        <f>SUM(B45:M45)</f>
        <v>10131</v>
      </c>
    </row>
    <row r="46" spans="1:14" ht="13.5" thickBot="1">
      <c r="A46" s="951" t="s">
        <v>977</v>
      </c>
      <c r="B46" s="952">
        <v>3</v>
      </c>
      <c r="C46" s="952">
        <v>1</v>
      </c>
      <c r="D46" s="952">
        <v>1</v>
      </c>
      <c r="E46" s="952">
        <v>3</v>
      </c>
      <c r="F46" s="952">
        <v>4</v>
      </c>
      <c r="G46" s="952">
        <v>3</v>
      </c>
      <c r="H46" s="952">
        <v>2</v>
      </c>
      <c r="I46" s="952">
        <v>2</v>
      </c>
      <c r="J46" s="952"/>
      <c r="K46" s="952">
        <v>13</v>
      </c>
      <c r="L46" s="952">
        <v>3</v>
      </c>
      <c r="M46" s="952">
        <v>5</v>
      </c>
      <c r="N46" s="1244">
        <f>SUM(B46:M46)</f>
        <v>40</v>
      </c>
    </row>
    <row r="47" spans="1:14">
      <c r="N47" s="1245">
        <f>SUM(N42:N46)</f>
        <v>57842</v>
      </c>
    </row>
    <row r="48" spans="1:14" ht="16.5" thickBot="1">
      <c r="E48" s="942" t="s">
        <v>978</v>
      </c>
      <c r="F48" s="943"/>
      <c r="G48" s="944">
        <v>2012</v>
      </c>
    </row>
    <row r="49" spans="1:17">
      <c r="A49" s="945" t="s">
        <v>979</v>
      </c>
      <c r="B49" s="946" t="s">
        <v>924</v>
      </c>
      <c r="C49" s="946" t="s">
        <v>925</v>
      </c>
      <c r="D49" s="946" t="s">
        <v>926</v>
      </c>
      <c r="E49" s="946" t="s">
        <v>927</v>
      </c>
      <c r="F49" s="946" t="s">
        <v>928</v>
      </c>
      <c r="G49" s="946" t="s">
        <v>929</v>
      </c>
      <c r="H49" s="946" t="s">
        <v>918</v>
      </c>
      <c r="I49" s="946" t="s">
        <v>919</v>
      </c>
      <c r="J49" s="946" t="s">
        <v>920</v>
      </c>
      <c r="K49" s="946" t="s">
        <v>921</v>
      </c>
      <c r="L49" s="946" t="s">
        <v>922</v>
      </c>
      <c r="M49" s="946" t="s">
        <v>923</v>
      </c>
      <c r="N49" s="947" t="s">
        <v>137</v>
      </c>
    </row>
    <row r="50" spans="1:17">
      <c r="A50" s="1246" t="s">
        <v>980</v>
      </c>
      <c r="B50" s="954"/>
      <c r="C50" s="954"/>
      <c r="D50" s="954"/>
      <c r="E50" s="954"/>
      <c r="F50" s="954"/>
      <c r="G50" s="954"/>
      <c r="H50" s="954"/>
      <c r="I50" s="954"/>
      <c r="J50" s="954"/>
      <c r="K50" s="954"/>
      <c r="L50" s="954"/>
      <c r="M50" s="954"/>
      <c r="N50" s="955">
        <f t="shared" ref="N50:N55" si="11">SUM(B50:M50)</f>
        <v>0</v>
      </c>
    </row>
    <row r="51" spans="1:17">
      <c r="A51" s="948" t="s">
        <v>981</v>
      </c>
      <c r="B51" s="956">
        <v>23</v>
      </c>
      <c r="C51" s="956">
        <v>14</v>
      </c>
      <c r="D51" s="956">
        <v>33</v>
      </c>
      <c r="E51" s="956">
        <v>12</v>
      </c>
      <c r="F51" s="956">
        <v>32</v>
      </c>
      <c r="G51" s="956">
        <v>20</v>
      </c>
      <c r="H51" s="956">
        <v>20</v>
      </c>
      <c r="I51" s="956">
        <v>11</v>
      </c>
      <c r="J51" s="956">
        <v>21</v>
      </c>
      <c r="K51" s="956"/>
      <c r="L51" s="956">
        <v>10</v>
      </c>
      <c r="M51" s="956">
        <v>20</v>
      </c>
      <c r="N51" s="955">
        <f t="shared" si="11"/>
        <v>216</v>
      </c>
    </row>
    <row r="52" spans="1:17">
      <c r="A52" s="948" t="s">
        <v>982</v>
      </c>
      <c r="B52" s="956">
        <v>28</v>
      </c>
      <c r="C52" s="956">
        <v>19</v>
      </c>
      <c r="D52" s="956">
        <v>26</v>
      </c>
      <c r="E52" s="956">
        <v>25</v>
      </c>
      <c r="F52" s="956">
        <v>29</v>
      </c>
      <c r="G52" s="956">
        <v>21</v>
      </c>
      <c r="H52" s="956">
        <v>37</v>
      </c>
      <c r="I52" s="956">
        <v>33</v>
      </c>
      <c r="J52" s="956">
        <v>32</v>
      </c>
      <c r="K52" s="956"/>
      <c r="L52" s="956">
        <v>33</v>
      </c>
      <c r="M52" s="956">
        <v>62</v>
      </c>
      <c r="N52" s="955">
        <f t="shared" si="11"/>
        <v>345</v>
      </c>
    </row>
    <row r="53" spans="1:17">
      <c r="A53" s="948" t="s">
        <v>983</v>
      </c>
      <c r="B53" s="957">
        <v>1</v>
      </c>
      <c r="C53" s="957">
        <v>2</v>
      </c>
      <c r="D53" s="957">
        <v>2</v>
      </c>
      <c r="E53" s="957">
        <v>4</v>
      </c>
      <c r="F53" s="957">
        <v>7</v>
      </c>
      <c r="G53" s="957"/>
      <c r="H53" s="957"/>
      <c r="I53" s="957">
        <v>1</v>
      </c>
      <c r="J53" s="957">
        <v>3</v>
      </c>
      <c r="K53" s="957"/>
      <c r="L53" s="957">
        <v>1</v>
      </c>
      <c r="M53" s="957">
        <v>4</v>
      </c>
      <c r="N53" s="955">
        <f t="shared" si="11"/>
        <v>25</v>
      </c>
    </row>
    <row r="54" spans="1:17">
      <c r="A54" s="1247" t="s">
        <v>851</v>
      </c>
      <c r="B54" s="957">
        <v>13</v>
      </c>
      <c r="C54" s="957">
        <v>14</v>
      </c>
      <c r="D54" s="957">
        <v>9</v>
      </c>
      <c r="E54" s="957">
        <v>16</v>
      </c>
      <c r="F54" s="957">
        <v>3</v>
      </c>
      <c r="G54" s="957">
        <v>1</v>
      </c>
      <c r="H54" s="957"/>
      <c r="I54" s="957">
        <v>1</v>
      </c>
      <c r="J54" s="957">
        <v>32</v>
      </c>
      <c r="K54" s="957"/>
      <c r="L54" s="957">
        <v>33</v>
      </c>
      <c r="M54" s="957">
        <v>15</v>
      </c>
      <c r="N54" s="955">
        <f t="shared" si="11"/>
        <v>137</v>
      </c>
    </row>
    <row r="55" spans="1:17" ht="13.5" thickBot="1">
      <c r="A55" s="971" t="s">
        <v>984</v>
      </c>
      <c r="B55" s="958">
        <v>54</v>
      </c>
      <c r="C55" s="958">
        <v>30</v>
      </c>
      <c r="D55" s="958">
        <v>52</v>
      </c>
      <c r="E55" s="958">
        <v>40</v>
      </c>
      <c r="F55" s="958">
        <v>44</v>
      </c>
      <c r="G55" s="958">
        <v>58</v>
      </c>
      <c r="H55" s="958">
        <v>42</v>
      </c>
      <c r="I55" s="958">
        <v>44</v>
      </c>
      <c r="J55" s="958">
        <v>42</v>
      </c>
      <c r="K55" s="958"/>
      <c r="L55" s="958">
        <v>48</v>
      </c>
      <c r="M55" s="958">
        <v>44</v>
      </c>
      <c r="N55" s="955">
        <f t="shared" si="11"/>
        <v>498</v>
      </c>
    </row>
    <row r="56" spans="1:17" ht="13.5" thickBot="1">
      <c r="A56" s="971"/>
      <c r="B56" s="960"/>
      <c r="C56" s="960"/>
      <c r="D56" s="960"/>
      <c r="E56" s="960"/>
      <c r="F56" s="960"/>
      <c r="G56" s="960"/>
      <c r="H56" s="960"/>
      <c r="I56" s="960"/>
      <c r="J56" s="960"/>
      <c r="K56" s="960"/>
      <c r="L56" s="960"/>
      <c r="M56" s="960"/>
      <c r="N56" s="955">
        <f>SUM(N50:N55)</f>
        <v>1221</v>
      </c>
    </row>
    <row r="57" spans="1:17" ht="18">
      <c r="A57" s="1699" t="s">
        <v>985</v>
      </c>
      <c r="B57" s="1700"/>
      <c r="C57" s="1700"/>
      <c r="D57" s="1700"/>
      <c r="E57" s="1700"/>
      <c r="F57" s="1700"/>
      <c r="G57" s="1700"/>
      <c r="H57" s="1700"/>
      <c r="I57" s="1700"/>
      <c r="J57" s="1700"/>
      <c r="K57" s="1700"/>
      <c r="L57" s="1700"/>
      <c r="M57" s="1700"/>
      <c r="N57" s="1700"/>
    </row>
    <row r="58" spans="1:17" ht="15.75">
      <c r="E58" s="961"/>
      <c r="M58" s="923"/>
      <c r="N58" s="906"/>
    </row>
    <row r="59" spans="1:17">
      <c r="A59" s="962" t="str">
        <f>IF([2]Vagt!A4&lt;&gt;"",[2]Vagt!A4,"")</f>
        <v>Note 1: Fordeling  af intern betalingsordning på Rådhuset</v>
      </c>
      <c r="B59" s="962">
        <f>IF([2]Vagt!B4&lt;&gt;"",[2]Vagt!B4,"")</f>
        <v>0</v>
      </c>
      <c r="C59" s="1288">
        <f>IF([2]Vagt!C4&lt;&gt;"",[2]Vagt!C4,"")</f>
        <v>0</v>
      </c>
      <c r="D59" s="1288" t="str">
        <f>IF([2]Vagt!D4&lt;&gt;"",[2]Vagt!D4,"")</f>
        <v>Årlig pris</v>
      </c>
      <c r="E59" s="978">
        <f>IF([2]Vagt!E4&lt;&gt;"",[2]Vagt!E4,"")</f>
        <v>0</v>
      </c>
      <c r="F59" s="978">
        <f>IF([2]Vagt!F4&lt;&gt;"",[2]Vagt!F4,"")</f>
        <v>0</v>
      </c>
      <c r="G59" s="978">
        <f>IF([2]Vagt!G4&lt;&gt;"",[2]Vagt!G4,"")</f>
        <v>0</v>
      </c>
      <c r="H59" s="978" t="str">
        <f>IF([2]Vagt!H4&lt;&gt;"",[2]Vagt!H4,"")</f>
        <v/>
      </c>
      <c r="I59" s="978" t="str">
        <f>IF([2]Vagt!I4&lt;&gt;"",[2]Vagt!I4,"")</f>
        <v/>
      </c>
      <c r="J59" s="978" t="str">
        <f>IF([2]Vagt!J4&lt;&gt;"",[2]Vagt!J4,"")</f>
        <v/>
      </c>
      <c r="K59" s="978" t="str">
        <f>IF([2]Vagt!K4&lt;&gt;"",[2]Vagt!K4,"")</f>
        <v/>
      </c>
      <c r="L59" s="978" t="str">
        <f>IF([2]Vagt!L4&lt;&gt;"",[2]Vagt!L4,"")</f>
        <v/>
      </c>
      <c r="M59" s="978" t="str">
        <f>IF([2]Vagt!M4&lt;&gt;"",[2]Vagt!M4,"")</f>
        <v/>
      </c>
      <c r="N59" s="978" t="str">
        <f>IF([2]Vagt!N4&lt;&gt;"",[2]Vagt!N4,"")</f>
        <v/>
      </c>
      <c r="P59" s="923"/>
      <c r="Q59" s="906"/>
    </row>
    <row r="60" spans="1:17">
      <c r="A60" s="965">
        <f>IF([2]Vagt!A5&lt;&gt;"",[2]Vagt!A5,"")</f>
        <v>0</v>
      </c>
      <c r="B60" s="965" t="str">
        <f>IF([2]Vagt!B5&lt;&gt;"",[2]Vagt!B5,"")</f>
        <v>SOF</v>
      </c>
      <c r="C60" s="965">
        <f>IF([2]Vagt!C5&lt;&gt;"",[2]Vagt!C5,"")</f>
        <v>0</v>
      </c>
      <c r="D60" s="1515">
        <f>IF([2]Vagt!D5&lt;&gt;"",[2]Vagt!D5,"")</f>
        <v>5380000</v>
      </c>
      <c r="E60" s="978">
        <f>IF([2]Vagt!E5&lt;&gt;"",[2]Vagt!E5,"")</f>
        <v>0</v>
      </c>
      <c r="F60" s="978">
        <f>IF([2]Vagt!F5&lt;&gt;"",[2]Vagt!F5,"")</f>
        <v>0</v>
      </c>
      <c r="G60" s="978">
        <f>IF([2]Vagt!G5&lt;&gt;"",[2]Vagt!G5,"")</f>
        <v>0</v>
      </c>
      <c r="H60" s="978" t="str">
        <f>IF([2]Vagt!H5&lt;&gt;"",[2]Vagt!H5,"")</f>
        <v/>
      </c>
      <c r="I60" s="978" t="str">
        <f>IF([2]Vagt!I5&lt;&gt;"",[2]Vagt!I5,"")</f>
        <v/>
      </c>
      <c r="J60" s="978" t="str">
        <f>IF([2]Vagt!J5&lt;&gt;"",[2]Vagt!J5,"")</f>
        <v/>
      </c>
      <c r="K60" s="978" t="str">
        <f>IF([2]Vagt!K5&lt;&gt;"",[2]Vagt!K5,"")</f>
        <v/>
      </c>
      <c r="L60" s="978" t="str">
        <f>IF([2]Vagt!L5&lt;&gt;"",[2]Vagt!L5,"")</f>
        <v/>
      </c>
      <c r="M60" s="978" t="str">
        <f>IF([2]Vagt!M5&lt;&gt;"",[2]Vagt!M5,"")</f>
        <v/>
      </c>
      <c r="N60" s="978" t="str">
        <f>IF([2]Vagt!N5&lt;&gt;"",[2]Vagt!N5,"")</f>
        <v/>
      </c>
      <c r="P60" s="923"/>
      <c r="Q60" s="906"/>
    </row>
    <row r="61" spans="1:17">
      <c r="A61" s="965">
        <f>IF([2]Vagt!A6&lt;&gt;"",[2]Vagt!A6,"")</f>
        <v>0</v>
      </c>
      <c r="B61" s="965">
        <f>IF([2]Vagt!B6&lt;&gt;"",[2]Vagt!B6,"")</f>
        <v>0</v>
      </c>
      <c r="C61" s="965">
        <f>IF([2]Vagt!C6&lt;&gt;"",[2]Vagt!C6,"")</f>
        <v>0</v>
      </c>
      <c r="D61" s="1515">
        <f>IF([2]Vagt!D6&lt;&gt;"",[2]Vagt!D6,"")</f>
        <v>0</v>
      </c>
      <c r="E61" s="978">
        <f>IF([2]Vagt!E6&lt;&gt;"",[2]Vagt!E6,"")</f>
        <v>0</v>
      </c>
      <c r="F61" s="978">
        <f>IF([2]Vagt!F6&lt;&gt;"",[2]Vagt!F6,"")</f>
        <v>0</v>
      </c>
      <c r="G61" s="978">
        <f>IF([2]Vagt!G6&lt;&gt;"",[2]Vagt!G6,"")</f>
        <v>0</v>
      </c>
      <c r="H61" s="978" t="str">
        <f>IF([2]Vagt!H6&lt;&gt;"",[2]Vagt!H6,"")</f>
        <v/>
      </c>
      <c r="I61" s="978" t="str">
        <f>IF([2]Vagt!I6&lt;&gt;"",[2]Vagt!I6,"")</f>
        <v/>
      </c>
      <c r="J61" s="978" t="str">
        <f>IF([2]Vagt!J6&lt;&gt;"",[2]Vagt!J6,"")</f>
        <v/>
      </c>
      <c r="K61" s="978" t="str">
        <f>IF([2]Vagt!K6&lt;&gt;"",[2]Vagt!K6,"")</f>
        <v/>
      </c>
      <c r="L61" s="978" t="str">
        <f>IF([2]Vagt!L6&lt;&gt;"",[2]Vagt!L6,"")</f>
        <v/>
      </c>
      <c r="M61" s="978" t="str">
        <f>IF([2]Vagt!M6&lt;&gt;"",[2]Vagt!M6,"")</f>
        <v/>
      </c>
      <c r="N61" s="978" t="str">
        <f>IF([2]Vagt!N6&lt;&gt;"",[2]Vagt!N6,"")</f>
        <v/>
      </c>
      <c r="O61" s="970"/>
      <c r="P61" s="923"/>
      <c r="Q61" s="906"/>
    </row>
    <row r="62" spans="1:17">
      <c r="A62" s="965" t="str">
        <f>IF([2]Vagt!A7&lt;&gt;"",[2]Vagt!A7,"")</f>
        <v/>
      </c>
      <c r="B62" s="965">
        <f>IF([2]Vagt!B7&lt;&gt;"",[2]Vagt!B7,"")</f>
        <v>0</v>
      </c>
      <c r="C62" s="965">
        <f>IF([2]Vagt!C7&lt;&gt;"",[2]Vagt!C7,"")</f>
        <v>0</v>
      </c>
      <c r="D62" s="1515">
        <f>IF([2]Vagt!D7&lt;&gt;"",[2]Vagt!D7,"")</f>
        <v>0</v>
      </c>
      <c r="E62" s="978">
        <f>IF([2]Vagt!E7&lt;&gt;"",[2]Vagt!E7,"")</f>
        <v>0</v>
      </c>
      <c r="F62" s="978">
        <f>IF([2]Vagt!F7&lt;&gt;"",[2]Vagt!F7,"")</f>
        <v>0</v>
      </c>
      <c r="G62" s="978">
        <f>IF([2]Vagt!G7&lt;&gt;"",[2]Vagt!G7,"")</f>
        <v>0</v>
      </c>
      <c r="H62" s="978" t="str">
        <f>IF([2]Vagt!H7&lt;&gt;"",[2]Vagt!H7,"")</f>
        <v/>
      </c>
      <c r="I62" s="978" t="str">
        <f>IF([2]Vagt!I7&lt;&gt;"",[2]Vagt!I7,"")</f>
        <v/>
      </c>
      <c r="J62" s="978" t="str">
        <f>IF([2]Vagt!J7&lt;&gt;"",[2]Vagt!J7,"")</f>
        <v/>
      </c>
      <c r="K62" s="978" t="str">
        <f>IF([2]Vagt!K7&lt;&gt;"",[2]Vagt!K7,"")</f>
        <v/>
      </c>
      <c r="L62" s="978" t="str">
        <f>IF([2]Vagt!L7&lt;&gt;"",[2]Vagt!L7,"")</f>
        <v/>
      </c>
      <c r="M62" s="978" t="str">
        <f>IF([2]Vagt!M7&lt;&gt;"",[2]Vagt!M7,"")</f>
        <v/>
      </c>
      <c r="N62" s="978" t="str">
        <f>IF([2]Vagt!N7&lt;&gt;"",[2]Vagt!N7,"")</f>
        <v/>
      </c>
      <c r="O62" s="977"/>
      <c r="P62" s="923"/>
      <c r="Q62" s="906"/>
    </row>
    <row r="63" spans="1:17">
      <c r="A63" s="965">
        <f>IF([2]Vagt!A8&lt;&gt;"",[2]Vagt!A8,"")</f>
        <v>0</v>
      </c>
      <c r="B63" s="965">
        <f>IF([2]Vagt!B8&lt;&gt;"",[2]Vagt!B8,"")</f>
        <v>0</v>
      </c>
      <c r="C63" s="965">
        <f>IF([2]Vagt!C8&lt;&gt;"",[2]Vagt!C8,"")</f>
        <v>0</v>
      </c>
      <c r="D63" s="1515">
        <f>IF([2]Vagt!D8&lt;&gt;"",[2]Vagt!D8,"")</f>
        <v>0</v>
      </c>
      <c r="E63" s="978" t="str">
        <f>IF([2]Vagt!E8&lt;&gt;"",[2]Vagt!E8,"")</f>
        <v/>
      </c>
      <c r="F63" s="978">
        <f>IF([2]Vagt!F8&lt;&gt;"",[2]Vagt!F8,"")</f>
        <v>0</v>
      </c>
      <c r="G63" s="978">
        <f>IF([2]Vagt!G8&lt;&gt;"",[2]Vagt!G8,"")</f>
        <v>0</v>
      </c>
      <c r="H63" s="978" t="str">
        <f>IF([2]Vagt!H8&lt;&gt;"",[2]Vagt!H8,"")</f>
        <v/>
      </c>
      <c r="I63" s="978" t="str">
        <f>IF([2]Vagt!I8&lt;&gt;"",[2]Vagt!I8,"")</f>
        <v/>
      </c>
      <c r="J63" s="978" t="str">
        <f>IF([2]Vagt!J8&lt;&gt;"",[2]Vagt!J8,"")</f>
        <v/>
      </c>
      <c r="K63" s="978" t="str">
        <f>IF([2]Vagt!K8&lt;&gt;"",[2]Vagt!K8,"")</f>
        <v/>
      </c>
      <c r="L63" s="978" t="str">
        <f>IF([2]Vagt!L8&lt;&gt;"",[2]Vagt!L8,"")</f>
        <v/>
      </c>
      <c r="M63" s="978" t="str">
        <f>IF([2]Vagt!M8&lt;&gt;"",[2]Vagt!M8,"")</f>
        <v/>
      </c>
      <c r="N63" s="978" t="str">
        <f>IF([2]Vagt!N8&lt;&gt;"",[2]Vagt!N8,"")</f>
        <v/>
      </c>
      <c r="O63" s="999"/>
      <c r="P63" s="923"/>
      <c r="Q63" s="906"/>
    </row>
    <row r="64" spans="1:17">
      <c r="A64" s="965">
        <f>IF([2]Vagt!A9&lt;&gt;"",[2]Vagt!A9,"")</f>
        <v>0</v>
      </c>
      <c r="B64" s="965">
        <f>IF([2]Vagt!B9&lt;&gt;"",[2]Vagt!B9,"")</f>
        <v>0</v>
      </c>
      <c r="C64" s="965">
        <f>IF([2]Vagt!C9&lt;&gt;"",[2]Vagt!C9,"")</f>
        <v>0</v>
      </c>
      <c r="D64" s="1515">
        <f>IF([2]Vagt!D9&lt;&gt;"",[2]Vagt!D9,"")</f>
        <v>0</v>
      </c>
      <c r="E64" s="978">
        <f>IF([2]Vagt!E9&lt;&gt;"",[2]Vagt!E9,"")</f>
        <v>0</v>
      </c>
      <c r="F64" s="978">
        <f>IF([2]Vagt!F9&lt;&gt;"",[2]Vagt!F9,"")</f>
        <v>0</v>
      </c>
      <c r="G64" s="978">
        <f>IF([2]Vagt!G9&lt;&gt;"",[2]Vagt!G9,"")</f>
        <v>0</v>
      </c>
      <c r="H64" s="978" t="str">
        <f>IF([2]Vagt!H9&lt;&gt;"",[2]Vagt!H9,"")</f>
        <v/>
      </c>
      <c r="I64" s="978" t="str">
        <f>IF([2]Vagt!I9&lt;&gt;"",[2]Vagt!I9,"")</f>
        <v/>
      </c>
      <c r="J64" s="978" t="str">
        <f>IF([2]Vagt!J9&lt;&gt;"",[2]Vagt!J9,"")</f>
        <v/>
      </c>
      <c r="K64" s="978" t="str">
        <f>IF([2]Vagt!K9&lt;&gt;"",[2]Vagt!K9,"")</f>
        <v/>
      </c>
      <c r="L64" s="978" t="str">
        <f>IF([2]Vagt!L9&lt;&gt;"",[2]Vagt!L9,"")</f>
        <v/>
      </c>
      <c r="M64" s="978" t="str">
        <f>IF([2]Vagt!M9&lt;&gt;"",[2]Vagt!M9,"")</f>
        <v/>
      </c>
      <c r="N64" s="978" t="str">
        <f>IF([2]Vagt!N9&lt;&gt;"",[2]Vagt!N9,"")</f>
        <v/>
      </c>
      <c r="O64" s="999"/>
      <c r="P64" s="923"/>
      <c r="Q64" s="906"/>
    </row>
    <row r="65" spans="1:17">
      <c r="A65" s="965">
        <f>IF([2]Vagt!A10&lt;&gt;"",[2]Vagt!A10,"")</f>
        <v>0</v>
      </c>
      <c r="B65" s="965">
        <f>IF([2]Vagt!B10&lt;&gt;"",[2]Vagt!B10,"")</f>
        <v>0</v>
      </c>
      <c r="C65" s="965">
        <f>IF([2]Vagt!C10&lt;&gt;"",[2]Vagt!C10,"")</f>
        <v>0</v>
      </c>
      <c r="D65" s="1515">
        <f>IF([2]Vagt!D10&lt;&gt;"",[2]Vagt!D10,"")</f>
        <v>0</v>
      </c>
      <c r="E65" s="978">
        <f>IF([2]Vagt!E10&lt;&gt;"",[2]Vagt!E10,"")</f>
        <v>0</v>
      </c>
      <c r="F65" s="978">
        <f>IF([2]Vagt!F10&lt;&gt;"",[2]Vagt!F10,"")</f>
        <v>0</v>
      </c>
      <c r="G65" s="978">
        <f>IF([2]Vagt!G10&lt;&gt;"",[2]Vagt!G10,"")</f>
        <v>0</v>
      </c>
      <c r="H65" s="978" t="str">
        <f>IF([2]Vagt!H10&lt;&gt;"",[2]Vagt!H10,"")</f>
        <v/>
      </c>
      <c r="I65" s="978" t="str">
        <f>IF([2]Vagt!I10&lt;&gt;"",[2]Vagt!I10,"")</f>
        <v/>
      </c>
      <c r="J65" s="978" t="str">
        <f>IF([2]Vagt!J10&lt;&gt;"",[2]Vagt!J10,"")</f>
        <v/>
      </c>
      <c r="K65" s="978" t="str">
        <f>IF([2]Vagt!K10&lt;&gt;"",[2]Vagt!K10,"")</f>
        <v/>
      </c>
      <c r="L65" s="978" t="str">
        <f>IF([2]Vagt!L10&lt;&gt;"",[2]Vagt!L10,"")</f>
        <v/>
      </c>
      <c r="M65" s="978" t="str">
        <f>IF([2]Vagt!M10&lt;&gt;"",[2]Vagt!M10,"")</f>
        <v/>
      </c>
      <c r="N65" s="978" t="str">
        <f>IF([2]Vagt!N10&lt;&gt;"",[2]Vagt!N10,"")</f>
        <v/>
      </c>
      <c r="O65" s="999"/>
      <c r="P65" s="923"/>
      <c r="Q65" s="906"/>
    </row>
    <row r="66" spans="1:17">
      <c r="A66" s="965">
        <f>IF([2]Vagt!A11&lt;&gt;"",[2]Vagt!A11,"")</f>
        <v>0</v>
      </c>
      <c r="B66" s="965">
        <f>IF([2]Vagt!B11&lt;&gt;"",[2]Vagt!B11,"")</f>
        <v>0</v>
      </c>
      <c r="C66" s="965">
        <f>IF([2]Vagt!C11&lt;&gt;"",[2]Vagt!C11,"")</f>
        <v>0</v>
      </c>
      <c r="D66" s="1515">
        <f>IF([2]Vagt!D11&lt;&gt;"",[2]Vagt!D11,"")</f>
        <v>0</v>
      </c>
      <c r="E66" s="978">
        <f>IF([2]Vagt!E11&lt;&gt;"",[2]Vagt!E11,"")</f>
        <v>0</v>
      </c>
      <c r="F66" s="978">
        <f>IF([2]Vagt!F11&lt;&gt;"",[2]Vagt!F11,"")</f>
        <v>0</v>
      </c>
      <c r="G66" s="978">
        <f>IF([2]Vagt!G11&lt;&gt;"",[2]Vagt!G11,"")</f>
        <v>0</v>
      </c>
      <c r="H66" s="978" t="str">
        <f>IF([2]Vagt!H11&lt;&gt;"",[2]Vagt!H11,"")</f>
        <v/>
      </c>
      <c r="I66" s="978" t="str">
        <f>IF([2]Vagt!I11&lt;&gt;"",[2]Vagt!I11,"")</f>
        <v/>
      </c>
      <c r="J66" s="978" t="str">
        <f>IF([2]Vagt!J11&lt;&gt;"",[2]Vagt!J11,"")</f>
        <v/>
      </c>
      <c r="K66" s="978" t="str">
        <f>IF([2]Vagt!K11&lt;&gt;"",[2]Vagt!K11,"")</f>
        <v/>
      </c>
      <c r="L66" s="978" t="str">
        <f>IF([2]Vagt!L11&lt;&gt;"",[2]Vagt!L11,"")</f>
        <v/>
      </c>
      <c r="M66" s="978" t="str">
        <f>IF([2]Vagt!M11&lt;&gt;"",[2]Vagt!M11,"")</f>
        <v/>
      </c>
      <c r="N66" s="978" t="str">
        <f>IF([2]Vagt!N11&lt;&gt;"",[2]Vagt!N11,"")</f>
        <v/>
      </c>
      <c r="O66" s="970"/>
      <c r="P66" s="923"/>
      <c r="Q66" s="906"/>
    </row>
    <row r="67" spans="1:17">
      <c r="A67" s="965">
        <f>IF([2]Vagt!A12&lt;&gt;"",[2]Vagt!A12,"")</f>
        <v>0</v>
      </c>
      <c r="B67" s="965">
        <f>IF([2]Vagt!B12&lt;&gt;"",[2]Vagt!B12,"")</f>
        <v>0</v>
      </c>
      <c r="C67" s="965">
        <f>IF([2]Vagt!C12&lt;&gt;"",[2]Vagt!C12,"")</f>
        <v>0</v>
      </c>
      <c r="D67" s="1515">
        <f>IF([2]Vagt!D12&lt;&gt;"",[2]Vagt!D12,"")</f>
        <v>0</v>
      </c>
      <c r="E67" s="978">
        <f>IF([2]Vagt!E12&lt;&gt;"",[2]Vagt!E12,"")</f>
        <v>0</v>
      </c>
      <c r="F67" s="978">
        <f>IF([2]Vagt!F12&lt;&gt;"",[2]Vagt!F12,"")</f>
        <v>0</v>
      </c>
      <c r="G67" s="978">
        <f>IF([2]Vagt!G12&lt;&gt;"",[2]Vagt!G12,"")</f>
        <v>0</v>
      </c>
      <c r="H67" s="978" t="str">
        <f>IF([2]Vagt!H12&lt;&gt;"",[2]Vagt!H12,"")</f>
        <v/>
      </c>
      <c r="I67" s="978" t="str">
        <f>IF([2]Vagt!I12&lt;&gt;"",[2]Vagt!I12,"")</f>
        <v/>
      </c>
      <c r="J67" s="978" t="str">
        <f>IF([2]Vagt!J12&lt;&gt;"",[2]Vagt!J12,"")</f>
        <v/>
      </c>
      <c r="K67" s="978" t="str">
        <f>IF([2]Vagt!K12&lt;&gt;"",[2]Vagt!K12,"")</f>
        <v/>
      </c>
      <c r="L67" s="978" t="str">
        <f>IF([2]Vagt!L12&lt;&gt;"",[2]Vagt!L12,"")</f>
        <v/>
      </c>
      <c r="M67" s="978" t="str">
        <f>IF([2]Vagt!M12&lt;&gt;"",[2]Vagt!M12,"")</f>
        <v/>
      </c>
      <c r="N67" s="978" t="str">
        <f>IF([2]Vagt!N12&lt;&gt;"",[2]Vagt!N12,"")</f>
        <v/>
      </c>
      <c r="O67" s="996"/>
      <c r="P67" s="923"/>
      <c r="Q67" s="906"/>
    </row>
    <row r="68" spans="1:17">
      <c r="A68" s="965">
        <f>IF([2]Vagt!A13&lt;&gt;"",[2]Vagt!A13,"")</f>
        <v>0</v>
      </c>
      <c r="B68" s="965">
        <f>IF([2]Vagt!B13&lt;&gt;"",[2]Vagt!B13,"")</f>
        <v>0</v>
      </c>
      <c r="C68" s="965">
        <f>IF([2]Vagt!C13&lt;&gt;"",[2]Vagt!C13,"")</f>
        <v>0</v>
      </c>
      <c r="D68" s="1515">
        <f>IF([2]Vagt!D13&lt;&gt;"",[2]Vagt!D13,"")</f>
        <v>0</v>
      </c>
      <c r="E68" s="978">
        <f>IF([2]Vagt!E13&lt;&gt;"",[2]Vagt!E13,"")</f>
        <v>0</v>
      </c>
      <c r="F68" s="978">
        <f>IF([2]Vagt!F13&lt;&gt;"",[2]Vagt!F13,"")</f>
        <v>0</v>
      </c>
      <c r="G68" s="978">
        <f>IF([2]Vagt!G13&lt;&gt;"",[2]Vagt!G13,"")</f>
        <v>0</v>
      </c>
      <c r="H68" s="978" t="str">
        <f>IF([2]Vagt!H13&lt;&gt;"",[2]Vagt!H13,"")</f>
        <v/>
      </c>
      <c r="I68" s="978" t="str">
        <f>IF([2]Vagt!I13&lt;&gt;"",[2]Vagt!I13,"")</f>
        <v/>
      </c>
      <c r="J68" s="978" t="str">
        <f>IF([2]Vagt!J13&lt;&gt;"",[2]Vagt!J13,"")</f>
        <v/>
      </c>
      <c r="K68" s="978" t="str">
        <f>IF([2]Vagt!K13&lt;&gt;"",[2]Vagt!K13,"")</f>
        <v/>
      </c>
      <c r="L68" s="978" t="str">
        <f>IF([2]Vagt!L13&lt;&gt;"",[2]Vagt!L13,"")</f>
        <v/>
      </c>
      <c r="M68" s="978" t="str">
        <f>IF([2]Vagt!M13&lt;&gt;"",[2]Vagt!M13,"")</f>
        <v/>
      </c>
      <c r="N68" s="978" t="str">
        <f>IF([2]Vagt!N13&lt;&gt;"",[2]Vagt!N13,"")</f>
        <v/>
      </c>
      <c r="O68" s="999"/>
      <c r="P68" s="923"/>
      <c r="Q68" s="906"/>
    </row>
    <row r="69" spans="1:17">
      <c r="A69" s="962" t="str">
        <f>IF([2]Vagt!A14&lt;&gt;"",[2]Vagt!A14,"")</f>
        <v>Årligt</v>
      </c>
      <c r="B69" s="962">
        <f>IF([2]Vagt!B14&lt;&gt;"",[2]Vagt!B14,"")</f>
        <v>0</v>
      </c>
      <c r="C69" s="962">
        <f>IF([2]Vagt!C14&lt;&gt;"",[2]Vagt!C14,"")</f>
        <v>0</v>
      </c>
      <c r="D69" s="1516">
        <f>IF([2]Vagt!D14&lt;&gt;"",[2]Vagt!D14,"")</f>
        <v>5380000</v>
      </c>
      <c r="E69" s="1513" t="str">
        <f>IF([2]Vagt!E14&lt;&gt;"",[2]Vagt!E14,"")</f>
        <v>Når org. Nr. er røde, er de betalt</v>
      </c>
      <c r="F69" s="978"/>
      <c r="G69" s="978"/>
      <c r="H69" s="978" t="str">
        <f>IF([2]Vagt!H14&lt;&gt;"",[2]Vagt!H14,"")</f>
        <v/>
      </c>
      <c r="I69" s="978" t="str">
        <f>IF([2]Vagt!I14&lt;&gt;"",[2]Vagt!I14,"")</f>
        <v/>
      </c>
      <c r="J69" s="978" t="str">
        <f>IF([2]Vagt!J14&lt;&gt;"",[2]Vagt!J14,"")</f>
        <v/>
      </c>
      <c r="K69" s="978" t="str">
        <f>IF([2]Vagt!K14&lt;&gt;"",[2]Vagt!K14,"")</f>
        <v/>
      </c>
      <c r="L69" s="978" t="str">
        <f>IF([2]Vagt!L14&lt;&gt;"",[2]Vagt!L14,"")</f>
        <v/>
      </c>
      <c r="M69" s="978" t="str">
        <f>IF([2]Vagt!M14&lt;&gt;"",[2]Vagt!M14,"")</f>
        <v/>
      </c>
      <c r="N69" s="978" t="str">
        <f>IF([2]Vagt!N14&lt;&gt;"",[2]Vagt!N14,"")</f>
        <v/>
      </c>
      <c r="O69" s="999"/>
      <c r="P69" s="923"/>
      <c r="Q69" s="906"/>
    </row>
    <row r="70" spans="1:17">
      <c r="A70" s="962" t="str">
        <f>IF([2]Vagt!A15&lt;&gt;"",[2]Vagt!A15,"")</f>
        <v>Månedligt</v>
      </c>
      <c r="B70" s="962">
        <f>IF([2]Vagt!B15&lt;&gt;"",[2]Vagt!B15,"")</f>
        <v>0</v>
      </c>
      <c r="C70" s="962">
        <f>IF([2]Vagt!C15&lt;&gt;"",[2]Vagt!C15,"")</f>
        <v>0</v>
      </c>
      <c r="D70" s="1516">
        <f>IF([2]Vagt!D15&lt;&gt;"",[2]Vagt!D15,"")</f>
        <v>448333.33333333331</v>
      </c>
      <c r="E70" s="1513" t="str">
        <f>IF([2]Vagt!E15&lt;&gt;"",[2]Vagt!E15,"")</f>
        <v>Der er stigning på 1,75% og ingen på timepris i 2013</v>
      </c>
      <c r="F70" s="978"/>
      <c r="G70" s="978"/>
      <c r="H70" s="1514"/>
      <c r="I70" s="978" t="str">
        <f>IF([2]Vagt!I15&lt;&gt;"",[2]Vagt!I15,"")</f>
        <v/>
      </c>
      <c r="J70" s="978" t="str">
        <f>IF([2]Vagt!J15&lt;&gt;"",[2]Vagt!J15,"")</f>
        <v/>
      </c>
      <c r="K70" s="978" t="str">
        <f>IF([2]Vagt!K15&lt;&gt;"",[2]Vagt!K15,"")</f>
        <v/>
      </c>
      <c r="L70" s="978" t="str">
        <f>IF([2]Vagt!L15&lt;&gt;"",[2]Vagt!L15,"")</f>
        <v/>
      </c>
      <c r="M70" s="978" t="str">
        <f>IF([2]Vagt!M15&lt;&gt;"",[2]Vagt!M15,"")</f>
        <v/>
      </c>
      <c r="N70" s="978" t="str">
        <f>IF([2]Vagt!N15&lt;&gt;"",[2]Vagt!N15,"")</f>
        <v/>
      </c>
      <c r="O70" s="970"/>
      <c r="P70" s="923"/>
      <c r="Q70" s="906"/>
    </row>
    <row r="71" spans="1:17">
      <c r="A71" s="962">
        <f>IF([2]Vagt!A16&lt;&gt;"",[2]Vagt!A16,"")</f>
        <v>0</v>
      </c>
      <c r="B71" s="962">
        <f>IF([2]Vagt!B16&lt;&gt;"",[2]Vagt!B16,"")</f>
        <v>0</v>
      </c>
      <c r="C71" s="962">
        <f>IF([2]Vagt!C16&lt;&gt;"",[2]Vagt!C16,"")</f>
        <v>0</v>
      </c>
      <c r="D71" s="962" t="str">
        <f>IF([2]Vagt!D16&lt;&gt;"",[2]Vagt!D16,"")</f>
        <v/>
      </c>
      <c r="E71" s="978" t="str">
        <f>IF([2]Vagt!E16&lt;&gt;"",[2]Vagt!E16,"")</f>
        <v/>
      </c>
      <c r="F71" s="978" t="str">
        <f>IF([2]Vagt!F16&lt;&gt;"",[2]Vagt!F16,"")</f>
        <v/>
      </c>
      <c r="G71" s="978" t="str">
        <f>IF([2]Vagt!G16&lt;&gt;"",[2]Vagt!G16,"")</f>
        <v/>
      </c>
      <c r="H71" s="978" t="str">
        <f>IF([2]Vagt!H16&lt;&gt;"",[2]Vagt!H16,"")</f>
        <v/>
      </c>
      <c r="I71" s="978" t="str">
        <f>IF([2]Vagt!I16&lt;&gt;"",[2]Vagt!I16,"")</f>
        <v/>
      </c>
      <c r="J71" s="978" t="str">
        <f>IF([2]Vagt!J16&lt;&gt;"",[2]Vagt!J16,"")</f>
        <v/>
      </c>
      <c r="K71" s="978" t="str">
        <f>IF([2]Vagt!K16&lt;&gt;"",[2]Vagt!K16,"")</f>
        <v/>
      </c>
      <c r="L71" s="978" t="str">
        <f>IF([2]Vagt!L16&lt;&gt;"",[2]Vagt!L16,"")</f>
        <v/>
      </c>
      <c r="M71" s="978" t="str">
        <f>IF([2]Vagt!M16&lt;&gt;"",[2]Vagt!M16,"")</f>
        <v/>
      </c>
      <c r="N71" s="978" t="str">
        <f>IF([2]Vagt!N16&lt;&gt;"",[2]Vagt!N16,"")</f>
        <v/>
      </c>
      <c r="O71" s="970"/>
      <c r="P71" s="923"/>
      <c r="Q71" s="906"/>
    </row>
    <row r="72" spans="1:17">
      <c r="A72" s="962">
        <f>IF([2]Vagt!A17&lt;&gt;"",[2]Vagt!A17,"")</f>
        <v>0</v>
      </c>
      <c r="B72" s="962" t="str">
        <f>IF([2]Vagt!B17&lt;&gt;"",[2]Vagt!B17,"")</f>
        <v xml:space="preserve">Note 2  Kontrakt kunder fast rundering </v>
      </c>
      <c r="C72" s="1512"/>
      <c r="D72" s="1518"/>
      <c r="E72" s="1518"/>
      <c r="F72" s="1518"/>
      <c r="G72" s="978">
        <f>IF([2]Vagt!G17&lt;&gt;"",[2]Vagt!G17,"")</f>
        <v>0</v>
      </c>
      <c r="H72" s="978">
        <f>IF([2]Vagt!H17&lt;&gt;"",[2]Vagt!H17,"")</f>
        <v>0</v>
      </c>
      <c r="I72" s="1518">
        <f>IF([2]Vagt!I17&lt;&gt;"",[2]Vagt!I17,"")</f>
        <v>0</v>
      </c>
      <c r="J72" s="1512" t="str">
        <f>IF([2]Vagt!J17&lt;&gt;"",[2]Vagt!J17,"")</f>
        <v xml:space="preserve">Note 2  Kontrakt kunder fast rundering </v>
      </c>
      <c r="K72" s="1512">
        <f>IF([2]Vagt!K17&lt;&gt;"",[2]Vagt!K17,"")</f>
        <v>0</v>
      </c>
      <c r="L72" s="1512">
        <f>IF([2]Vagt!L17&lt;&gt;"",[2]Vagt!L17,"")</f>
        <v>0</v>
      </c>
      <c r="M72" s="1512">
        <f>IF([2]Vagt!M17&lt;&gt;"",[2]Vagt!M17,"")</f>
        <v>0</v>
      </c>
      <c r="N72" s="1288">
        <f>IF([2]Vagt!N17&lt;&gt;"",[2]Vagt!N17,"")</f>
        <v>0</v>
      </c>
      <c r="O72" s="970"/>
      <c r="P72" s="923"/>
      <c r="Q72" s="906"/>
    </row>
    <row r="73" spans="1:17">
      <c r="A73" s="965" t="str">
        <f>IF([2]Vagt!A18&lt;&gt;"",[2]Vagt!A18,"")</f>
        <v>Org. Nr.</v>
      </c>
      <c r="B73" s="965" t="str">
        <f>IF([2]Vagt!B18&lt;&gt;"",[2]Vagt!B18,"")</f>
        <v>Kontrakt nr.</v>
      </c>
      <c r="C73" s="965" t="str">
        <f>IF([2]Vagt!C18&lt;&gt;"",[2]Vagt!C18,"")</f>
        <v>Start dato</v>
      </c>
      <c r="D73" s="965" t="str">
        <f>IF([2]Vagt!D18&lt;&gt;"",[2]Vagt!D18,"")</f>
        <v>Adresse</v>
      </c>
      <c r="E73" s="965">
        <f>IF([2]Vagt!E18&lt;&gt;"",[2]Vagt!E18,"")</f>
        <v>0</v>
      </c>
      <c r="F73" s="965" t="str">
        <f>IF([2]Vagt!F18&lt;&gt;"",[2]Vagt!F18,"")</f>
        <v xml:space="preserve">Årlig pris  </v>
      </c>
      <c r="G73" s="1066">
        <f>IF([2]Vagt!G18&lt;&gt;"",[2]Vagt!G18,"")</f>
        <v>0</v>
      </c>
      <c r="H73" s="1067">
        <f>IF([2]Vagt!H18&lt;&gt;"",[2]Vagt!H18,"")</f>
        <v>0</v>
      </c>
      <c r="I73" s="963" t="str">
        <f>IF([2]Vagt!I18&lt;&gt;"",[2]Vagt!I18,"")</f>
        <v>Org. Nr.</v>
      </c>
      <c r="J73" s="965" t="str">
        <f>IF([2]Vagt!J18&lt;&gt;"",[2]Vagt!J18,"")</f>
        <v>Bygningsnr.</v>
      </c>
      <c r="K73" s="965" t="str">
        <f>IF([2]Vagt!K18&lt;&gt;"",[2]Vagt!K18,"")</f>
        <v>V og I dato</v>
      </c>
      <c r="L73" s="965" t="str">
        <f>IF([2]Vagt!L18&lt;&gt;"",[2]Vagt!L18,"")</f>
        <v>Adresse</v>
      </c>
      <c r="M73" s="965">
        <f>IF([2]Vagt!M18&lt;&gt;"",[2]Vagt!M18,"")</f>
        <v>0</v>
      </c>
      <c r="N73" s="971" t="str">
        <f>IF([2]Vagt!N18&lt;&gt;"",[2]Vagt!N18,"")</f>
        <v xml:space="preserve">Årlig pris  </v>
      </c>
      <c r="O73" s="970"/>
      <c r="P73" s="923"/>
      <c r="Q73" s="906"/>
    </row>
    <row r="74" spans="1:17">
      <c r="A74" s="1517" t="str">
        <f>IF([2]Vagt!A19&lt;&gt;"",[2]Vagt!A19,"")</f>
        <v>64715</v>
      </c>
      <c r="B74" s="981">
        <f>IF([2]Vagt!B19&lt;&gt;"",[2]Vagt!B19,"")</f>
        <v>112</v>
      </c>
      <c r="C74" s="982">
        <f>IF([2]Vagt!C19&lt;&gt;"",[2]Vagt!C19,"")</f>
        <v>37956</v>
      </c>
      <c r="D74" s="965" t="str">
        <f>IF([2]Vagt!D19&lt;&gt;"",[2]Vagt!D19,"")</f>
        <v>Røde Mellemvej 52</v>
      </c>
      <c r="E74" s="965"/>
      <c r="F74" s="1533">
        <f>IF([2]Vagt!F19&lt;&gt;"",[2]Vagt!F19,"")</f>
        <v>120594</v>
      </c>
      <c r="G74" s="1066">
        <f>IF([2]Vagt!G19&lt;&gt;"",[2]Vagt!G19,"")</f>
        <v>0</v>
      </c>
      <c r="H74" s="1067">
        <f>IF([2]Vagt!H19&lt;&gt;"",[2]Vagt!H19,"")</f>
        <v>0</v>
      </c>
      <c r="I74" s="963" t="str">
        <f>IF([2]Vagt!I19&lt;&gt;"",[2]Vagt!I19,"")</f>
        <v>Fortsat</v>
      </c>
      <c r="J74" s="965">
        <f>IF([2]Vagt!J19&lt;&gt;"",[2]Vagt!J19,"")</f>
        <v>0</v>
      </c>
      <c r="K74" s="965">
        <f>IF([2]Vagt!K19&lt;&gt;"",[2]Vagt!K19,"")</f>
        <v>0</v>
      </c>
      <c r="L74" s="965">
        <f>IF([2]Vagt!L19&lt;&gt;"",[2]Vagt!L19,"")</f>
        <v>0</v>
      </c>
      <c r="M74" s="965"/>
      <c r="N74" s="1541">
        <f>IF([2]Vagt!N19&lt;&gt;"",[2]Vagt!N19,"")</f>
        <v>2163045</v>
      </c>
      <c r="O74" s="977"/>
      <c r="P74" s="923"/>
      <c r="Q74" s="906"/>
    </row>
    <row r="75" spans="1:17">
      <c r="A75" s="1517" t="str">
        <f>IF([2]Vagt!A20&lt;&gt;"",[2]Vagt!A20,"")</f>
        <v>37567</v>
      </c>
      <c r="B75" s="981">
        <f>IF([2]Vagt!B20&lt;&gt;"",[2]Vagt!B20,"")</f>
        <v>113</v>
      </c>
      <c r="C75" s="982">
        <f>IF([2]Vagt!C20&lt;&gt;"",[2]Vagt!C20,"")</f>
        <v>38012</v>
      </c>
      <c r="D75" s="965" t="str">
        <f>IF([2]Vagt!D20&lt;&gt;"",[2]Vagt!D20,"")</f>
        <v>Studsgårdsgade 55</v>
      </c>
      <c r="E75" s="965"/>
      <c r="F75" s="1533">
        <f>IF([2]Vagt!F20&lt;&gt;"",[2]Vagt!F20,"")</f>
        <v>148969</v>
      </c>
      <c r="G75" s="1066">
        <f>IF([2]Vagt!G20&lt;&gt;"",[2]Vagt!G20,"")</f>
        <v>0</v>
      </c>
      <c r="H75" s="1067">
        <f>IF([2]Vagt!H20&lt;&gt;"",[2]Vagt!H20,"")</f>
        <v>0</v>
      </c>
      <c r="I75" s="1523">
        <f>IF([2]Vagt!I20&lt;&gt;"",[2]Vagt!I20,"")</f>
        <v>0</v>
      </c>
      <c r="J75" s="965">
        <f>IF([2]Vagt!J20&lt;&gt;"",[2]Vagt!J20,"")</f>
        <v>0</v>
      </c>
      <c r="K75" s="965">
        <f>IF([2]Vagt!K20&lt;&gt;"",[2]Vagt!K20,"")</f>
        <v>0</v>
      </c>
      <c r="L75" s="965">
        <f>IF([2]Vagt!L20&lt;&gt;"",[2]Vagt!L20,"")</f>
        <v>0</v>
      </c>
      <c r="M75" s="965"/>
      <c r="N75" s="1515">
        <f>IF([2]Vagt!N20&lt;&gt;"",[2]Vagt!N20,"")</f>
        <v>0</v>
      </c>
      <c r="O75" s="970"/>
      <c r="P75" s="923"/>
      <c r="Q75" s="906"/>
    </row>
    <row r="76" spans="1:17">
      <c r="A76" s="1517">
        <f>IF([2]Vagt!A21&lt;&gt;"",[2]Vagt!A21,"")</f>
        <v>23140</v>
      </c>
      <c r="B76" s="981">
        <f>IF([2]Vagt!B21&lt;&gt;"",[2]Vagt!B21,"")</f>
        <v>116</v>
      </c>
      <c r="C76" s="982">
        <f>IF([2]Vagt!C21&lt;&gt;"",[2]Vagt!C21,"")</f>
        <v>38412</v>
      </c>
      <c r="D76" s="965" t="str">
        <f>IF([2]Vagt!D21&lt;&gt;"",[2]Vagt!D21,"")</f>
        <v>Amagerbrogade 150</v>
      </c>
      <c r="E76" s="965"/>
      <c r="F76" s="1533">
        <f>IF([2]Vagt!F21&lt;&gt;"",[2]Vagt!F21,"")</f>
        <v>62629</v>
      </c>
      <c r="G76" s="1066" t="str">
        <f>IF([2]Vagt!G21&lt;&gt;"",[2]Vagt!G21,"")</f>
        <v/>
      </c>
      <c r="H76" s="1067">
        <f>IF([2]Vagt!H21&lt;&gt;"",[2]Vagt!H21,"")</f>
        <v>0</v>
      </c>
      <c r="I76" s="1523">
        <f>IF([2]Vagt!I21&lt;&gt;"",[2]Vagt!I21,"")</f>
        <v>62300</v>
      </c>
      <c r="J76" s="965">
        <f>IF([2]Vagt!J21&lt;&gt;"",[2]Vagt!J21,"")</f>
        <v>150</v>
      </c>
      <c r="K76" s="965">
        <f>IF([2]Vagt!K21&lt;&gt;"",[2]Vagt!K21,"")</f>
        <v>38047</v>
      </c>
      <c r="L76" s="965" t="str">
        <f>IF([2]Vagt!L21&lt;&gt;"",[2]Vagt!L21,"")</f>
        <v>Brønshøjvej 17 - 19, SOF, BFCK-Brønshøj-Husum-Vanløse</v>
      </c>
      <c r="M76" s="965"/>
      <c r="N76" s="1515">
        <f>IF([2]Vagt!N21&lt;&gt;"",[2]Vagt!N21,"")</f>
        <v>64182</v>
      </c>
      <c r="O76" s="970"/>
      <c r="P76" s="923"/>
      <c r="Q76" s="906"/>
    </row>
    <row r="77" spans="1:17">
      <c r="A77" s="1517">
        <f>IF([2]Vagt!A22&lt;&gt;"",[2]Vagt!A22,"")</f>
        <v>54190</v>
      </c>
      <c r="B77" s="981">
        <f>IF([2]Vagt!B22&lt;&gt;"",[2]Vagt!B22,"")</f>
        <v>119</v>
      </c>
      <c r="C77" s="982">
        <f>IF([2]Vagt!C22&lt;&gt;"",[2]Vagt!C22,"")</f>
        <v>38808</v>
      </c>
      <c r="D77" s="965" t="str">
        <f>IF([2]Vagt!D22&lt;&gt;"",[2]Vagt!D22,"")</f>
        <v>Hvide Kødby(rundering)</v>
      </c>
      <c r="E77" s="965"/>
      <c r="F77" s="1533">
        <f>IF([2]Vagt!F22&lt;&gt;"",[2]Vagt!F22,"")</f>
        <v>498222</v>
      </c>
      <c r="G77" s="1066" t="str">
        <f>IF([2]Vagt!G22&lt;&gt;"",[2]Vagt!G22,"")</f>
        <v>747.337 fra 2014</v>
      </c>
      <c r="H77" s="1067">
        <f>IF([2]Vagt!H22&lt;&gt;"",[2]Vagt!H22,"")</f>
        <v>0</v>
      </c>
      <c r="I77" s="1523">
        <f>IF([2]Vagt!I22&lt;&gt;"",[2]Vagt!I22,"")</f>
        <v>22803</v>
      </c>
      <c r="J77" s="965" t="str">
        <f>IF([2]Vagt!J22&lt;&gt;"",[2]Vagt!J22,"")</f>
        <v>747a</v>
      </c>
      <c r="K77" s="965">
        <f>IF([2]Vagt!K22&lt;&gt;"",[2]Vagt!K22,"")</f>
        <v>38048</v>
      </c>
      <c r="L77" s="965" t="str">
        <f>IF([2]Vagt!L22&lt;&gt;"",[2]Vagt!L22,"")</f>
        <v>Brønshøjvej 17 - 19, Sundhed (Løven)</v>
      </c>
      <c r="M77" s="965"/>
      <c r="N77" s="1515">
        <f>IF([2]Vagt!N22&lt;&gt;"",[2]Vagt!N22,"")</f>
        <v>20320</v>
      </c>
      <c r="O77" s="970"/>
      <c r="P77" s="923"/>
      <c r="Q77" s="906"/>
    </row>
    <row r="78" spans="1:17">
      <c r="A78" s="1517">
        <f>IF([2]Vagt!A23&lt;&gt;"",[2]Vagt!A23,"")</f>
        <v>62300</v>
      </c>
      <c r="B78" s="981">
        <f>IF([2]Vagt!B23&lt;&gt;"",[2]Vagt!B23,"")</f>
        <v>121</v>
      </c>
      <c r="C78" s="982">
        <f>IF([2]Vagt!C23&lt;&gt;"",[2]Vagt!C23,"")</f>
        <v>39264</v>
      </c>
      <c r="D78" s="965" t="str">
        <f>IF([2]Vagt!D23&lt;&gt;"",[2]Vagt!D23,"")</f>
        <v>Griffenfeldsgade 44</v>
      </c>
      <c r="E78" s="965"/>
      <c r="F78" s="1533">
        <f>IF([2]Vagt!F23&lt;&gt;"",[2]Vagt!F23,"")</f>
        <v>101938</v>
      </c>
      <c r="G78" s="1066">
        <f>IF([2]Vagt!G23&lt;&gt;"",[2]Vagt!G23,"")</f>
        <v>0</v>
      </c>
      <c r="H78" s="1067">
        <f>IF([2]Vagt!H23&lt;&gt;"",[2]Vagt!H23,"")</f>
        <v>0</v>
      </c>
      <c r="I78" s="1523">
        <f>IF([2]Vagt!I23&lt;&gt;"",[2]Vagt!I23,"")</f>
        <v>38910</v>
      </c>
      <c r="J78" s="965" t="str">
        <f>IF([2]Vagt!J23&lt;&gt;"",[2]Vagt!J23,"")</f>
        <v>747b</v>
      </c>
      <c r="K78" s="965">
        <f>IF([2]Vagt!K23&lt;&gt;"",[2]Vagt!K23,"")</f>
        <v>38047</v>
      </c>
      <c r="L78" s="965" t="str">
        <f>IF([2]Vagt!L23&lt;&gt;"",[2]Vagt!L23,"")</f>
        <v>Brønshøjvej 17 - 19, Tandlæge</v>
      </c>
      <c r="M78" s="965"/>
      <c r="N78" s="1515">
        <f>IF([2]Vagt!N23&lt;&gt;"",[2]Vagt!N23,"")</f>
        <v>20320</v>
      </c>
      <c r="O78" s="970"/>
      <c r="P78" s="923"/>
      <c r="Q78" s="906"/>
    </row>
    <row r="79" spans="1:17">
      <c r="A79" s="1517">
        <f>IF([2]Vagt!A24&lt;&gt;"",[2]Vagt!A24,"")</f>
        <v>38450</v>
      </c>
      <c r="B79" s="981">
        <f>IF([2]Vagt!B24&lt;&gt;"",[2]Vagt!B24,"")</f>
        <v>122</v>
      </c>
      <c r="C79" s="982">
        <f>IF([2]Vagt!C24&lt;&gt;"",[2]Vagt!C24,"")</f>
        <v>39264</v>
      </c>
      <c r="D79" s="965" t="str">
        <f>IF([2]Vagt!D24&lt;&gt;"",[2]Vagt!D24,"")</f>
        <v>Kapelvej 47</v>
      </c>
      <c r="E79" s="965"/>
      <c r="F79" s="1533">
        <f>IF([2]Vagt!F24&lt;&gt;"",[2]Vagt!F24,"")</f>
        <v>19210</v>
      </c>
      <c r="G79" s="1066">
        <f>IF([2]Vagt!G24&lt;&gt;"",[2]Vagt!G24,"")</f>
        <v>0</v>
      </c>
      <c r="H79" s="1067">
        <f>IF([2]Vagt!H24&lt;&gt;"",[2]Vagt!H24,"")</f>
        <v>0</v>
      </c>
      <c r="I79" s="1523">
        <f>IF([2]Vagt!I24&lt;&gt;"",[2]Vagt!I24,"")</f>
        <v>11820</v>
      </c>
      <c r="J79" s="965">
        <f>IF([2]Vagt!J24&lt;&gt;"",[2]Vagt!J24,"")</f>
        <v>147</v>
      </c>
      <c r="K79" s="965">
        <f>IF([2]Vagt!K24&lt;&gt;"",[2]Vagt!K24,"")</f>
        <v>40664</v>
      </c>
      <c r="L79" s="965" t="str">
        <f>IF([2]Vagt!L24&lt;&gt;"",[2]Vagt!L24,"")</f>
        <v>ØK-KBS- Nørre Søgade 35</v>
      </c>
      <c r="M79" s="965"/>
      <c r="N79" s="1515">
        <f>IF([2]Vagt!N24&lt;&gt;"",[2]Vagt!N24,"")</f>
        <v>73322</v>
      </c>
      <c r="O79" s="970"/>
      <c r="P79" s="923"/>
      <c r="Q79" s="906"/>
    </row>
    <row r="80" spans="1:17">
      <c r="A80" s="1517">
        <f>IF([2]Vagt!A25&lt;&gt;"",[2]Vagt!A25,"")</f>
        <v>60109</v>
      </c>
      <c r="B80" s="981">
        <f>IF([2]Vagt!B25&lt;&gt;"",[2]Vagt!B25,"")</f>
        <v>128</v>
      </c>
      <c r="C80" s="982">
        <f>IF([2]Vagt!C25&lt;&gt;"",[2]Vagt!C25,"")</f>
        <v>39815</v>
      </c>
      <c r="D80" s="965" t="str">
        <f>IF([2]Vagt!D25&lt;&gt;"",[2]Vagt!D25,"")</f>
        <v>Bernstorffshus</v>
      </c>
      <c r="E80" s="965"/>
      <c r="F80" s="1533">
        <f>IF([2]Vagt!F25&lt;&gt;"",[2]Vagt!F25,"")</f>
        <v>182058</v>
      </c>
      <c r="G80" s="1066">
        <f>IF([2]Vagt!G25&lt;&gt;"",[2]Vagt!G25,"")</f>
        <v>0</v>
      </c>
      <c r="H80" s="1067" t="str">
        <f>IF([2]Vagt!H25&lt;&gt;"",[2]Vagt!H25,"")</f>
        <v>Fordeling</v>
      </c>
      <c r="I80" s="1523">
        <f>IF([2]Vagt!I25&lt;&gt;"",[2]Vagt!I25,"")</f>
        <v>0</v>
      </c>
      <c r="J80" s="965">
        <f>IF([2]Vagt!J25&lt;&gt;"",[2]Vagt!J25,"")</f>
        <v>0</v>
      </c>
      <c r="K80" s="965">
        <f>IF([2]Vagt!K25&lt;&gt;"",[2]Vagt!K25,"")</f>
        <v>0</v>
      </c>
      <c r="L80" s="965">
        <f>IF([2]Vagt!L25&lt;&gt;"",[2]Vagt!L25,"")</f>
        <v>0</v>
      </c>
      <c r="M80" s="965"/>
      <c r="N80" s="1515">
        <f>IF([2]Vagt!N25&lt;&gt;"",[2]Vagt!N25,"")</f>
        <v>0</v>
      </c>
      <c r="O80" s="970"/>
      <c r="P80" s="923"/>
      <c r="Q80" s="906"/>
    </row>
    <row r="81" spans="1:17">
      <c r="A81" s="1517">
        <f>IF([2]Vagt!A26&lt;&gt;"",[2]Vagt!A26,"")</f>
        <v>37105</v>
      </c>
      <c r="B81" s="981">
        <f>IF([2]Vagt!B26&lt;&gt;"",[2]Vagt!B26,"")</f>
        <v>129</v>
      </c>
      <c r="C81" s="982">
        <f>IF([2]Vagt!C26&lt;&gt;"",[2]Vagt!C26,"")</f>
        <v>39904</v>
      </c>
      <c r="D81" s="965" t="str">
        <f>IF([2]Vagt!D26&lt;&gt;"",[2]Vagt!D26,"")</f>
        <v>Vester Voldgade 87, 3. sal</v>
      </c>
      <c r="E81" s="965"/>
      <c r="F81" s="1533">
        <f>IF([2]Vagt!F26&lt;&gt;"",[2]Vagt!F26,"")</f>
        <v>19588</v>
      </c>
      <c r="G81" s="1522" t="str">
        <f>IF([2]Vagt!G26&lt;&gt;"",[2]Vagt!G26,"")</f>
        <v>Opsagt 31-12-13</v>
      </c>
      <c r="H81" s="1521" t="str">
        <f>IF([2]Vagt!H26&lt;&gt;"",[2]Vagt!H26,"")</f>
        <v>43,37 %</v>
      </c>
      <c r="I81" s="1524">
        <f>IF([2]Vagt!I26&lt;&gt;"",[2]Vagt!I26,"")</f>
        <v>31404</v>
      </c>
      <c r="J81" s="1520">
        <f>IF([2]Vagt!J26&lt;&gt;"",[2]Vagt!J26,"")</f>
        <v>758</v>
      </c>
      <c r="K81" s="1520">
        <f>IF([2]Vagt!K26&lt;&gt;"",[2]Vagt!K26,"")</f>
        <v>37500</v>
      </c>
      <c r="L81" s="1520" t="str">
        <f>IF([2]Vagt!L26&lt;&gt;"",[2]Vagt!L26,"")</f>
        <v>Jemtelandgade 3 KKU</v>
      </c>
      <c r="M81" s="1520"/>
      <c r="N81" s="1535">
        <f>IF([2]Vagt!N26&lt;&gt;"",[2]Vagt!N26,"")</f>
        <v>40863</v>
      </c>
      <c r="O81" s="996"/>
      <c r="P81" s="923"/>
      <c r="Q81" s="906"/>
    </row>
    <row r="82" spans="1:17">
      <c r="A82" s="1517">
        <f>IF([2]Vagt!A27&lt;&gt;"",[2]Vagt!A27,"")</f>
        <v>69707</v>
      </c>
      <c r="B82" s="981">
        <f>IF([2]Vagt!B27&lt;&gt;"",[2]Vagt!B27,"")</f>
        <v>130</v>
      </c>
      <c r="C82" s="982">
        <f>IF([2]Vagt!C27&lt;&gt;"",[2]Vagt!C27,"")</f>
        <v>39918</v>
      </c>
      <c r="D82" s="965" t="str">
        <f>IF([2]Vagt!D27&lt;&gt;"",[2]Vagt!D27,"")</f>
        <v>Rådhuspladsen 77, 1. sal</v>
      </c>
      <c r="E82" s="965"/>
      <c r="F82" s="1533">
        <f>IF([2]Vagt!F27&lt;&gt;"",[2]Vagt!F27,"")</f>
        <v>30341</v>
      </c>
      <c r="G82" s="1066" t="str">
        <f>IF([2]Vagt!G27&lt;&gt;"",[2]Vagt!G27,"")</f>
        <v/>
      </c>
      <c r="H82" s="1521" t="str">
        <f>IF([2]Vagt!H27&lt;&gt;"",[2]Vagt!H27,"")</f>
        <v>18,16%</v>
      </c>
      <c r="I82" s="1524">
        <f>IF([2]Vagt!I27&lt;&gt;"",[2]Vagt!I27,"")</f>
        <v>51302</v>
      </c>
      <c r="J82" s="1520">
        <f>IF([2]Vagt!J27&lt;&gt;"",[2]Vagt!J27,"")</f>
        <v>114</v>
      </c>
      <c r="K82" s="1520">
        <f>IF([2]Vagt!K27&lt;&gt;"",[2]Vagt!K27,"")</f>
        <v>40544</v>
      </c>
      <c r="L82" s="1520" t="str">
        <f>IF([2]Vagt!L27&lt;&gt;"",[2]Vagt!L27,"")</f>
        <v>Jemtelandgade 3 Kvarterløft</v>
      </c>
      <c r="M82" s="1520"/>
      <c r="N82" s="1535">
        <f>IF([2]Vagt!N27&lt;&gt;"",[2]Vagt!N27,"")</f>
        <v>17108</v>
      </c>
      <c r="O82" s="996"/>
      <c r="P82" s="923"/>
      <c r="Q82" s="906"/>
    </row>
    <row r="83" spans="1:17">
      <c r="A83" s="1517">
        <f>IF([2]Vagt!A28&lt;&gt;"",[2]Vagt!A28,"")</f>
        <v>19020</v>
      </c>
      <c r="B83" s="981">
        <f>IF([2]Vagt!B28&lt;&gt;"",[2]Vagt!B28,"")</f>
        <v>131</v>
      </c>
      <c r="C83" s="982">
        <f>IF([2]Vagt!C28&lt;&gt;"",[2]Vagt!C28,"")</f>
        <v>40238</v>
      </c>
      <c r="D83" s="965" t="str">
        <f>IF([2]Vagt!D28&lt;&gt;"",[2]Vagt!D28,"")</f>
        <v>Ottiliavej 1, opsagt 1-7-13</v>
      </c>
      <c r="E83" s="965"/>
      <c r="F83" s="1533">
        <f>IF([2]Vagt!F28&lt;&gt;"",[2]Vagt!F28,"")</f>
        <v>105128</v>
      </c>
      <c r="G83" s="1066">
        <f>IF([2]Vagt!G28&lt;&gt;"",[2]Vagt!G28,"")</f>
        <v>0</v>
      </c>
      <c r="H83" s="1521" t="str">
        <f>IF([2]Vagt!H28&lt;&gt;"",[2]Vagt!H28,"")</f>
        <v>38,47 %</v>
      </c>
      <c r="I83" s="1524">
        <f>IF([2]Vagt!I28&lt;&gt;"",[2]Vagt!I28,"")</f>
        <v>53204</v>
      </c>
      <c r="J83" s="1520">
        <f>IF([2]Vagt!J28&lt;&gt;"",[2]Vagt!J28,"")</f>
        <v>114</v>
      </c>
      <c r="K83" s="1520">
        <f>IF([2]Vagt!K28&lt;&gt;"",[2]Vagt!K28,"")</f>
        <v>40544</v>
      </c>
      <c r="L83" s="1520" t="str">
        <f>IF([2]Vagt!L28&lt;&gt;"",[2]Vagt!L28,"")</f>
        <v>Jemtelandgade 3 bibliotek</v>
      </c>
      <c r="M83" s="1520"/>
      <c r="N83" s="1535">
        <f>IF([2]Vagt!N28&lt;&gt;"",[2]Vagt!N28,"")</f>
        <v>36392</v>
      </c>
      <c r="O83" s="996"/>
      <c r="P83" s="923"/>
      <c r="Q83" s="906"/>
    </row>
    <row r="84" spans="1:17">
      <c r="A84" s="1517">
        <f>IF([2]Vagt!A29&lt;&gt;"",[2]Vagt!A29,"")</f>
        <v>54116</v>
      </c>
      <c r="B84" s="981">
        <f>IF([2]Vagt!B29&lt;&gt;"",[2]Vagt!B29,"")</f>
        <v>132</v>
      </c>
      <c r="C84" s="982">
        <f>IF([2]Vagt!C29&lt;&gt;"",[2]Vagt!C29,"")</f>
        <v>40057</v>
      </c>
      <c r="D84" s="965" t="str">
        <f>IF([2]Vagt!D29&lt;&gt;"",[2]Vagt!D29,"")</f>
        <v>Hans Nansens Gård (Kejd)(FM)</v>
      </c>
      <c r="E84" s="965"/>
      <c r="F84" s="1533">
        <f>IF([2]Vagt!F29&lt;&gt;"",[2]Vagt!F29,"")</f>
        <v>185444</v>
      </c>
      <c r="G84" s="1066">
        <f>IF([2]Vagt!G29&lt;&gt;"",[2]Vagt!G29,"")</f>
        <v>0</v>
      </c>
      <c r="H84" s="1067">
        <f>IF([2]Vagt!H29&lt;&gt;"",[2]Vagt!H29,"")</f>
        <v>0</v>
      </c>
      <c r="I84" s="1523">
        <f>IF([2]Vagt!I29&lt;&gt;"",[2]Vagt!I29,"")</f>
        <v>62300</v>
      </c>
      <c r="J84" s="965">
        <f>IF([2]Vagt!J29&lt;&gt;"",[2]Vagt!J29,"")</f>
        <v>149</v>
      </c>
      <c r="K84" s="965">
        <f>IF([2]Vagt!K29&lt;&gt;"",[2]Vagt!K29,"")</f>
        <v>40544</v>
      </c>
      <c r="L84" s="965" t="str">
        <f>IF([2]Vagt!L29&lt;&gt;"",[2]Vagt!L29,"")</f>
        <v>Spaniensgade 25, BFCK-Amager øst</v>
      </c>
      <c r="M84" s="965"/>
      <c r="N84" s="1515">
        <f>IF([2]Vagt!N29&lt;&gt;"",[2]Vagt!N29,"")</f>
        <v>50968</v>
      </c>
      <c r="O84" s="996"/>
      <c r="P84" s="923"/>
      <c r="Q84" s="906"/>
    </row>
    <row r="85" spans="1:17">
      <c r="A85" s="1517">
        <f>IF([2]Vagt!A30&lt;&gt;"",[2]Vagt!A30,"")</f>
        <v>38050</v>
      </c>
      <c r="B85" s="981" t="str">
        <f>IF([2]Vagt!B30&lt;&gt;"",[2]Vagt!B30,"")</f>
        <v>724 a</v>
      </c>
      <c r="C85" s="982">
        <f>IF([2]Vagt!C30&lt;&gt;"",[2]Vagt!C30,"")</f>
        <v>39448</v>
      </c>
      <c r="D85" s="965" t="str">
        <f>IF([2]Vagt!D30&lt;&gt;"",[2]Vagt!D30,"")</f>
        <v>Stormgade 18 (BUF)</v>
      </c>
      <c r="E85" s="965"/>
      <c r="F85" s="1533">
        <f>IF([2]Vagt!F30&lt;&gt;"",[2]Vagt!F30,"")</f>
        <v>31198</v>
      </c>
      <c r="G85" s="1066">
        <f>IF([2]Vagt!G30&lt;&gt;"",[2]Vagt!G30,"")</f>
        <v>0</v>
      </c>
      <c r="H85" s="1067">
        <f>IF([2]Vagt!H30&lt;&gt;"",[2]Vagt!H30,"")</f>
        <v>0</v>
      </c>
      <c r="I85" s="1523">
        <f>IF([2]Vagt!I30&lt;&gt;"",[2]Vagt!I30,"")</f>
        <v>62300</v>
      </c>
      <c r="J85" s="965">
        <f>IF([2]Vagt!J30&lt;&gt;"",[2]Vagt!J30,"")</f>
        <v>148</v>
      </c>
      <c r="K85" s="965">
        <f>IF([2]Vagt!K30&lt;&gt;"",[2]Vagt!K30,"")</f>
        <v>40544</v>
      </c>
      <c r="L85" s="965" t="str">
        <f>IF([2]Vagt!L30&lt;&gt;"",[2]Vagt!L30,"")</f>
        <v>Remisevej 19, BFCK-Amager vest</v>
      </c>
      <c r="M85" s="965"/>
      <c r="N85" s="1515">
        <f>IF([2]Vagt!N30&lt;&gt;"",[2]Vagt!N30,"")</f>
        <v>58483</v>
      </c>
      <c r="O85" s="996"/>
      <c r="P85" s="923"/>
      <c r="Q85" s="906"/>
    </row>
    <row r="86" spans="1:17">
      <c r="A86" s="1517">
        <f>IF([2]Vagt!A31&lt;&gt;"",[2]Vagt!A31,"")</f>
        <v>54100</v>
      </c>
      <c r="B86" s="981">
        <f>IF([2]Vagt!B31&lt;&gt;"",[2]Vagt!B31,"")</f>
        <v>133</v>
      </c>
      <c r="C86" s="982">
        <f>IF([2]Vagt!C31&lt;&gt;"",[2]Vagt!C31,"")</f>
        <v>40040</v>
      </c>
      <c r="D86" s="965" t="str">
        <f>IF([2]Vagt!D31&lt;&gt;"",[2]Vagt!D31,"")</f>
        <v>Den Hvide Kødby (vagtkørsel)</v>
      </c>
      <c r="E86" s="965"/>
      <c r="F86" s="1533">
        <f>IF([2]Vagt!F31&lt;&gt;"",[2]Vagt!F31,"")</f>
        <v>0</v>
      </c>
      <c r="G86" s="1066" t="str">
        <f>IF([2]Vagt!G31&lt;&gt;"",[2]Vagt!G31,"")</f>
        <v>18.553 pr. måned(Per sender regning hver måned</v>
      </c>
      <c r="H86" s="1067">
        <f>IF([2]Vagt!H31&lt;&gt;"",[2]Vagt!H31,"")</f>
        <v>0</v>
      </c>
      <c r="I86" s="1523">
        <f>IF([2]Vagt!I31&lt;&gt;"",[2]Vagt!I31,"")</f>
        <v>40010</v>
      </c>
      <c r="J86" s="965">
        <f>IF([2]Vagt!J31&lt;&gt;"",[2]Vagt!J31,"")</f>
        <v>900</v>
      </c>
      <c r="K86" s="965">
        <f>IF([2]Vagt!K31&lt;&gt;"",[2]Vagt!K31,"")</f>
        <v>38353</v>
      </c>
      <c r="L86" s="965" t="str">
        <f>IF([2]Vagt!L31&lt;&gt;"",[2]Vagt!L31,"")</f>
        <v>Miljøkontrollen (tlf. eksp.)</v>
      </c>
      <c r="M86" s="965"/>
      <c r="N86" s="1515">
        <f>IF([2]Vagt!N31&lt;&gt;"",[2]Vagt!N31,"")</f>
        <v>4251</v>
      </c>
      <c r="O86" s="996"/>
      <c r="P86" s="923"/>
      <c r="Q86" s="906"/>
    </row>
    <row r="87" spans="1:17">
      <c r="A87" s="1517">
        <f>IF([2]Vagt!A32&lt;&gt;"",[2]Vagt!A32,"")</f>
        <v>62200</v>
      </c>
      <c r="B87" s="981">
        <f>IF([2]Vagt!B32&lt;&gt;"",[2]Vagt!B32,"")</f>
        <v>127</v>
      </c>
      <c r="C87" s="1526" t="str">
        <f>IF([2]Vagt!C32&lt;&gt;"",[2]Vagt!C32,"")</f>
        <v>1. januar 2013</v>
      </c>
      <c r="D87" s="965" t="str">
        <f>IF([2]Vagt!D32&lt;&gt;"",[2]Vagt!D32,"")</f>
        <v>Matthæusgade 1</v>
      </c>
      <c r="E87" s="965"/>
      <c r="F87" s="1533">
        <f>IF([2]Vagt!F32&lt;&gt;"",[2]Vagt!F32,"")</f>
        <v>86231</v>
      </c>
      <c r="G87" s="1066">
        <f>IF([2]Vagt!G32&lt;&gt;"",[2]Vagt!G32,"")</f>
        <v>0</v>
      </c>
      <c r="H87" s="1067">
        <f>IF([2]Vagt!H32&lt;&gt;"",[2]Vagt!H32,"")</f>
        <v>0</v>
      </c>
      <c r="I87" s="1523">
        <f>IF([2]Vagt!I32&lt;&gt;"",[2]Vagt!I32,"")</f>
        <v>38400</v>
      </c>
      <c r="J87" s="965">
        <f>IF([2]Vagt!J32&lt;&gt;"",[2]Vagt!J32,"")</f>
        <v>138</v>
      </c>
      <c r="K87" s="965">
        <f>IF([2]Vagt!K32&lt;&gt;"",[2]Vagt!K32,"")</f>
        <v>40544</v>
      </c>
      <c r="L87" s="965" t="str">
        <f>IF([2]Vagt!L32&lt;&gt;"",[2]Vagt!L32,"")</f>
        <v>BUF-Linde Alle 40-44</v>
      </c>
      <c r="M87" s="965"/>
      <c r="N87" s="1515">
        <f>IF([2]Vagt!N32&lt;&gt;"",[2]Vagt!N32,"")</f>
        <v>29801</v>
      </c>
      <c r="O87" s="996"/>
      <c r="P87" s="923"/>
      <c r="Q87" s="906"/>
    </row>
    <row r="88" spans="1:17">
      <c r="A88" s="1517">
        <f>IF([2]Vagt!A33&lt;&gt;"",[2]Vagt!A33,"")</f>
        <v>39610</v>
      </c>
      <c r="B88" s="981">
        <f>IF([2]Vagt!B33&lt;&gt;"",[2]Vagt!B33,"")</f>
        <v>153</v>
      </c>
      <c r="C88" s="1526" t="str">
        <f>IF([2]Vagt!C33&lt;&gt;"",[2]Vagt!C33,"")</f>
        <v>1. januar 2013</v>
      </c>
      <c r="D88" s="965" t="str">
        <f>IF([2]Vagt!D33&lt;&gt;"",[2]Vagt!D33,"")</f>
        <v>BUF Skolesupport</v>
      </c>
      <c r="E88" s="965"/>
      <c r="F88" s="1533">
        <f>IF([2]Vagt!F33&lt;&gt;"",[2]Vagt!F33,"")</f>
        <v>160000</v>
      </c>
      <c r="G88" s="1066" t="str">
        <f>IF([2]Vagt!G33&lt;&gt;"",[2]Vagt!G33,"")</f>
        <v/>
      </c>
      <c r="H88" s="1067">
        <f>IF([2]Vagt!H33&lt;&gt;"",[2]Vagt!H33,"")</f>
        <v>0</v>
      </c>
      <c r="I88" s="1523">
        <f>IF([2]Vagt!I33&lt;&gt;"",[2]Vagt!I33,"")</f>
        <v>37103</v>
      </c>
      <c r="J88" s="965">
        <f>IF([2]Vagt!J33&lt;&gt;"",[2]Vagt!J33,"")</f>
        <v>139</v>
      </c>
      <c r="K88" s="965">
        <f>IF([2]Vagt!K33&lt;&gt;"",[2]Vagt!K33,"")</f>
        <v>40544</v>
      </c>
      <c r="L88" s="965" t="str">
        <f>IF([2]Vagt!L33&lt;&gt;"",[2]Vagt!L33,"")</f>
        <v>BUF-Linde Alle 40-44 (Dagplejekontor)</v>
      </c>
      <c r="M88" s="965"/>
      <c r="N88" s="1515">
        <f>IF([2]Vagt!N33&lt;&gt;"",[2]Vagt!N33,"")</f>
        <v>9933</v>
      </c>
      <c r="O88" s="996"/>
      <c r="P88" s="923"/>
      <c r="Q88" s="906"/>
    </row>
    <row r="89" spans="1:17">
      <c r="A89" s="1517">
        <f>IF([2]Vagt!A34&lt;&gt;"",[2]Vagt!A34,"")</f>
        <v>53201</v>
      </c>
      <c r="B89" s="981">
        <f>IF([2]Vagt!B34&lt;&gt;"",[2]Vagt!B34,"")</f>
        <v>154</v>
      </c>
      <c r="C89" s="1526" t="str">
        <f>IF([2]Vagt!C34&lt;&gt;"",[2]Vagt!C34,"")</f>
        <v>1.marts 2013</v>
      </c>
      <c r="D89" s="965" t="str">
        <f>IF([2]Vagt!D34&lt;&gt;"",[2]Vagt!D34,"")</f>
        <v>KFF Biblioteket Njalsgade</v>
      </c>
      <c r="E89" s="965"/>
      <c r="F89" s="1533">
        <f>IF([2]Vagt!F34&lt;&gt;"",[2]Vagt!F34,"")</f>
        <v>31937</v>
      </c>
      <c r="G89" s="1522" t="str">
        <f>IF([2]Vagt!G34&lt;&gt;"",[2]Vagt!G34,"")</f>
        <v>Årligt 38.325</v>
      </c>
      <c r="H89" s="1067">
        <f>IF([2]Vagt!H34&lt;&gt;"",[2]Vagt!H34,"")</f>
        <v>0</v>
      </c>
      <c r="I89" s="1523">
        <f>IF([2]Vagt!I34&lt;&gt;"",[2]Vagt!I34,"")</f>
        <v>20100</v>
      </c>
      <c r="J89" s="1525" t="str">
        <f>IF([2]Vagt!J34&lt;&gt;"",[2]Vagt!J34,"")</f>
        <v>Rådhuset</v>
      </c>
      <c r="K89" s="965">
        <f>IF([2]Vagt!K34&lt;&gt;"",[2]Vagt!K34,"")</f>
        <v>40179</v>
      </c>
      <c r="L89" s="965" t="str">
        <f>IF([2]Vagt!L34&lt;&gt;"",[2]Vagt!L34,"")</f>
        <v>SUF</v>
      </c>
      <c r="M89" s="965"/>
      <c r="N89" s="1515">
        <f>IF([2]Vagt!N34&lt;&gt;"",[2]Vagt!N34,"")</f>
        <v>574430</v>
      </c>
      <c r="O89" s="999"/>
      <c r="P89" s="923"/>
      <c r="Q89" s="906"/>
    </row>
    <row r="90" spans="1:17">
      <c r="A90" s="1517">
        <f>IF([2]Vagt!A35&lt;&gt;"",[2]Vagt!A35,"")</f>
        <v>28100</v>
      </c>
      <c r="B90" s="981">
        <f>IF([2]Vagt!B35&lt;&gt;"",[2]Vagt!B35,"")</f>
        <v>728</v>
      </c>
      <c r="C90" s="982">
        <f>IF([2]Vagt!C35&lt;&gt;"",[2]Vagt!C35,"")</f>
        <v>38846</v>
      </c>
      <c r="D90" s="965" t="str">
        <f>IF([2]Vagt!D35&lt;&gt;"",[2]Vagt!D35,"")</f>
        <v>Enghavevej</v>
      </c>
      <c r="E90" s="965"/>
      <c r="F90" s="1533">
        <f>IF([2]Vagt!F35&lt;&gt;"",[2]Vagt!F35,"")</f>
        <v>75118</v>
      </c>
      <c r="G90" s="1522">
        <f>IF([2]Vagt!G35&lt;&gt;"",[2]Vagt!G35,"")</f>
        <v>0</v>
      </c>
      <c r="H90" s="1067">
        <f>IF([2]Vagt!H35&lt;&gt;"",[2]Vagt!H35,"")</f>
        <v>0</v>
      </c>
      <c r="I90" s="1523">
        <f>IF([2]Vagt!I35&lt;&gt;"",[2]Vagt!I35,"")</f>
        <v>80005</v>
      </c>
      <c r="J90" s="1525" t="str">
        <f>IF([2]Vagt!J35&lt;&gt;"",[2]Vagt!J35,"")</f>
        <v>Rådhuset</v>
      </c>
      <c r="K90" s="965">
        <f>IF([2]Vagt!K35&lt;&gt;"",[2]Vagt!K35,"")</f>
        <v>40179</v>
      </c>
      <c r="L90" s="965" t="str">
        <f>IF([2]Vagt!L35&lt;&gt;"",[2]Vagt!L35,"")</f>
        <v>BIF</v>
      </c>
      <c r="M90" s="965"/>
      <c r="N90" s="1515">
        <f>IF([2]Vagt!N35&lt;&gt;"",[2]Vagt!N35,"")</f>
        <v>514799</v>
      </c>
      <c r="O90" s="999"/>
      <c r="P90" s="923"/>
      <c r="Q90" s="906"/>
    </row>
    <row r="91" spans="1:17">
      <c r="A91" s="1517">
        <f>IF([2]Vagt!A36&lt;&gt;"",[2]Vagt!A36,"")</f>
        <v>82500</v>
      </c>
      <c r="B91" s="981">
        <f>IF([2]Vagt!B36&lt;&gt;"",[2]Vagt!B36,"")</f>
        <v>151</v>
      </c>
      <c r="C91" s="982">
        <f>IF([2]Vagt!C36&lt;&gt;"",[2]Vagt!C36,"")</f>
        <v>40603</v>
      </c>
      <c r="D91" s="965" t="str">
        <f>IF([2]Vagt!D36&lt;&gt;"",[2]Vagt!D36,"")</f>
        <v>BIF-Baldersgade 24</v>
      </c>
      <c r="E91" s="965"/>
      <c r="F91" s="1533">
        <f>IF([2]Vagt!F36&lt;&gt;"",[2]Vagt!F36,"")</f>
        <v>96608</v>
      </c>
      <c r="G91" s="1522" t="str">
        <f>IF([2]Vagt!G36&lt;&gt;"",[2]Vagt!G36,"")</f>
        <v/>
      </c>
      <c r="H91" s="1067">
        <f>IF([2]Vagt!H36&lt;&gt;"",[2]Vagt!H36,"")</f>
        <v>0</v>
      </c>
      <c r="I91" s="1523">
        <f>IF([2]Vagt!I36&lt;&gt;"",[2]Vagt!I36,"")</f>
        <v>39630</v>
      </c>
      <c r="J91" s="1525" t="str">
        <f>IF([2]Vagt!J36&lt;&gt;"",[2]Vagt!J36,"")</f>
        <v>Rådhuset</v>
      </c>
      <c r="K91" s="965">
        <f>IF([2]Vagt!K36&lt;&gt;"",[2]Vagt!K36,"")</f>
        <v>40179</v>
      </c>
      <c r="L91" s="965" t="str">
        <f>IF([2]Vagt!L36&lt;&gt;"",[2]Vagt!L36,"")</f>
        <v>BUF</v>
      </c>
      <c r="M91" s="965"/>
      <c r="N91" s="1515">
        <f>IF([2]Vagt!N36&lt;&gt;"",[2]Vagt!N36,"")</f>
        <v>588772</v>
      </c>
      <c r="O91" s="999"/>
      <c r="P91" s="923"/>
      <c r="Q91" s="906"/>
    </row>
    <row r="92" spans="1:17">
      <c r="A92" s="1517">
        <f>IF([2]Vagt!A37&lt;&gt;"",[2]Vagt!A37,"")</f>
        <v>82505</v>
      </c>
      <c r="B92" s="981">
        <f>IF([2]Vagt!B37&lt;&gt;"",[2]Vagt!B37,"")</f>
        <v>152</v>
      </c>
      <c r="C92" s="982">
        <f>IF([2]Vagt!C37&lt;&gt;"",[2]Vagt!C37,"")</f>
        <v>40603</v>
      </c>
      <c r="D92" s="965" t="str">
        <f>IF([2]Vagt!D37&lt;&gt;"",[2]Vagt!D37,"")</f>
        <v>BIF-Baldersgade 3B, 1. + 3. sal</v>
      </c>
      <c r="E92" s="965"/>
      <c r="F92" s="1533">
        <f>IF([2]Vagt!F37&lt;&gt;"",[2]Vagt!F37,"")</f>
        <v>42418</v>
      </c>
      <c r="G92" s="1522">
        <f>IF([2]Vagt!G37&lt;&gt;"",[2]Vagt!G37,"")</f>
        <v>0</v>
      </c>
      <c r="H92" s="1067">
        <f>IF([2]Vagt!H37&lt;&gt;"",[2]Vagt!H37,"")</f>
        <v>0</v>
      </c>
      <c r="I92" s="1523">
        <f>IF([2]Vagt!I37&lt;&gt;"",[2]Vagt!I37,"")</f>
        <v>49700</v>
      </c>
      <c r="J92" s="1525" t="str">
        <f>IF([2]Vagt!J37&lt;&gt;"",[2]Vagt!J37,"")</f>
        <v>Rådhuset</v>
      </c>
      <c r="K92" s="965">
        <f>IF([2]Vagt!K37&lt;&gt;"",[2]Vagt!K37,"")</f>
        <v>40179</v>
      </c>
      <c r="L92" s="965" t="str">
        <f>IF([2]Vagt!L37&lt;&gt;"",[2]Vagt!L37,"")</f>
        <v>TMF</v>
      </c>
      <c r="M92" s="965"/>
      <c r="N92" s="1515">
        <f>IF([2]Vagt!N37&lt;&gt;"",[2]Vagt!N37,"")</f>
        <v>551984</v>
      </c>
      <c r="O92" s="970"/>
      <c r="P92" s="923"/>
      <c r="Q92" s="906"/>
    </row>
    <row r="93" spans="1:17">
      <c r="A93" s="1517">
        <f>IF([2]Vagt!A38&lt;&gt;"",[2]Vagt!A38,"")</f>
        <v>62400</v>
      </c>
      <c r="B93" s="981">
        <f>IF([2]Vagt!B38&lt;&gt;"",[2]Vagt!B38,"")</f>
        <v>141</v>
      </c>
      <c r="C93" s="982">
        <f>IF([2]Vagt!C38&lt;&gt;"",[2]Vagt!C38,"")</f>
        <v>40544</v>
      </c>
      <c r="D93" s="965" t="str">
        <f>IF([2]Vagt!D38&lt;&gt;"",[2]Vagt!D38,"")</f>
        <v>SOF-Nørre Voldgade 15, 1. sal</v>
      </c>
      <c r="E93" s="965"/>
      <c r="F93" s="1533">
        <f>IF([2]Vagt!F38&lt;&gt;"",[2]Vagt!F38,"")</f>
        <v>18618</v>
      </c>
      <c r="G93" s="1522" t="str">
        <f>IF([2]Vagt!G38&lt;&gt;"",[2]Vagt!G38,"")</f>
        <v>637 m2 af 28,19</v>
      </c>
      <c r="H93" s="1067">
        <f>IF([2]Vagt!H38&lt;&gt;"",[2]Vagt!H38,"")</f>
        <v>0</v>
      </c>
      <c r="I93" s="1523">
        <f>IF([2]Vagt!I38&lt;&gt;"",[2]Vagt!I38,"")</f>
        <v>60109</v>
      </c>
      <c r="J93" s="1525" t="str">
        <f>IF([2]Vagt!J38&lt;&gt;"",[2]Vagt!J38,"")</f>
        <v>Rådhuset</v>
      </c>
      <c r="K93" s="965">
        <f>IF([2]Vagt!K38&lt;&gt;"",[2]Vagt!K38,"")</f>
        <v>40179</v>
      </c>
      <c r="L93" s="965" t="str">
        <f>IF([2]Vagt!L38&lt;&gt;"",[2]Vagt!L38,"")</f>
        <v>SOF</v>
      </c>
      <c r="M93" s="965"/>
      <c r="N93" s="1515">
        <f>IF([2]Vagt!N38&lt;&gt;"",[2]Vagt!N38,"")</f>
        <v>729644</v>
      </c>
      <c r="O93" s="1006"/>
      <c r="P93" s="923"/>
      <c r="Q93" s="906"/>
    </row>
    <row r="94" spans="1:17">
      <c r="A94" s="1517">
        <f>IF([2]Vagt!A39&lt;&gt;"",[2]Vagt!A39,"")</f>
        <v>60109</v>
      </c>
      <c r="B94" s="981">
        <f>IF([2]Vagt!B39&lt;&gt;"",[2]Vagt!B39,"")</f>
        <v>142</v>
      </c>
      <c r="C94" s="982">
        <f>IF([2]Vagt!C39&lt;&gt;"",[2]Vagt!C39,"")</f>
        <v>40544</v>
      </c>
      <c r="D94" s="965" t="str">
        <f>IF([2]Vagt!D39&lt;&gt;"",[2]Vagt!D39,"")</f>
        <v>SOF-Nørre Voldgade 15, 1.2.4.5.sal</v>
      </c>
      <c r="E94" s="965"/>
      <c r="F94" s="1533">
        <f>IF([2]Vagt!F39&lt;&gt;"",[2]Vagt!F39,"")</f>
        <v>54291</v>
      </c>
      <c r="G94" s="1522" t="str">
        <f>IF([2]Vagt!G39&lt;&gt;"",[2]Vagt!G39,"")</f>
        <v>1890 m2 af 28,19</v>
      </c>
      <c r="H94" s="1067">
        <f>IF([2]Vagt!H39&lt;&gt;"",[2]Vagt!H39,"")</f>
        <v>0</v>
      </c>
      <c r="I94" s="1523">
        <f>IF([2]Vagt!I39&lt;&gt;"",[2]Vagt!I39,"")</f>
        <v>11023</v>
      </c>
      <c r="J94" s="1525" t="str">
        <f>IF([2]Vagt!J39&lt;&gt;"",[2]Vagt!J39,"")</f>
        <v>Rådhuset</v>
      </c>
      <c r="K94" s="965">
        <f>IF([2]Vagt!K39&lt;&gt;"",[2]Vagt!K39,"")</f>
        <v>40179</v>
      </c>
      <c r="L94" s="965" t="str">
        <f>IF([2]Vagt!L39&lt;&gt;"",[2]Vagt!L39,"")</f>
        <v>ØKF</v>
      </c>
      <c r="M94" s="965"/>
      <c r="N94" s="1515">
        <f>IF([2]Vagt!N39&lt;&gt;"",[2]Vagt!N39,"")</f>
        <v>4190160</v>
      </c>
      <c r="O94" s="1006"/>
      <c r="P94" s="923"/>
      <c r="Q94" s="906"/>
    </row>
    <row r="95" spans="1:17">
      <c r="A95" s="1517">
        <f>IF([2]Vagt!A40&lt;&gt;"",[2]Vagt!A40,"")</f>
        <v>67004</v>
      </c>
      <c r="B95" s="981">
        <f>IF([2]Vagt!B40&lt;&gt;"",[2]Vagt!B40,"")</f>
        <v>143</v>
      </c>
      <c r="C95" s="982">
        <f>IF([2]Vagt!C40&lt;&gt;"",[2]Vagt!C40,"")</f>
        <v>40544</v>
      </c>
      <c r="D95" s="965" t="str">
        <f>IF([2]Vagt!D40&lt;&gt;"",[2]Vagt!D40,"")</f>
        <v>SOF-Nørre Voldgade 15, 5. sal</v>
      </c>
      <c r="E95" s="965"/>
      <c r="F95" s="1533">
        <f>IF([2]Vagt!F40&lt;&gt;"",[2]Vagt!F40,"")</f>
        <v>1695</v>
      </c>
      <c r="G95" s="1522" t="str">
        <f>IF([2]Vagt!G40&lt;&gt;"",[2]Vagt!G40,"")</f>
        <v>58 m2 af 28,19</v>
      </c>
      <c r="H95" s="1067">
        <f>IF([2]Vagt!H40&lt;&gt;"",[2]Vagt!H40,"")</f>
        <v>0</v>
      </c>
      <c r="I95" s="1523">
        <f>IF([2]Vagt!I40&lt;&gt;"",[2]Vagt!I40,"")</f>
        <v>11023</v>
      </c>
      <c r="J95" s="1525" t="str">
        <f>IF([2]Vagt!J40&lt;&gt;"",[2]Vagt!J40,"")</f>
        <v>Rådhuset</v>
      </c>
      <c r="K95" s="965">
        <f>IF([2]Vagt!K40&lt;&gt;"",[2]Vagt!K40,"")</f>
        <v>40179</v>
      </c>
      <c r="L95" s="965" t="str">
        <f>IF([2]Vagt!L40&lt;&gt;"",[2]Vagt!L40,"")</f>
        <v>BR</v>
      </c>
      <c r="M95" s="965"/>
      <c r="N95" s="1515">
        <f>IF([2]Vagt!N40&lt;&gt;"",[2]Vagt!N40,"")</f>
        <v>1104984</v>
      </c>
      <c r="O95" s="1006"/>
      <c r="P95" s="923"/>
      <c r="Q95" s="906"/>
    </row>
    <row r="96" spans="1:17">
      <c r="A96" s="1517">
        <f>IF([2]Vagt!A41&lt;&gt;"",[2]Vagt!A41,"")</f>
        <v>62300</v>
      </c>
      <c r="B96" s="981">
        <f>IF([2]Vagt!B41&lt;&gt;"",[2]Vagt!B41,"")</f>
        <v>144</v>
      </c>
      <c r="C96" s="982">
        <f>IF([2]Vagt!C41&lt;&gt;"",[2]Vagt!C41,"")</f>
        <v>40544</v>
      </c>
      <c r="D96" s="965" t="str">
        <f>IF([2]Vagt!D41&lt;&gt;"",[2]Vagt!D41,"")</f>
        <v>SOF-Linne Gade 16, i port 2</v>
      </c>
      <c r="E96" s="965"/>
      <c r="F96" s="1533">
        <f>IF([2]Vagt!F41&lt;&gt;"",[2]Vagt!F41,"")</f>
        <v>3799</v>
      </c>
      <c r="G96" s="1522" t="str">
        <f>IF([2]Vagt!G41&lt;&gt;"",[2]Vagt!G41,"")</f>
        <v>130 m2 af 28,19</v>
      </c>
      <c r="H96" s="1067">
        <f>IF([2]Vagt!H41&lt;&gt;"",[2]Vagt!H41,"")</f>
        <v>0</v>
      </c>
      <c r="I96" s="963" t="str">
        <f>IF([2]Vagt!I41&lt;&gt;"",[2]Vagt!I41,"")</f>
        <v>Posteres</v>
      </c>
      <c r="J96" s="1525" t="str">
        <f>IF([2]Vagt!J41&lt;&gt;"",[2]Vagt!J41,"")</f>
        <v>Rådhuset</v>
      </c>
      <c r="K96" s="965">
        <f>IF([2]Vagt!K41&lt;&gt;"",[2]Vagt!K41,"")</f>
        <v>40179</v>
      </c>
      <c r="L96" s="965" t="str">
        <f>IF([2]Vagt!L41&lt;&gt;"",[2]Vagt!L41,"")</f>
        <v>KFF</v>
      </c>
      <c r="M96" s="965"/>
      <c r="N96" s="1515">
        <f>IF([2]Vagt!N41&lt;&gt;"",[2]Vagt!N41,"")</f>
        <v>1710545</v>
      </c>
      <c r="O96" s="1006"/>
      <c r="P96" s="923"/>
      <c r="Q96" s="906"/>
    </row>
    <row r="97" spans="1:17">
      <c r="A97" s="1517">
        <f>IF([2]Vagt!A42&lt;&gt;"",[2]Vagt!A42,"")</f>
        <v>33410</v>
      </c>
      <c r="B97" s="981">
        <f>IF([2]Vagt!B42&lt;&gt;"",[2]Vagt!B42,"")</f>
        <v>145</v>
      </c>
      <c r="C97" s="982">
        <f>IF([2]Vagt!C42&lt;&gt;"",[2]Vagt!C42,"")</f>
        <v>40544</v>
      </c>
      <c r="D97" s="965" t="str">
        <f>IF([2]Vagt!D42&lt;&gt;"",[2]Vagt!D42,"")</f>
        <v>BUF-Nørre Voldgade 15, 3.5. sal</v>
      </c>
      <c r="E97" s="965"/>
      <c r="F97" s="1533">
        <f>IF([2]Vagt!F42&lt;&gt;"",[2]Vagt!F42,"")</f>
        <v>16448</v>
      </c>
      <c r="G97" s="1522" t="str">
        <f>IF([2]Vagt!G42&lt;&gt;"",[2]Vagt!G42,"")</f>
        <v>60% af 938 m2 af 28,19</v>
      </c>
      <c r="H97" s="1067">
        <f>IF([2]Vagt!H42&lt;&gt;"",[2]Vagt!H42,"")</f>
        <v>0</v>
      </c>
      <c r="I97" s="963">
        <f>IF([2]Vagt!I42&lt;&gt;"",[2]Vagt!I42,"")</f>
        <v>0</v>
      </c>
      <c r="J97" s="965">
        <f>IF([2]Vagt!J42&lt;&gt;"",[2]Vagt!J42,"")</f>
        <v>0</v>
      </c>
      <c r="K97" s="965">
        <f>IF([2]Vagt!K42&lt;&gt;"",[2]Vagt!K42,"")</f>
        <v>0</v>
      </c>
      <c r="L97" s="965">
        <f>IF([2]Vagt!L42&lt;&gt;"",[2]Vagt!L42,"")</f>
        <v>0</v>
      </c>
      <c r="M97" s="965"/>
      <c r="N97" s="1515">
        <f>IF([2]Vagt!N42&lt;&gt;"",[2]Vagt!N42,"")</f>
        <v>0</v>
      </c>
      <c r="O97" s="1006"/>
      <c r="P97" s="923"/>
      <c r="Q97" s="906"/>
    </row>
    <row r="98" spans="1:17">
      <c r="A98" s="1517">
        <f>IF([2]Vagt!A43&lt;&gt;"",[2]Vagt!A43,"")</f>
        <v>39851</v>
      </c>
      <c r="B98" s="981">
        <f>IF([2]Vagt!B43&lt;&gt;"",[2]Vagt!B43,"")</f>
        <v>146</v>
      </c>
      <c r="C98" s="982">
        <f>IF([2]Vagt!C43&lt;&gt;"",[2]Vagt!C43,"")</f>
        <v>40544</v>
      </c>
      <c r="D98" s="965" t="str">
        <f>IF([2]Vagt!D43&lt;&gt;"",[2]Vagt!D43,"")</f>
        <v>BUF-Frederiksborggade 15, 3.5. sal</v>
      </c>
      <c r="E98" s="965"/>
      <c r="F98" s="1533">
        <f>IF([2]Vagt!F43&lt;&gt;"",[2]Vagt!F43,"")</f>
        <v>10966</v>
      </c>
      <c r="G98" s="1522" t="str">
        <f>IF([2]Vagt!G43&lt;&gt;"",[2]Vagt!G43,"")</f>
        <v>40% af 938 m2 af 28,19</v>
      </c>
      <c r="H98" s="1067">
        <f>IF([2]Vagt!H43&lt;&gt;"",[2]Vagt!H43,"")</f>
        <v>0</v>
      </c>
      <c r="I98" s="963">
        <f>IF([2]Vagt!I43&lt;&gt;"",[2]Vagt!I43,"")</f>
        <v>0</v>
      </c>
      <c r="J98" s="965">
        <f>IF([2]Vagt!J43&lt;&gt;"",[2]Vagt!J43,"")</f>
        <v>0</v>
      </c>
      <c r="K98" s="965">
        <f>IF([2]Vagt!K43&lt;&gt;"",[2]Vagt!K43,"")</f>
        <v>0</v>
      </c>
      <c r="L98" s="965">
        <f>IF([2]Vagt!L43&lt;&gt;"",[2]Vagt!L43,"")</f>
        <v>0</v>
      </c>
      <c r="M98" s="965"/>
      <c r="N98" s="1515">
        <f>IF([2]Vagt!N43&lt;&gt;"",[2]Vagt!N43,"")</f>
        <v>0</v>
      </c>
      <c r="O98" s="1006"/>
      <c r="P98" s="923"/>
      <c r="Q98" s="906"/>
    </row>
    <row r="99" spans="1:17" ht="13.5" thickBot="1">
      <c r="A99" s="1531">
        <f>IF([2]Vagt!A44&lt;&gt;"",[2]Vagt!A44,"")</f>
        <v>31139</v>
      </c>
      <c r="B99" s="1180">
        <f>IF([2]Vagt!B44&lt;&gt;"",[2]Vagt!B44,"")</f>
        <v>111</v>
      </c>
      <c r="C99" s="1532">
        <f>IF([2]Vagt!C44&lt;&gt;"",[2]Vagt!C44,"")</f>
        <v>40634</v>
      </c>
      <c r="D99" s="1180" t="str">
        <f>IF([2]Vagt!D44&lt;&gt;"",[2]Vagt!D44,"")</f>
        <v>BUF-Gasværksvej 22 (skole)</v>
      </c>
      <c r="E99" s="1180"/>
      <c r="F99" s="1534">
        <f>IF([2]Vagt!F44&lt;&gt;"",[2]Vagt!F44,"")</f>
        <v>59597</v>
      </c>
      <c r="G99" s="1522">
        <f>IF([2]Vagt!G44&lt;&gt;"",[2]Vagt!G44,"")</f>
        <v>0</v>
      </c>
      <c r="H99" s="1067">
        <f>IF([2]Vagt!H44&lt;&gt;"",[2]Vagt!H44,"")</f>
        <v>0</v>
      </c>
      <c r="I99" s="963">
        <f>IF([2]Vagt!I44&lt;&gt;"",[2]Vagt!I44,"")</f>
        <v>0</v>
      </c>
      <c r="J99" s="965">
        <f>IF([2]Vagt!J44&lt;&gt;"",[2]Vagt!J44,"")</f>
        <v>0</v>
      </c>
      <c r="K99" s="965">
        <f>IF([2]Vagt!K44&lt;&gt;"",[2]Vagt!K44,"")</f>
        <v>0</v>
      </c>
      <c r="L99" s="965">
        <f>IF([2]Vagt!L44&lt;&gt;"",[2]Vagt!L44,"")</f>
        <v>0</v>
      </c>
      <c r="M99" s="965"/>
      <c r="N99" s="1515">
        <f>IF([2]Vagt!N44&lt;&gt;"",[2]Vagt!N44,"")</f>
        <v>0</v>
      </c>
      <c r="O99" s="1006"/>
      <c r="P99" s="923"/>
      <c r="Q99" s="906"/>
    </row>
    <row r="100" spans="1:17" ht="13.5" thickBot="1">
      <c r="A100" s="1530">
        <f>IF([2]Vagt!A45&lt;&gt;"",[2]Vagt!A45,"")</f>
        <v>0</v>
      </c>
      <c r="B100" s="1530" t="str">
        <f>IF([2]Vagt!B45&lt;&gt;"",[2]Vagt!B45,"")</f>
        <v>Forsættes i højre side</v>
      </c>
      <c r="C100" s="1530"/>
      <c r="D100" s="1530"/>
      <c r="E100" s="1530"/>
      <c r="F100" s="1540">
        <f>IF([2]Vagt!F45&lt;&gt;"",[2]Vagt!F45,"")</f>
        <v>2163045</v>
      </c>
      <c r="G100" s="1522">
        <f>IF([2]Vagt!G45&lt;&gt;"",[2]Vagt!G45,"")</f>
        <v>0</v>
      </c>
      <c r="H100" s="1067">
        <f>IF([2]Vagt!H45&lt;&gt;"",[2]Vagt!H45,"")</f>
        <v>0</v>
      </c>
      <c r="I100" s="1056">
        <f>IF([2]Vagt!I45&lt;&gt;"",[2]Vagt!I45,"")</f>
        <v>0</v>
      </c>
      <c r="J100" s="988">
        <f>IF([2]Vagt!J45&lt;&gt;"",[2]Vagt!J45,"")</f>
        <v>0</v>
      </c>
      <c r="K100" s="988">
        <f>IF([2]Vagt!K45&lt;&gt;"",[2]Vagt!K45,"")</f>
        <v>0</v>
      </c>
      <c r="L100" s="988">
        <f>IF([2]Vagt!L45&lt;&gt;"",[2]Vagt!L45,"")</f>
        <v>0</v>
      </c>
      <c r="M100" s="988"/>
      <c r="N100" s="1536">
        <f>IF([2]Vagt!N45&lt;&gt;"",[2]Vagt!N45,"")</f>
        <v>0</v>
      </c>
      <c r="O100" s="1006"/>
      <c r="P100" s="923"/>
      <c r="Q100" s="906"/>
    </row>
    <row r="101" spans="1:17" ht="13.5" thickBot="1">
      <c r="A101" s="1512">
        <f>IF([2]Vagt!A46&lt;&gt;"",[2]Vagt!A46,"")</f>
        <v>0</v>
      </c>
      <c r="B101" s="1512">
        <f>IF([2]Vagt!B46&lt;&gt;"",[2]Vagt!B46,"")</f>
        <v>0</v>
      </c>
      <c r="C101" s="1512">
        <f>IF([2]Vagt!C46&lt;&gt;"",[2]Vagt!C46,"")</f>
        <v>0</v>
      </c>
      <c r="D101" s="1512">
        <f>IF([2]Vagt!D46&lt;&gt;"",[2]Vagt!D46,"")</f>
        <v>0</v>
      </c>
      <c r="E101" s="1512">
        <f>IF([2]Vagt!E46&lt;&gt;"",[2]Vagt!E46,"")</f>
        <v>0</v>
      </c>
      <c r="F101" s="1512">
        <f>IF([2]Vagt!F46&lt;&gt;"",[2]Vagt!F46,"")</f>
        <v>0</v>
      </c>
      <c r="G101" s="978">
        <f>IF([2]Vagt!G46&lt;&gt;"",[2]Vagt!G46,"")</f>
        <v>0</v>
      </c>
      <c r="H101" s="978">
        <f>IF([2]Vagt!H46&lt;&gt;"",[2]Vagt!H46,"")</f>
        <v>0</v>
      </c>
      <c r="I101" s="1527" t="str">
        <f>IF([2]Vagt!I46&lt;&gt;"",[2]Vagt!I46,"")</f>
        <v/>
      </c>
      <c r="J101" s="1528" t="str">
        <f>IF([2]Vagt!J46&lt;&gt;"",[2]Vagt!J46,"")</f>
        <v>Årligt</v>
      </c>
      <c r="K101" s="1528">
        <f>IF([2]Vagt!K46&lt;&gt;"",[2]Vagt!K46,"")</f>
        <v>0</v>
      </c>
      <c r="L101" s="1528">
        <f>IF([2]Vagt!L46&lt;&gt;"",[2]Vagt!L46,"")</f>
        <v>0</v>
      </c>
      <c r="M101" s="1528">
        <f>IF([2]Vagt!M46&lt;&gt;"",[2]Vagt!M46,"")</f>
        <v>0</v>
      </c>
      <c r="N101" s="1537">
        <f>IF([2]Vagt!N46&lt;&gt;"",[2]Vagt!N46,"")</f>
        <v>12554306</v>
      </c>
      <c r="O101" s="1006"/>
      <c r="P101" s="923"/>
      <c r="Q101" s="906"/>
    </row>
    <row r="102" spans="1:17">
      <c r="A102" s="962">
        <f>IF([2]Vagt!A47&lt;&gt;"",[2]Vagt!A47,"")</f>
        <v>0</v>
      </c>
      <c r="B102" s="962">
        <f>IF([2]Vagt!B47&lt;&gt;"",[2]Vagt!B47,"")</f>
        <v>0</v>
      </c>
      <c r="C102" s="962">
        <f>IF([2]Vagt!C47&lt;&gt;"",[2]Vagt!C47,"")</f>
        <v>0</v>
      </c>
      <c r="D102" s="962">
        <f>IF([2]Vagt!D47&lt;&gt;"",[2]Vagt!D47,"")</f>
        <v>0</v>
      </c>
      <c r="E102" s="962">
        <f>IF([2]Vagt!E47&lt;&gt;"",[2]Vagt!E47,"")</f>
        <v>0</v>
      </c>
      <c r="F102" s="962">
        <f>IF([2]Vagt!F47&lt;&gt;"",[2]Vagt!F47,"")</f>
        <v>0</v>
      </c>
      <c r="G102" s="978">
        <f>IF([2]Vagt!G47&lt;&gt;"",[2]Vagt!G47,"")</f>
        <v>0</v>
      </c>
      <c r="H102" s="1519">
        <f>IF([2]Vagt!H47&lt;&gt;"",[2]Vagt!H47,"")</f>
        <v>0</v>
      </c>
      <c r="I102" s="1518" t="str">
        <f>IF([2]Vagt!I47&lt;&gt;"",[2]Vagt!I47,"")</f>
        <v/>
      </c>
      <c r="J102" s="1512">
        <f>IF([2]Vagt!J47&lt;&gt;"",[2]Vagt!J47,"")</f>
        <v>0</v>
      </c>
      <c r="K102" s="1512">
        <f>IF([2]Vagt!K47&lt;&gt;"",[2]Vagt!K47,"")</f>
        <v>0</v>
      </c>
      <c r="L102" s="1512">
        <f>IF([2]Vagt!L47&lt;&gt;"",[2]Vagt!L47,"")</f>
        <v>0</v>
      </c>
      <c r="M102" s="1512">
        <f>IF([2]Vagt!M47&lt;&gt;"",[2]Vagt!M47,"")</f>
        <v>0</v>
      </c>
      <c r="N102" s="1538">
        <f>IF([2]Vagt!N47&lt;&gt;"",[2]Vagt!N47,"")</f>
        <v>0</v>
      </c>
      <c r="O102" s="1006"/>
      <c r="P102" s="923"/>
      <c r="Q102" s="906"/>
    </row>
    <row r="103" spans="1:17" ht="13.5" thickBot="1">
      <c r="A103" s="962" t="str">
        <f>IF([2]Vagt!A48&lt;&gt;"",[2]Vagt!A48,"")</f>
        <v/>
      </c>
      <c r="B103" s="962" t="str">
        <f>IF([2]Vagt!B48&lt;&gt;"",[2]Vagt!B48,"")</f>
        <v/>
      </c>
      <c r="C103" s="962" t="str">
        <f>IF([2]Vagt!C48&lt;&gt;"",[2]Vagt!C48,"")</f>
        <v/>
      </c>
      <c r="D103" s="962" t="str">
        <f>IF([2]Vagt!D48&lt;&gt;"",[2]Vagt!D48,"")</f>
        <v/>
      </c>
      <c r="E103" s="962" t="str">
        <f>IF([2]Vagt!E48&lt;&gt;"",[2]Vagt!E48,"")</f>
        <v/>
      </c>
      <c r="F103" s="962" t="str">
        <f>IF([2]Vagt!F48&lt;&gt;"",[2]Vagt!F48,"")</f>
        <v/>
      </c>
      <c r="G103" s="978" t="str">
        <f>IF([2]Vagt!G48&lt;&gt;"",[2]Vagt!G48,"")</f>
        <v/>
      </c>
      <c r="H103" s="1519">
        <f>IF([2]Vagt!H48&lt;&gt;"",[2]Vagt!H48,"")</f>
        <v>0</v>
      </c>
      <c r="I103" s="1529" t="str">
        <f>IF([2]Vagt!I48&lt;&gt;"",[2]Vagt!I48,"")</f>
        <v/>
      </c>
      <c r="J103" s="1529" t="str">
        <f>IF([2]Vagt!J48&lt;&gt;"",[2]Vagt!J48,"")</f>
        <v>Månedligt</v>
      </c>
      <c r="K103" s="1529">
        <f>IF([2]Vagt!K48&lt;&gt;"",[2]Vagt!K48,"")</f>
        <v>0</v>
      </c>
      <c r="L103" s="1529">
        <f>IF([2]Vagt!L48&lt;&gt;"",[2]Vagt!L48,"")</f>
        <v>0</v>
      </c>
      <c r="M103" s="1529">
        <f>IF([2]Vagt!M48&lt;&gt;"",[2]Vagt!M48,"")</f>
        <v>0</v>
      </c>
      <c r="N103" s="1539">
        <f>IF([2]Vagt!N48&lt;&gt;"",[2]Vagt!N48,"")</f>
        <v>1046192.1666666666</v>
      </c>
      <c r="O103" s="999"/>
      <c r="P103" s="923"/>
      <c r="Q103" s="906"/>
    </row>
    <row r="104" spans="1:17">
      <c r="C104" s="970"/>
      <c r="D104" s="970"/>
      <c r="E104" s="970"/>
      <c r="F104" s="970"/>
      <c r="G104" s="970"/>
      <c r="L104" s="979"/>
      <c r="M104" s="1005"/>
      <c r="N104" s="1005"/>
      <c r="O104" s="970"/>
      <c r="P104" s="923"/>
      <c r="Q104" s="906"/>
    </row>
    <row r="105" spans="1:17">
      <c r="C105" s="970"/>
      <c r="D105" s="970"/>
      <c r="L105" s="979"/>
      <c r="M105" s="1005"/>
      <c r="N105" s="1005"/>
    </row>
    <row r="106" spans="1:17">
      <c r="A106" s="1007" t="s">
        <v>986</v>
      </c>
      <c r="B106" s="911" t="s">
        <v>924</v>
      </c>
      <c r="C106" s="911" t="s">
        <v>925</v>
      </c>
      <c r="D106" s="911" t="s">
        <v>926</v>
      </c>
      <c r="E106" s="911" t="s">
        <v>927</v>
      </c>
      <c r="F106" s="911" t="s">
        <v>928</v>
      </c>
      <c r="G106" s="911" t="s">
        <v>929</v>
      </c>
      <c r="H106" s="911" t="s">
        <v>918</v>
      </c>
      <c r="I106" s="911" t="s">
        <v>919</v>
      </c>
      <c r="J106" s="911" t="s">
        <v>920</v>
      </c>
      <c r="K106" s="911" t="s">
        <v>921</v>
      </c>
      <c r="L106" s="911" t="s">
        <v>922</v>
      </c>
      <c r="M106" s="911" t="s">
        <v>923</v>
      </c>
      <c r="N106" s="907"/>
    </row>
    <row r="107" spans="1:17">
      <c r="A107" s="910" t="s">
        <v>987</v>
      </c>
      <c r="B107" s="1008">
        <f>$D$70</f>
        <v>448333.33333333331</v>
      </c>
      <c r="C107" s="1008">
        <f t="shared" ref="C107:M107" si="12">$D$70</f>
        <v>448333.33333333331</v>
      </c>
      <c r="D107" s="1008">
        <f t="shared" si="12"/>
        <v>448333.33333333331</v>
      </c>
      <c r="E107" s="1008">
        <f t="shared" si="12"/>
        <v>448333.33333333331</v>
      </c>
      <c r="F107" s="1008">
        <f t="shared" si="12"/>
        <v>448333.33333333331</v>
      </c>
      <c r="G107" s="1008">
        <f t="shared" si="12"/>
        <v>448333.33333333331</v>
      </c>
      <c r="H107" s="1008">
        <f t="shared" si="12"/>
        <v>448333.33333333331</v>
      </c>
      <c r="I107" s="1008">
        <f t="shared" si="12"/>
        <v>448333.33333333331</v>
      </c>
      <c r="J107" s="1008">
        <f t="shared" si="12"/>
        <v>448333.33333333331</v>
      </c>
      <c r="K107" s="1008">
        <f t="shared" si="12"/>
        <v>448333.33333333331</v>
      </c>
      <c r="L107" s="1008">
        <f t="shared" si="12"/>
        <v>448333.33333333331</v>
      </c>
      <c r="M107" s="1008">
        <f t="shared" si="12"/>
        <v>448333.33333333331</v>
      </c>
      <c r="N107" s="1009">
        <f t="shared" ref="N107:N128" si="13">SUM(B107:M107)</f>
        <v>5380000</v>
      </c>
    </row>
    <row r="108" spans="1:17" ht="13.5" thickBot="1">
      <c r="A108" s="926" t="s">
        <v>988</v>
      </c>
      <c r="B108" s="1010">
        <f>$N$103</f>
        <v>1046192.1666666666</v>
      </c>
      <c r="C108" s="1010">
        <f t="shared" ref="C108:M108" si="14">$N$103</f>
        <v>1046192.1666666666</v>
      </c>
      <c r="D108" s="1010">
        <f t="shared" si="14"/>
        <v>1046192.1666666666</v>
      </c>
      <c r="E108" s="1010">
        <f t="shared" si="14"/>
        <v>1046192.1666666666</v>
      </c>
      <c r="F108" s="1010">
        <f t="shared" si="14"/>
        <v>1046192.1666666666</v>
      </c>
      <c r="G108" s="1010">
        <f t="shared" si="14"/>
        <v>1046192.1666666666</v>
      </c>
      <c r="H108" s="1010">
        <f t="shared" si="14"/>
        <v>1046192.1666666666</v>
      </c>
      <c r="I108" s="1010">
        <f t="shared" si="14"/>
        <v>1046192.1666666666</v>
      </c>
      <c r="J108" s="1010">
        <f t="shared" si="14"/>
        <v>1046192.1666666666</v>
      </c>
      <c r="K108" s="1010">
        <f t="shared" si="14"/>
        <v>1046192.1666666666</v>
      </c>
      <c r="L108" s="1010">
        <f t="shared" si="14"/>
        <v>1046192.1666666666</v>
      </c>
      <c r="M108" s="1010">
        <f t="shared" si="14"/>
        <v>1046192.1666666666</v>
      </c>
      <c r="N108" s="1011">
        <f t="shared" si="13"/>
        <v>12554305.999999998</v>
      </c>
    </row>
    <row r="109" spans="1:17" ht="13.5" thickBot="1">
      <c r="A109" s="1012" t="s">
        <v>989</v>
      </c>
      <c r="B109" s="1013">
        <f t="shared" ref="B109:M109" si="15">SUM(B107:B108)</f>
        <v>1494525.5</v>
      </c>
      <c r="C109" s="1013">
        <f t="shared" si="15"/>
        <v>1494525.5</v>
      </c>
      <c r="D109" s="1013">
        <f t="shared" si="15"/>
        <v>1494525.5</v>
      </c>
      <c r="E109" s="1013">
        <f t="shared" si="15"/>
        <v>1494525.5</v>
      </c>
      <c r="F109" s="1013">
        <f t="shared" si="15"/>
        <v>1494525.5</v>
      </c>
      <c r="G109" s="1013">
        <f t="shared" si="15"/>
        <v>1494525.5</v>
      </c>
      <c r="H109" s="1013">
        <f t="shared" si="15"/>
        <v>1494525.5</v>
      </c>
      <c r="I109" s="1013">
        <f t="shared" si="15"/>
        <v>1494525.5</v>
      </c>
      <c r="J109" s="1013">
        <f t="shared" si="15"/>
        <v>1494525.5</v>
      </c>
      <c r="K109" s="1013">
        <f t="shared" si="15"/>
        <v>1494525.5</v>
      </c>
      <c r="L109" s="1013">
        <f t="shared" si="15"/>
        <v>1494525.5</v>
      </c>
      <c r="M109" s="1013">
        <f t="shared" si="15"/>
        <v>1494525.5</v>
      </c>
      <c r="N109" s="1013">
        <f t="shared" si="13"/>
        <v>17934306</v>
      </c>
    </row>
    <row r="110" spans="1:17">
      <c r="A110" s="1015" t="s">
        <v>990</v>
      </c>
      <c r="B110" s="1016">
        <v>4125</v>
      </c>
      <c r="C110" s="1016">
        <v>7550</v>
      </c>
      <c r="D110" s="1016">
        <v>5974</v>
      </c>
      <c r="E110" s="1016">
        <v>6762</v>
      </c>
      <c r="F110" s="1016">
        <v>5000</v>
      </c>
      <c r="G110" s="1017">
        <v>5599</v>
      </c>
      <c r="H110" s="1017">
        <v>1050</v>
      </c>
      <c r="I110" s="1017">
        <v>2100</v>
      </c>
      <c r="J110" s="1017">
        <v>7664</v>
      </c>
      <c r="K110" s="1017">
        <v>7559</v>
      </c>
      <c r="L110" s="1017">
        <v>9887</v>
      </c>
      <c r="M110" s="1017">
        <v>6212</v>
      </c>
      <c r="N110" s="1011">
        <f t="shared" si="13"/>
        <v>69482</v>
      </c>
    </row>
    <row r="111" spans="1:17">
      <c r="A111" s="907" t="s">
        <v>991</v>
      </c>
      <c r="B111" s="1009"/>
      <c r="C111" s="1009"/>
      <c r="D111" s="1009"/>
      <c r="E111" s="1009"/>
      <c r="F111" s="1009">
        <v>11475</v>
      </c>
      <c r="G111" s="1009">
        <v>9900</v>
      </c>
      <c r="H111" s="1009">
        <v>32694</v>
      </c>
      <c r="I111" s="1009">
        <v>98562</v>
      </c>
      <c r="J111" s="1009">
        <v>33500</v>
      </c>
      <c r="K111" s="1009">
        <v>31250</v>
      </c>
      <c r="L111" s="1009">
        <v>26562</v>
      </c>
      <c r="M111" s="1009">
        <v>49137</v>
      </c>
      <c r="N111" s="1011">
        <f t="shared" si="13"/>
        <v>293080</v>
      </c>
    </row>
    <row r="112" spans="1:17">
      <c r="A112" s="907" t="s">
        <v>992</v>
      </c>
      <c r="B112" s="1009">
        <v>207235</v>
      </c>
      <c r="C112" s="1009">
        <v>200591</v>
      </c>
      <c r="D112" s="1009">
        <v>173204</v>
      </c>
      <c r="E112" s="1009">
        <v>173101</v>
      </c>
      <c r="F112" s="1009">
        <v>24580</v>
      </c>
      <c r="G112" s="1009">
        <v>125196</v>
      </c>
      <c r="H112" s="1009">
        <v>17040</v>
      </c>
      <c r="I112" s="1009">
        <v>28900</v>
      </c>
      <c r="J112" s="1009">
        <v>37050</v>
      </c>
      <c r="K112" s="1009">
        <v>65800</v>
      </c>
      <c r="L112" s="1009">
        <v>45650</v>
      </c>
      <c r="M112" s="1009">
        <v>33275</v>
      </c>
      <c r="N112" s="1011">
        <f t="shared" si="13"/>
        <v>1131622</v>
      </c>
    </row>
    <row r="113" spans="1:14">
      <c r="A113" s="907" t="s">
        <v>993</v>
      </c>
      <c r="B113" s="1009">
        <v>202384.5</v>
      </c>
      <c r="C113" s="1008">
        <v>83337.5</v>
      </c>
      <c r="D113" s="1008">
        <v>64075</v>
      </c>
      <c r="E113" s="1019">
        <v>73150</v>
      </c>
      <c r="F113" s="1019">
        <v>79300</v>
      </c>
      <c r="G113" s="1019">
        <v>65312.5</v>
      </c>
      <c r="H113" s="1019">
        <v>15325</v>
      </c>
      <c r="I113" s="1019">
        <v>193537.5</v>
      </c>
      <c r="J113" s="1019">
        <v>105983.5</v>
      </c>
      <c r="K113" s="1019">
        <v>275887.5</v>
      </c>
      <c r="L113" s="1019">
        <v>28162.5</v>
      </c>
      <c r="M113" s="1019">
        <v>103062.5</v>
      </c>
      <c r="N113" s="1011">
        <f t="shared" si="13"/>
        <v>1289518</v>
      </c>
    </row>
    <row r="114" spans="1:14">
      <c r="A114" s="907" t="s">
        <v>994</v>
      </c>
      <c r="B114" s="1009">
        <v>8380</v>
      </c>
      <c r="C114" s="1008">
        <v>3140</v>
      </c>
      <c r="D114" s="1008">
        <v>1940</v>
      </c>
      <c r="E114" s="1008">
        <v>2920</v>
      </c>
      <c r="F114" s="1008">
        <v>2450</v>
      </c>
      <c r="G114" s="1008">
        <v>3140</v>
      </c>
      <c r="H114" s="1008">
        <v>1120</v>
      </c>
      <c r="I114" s="1008">
        <v>1400</v>
      </c>
      <c r="J114" s="1008">
        <v>3100</v>
      </c>
      <c r="K114" s="1008">
        <v>2030</v>
      </c>
      <c r="L114" s="1008">
        <v>3840</v>
      </c>
      <c r="M114" s="1008">
        <v>5670</v>
      </c>
      <c r="N114" s="1011">
        <f t="shared" si="13"/>
        <v>39130</v>
      </c>
    </row>
    <row r="115" spans="1:14">
      <c r="A115" s="907" t="s">
        <v>995</v>
      </c>
      <c r="B115" s="1009">
        <v>60000</v>
      </c>
      <c r="C115" s="1008"/>
      <c r="D115" s="1008"/>
      <c r="E115" s="1008"/>
      <c r="F115" s="1008"/>
      <c r="G115" s="1008"/>
      <c r="H115" s="1008"/>
      <c r="I115" s="1008"/>
      <c r="J115" s="1008"/>
      <c r="K115" s="1008"/>
      <c r="L115" s="1008"/>
      <c r="M115" s="1008"/>
      <c r="N115" s="1011">
        <f t="shared" si="13"/>
        <v>60000</v>
      </c>
    </row>
    <row r="116" spans="1:14">
      <c r="A116" s="907" t="s">
        <v>996</v>
      </c>
      <c r="B116" s="1009">
        <v>42096</v>
      </c>
      <c r="C116" s="1009">
        <v>78800</v>
      </c>
      <c r="D116" s="1009">
        <v>78970</v>
      </c>
      <c r="E116" s="1009">
        <v>42350</v>
      </c>
      <c r="F116" s="1009">
        <v>64930</v>
      </c>
      <c r="G116" s="1009">
        <v>53930</v>
      </c>
      <c r="H116" s="1009">
        <v>0</v>
      </c>
      <c r="I116" s="1009">
        <v>45990</v>
      </c>
      <c r="J116" s="1009">
        <v>69182</v>
      </c>
      <c r="K116" s="1009">
        <v>119275</v>
      </c>
      <c r="L116" s="1009">
        <v>119475</v>
      </c>
      <c r="M116" s="1009">
        <v>43000</v>
      </c>
      <c r="N116" s="1011">
        <f t="shared" si="13"/>
        <v>757998</v>
      </c>
    </row>
    <row r="117" spans="1:14">
      <c r="A117" s="907" t="s">
        <v>997</v>
      </c>
      <c r="B117" s="1009">
        <v>13280</v>
      </c>
      <c r="C117" s="1008">
        <v>12080</v>
      </c>
      <c r="D117" s="1008">
        <v>12930</v>
      </c>
      <c r="E117" s="1008">
        <v>14040</v>
      </c>
      <c r="F117" s="1008">
        <v>10000</v>
      </c>
      <c r="G117" s="1008">
        <v>10000</v>
      </c>
      <c r="H117" s="1008">
        <v>10000</v>
      </c>
      <c r="I117" s="1008">
        <v>10000</v>
      </c>
      <c r="J117" s="1008">
        <v>10000</v>
      </c>
      <c r="K117" s="1008">
        <v>10000</v>
      </c>
      <c r="L117" s="1008">
        <v>10000</v>
      </c>
      <c r="M117" s="1008">
        <v>10000</v>
      </c>
      <c r="N117" s="1011">
        <f t="shared" si="13"/>
        <v>132330</v>
      </c>
    </row>
    <row r="118" spans="1:14">
      <c r="A118" s="907" t="s">
        <v>998</v>
      </c>
      <c r="B118" s="1009">
        <v>900</v>
      </c>
      <c r="C118" s="1008">
        <v>2250</v>
      </c>
      <c r="D118" s="1008">
        <v>3150</v>
      </c>
      <c r="E118" s="1008">
        <v>5050</v>
      </c>
      <c r="F118" s="1008">
        <v>450</v>
      </c>
      <c r="G118" s="1008"/>
      <c r="H118" s="1008"/>
      <c r="I118" s="1008">
        <v>3501</v>
      </c>
      <c r="J118" s="1008">
        <v>5850</v>
      </c>
      <c r="K118" s="1008">
        <v>2700</v>
      </c>
      <c r="L118" s="1008">
        <v>28801</v>
      </c>
      <c r="M118" s="1008">
        <v>1350</v>
      </c>
      <c r="N118" s="1011">
        <f t="shared" si="13"/>
        <v>54002</v>
      </c>
    </row>
    <row r="119" spans="1:14">
      <c r="A119" s="907" t="s">
        <v>999</v>
      </c>
      <c r="B119" s="1009"/>
      <c r="C119" s="1009"/>
      <c r="D119" s="1009"/>
      <c r="E119" s="1009"/>
      <c r="F119" s="1009"/>
      <c r="G119" s="1009"/>
      <c r="H119" s="1009"/>
      <c r="I119" s="1009"/>
      <c r="J119" s="1009"/>
      <c r="K119" s="1009">
        <v>450</v>
      </c>
      <c r="L119" s="1009"/>
      <c r="M119" s="1009"/>
      <c r="N119" s="1011">
        <f t="shared" si="13"/>
        <v>450</v>
      </c>
    </row>
    <row r="120" spans="1:14" ht="13.5" thickBot="1">
      <c r="A120" s="907" t="s">
        <v>1000</v>
      </c>
      <c r="B120" s="1009"/>
      <c r="C120" s="1008">
        <v>11200</v>
      </c>
      <c r="D120" s="1008"/>
      <c r="E120" s="1008"/>
      <c r="F120" s="1008"/>
      <c r="G120" s="1008"/>
      <c r="H120" s="1008"/>
      <c r="I120" s="1008"/>
      <c r="J120" s="1008"/>
      <c r="K120" s="1008"/>
      <c r="L120" s="1008">
        <v>13300</v>
      </c>
      <c r="M120" s="1008"/>
      <c r="N120" s="1011">
        <f t="shared" si="13"/>
        <v>24500</v>
      </c>
    </row>
    <row r="121" spans="1:14" ht="13.5" thickBot="1">
      <c r="A121" s="1020" t="s">
        <v>1001</v>
      </c>
      <c r="B121" s="1021">
        <f t="shared" ref="B121:M121" si="16">SUM(B110:B120)</f>
        <v>538400.5</v>
      </c>
      <c r="C121" s="1021">
        <f t="shared" si="16"/>
        <v>398948.5</v>
      </c>
      <c r="D121" s="1021">
        <f t="shared" si="16"/>
        <v>340243</v>
      </c>
      <c r="E121" s="1021">
        <f t="shared" si="16"/>
        <v>317373</v>
      </c>
      <c r="F121" s="1021">
        <f t="shared" si="16"/>
        <v>198185</v>
      </c>
      <c r="G121" s="1021">
        <f t="shared" si="16"/>
        <v>273077.5</v>
      </c>
      <c r="H121" s="1021">
        <f t="shared" si="16"/>
        <v>77229</v>
      </c>
      <c r="I121" s="1021">
        <f t="shared" si="16"/>
        <v>383990.5</v>
      </c>
      <c r="J121" s="1021">
        <f t="shared" si="16"/>
        <v>272329.5</v>
      </c>
      <c r="K121" s="1021">
        <f t="shared" si="16"/>
        <v>514951.5</v>
      </c>
      <c r="L121" s="1021">
        <f t="shared" si="16"/>
        <v>285677.5</v>
      </c>
      <c r="M121" s="1021">
        <f t="shared" si="16"/>
        <v>251706.5</v>
      </c>
      <c r="N121" s="1013">
        <f t="shared" si="13"/>
        <v>3852112</v>
      </c>
    </row>
    <row r="122" spans="1:14" ht="13.5" thickBot="1">
      <c r="A122" s="1015" t="s">
        <v>1002</v>
      </c>
      <c r="B122" s="1022">
        <v>28908</v>
      </c>
      <c r="C122" s="1023">
        <v>11755</v>
      </c>
      <c r="D122" s="1023">
        <v>10967</v>
      </c>
      <c r="E122" s="1023">
        <v>3986</v>
      </c>
      <c r="F122" s="1023">
        <v>24030</v>
      </c>
      <c r="G122" s="1023">
        <v>139512</v>
      </c>
      <c r="H122" s="1023">
        <v>28035</v>
      </c>
      <c r="I122" s="1023">
        <v>67998</v>
      </c>
      <c r="J122" s="1023">
        <v>70798</v>
      </c>
      <c r="K122" s="1023">
        <v>174363</v>
      </c>
      <c r="L122" s="1023">
        <v>26282</v>
      </c>
      <c r="M122" s="1023"/>
      <c r="N122" s="1011">
        <f t="shared" si="13"/>
        <v>586634</v>
      </c>
    </row>
    <row r="123" spans="1:14" ht="13.5" thickBot="1">
      <c r="A123" s="1024" t="s">
        <v>1003</v>
      </c>
      <c r="B123" s="1025">
        <f t="shared" ref="B123:M123" si="17">SUM(B109,B121,B122)</f>
        <v>2061834</v>
      </c>
      <c r="C123" s="1025">
        <f t="shared" si="17"/>
        <v>1905229</v>
      </c>
      <c r="D123" s="1025">
        <f t="shared" si="17"/>
        <v>1845735.5</v>
      </c>
      <c r="E123" s="1025">
        <f t="shared" si="17"/>
        <v>1815884.5</v>
      </c>
      <c r="F123" s="1025">
        <f t="shared" si="17"/>
        <v>1716740.5</v>
      </c>
      <c r="G123" s="1025">
        <f t="shared" si="17"/>
        <v>1907115</v>
      </c>
      <c r="H123" s="1025">
        <f t="shared" si="17"/>
        <v>1599789.5</v>
      </c>
      <c r="I123" s="1025">
        <f t="shared" si="17"/>
        <v>1946514</v>
      </c>
      <c r="J123" s="1025">
        <f t="shared" si="17"/>
        <v>1837653</v>
      </c>
      <c r="K123" s="1025">
        <f t="shared" si="17"/>
        <v>2183840</v>
      </c>
      <c r="L123" s="1025">
        <f t="shared" si="17"/>
        <v>1806485</v>
      </c>
      <c r="M123" s="1025">
        <f t="shared" si="17"/>
        <v>1746232</v>
      </c>
      <c r="N123" s="1013">
        <f t="shared" si="13"/>
        <v>22373052</v>
      </c>
    </row>
    <row r="124" spans="1:14">
      <c r="A124" s="1026" t="s">
        <v>1004</v>
      </c>
      <c r="B124" s="1010">
        <v>1599986</v>
      </c>
      <c r="C124" s="1010">
        <v>1661942</v>
      </c>
      <c r="D124" s="1010">
        <v>1573792</v>
      </c>
      <c r="E124" s="1010">
        <v>1788076</v>
      </c>
      <c r="F124" s="1010">
        <v>1736128</v>
      </c>
      <c r="G124" s="1010">
        <v>1460343</v>
      </c>
      <c r="H124" s="1010">
        <v>1567189</v>
      </c>
      <c r="I124" s="1010">
        <v>1805452</v>
      </c>
      <c r="J124" s="1010">
        <v>1293675</v>
      </c>
      <c r="K124" s="1010">
        <v>1399688</v>
      </c>
      <c r="L124" s="1010">
        <v>1550000</v>
      </c>
      <c r="M124" s="1010">
        <v>1550000</v>
      </c>
      <c r="N124" s="1011">
        <f t="shared" si="13"/>
        <v>18986271</v>
      </c>
    </row>
    <row r="125" spans="1:14">
      <c r="A125" s="1028" t="s">
        <v>1005</v>
      </c>
      <c r="B125" s="1010">
        <v>344</v>
      </c>
      <c r="C125" s="1010">
        <v>5582</v>
      </c>
      <c r="D125" s="1010"/>
      <c r="E125" s="1010">
        <v>83951</v>
      </c>
      <c r="F125" s="1010">
        <v>63952</v>
      </c>
      <c r="G125" s="1010">
        <v>13182</v>
      </c>
      <c r="H125" s="1010">
        <v>1836</v>
      </c>
      <c r="I125" s="1010">
        <v>5256</v>
      </c>
      <c r="J125" s="1010"/>
      <c r="K125" s="1010"/>
      <c r="L125" s="1010"/>
      <c r="M125" s="1010"/>
      <c r="N125" s="1011">
        <f t="shared" si="13"/>
        <v>174103</v>
      </c>
    </row>
    <row r="126" spans="1:14">
      <c r="A126" s="1028" t="s">
        <v>1006</v>
      </c>
      <c r="B126" s="1010">
        <v>200000</v>
      </c>
      <c r="C126" s="1010"/>
      <c r="D126" s="1010"/>
      <c r="E126" s="1010"/>
      <c r="F126" s="1010"/>
      <c r="G126" s="1010"/>
      <c r="H126" s="1010"/>
      <c r="I126" s="1010"/>
      <c r="J126" s="1010"/>
      <c r="K126" s="1010"/>
      <c r="L126" s="1010"/>
      <c r="M126" s="1010"/>
      <c r="N126" s="1011">
        <f t="shared" si="13"/>
        <v>200000</v>
      </c>
    </row>
    <row r="127" spans="1:14">
      <c r="A127" s="1028" t="s">
        <v>1007</v>
      </c>
      <c r="B127" s="1010">
        <v>5106</v>
      </c>
      <c r="C127" s="1010">
        <v>5106</v>
      </c>
      <c r="D127" s="1010">
        <v>5106</v>
      </c>
      <c r="E127" s="1010">
        <v>5106</v>
      </c>
      <c r="F127" s="1010">
        <v>5106</v>
      </c>
      <c r="G127" s="1010">
        <v>5106</v>
      </c>
      <c r="H127" s="1010">
        <v>5106</v>
      </c>
      <c r="I127" s="1010">
        <v>5106</v>
      </c>
      <c r="J127" s="1010">
        <v>5106</v>
      </c>
      <c r="K127" s="1010">
        <v>5106</v>
      </c>
      <c r="L127" s="1010">
        <v>5106</v>
      </c>
      <c r="M127" s="1010">
        <v>5106</v>
      </c>
      <c r="N127" s="1011">
        <f t="shared" si="13"/>
        <v>61272</v>
      </c>
    </row>
    <row r="128" spans="1:14" ht="13.5" thickBot="1">
      <c r="A128" s="1028" t="s">
        <v>1008</v>
      </c>
      <c r="B128" s="1010">
        <v>1550</v>
      </c>
      <c r="C128" s="1010">
        <v>18755</v>
      </c>
      <c r="D128" s="1010">
        <v>11938</v>
      </c>
      <c r="E128" s="1010">
        <v>34262</v>
      </c>
      <c r="F128" s="1010">
        <v>14421</v>
      </c>
      <c r="G128" s="1010">
        <v>8039</v>
      </c>
      <c r="H128" s="1010">
        <v>1200</v>
      </c>
      <c r="I128" s="1010">
        <v>5098</v>
      </c>
      <c r="J128" s="1010">
        <v>21208</v>
      </c>
      <c r="K128" s="1010">
        <v>13220</v>
      </c>
      <c r="L128" s="1010">
        <v>15000</v>
      </c>
      <c r="M128" s="1010">
        <v>15000</v>
      </c>
      <c r="N128" s="1011">
        <f t="shared" si="13"/>
        <v>159691</v>
      </c>
    </row>
    <row r="129" spans="1:14" ht="13.5" thickBot="1">
      <c r="A129" s="1029" t="s">
        <v>1009</v>
      </c>
      <c r="B129" s="1030">
        <f t="shared" ref="B129:M129" si="18">B123-SUM(B124:B128)</f>
        <v>254848</v>
      </c>
      <c r="C129" s="1030">
        <f t="shared" si="18"/>
        <v>213844</v>
      </c>
      <c r="D129" s="1030">
        <f t="shared" si="18"/>
        <v>254899.5</v>
      </c>
      <c r="E129" s="1030">
        <f t="shared" si="18"/>
        <v>-95510.5</v>
      </c>
      <c r="F129" s="1030">
        <f t="shared" si="18"/>
        <v>-102866.5</v>
      </c>
      <c r="G129" s="1030">
        <f t="shared" si="18"/>
        <v>420445</v>
      </c>
      <c r="H129" s="1030">
        <f t="shared" si="18"/>
        <v>24458.5</v>
      </c>
      <c r="I129" s="1030">
        <f t="shared" si="18"/>
        <v>125602</v>
      </c>
      <c r="J129" s="1030">
        <f t="shared" si="18"/>
        <v>517664</v>
      </c>
      <c r="K129" s="1030">
        <f t="shared" si="18"/>
        <v>765826</v>
      </c>
      <c r="L129" s="1030">
        <f t="shared" si="18"/>
        <v>236379</v>
      </c>
      <c r="M129" s="1030">
        <f t="shared" si="18"/>
        <v>176126</v>
      </c>
      <c r="N129" s="1030">
        <f>SUM(N123-N124-N125-N126-N128)</f>
        <v>2852987</v>
      </c>
    </row>
    <row r="130" spans="1:14" ht="13.5" thickBot="1">
      <c r="A130" s="1031"/>
      <c r="B130" s="1032"/>
      <c r="C130" s="1032"/>
      <c r="D130" s="1032"/>
      <c r="E130" s="1032"/>
      <c r="F130" s="1032"/>
      <c r="G130" s="1032"/>
      <c r="H130" s="1032"/>
      <c r="I130" s="1032"/>
      <c r="J130" s="1032"/>
      <c r="K130" s="1032"/>
      <c r="L130" s="1032"/>
      <c r="M130" s="1032"/>
      <c r="N130" s="1032"/>
    </row>
    <row r="131" spans="1:14" ht="20.25">
      <c r="A131" s="1701" t="s">
        <v>1010</v>
      </c>
      <c r="B131" s="1701"/>
      <c r="C131" s="1701"/>
      <c r="D131" s="1701"/>
      <c r="E131" s="1701"/>
      <c r="F131" s="1701"/>
      <c r="G131" s="1701"/>
      <c r="H131" s="1701"/>
      <c r="I131" s="1701"/>
      <c r="J131" s="1701"/>
      <c r="K131" s="1701"/>
      <c r="L131" s="1701"/>
      <c r="M131" s="1701"/>
      <c r="N131" s="1701"/>
    </row>
    <row r="132" spans="1:14">
      <c r="A132" s="906"/>
      <c r="B132" s="906"/>
      <c r="C132" s="906"/>
      <c r="D132" s="906"/>
      <c r="E132" s="906"/>
      <c r="F132" s="906"/>
      <c r="G132" s="906"/>
      <c r="H132" s="906"/>
      <c r="I132" s="906"/>
      <c r="J132" s="906"/>
      <c r="K132" s="906"/>
      <c r="L132" s="906"/>
      <c r="M132" s="906"/>
    </row>
    <row r="133" spans="1:14">
      <c r="A133" s="907"/>
      <c r="B133" s="908" t="s">
        <v>924</v>
      </c>
      <c r="C133" s="908" t="s">
        <v>925</v>
      </c>
      <c r="D133" s="909" t="s">
        <v>926</v>
      </c>
      <c r="E133" s="908" t="s">
        <v>927</v>
      </c>
      <c r="F133" s="908" t="s">
        <v>928</v>
      </c>
      <c r="G133" s="909" t="s">
        <v>929</v>
      </c>
      <c r="H133" s="908" t="s">
        <v>918</v>
      </c>
      <c r="I133" s="908" t="s">
        <v>919</v>
      </c>
      <c r="J133" s="908" t="s">
        <v>920</v>
      </c>
      <c r="K133" s="908" t="s">
        <v>921</v>
      </c>
      <c r="L133" s="908" t="s">
        <v>922</v>
      </c>
      <c r="M133" s="908" t="s">
        <v>923</v>
      </c>
      <c r="N133" s="907" t="s">
        <v>137</v>
      </c>
    </row>
    <row r="134" spans="1:14">
      <c r="A134" s="910" t="s">
        <v>183</v>
      </c>
      <c r="B134" s="911">
        <v>2565</v>
      </c>
      <c r="C134" s="911">
        <v>2565</v>
      </c>
      <c r="D134" s="911">
        <v>2565</v>
      </c>
      <c r="E134" s="911">
        <v>2565</v>
      </c>
      <c r="F134" s="911">
        <v>2565</v>
      </c>
      <c r="G134" s="911">
        <v>2565</v>
      </c>
      <c r="H134" s="911">
        <v>2565</v>
      </c>
      <c r="I134" s="911">
        <v>2565</v>
      </c>
      <c r="J134" s="911">
        <v>2565</v>
      </c>
      <c r="K134" s="911">
        <v>2565</v>
      </c>
      <c r="L134" s="911">
        <v>2565</v>
      </c>
      <c r="M134" s="911">
        <v>2565</v>
      </c>
      <c r="N134" s="911">
        <f t="shared" ref="N134:N145" si="19">SUM(B134:M134)</f>
        <v>30780</v>
      </c>
    </row>
    <row r="135" spans="1:14">
      <c r="A135" s="910" t="s">
        <v>942</v>
      </c>
      <c r="B135" s="911"/>
      <c r="C135" s="911"/>
      <c r="D135" s="911"/>
      <c r="E135" s="911"/>
      <c r="F135" s="911"/>
      <c r="G135" s="912"/>
      <c r="H135" s="911"/>
      <c r="I135" s="911">
        <v>22.5</v>
      </c>
      <c r="J135" s="913"/>
      <c r="K135" s="911"/>
      <c r="L135" s="911"/>
      <c r="M135" s="911"/>
      <c r="N135" s="911">
        <f t="shared" si="19"/>
        <v>22.5</v>
      </c>
    </row>
    <row r="136" spans="1:14">
      <c r="A136" s="910" t="s">
        <v>1011</v>
      </c>
      <c r="B136" s="911"/>
      <c r="C136" s="911"/>
      <c r="D136" s="911"/>
      <c r="E136" s="911"/>
      <c r="F136" s="911"/>
      <c r="G136" s="912"/>
      <c r="H136" s="911"/>
      <c r="I136" s="911"/>
      <c r="J136" s="911"/>
      <c r="K136" s="911"/>
      <c r="L136" s="911"/>
      <c r="M136" s="907"/>
      <c r="N136" s="911">
        <f t="shared" si="19"/>
        <v>0</v>
      </c>
    </row>
    <row r="137" spans="1:14">
      <c r="A137" s="910" t="s">
        <v>945</v>
      </c>
      <c r="B137" s="911">
        <v>115.25</v>
      </c>
      <c r="C137" s="911">
        <v>210</v>
      </c>
      <c r="D137" s="911">
        <v>205.75</v>
      </c>
      <c r="E137" s="911">
        <v>253</v>
      </c>
      <c r="F137" s="911">
        <v>27.5</v>
      </c>
      <c r="G137" s="912">
        <v>278.5</v>
      </c>
      <c r="H137" s="911">
        <v>1282</v>
      </c>
      <c r="I137" s="911">
        <v>290.75</v>
      </c>
      <c r="J137" s="911">
        <v>161.75</v>
      </c>
      <c r="K137" s="911">
        <v>123</v>
      </c>
      <c r="L137" s="911">
        <v>86</v>
      </c>
      <c r="M137" s="911">
        <v>165.5</v>
      </c>
      <c r="N137" s="911">
        <f t="shared" si="19"/>
        <v>3199</v>
      </c>
    </row>
    <row r="138" spans="1:14">
      <c r="A138" s="910" t="s">
        <v>946</v>
      </c>
      <c r="B138" s="911"/>
      <c r="C138" s="911">
        <v>6</v>
      </c>
      <c r="D138" s="911">
        <v>60.25</v>
      </c>
      <c r="E138" s="911">
        <v>91.25</v>
      </c>
      <c r="F138" s="911">
        <v>37</v>
      </c>
      <c r="G138" s="912"/>
      <c r="H138" s="911"/>
      <c r="I138" s="911"/>
      <c r="J138" s="911"/>
      <c r="K138" s="911"/>
      <c r="L138" s="911">
        <v>6</v>
      </c>
      <c r="M138" s="911">
        <v>43</v>
      </c>
      <c r="N138" s="911">
        <f t="shared" si="19"/>
        <v>243.5</v>
      </c>
    </row>
    <row r="139" spans="1:14">
      <c r="A139" s="910" t="s">
        <v>947</v>
      </c>
      <c r="B139" s="911">
        <v>62</v>
      </c>
      <c r="C139" s="911">
        <v>89.5</v>
      </c>
      <c r="D139" s="911">
        <v>149.75</v>
      </c>
      <c r="E139" s="911">
        <v>66.25</v>
      </c>
      <c r="F139" s="911">
        <v>44.75</v>
      </c>
      <c r="G139" s="912">
        <v>38.75</v>
      </c>
      <c r="H139" s="911">
        <v>7.75</v>
      </c>
      <c r="I139" s="911">
        <v>23.25</v>
      </c>
      <c r="J139" s="911">
        <v>44.75</v>
      </c>
      <c r="K139" s="911">
        <v>81.75</v>
      </c>
      <c r="L139" s="911">
        <v>64.5</v>
      </c>
      <c r="M139" s="911">
        <v>37</v>
      </c>
      <c r="N139" s="911">
        <f t="shared" si="19"/>
        <v>710</v>
      </c>
    </row>
    <row r="140" spans="1:14">
      <c r="A140" s="910" t="s">
        <v>948</v>
      </c>
      <c r="B140" s="911">
        <v>7.75</v>
      </c>
      <c r="C140" s="911"/>
      <c r="D140" s="911"/>
      <c r="E140" s="911"/>
      <c r="F140" s="911"/>
      <c r="G140" s="912"/>
      <c r="H140" s="911"/>
      <c r="I140" s="911"/>
      <c r="J140" s="911"/>
      <c r="K140" s="911"/>
      <c r="L140" s="911"/>
      <c r="M140" s="911"/>
      <c r="N140" s="911">
        <f t="shared" si="19"/>
        <v>7.75</v>
      </c>
    </row>
    <row r="141" spans="1:14">
      <c r="A141" s="910" t="s">
        <v>949</v>
      </c>
      <c r="B141" s="911">
        <v>31.5</v>
      </c>
      <c r="C141" s="911">
        <v>53.25</v>
      </c>
      <c r="D141" s="911">
        <v>33.5</v>
      </c>
      <c r="E141" s="911">
        <v>50.75</v>
      </c>
      <c r="F141" s="911">
        <v>36</v>
      </c>
      <c r="G141" s="912">
        <v>113.5</v>
      </c>
      <c r="H141" s="911">
        <v>125.5</v>
      </c>
      <c r="I141" s="911">
        <v>55</v>
      </c>
      <c r="J141" s="911">
        <v>86</v>
      </c>
      <c r="K141" s="911">
        <v>172.75</v>
      </c>
      <c r="L141" s="911">
        <v>13.75</v>
      </c>
      <c r="M141" s="911">
        <v>203</v>
      </c>
      <c r="N141" s="911">
        <f t="shared" si="19"/>
        <v>974.5</v>
      </c>
    </row>
    <row r="142" spans="1:14">
      <c r="A142" s="910" t="s">
        <v>950</v>
      </c>
      <c r="B142" s="911"/>
      <c r="C142" s="911"/>
      <c r="D142" s="911"/>
      <c r="E142" s="911">
        <v>21.5</v>
      </c>
      <c r="F142" s="911"/>
      <c r="G142" s="912"/>
      <c r="H142" s="911"/>
      <c r="I142" s="911"/>
      <c r="J142" s="911"/>
      <c r="K142" s="911"/>
      <c r="L142" s="911"/>
      <c r="M142" s="911"/>
      <c r="N142" s="911">
        <f t="shared" si="19"/>
        <v>21.5</v>
      </c>
    </row>
    <row r="143" spans="1:14">
      <c r="A143" s="910" t="s">
        <v>951</v>
      </c>
      <c r="B143" s="911">
        <v>54.75</v>
      </c>
      <c r="C143" s="911">
        <v>104</v>
      </c>
      <c r="D143" s="911"/>
      <c r="E143" s="911">
        <v>62</v>
      </c>
      <c r="F143" s="911">
        <v>151.5</v>
      </c>
      <c r="G143" s="912">
        <v>54.25</v>
      </c>
      <c r="H143" s="911"/>
      <c r="I143" s="911"/>
      <c r="J143" s="911">
        <v>21</v>
      </c>
      <c r="K143" s="911">
        <v>45</v>
      </c>
      <c r="L143" s="911">
        <v>160.5</v>
      </c>
      <c r="M143" s="911">
        <v>109.75</v>
      </c>
      <c r="N143" s="911">
        <f t="shared" si="19"/>
        <v>762.75</v>
      </c>
    </row>
    <row r="144" spans="1:14" ht="13.5" thickBot="1">
      <c r="A144" s="914" t="s">
        <v>952</v>
      </c>
      <c r="B144" s="915"/>
      <c r="C144" s="915">
        <v>7.75</v>
      </c>
      <c r="D144" s="915"/>
      <c r="E144" s="915"/>
      <c r="F144" s="915"/>
      <c r="G144" s="916">
        <v>37</v>
      </c>
      <c r="H144" s="915"/>
      <c r="I144" s="915"/>
      <c r="J144" s="915">
        <v>37</v>
      </c>
      <c r="K144" s="915"/>
      <c r="L144" s="915"/>
      <c r="M144" s="915"/>
      <c r="N144" s="917">
        <f t="shared" si="19"/>
        <v>81.75</v>
      </c>
    </row>
    <row r="145" spans="1:14" ht="13.5" thickBot="1">
      <c r="A145" s="918" t="s">
        <v>953</v>
      </c>
      <c r="B145" s="919">
        <f t="shared" ref="B145:M145" si="20">SUM(B134+B135+B136-B137-B138-B139-B141-B142-B143-B144)</f>
        <v>2301.5</v>
      </c>
      <c r="C145" s="919">
        <f t="shared" si="20"/>
        <v>2094.5</v>
      </c>
      <c r="D145" s="919">
        <f t="shared" si="20"/>
        <v>2115.75</v>
      </c>
      <c r="E145" s="919">
        <f t="shared" si="20"/>
        <v>2020.25</v>
      </c>
      <c r="F145" s="919">
        <f t="shared" si="20"/>
        <v>2268.25</v>
      </c>
      <c r="G145" s="1033">
        <f t="shared" si="20"/>
        <v>2043</v>
      </c>
      <c r="H145" s="919">
        <f t="shared" si="20"/>
        <v>1149.75</v>
      </c>
      <c r="I145" s="919">
        <f t="shared" si="20"/>
        <v>2218.5</v>
      </c>
      <c r="J145" s="919">
        <f t="shared" si="20"/>
        <v>2214.5</v>
      </c>
      <c r="K145" s="919">
        <f t="shared" si="20"/>
        <v>2142.5</v>
      </c>
      <c r="L145" s="919">
        <f t="shared" si="20"/>
        <v>2234.25</v>
      </c>
      <c r="M145" s="920">
        <f t="shared" si="20"/>
        <v>2006.75</v>
      </c>
      <c r="N145" s="921">
        <f t="shared" si="19"/>
        <v>24809.5</v>
      </c>
    </row>
    <row r="146" spans="1:14">
      <c r="A146" s="922"/>
      <c r="B146" s="923"/>
      <c r="C146" s="923"/>
      <c r="D146" s="923"/>
      <c r="E146" s="923"/>
      <c r="F146" s="923"/>
      <c r="G146" s="923"/>
      <c r="H146" s="923"/>
      <c r="I146" s="923"/>
      <c r="J146" s="923"/>
      <c r="K146" s="923"/>
      <c r="L146" s="923"/>
      <c r="M146" s="923"/>
      <c r="N146" s="923"/>
    </row>
    <row r="147" spans="1:14">
      <c r="A147" s="922"/>
      <c r="B147" s="923"/>
      <c r="C147" s="923"/>
      <c r="D147" s="923"/>
      <c r="E147" s="923"/>
      <c r="F147" s="923"/>
      <c r="G147" s="923"/>
      <c r="H147" s="923"/>
      <c r="I147" s="923"/>
      <c r="J147" s="923"/>
      <c r="K147" s="923"/>
      <c r="L147" s="923"/>
      <c r="M147" s="923"/>
      <c r="N147" s="924" t="s">
        <v>954</v>
      </c>
    </row>
    <row r="148" spans="1:14">
      <c r="A148" s="910" t="s">
        <v>955</v>
      </c>
      <c r="B148" s="911">
        <f t="shared" ref="B148:M148" si="21">SUM(B135*100/B145)</f>
        <v>0</v>
      </c>
      <c r="C148" s="911">
        <f t="shared" si="21"/>
        <v>0</v>
      </c>
      <c r="D148" s="911">
        <f t="shared" si="21"/>
        <v>0</v>
      </c>
      <c r="E148" s="911">
        <f t="shared" si="21"/>
        <v>0</v>
      </c>
      <c r="F148" s="911">
        <f t="shared" si="21"/>
        <v>0</v>
      </c>
      <c r="G148" s="911">
        <f t="shared" si="21"/>
        <v>0</v>
      </c>
      <c r="H148" s="911">
        <f t="shared" si="21"/>
        <v>0</v>
      </c>
      <c r="I148" s="911">
        <f t="shared" si="21"/>
        <v>1.0141987829614605</v>
      </c>
      <c r="J148" s="911">
        <f t="shared" si="21"/>
        <v>0</v>
      </c>
      <c r="K148" s="911">
        <f t="shared" si="21"/>
        <v>0</v>
      </c>
      <c r="L148" s="911">
        <f t="shared" si="21"/>
        <v>0</v>
      </c>
      <c r="M148" s="911">
        <f t="shared" si="21"/>
        <v>0</v>
      </c>
      <c r="N148" s="925">
        <f>SUM(B148:M148)/12</f>
        <v>8.4516565246788369E-2</v>
      </c>
    </row>
    <row r="149" spans="1:14">
      <c r="A149" s="922"/>
      <c r="B149" s="923"/>
      <c r="C149" s="923"/>
      <c r="D149" s="923"/>
      <c r="E149" s="923"/>
      <c r="F149" s="923"/>
      <c r="G149" s="923"/>
      <c r="H149" s="923"/>
      <c r="I149" s="923"/>
      <c r="J149" s="923"/>
      <c r="K149" s="923"/>
      <c r="L149" s="923"/>
      <c r="M149" s="923"/>
      <c r="N149" s="906"/>
    </row>
    <row r="150" spans="1:14">
      <c r="A150" s="910" t="s">
        <v>956</v>
      </c>
      <c r="B150" s="911">
        <f t="shared" ref="B150:M150" si="22">SUM(B139*100/B145)</f>
        <v>2.6938952856832499</v>
      </c>
      <c r="C150" s="911">
        <f t="shared" si="22"/>
        <v>4.2730962043447125</v>
      </c>
      <c r="D150" s="911">
        <f t="shared" si="22"/>
        <v>7.0778683681909484</v>
      </c>
      <c r="E150" s="911">
        <f t="shared" si="22"/>
        <v>3.2792971166934786</v>
      </c>
      <c r="F150" s="911">
        <f t="shared" si="22"/>
        <v>1.9728865865755538</v>
      </c>
      <c r="G150" s="911">
        <f t="shared" si="22"/>
        <v>1.8967205090553108</v>
      </c>
      <c r="H150" s="911">
        <f t="shared" si="22"/>
        <v>0.67405957816916717</v>
      </c>
      <c r="I150" s="911">
        <f t="shared" si="22"/>
        <v>1.0480054090601758</v>
      </c>
      <c r="J150" s="911">
        <f t="shared" si="22"/>
        <v>2.0207721833370966</v>
      </c>
      <c r="K150" s="911">
        <f t="shared" si="22"/>
        <v>3.8156359393232204</v>
      </c>
      <c r="L150" s="911">
        <f t="shared" si="22"/>
        <v>2.8868747901980529</v>
      </c>
      <c r="M150" s="911">
        <f t="shared" si="22"/>
        <v>1.8437772517752584</v>
      </c>
      <c r="N150" s="925">
        <f>SUM(B150:M150)/12</f>
        <v>2.7902407685338524</v>
      </c>
    </row>
    <row r="151" spans="1:14" ht="13.5" thickBot="1">
      <c r="A151" s="926" t="s">
        <v>957</v>
      </c>
      <c r="B151" s="917">
        <f t="shared" ref="B151:M151" si="23">SUM(B140*100/B145)</f>
        <v>0.33673691071040623</v>
      </c>
      <c r="C151" s="917">
        <f t="shared" si="23"/>
        <v>0</v>
      </c>
      <c r="D151" s="917">
        <f t="shared" si="23"/>
        <v>0</v>
      </c>
      <c r="E151" s="917">
        <f t="shared" si="23"/>
        <v>0</v>
      </c>
      <c r="F151" s="917">
        <f t="shared" si="23"/>
        <v>0</v>
      </c>
      <c r="G151" s="917">
        <f t="shared" si="23"/>
        <v>0</v>
      </c>
      <c r="H151" s="917">
        <f t="shared" si="23"/>
        <v>0</v>
      </c>
      <c r="I151" s="917">
        <f t="shared" si="23"/>
        <v>0</v>
      </c>
      <c r="J151" s="917">
        <f t="shared" si="23"/>
        <v>0</v>
      </c>
      <c r="K151" s="917">
        <f t="shared" si="23"/>
        <v>0</v>
      </c>
      <c r="L151" s="917">
        <f t="shared" si="23"/>
        <v>0</v>
      </c>
      <c r="M151" s="917">
        <f t="shared" si="23"/>
        <v>0</v>
      </c>
      <c r="N151" s="927">
        <f>SUM(B151:M151)/12</f>
        <v>2.8061409225867185E-2</v>
      </c>
    </row>
    <row r="152" spans="1:14" ht="13.5" thickBot="1">
      <c r="A152" s="928" t="s">
        <v>958</v>
      </c>
      <c r="B152" s="929">
        <f t="shared" ref="B152:M152" si="24">SUM(B150:B150)</f>
        <v>2.6938952856832499</v>
      </c>
      <c r="C152" s="929">
        <f t="shared" si="24"/>
        <v>4.2730962043447125</v>
      </c>
      <c r="D152" s="929">
        <f t="shared" si="24"/>
        <v>7.0778683681909484</v>
      </c>
      <c r="E152" s="929">
        <f t="shared" si="24"/>
        <v>3.2792971166934786</v>
      </c>
      <c r="F152" s="929">
        <f t="shared" si="24"/>
        <v>1.9728865865755538</v>
      </c>
      <c r="G152" s="929">
        <f t="shared" si="24"/>
        <v>1.8967205090553108</v>
      </c>
      <c r="H152" s="929">
        <f t="shared" si="24"/>
        <v>0.67405957816916717</v>
      </c>
      <c r="I152" s="929">
        <f t="shared" si="24"/>
        <v>1.0480054090601758</v>
      </c>
      <c r="J152" s="929">
        <f t="shared" si="24"/>
        <v>2.0207721833370966</v>
      </c>
      <c r="K152" s="929">
        <f t="shared" si="24"/>
        <v>3.8156359393232204</v>
      </c>
      <c r="L152" s="929">
        <f t="shared" si="24"/>
        <v>2.8868747901980529</v>
      </c>
      <c r="M152" s="929">
        <f t="shared" si="24"/>
        <v>1.8437772517752584</v>
      </c>
      <c r="N152" s="930">
        <f>SUM(N150:N151)</f>
        <v>2.8183021777597195</v>
      </c>
    </row>
    <row r="153" spans="1:14">
      <c r="A153" s="922" t="s">
        <v>959</v>
      </c>
      <c r="B153" s="923"/>
      <c r="C153" s="923"/>
      <c r="D153" s="931">
        <f>SUM(B152:D152)/3</f>
        <v>4.6816199527396369</v>
      </c>
      <c r="E153" s="923"/>
      <c r="F153" s="923"/>
      <c r="G153" s="931">
        <f>SUM(E152,F152,G152)/3</f>
        <v>2.3829680707747811</v>
      </c>
      <c r="H153" s="923"/>
      <c r="I153" s="923"/>
      <c r="J153" s="931">
        <f>SUM(H152,I152,J152)/3</f>
        <v>1.2476123901888132</v>
      </c>
      <c r="K153" s="923"/>
      <c r="L153" s="923"/>
      <c r="M153" s="931">
        <f>SUM(K152,L152,M152)/3</f>
        <v>2.8487626604321772</v>
      </c>
      <c r="N153" s="932">
        <f>SUM(D153:M153)/4</f>
        <v>2.7902407685338519</v>
      </c>
    </row>
    <row r="154" spans="1:14">
      <c r="A154" s="922" t="s">
        <v>960</v>
      </c>
      <c r="B154" s="923"/>
      <c r="C154" s="923"/>
      <c r="D154" s="933"/>
      <c r="E154" s="923"/>
      <c r="F154" s="923"/>
      <c r="G154" s="933"/>
      <c r="H154" s="923"/>
      <c r="I154" s="923"/>
      <c r="J154" s="933"/>
      <c r="K154" s="923"/>
      <c r="L154" s="923"/>
      <c r="M154" s="933"/>
      <c r="N154" s="925">
        <f>SUM(D154:G154,J154,M154)/4</f>
        <v>0</v>
      </c>
    </row>
    <row r="155" spans="1:14">
      <c r="A155" s="922"/>
      <c r="B155" s="923"/>
      <c r="C155" s="923"/>
      <c r="D155" s="923"/>
      <c r="E155" s="923"/>
      <c r="F155" s="923"/>
      <c r="G155" s="923"/>
      <c r="H155" s="923"/>
      <c r="I155" s="923"/>
      <c r="J155" s="923"/>
      <c r="K155" s="923"/>
      <c r="L155" s="923"/>
      <c r="M155" s="923"/>
      <c r="N155" s="923"/>
    </row>
    <row r="156" spans="1:14">
      <c r="A156" s="910" t="s">
        <v>961</v>
      </c>
      <c r="B156" s="911">
        <f t="shared" ref="B156:M156" si="25">B143*100/B145</f>
        <v>2.3788833369541602</v>
      </c>
      <c r="C156" s="911">
        <f t="shared" si="25"/>
        <v>4.9653855335402248</v>
      </c>
      <c r="D156" s="911">
        <f t="shared" si="25"/>
        <v>0</v>
      </c>
      <c r="E156" s="911">
        <f t="shared" si="25"/>
        <v>3.0689271129810667</v>
      </c>
      <c r="F156" s="911">
        <f t="shared" si="25"/>
        <v>6.6791579411440534</v>
      </c>
      <c r="G156" s="911">
        <f t="shared" si="25"/>
        <v>2.6554087126774353</v>
      </c>
      <c r="H156" s="911">
        <f t="shared" si="25"/>
        <v>0</v>
      </c>
      <c r="I156" s="911">
        <f t="shared" si="25"/>
        <v>0</v>
      </c>
      <c r="J156" s="911">
        <f t="shared" si="25"/>
        <v>0.94829532625874913</v>
      </c>
      <c r="K156" s="911">
        <f t="shared" si="25"/>
        <v>2.1003500583430572</v>
      </c>
      <c r="L156" s="911">
        <f t="shared" si="25"/>
        <v>7.1836186639812016</v>
      </c>
      <c r="M156" s="911">
        <f t="shared" si="25"/>
        <v>5.4690419833063411</v>
      </c>
      <c r="N156" s="925">
        <f>SUM(B156:M156)/12</f>
        <v>2.9540890557655239</v>
      </c>
    </row>
    <row r="157" spans="1:14">
      <c r="A157" s="910" t="s">
        <v>962</v>
      </c>
      <c r="B157" s="911">
        <f t="shared" ref="B157:M157" si="26">B141*100/B145</f>
        <v>1.3686726048229416</v>
      </c>
      <c r="C157" s="911">
        <f t="shared" si="26"/>
        <v>2.5423728813559321</v>
      </c>
      <c r="D157" s="911">
        <f t="shared" si="26"/>
        <v>1.5833628736854544</v>
      </c>
      <c r="E157" s="911">
        <f t="shared" si="26"/>
        <v>2.5120653384482119</v>
      </c>
      <c r="F157" s="911">
        <f t="shared" si="26"/>
        <v>1.5871266394797752</v>
      </c>
      <c r="G157" s="911">
        <f t="shared" si="26"/>
        <v>5.5555555555555554</v>
      </c>
      <c r="H157" s="911">
        <f t="shared" si="26"/>
        <v>10.91541639486845</v>
      </c>
      <c r="I157" s="911">
        <f t="shared" si="26"/>
        <v>2.479152580572459</v>
      </c>
      <c r="J157" s="911">
        <f t="shared" si="26"/>
        <v>3.883495145631068</v>
      </c>
      <c r="K157" s="911">
        <f t="shared" si="26"/>
        <v>8.0630105017502913</v>
      </c>
      <c r="L157" s="911">
        <f t="shared" si="26"/>
        <v>0.61541904442206552</v>
      </c>
      <c r="M157" s="911">
        <f t="shared" si="26"/>
        <v>10.115858975956147</v>
      </c>
      <c r="N157" s="925">
        <f>SUM(B157:M157)/12</f>
        <v>4.2684590447123627</v>
      </c>
    </row>
    <row r="158" spans="1:14" ht="13.5" thickBot="1">
      <c r="A158" s="910" t="s">
        <v>963</v>
      </c>
      <c r="B158" s="911">
        <f t="shared" ref="B158:M158" si="27">B137*100/B145</f>
        <v>5.0076037366934605</v>
      </c>
      <c r="C158" s="911">
        <f t="shared" si="27"/>
        <v>10.026259250417761</v>
      </c>
      <c r="D158" s="911">
        <f t="shared" si="27"/>
        <v>9.724683918232305</v>
      </c>
      <c r="E158" s="911">
        <f t="shared" si="27"/>
        <v>12.523202573938869</v>
      </c>
      <c r="F158" s="911">
        <f t="shared" si="27"/>
        <v>1.2123884051581615</v>
      </c>
      <c r="G158" s="911">
        <f t="shared" si="27"/>
        <v>13.631913852178169</v>
      </c>
      <c r="H158" s="911">
        <f t="shared" si="27"/>
        <v>111.50250054359644</v>
      </c>
      <c r="I158" s="911">
        <f t="shared" si="27"/>
        <v>13.105702050935317</v>
      </c>
      <c r="J158" s="911">
        <f t="shared" si="27"/>
        <v>7.3041318582072705</v>
      </c>
      <c r="K158" s="911">
        <f t="shared" si="27"/>
        <v>5.7409568261376895</v>
      </c>
      <c r="L158" s="911">
        <f t="shared" si="27"/>
        <v>3.8491663869307375</v>
      </c>
      <c r="M158" s="911">
        <f t="shared" si="27"/>
        <v>8.2471658153731155</v>
      </c>
      <c r="N158" s="925">
        <f>SUM(B158:M158)/12</f>
        <v>16.822972934816608</v>
      </c>
    </row>
    <row r="159" spans="1:14" ht="13.5" thickBot="1">
      <c r="A159" s="934" t="s">
        <v>964</v>
      </c>
      <c r="B159" s="935">
        <f t="shared" ref="B159:M159" si="28">SUM(B134-B145)*100/B145</f>
        <v>11.449054964153813</v>
      </c>
      <c r="C159" s="935">
        <f t="shared" si="28"/>
        <v>22.46359513010265</v>
      </c>
      <c r="D159" s="935">
        <f t="shared" si="28"/>
        <v>21.233605104572845</v>
      </c>
      <c r="E159" s="935">
        <f t="shared" si="28"/>
        <v>26.964484593490905</v>
      </c>
      <c r="F159" s="935">
        <f t="shared" si="28"/>
        <v>13.082773062933979</v>
      </c>
      <c r="G159" s="935">
        <f t="shared" si="28"/>
        <v>25.550660792951543</v>
      </c>
      <c r="H159" s="935">
        <f t="shared" si="28"/>
        <v>123.09197651663405</v>
      </c>
      <c r="I159" s="935">
        <f t="shared" si="28"/>
        <v>15.61866125760649</v>
      </c>
      <c r="J159" s="935">
        <f t="shared" si="28"/>
        <v>15.827500564461504</v>
      </c>
      <c r="K159" s="935">
        <f t="shared" si="28"/>
        <v>19.719953325554258</v>
      </c>
      <c r="L159" s="935">
        <f t="shared" si="28"/>
        <v>14.803625377643504</v>
      </c>
      <c r="M159" s="935">
        <f t="shared" si="28"/>
        <v>27.818612183879406</v>
      </c>
      <c r="N159" s="936">
        <f>SUM(B159:M159)/12</f>
        <v>28.135375239498753</v>
      </c>
    </row>
    <row r="160" spans="1:14">
      <c r="A160" s="922"/>
      <c r="B160" s="923"/>
      <c r="C160" s="923"/>
      <c r="D160" s="923"/>
      <c r="E160" s="923"/>
      <c r="F160" s="923"/>
      <c r="G160" s="923"/>
      <c r="H160" s="923"/>
      <c r="I160" s="923"/>
      <c r="J160" s="923"/>
      <c r="K160" s="923"/>
      <c r="L160" s="923"/>
      <c r="M160" s="923"/>
      <c r="N160" s="906"/>
    </row>
    <row r="161" spans="1:14">
      <c r="A161" s="937" t="s">
        <v>965</v>
      </c>
      <c r="B161" s="923"/>
      <c r="C161" s="923"/>
      <c r="D161" s="923"/>
      <c r="E161" s="923"/>
      <c r="F161" s="923"/>
      <c r="G161" s="923"/>
      <c r="H161" s="923"/>
      <c r="I161" s="923"/>
      <c r="J161" s="923"/>
      <c r="K161" s="923"/>
      <c r="L161" s="923"/>
      <c r="M161" s="923"/>
      <c r="N161" s="906"/>
    </row>
    <row r="162" spans="1:14">
      <c r="A162" s="910" t="s">
        <v>966</v>
      </c>
      <c r="B162" s="938">
        <v>16</v>
      </c>
      <c r="C162" s="938">
        <v>16</v>
      </c>
      <c r="D162" s="938">
        <v>16</v>
      </c>
      <c r="E162" s="938">
        <v>16</v>
      </c>
      <c r="F162" s="938">
        <v>16</v>
      </c>
      <c r="G162" s="938">
        <v>16</v>
      </c>
      <c r="H162" s="938">
        <v>16</v>
      </c>
      <c r="I162" s="938">
        <f t="shared" ref="I162:N162" si="29">H165</f>
        <v>16</v>
      </c>
      <c r="J162" s="938">
        <f t="shared" si="29"/>
        <v>16</v>
      </c>
      <c r="K162" s="938">
        <f t="shared" si="29"/>
        <v>16</v>
      </c>
      <c r="L162" s="938">
        <f t="shared" si="29"/>
        <v>16</v>
      </c>
      <c r="M162" s="938">
        <f t="shared" si="29"/>
        <v>16</v>
      </c>
      <c r="N162" s="938">
        <f t="shared" si="29"/>
        <v>16</v>
      </c>
    </row>
    <row r="163" spans="1:14">
      <c r="A163" s="910" t="s">
        <v>967</v>
      </c>
      <c r="B163" s="938"/>
      <c r="C163" s="938"/>
      <c r="D163" s="938"/>
      <c r="E163" s="938"/>
      <c r="F163" s="938"/>
      <c r="G163" s="938"/>
      <c r="H163" s="938"/>
      <c r="I163" s="938"/>
      <c r="J163" s="938"/>
      <c r="K163" s="938"/>
      <c r="L163" s="938"/>
      <c r="M163" s="938"/>
      <c r="N163" s="938">
        <f>SUM(B163:M163)/12</f>
        <v>0</v>
      </c>
    </row>
    <row r="164" spans="1:14">
      <c r="A164" s="910" t="s">
        <v>968</v>
      </c>
      <c r="B164" s="938"/>
      <c r="C164" s="938"/>
      <c r="D164" s="938"/>
      <c r="E164" s="938"/>
      <c r="F164" s="938"/>
      <c r="G164" s="938"/>
      <c r="H164" s="938"/>
      <c r="I164" s="938"/>
      <c r="J164" s="938"/>
      <c r="K164" s="938"/>
      <c r="L164" s="938"/>
      <c r="M164" s="938"/>
      <c r="N164" s="938">
        <f>SUM(B163:M163)/12</f>
        <v>0</v>
      </c>
    </row>
    <row r="165" spans="1:14">
      <c r="A165" s="910" t="s">
        <v>965</v>
      </c>
      <c r="B165" s="938">
        <f t="shared" ref="B165:M165" si="30">SUM(B162+B163-B164)</f>
        <v>16</v>
      </c>
      <c r="C165" s="938">
        <f t="shared" si="30"/>
        <v>16</v>
      </c>
      <c r="D165" s="938">
        <f t="shared" si="30"/>
        <v>16</v>
      </c>
      <c r="E165" s="938">
        <f t="shared" si="30"/>
        <v>16</v>
      </c>
      <c r="F165" s="938">
        <f t="shared" si="30"/>
        <v>16</v>
      </c>
      <c r="G165" s="938">
        <f t="shared" si="30"/>
        <v>16</v>
      </c>
      <c r="H165" s="938">
        <f t="shared" si="30"/>
        <v>16</v>
      </c>
      <c r="I165" s="938">
        <f t="shared" si="30"/>
        <v>16</v>
      </c>
      <c r="J165" s="938">
        <f t="shared" si="30"/>
        <v>16</v>
      </c>
      <c r="K165" s="938">
        <f t="shared" si="30"/>
        <v>16</v>
      </c>
      <c r="L165" s="938">
        <f t="shared" si="30"/>
        <v>16</v>
      </c>
      <c r="M165" s="938">
        <f t="shared" si="30"/>
        <v>16</v>
      </c>
      <c r="N165" s="938">
        <f>SUM(B164:M164)/12</f>
        <v>0</v>
      </c>
    </row>
    <row r="166" spans="1:14">
      <c r="A166" s="910" t="s">
        <v>969</v>
      </c>
      <c r="B166" s="939">
        <f t="shared" ref="B166:M166" si="31">SUM(B165*100)/B162-100</f>
        <v>0</v>
      </c>
      <c r="C166" s="939">
        <f t="shared" si="31"/>
        <v>0</v>
      </c>
      <c r="D166" s="939">
        <f t="shared" si="31"/>
        <v>0</v>
      </c>
      <c r="E166" s="939">
        <f t="shared" si="31"/>
        <v>0</v>
      </c>
      <c r="F166" s="939">
        <f t="shared" si="31"/>
        <v>0</v>
      </c>
      <c r="G166" s="939">
        <f t="shared" si="31"/>
        <v>0</v>
      </c>
      <c r="H166" s="939">
        <f t="shared" si="31"/>
        <v>0</v>
      </c>
      <c r="I166" s="939">
        <f t="shared" si="31"/>
        <v>0</v>
      </c>
      <c r="J166" s="939">
        <f t="shared" si="31"/>
        <v>0</v>
      </c>
      <c r="K166" s="939">
        <f t="shared" si="31"/>
        <v>0</v>
      </c>
      <c r="L166" s="939">
        <f t="shared" si="31"/>
        <v>0</v>
      </c>
      <c r="M166" s="939">
        <f t="shared" si="31"/>
        <v>0</v>
      </c>
      <c r="N166" s="938"/>
    </row>
    <row r="167" spans="1:14">
      <c r="A167" s="922" t="s">
        <v>970</v>
      </c>
      <c r="B167" s="940"/>
      <c r="C167" s="940"/>
      <c r="D167" s="941">
        <f>SUM(B166:D166/3)</f>
        <v>0</v>
      </c>
      <c r="E167" s="940"/>
      <c r="F167" s="940"/>
      <c r="G167" s="941">
        <f>SUM(E166:G166)/3</f>
        <v>0</v>
      </c>
      <c r="H167" s="940"/>
      <c r="I167" s="940"/>
      <c r="J167" s="941">
        <f>SUM(H166:J166)/3</f>
        <v>0</v>
      </c>
      <c r="K167" s="940"/>
      <c r="L167" s="940"/>
      <c r="M167" s="941">
        <f>SUM(K166:M166)/3</f>
        <v>0</v>
      </c>
      <c r="N167" s="940"/>
    </row>
    <row r="168" spans="1:14">
      <c r="A168" s="922"/>
      <c r="B168" s="923"/>
      <c r="C168" s="923"/>
      <c r="D168" s="923"/>
      <c r="E168" s="923"/>
      <c r="F168" s="923"/>
      <c r="G168" s="923"/>
      <c r="H168" s="923"/>
      <c r="I168" s="923"/>
      <c r="J168" s="923"/>
      <c r="K168" s="923"/>
      <c r="L168" s="923"/>
      <c r="M168" s="923"/>
      <c r="N168" s="906"/>
    </row>
    <row r="169" spans="1:14" ht="15.75">
      <c r="A169" s="937"/>
      <c r="B169" s="1005"/>
      <c r="C169" s="1005"/>
      <c r="D169" s="1005"/>
      <c r="E169" s="1005"/>
      <c r="F169" s="1005"/>
      <c r="G169" s="1034"/>
      <c r="H169" s="1005"/>
      <c r="I169" s="1005"/>
      <c r="J169" s="1005"/>
      <c r="K169" s="1005"/>
      <c r="L169" s="1005"/>
      <c r="M169" s="1005"/>
      <c r="N169" s="906"/>
    </row>
    <row r="170" spans="1:14">
      <c r="A170" s="1007" t="s">
        <v>1012</v>
      </c>
      <c r="B170" s="911" t="s">
        <v>924</v>
      </c>
      <c r="C170" s="911" t="s">
        <v>925</v>
      </c>
      <c r="D170" s="911" t="s">
        <v>926</v>
      </c>
      <c r="E170" s="911" t="s">
        <v>927</v>
      </c>
      <c r="F170" s="911" t="s">
        <v>928</v>
      </c>
      <c r="G170" s="911" t="s">
        <v>929</v>
      </c>
      <c r="H170" s="911" t="s">
        <v>918</v>
      </c>
      <c r="I170" s="911" t="s">
        <v>919</v>
      </c>
      <c r="J170" s="911" t="s">
        <v>920</v>
      </c>
      <c r="K170" s="911" t="s">
        <v>921</v>
      </c>
      <c r="L170" s="911" t="s">
        <v>922</v>
      </c>
      <c r="M170" s="911" t="s">
        <v>923</v>
      </c>
      <c r="N170" s="907" t="s">
        <v>137</v>
      </c>
    </row>
    <row r="171" spans="1:14">
      <c r="A171" s="910" t="s">
        <v>1013</v>
      </c>
      <c r="B171" s="1334">
        <v>309000</v>
      </c>
      <c r="C171" s="1334">
        <v>309000</v>
      </c>
      <c r="D171" s="1334">
        <v>309000</v>
      </c>
      <c r="E171" s="1334">
        <v>309000</v>
      </c>
      <c r="F171" s="1334">
        <v>309000</v>
      </c>
      <c r="G171" s="1334">
        <v>309000</v>
      </c>
      <c r="H171" s="1334">
        <v>309000</v>
      </c>
      <c r="I171" s="1334">
        <v>309000</v>
      </c>
      <c r="J171" s="1334">
        <v>309000</v>
      </c>
      <c r="K171" s="1334">
        <v>309000</v>
      </c>
      <c r="L171" s="1334">
        <v>309000</v>
      </c>
      <c r="M171" s="1334">
        <v>309000</v>
      </c>
      <c r="N171" s="1334">
        <f t="shared" ref="N171:N186" si="32">SUM(B171:M171)</f>
        <v>3708000</v>
      </c>
    </row>
    <row r="172" spans="1:14">
      <c r="A172" s="910" t="s">
        <v>1014</v>
      </c>
      <c r="B172" s="1008">
        <v>81500</v>
      </c>
      <c r="C172" s="1008">
        <v>81500</v>
      </c>
      <c r="D172" s="1008">
        <v>81500</v>
      </c>
      <c r="E172" s="1008">
        <v>81500</v>
      </c>
      <c r="F172" s="1008">
        <v>81500</v>
      </c>
      <c r="G172" s="1008">
        <v>81500</v>
      </c>
      <c r="H172" s="1008">
        <v>81500</v>
      </c>
      <c r="I172" s="1008">
        <v>81500</v>
      </c>
      <c r="J172" s="1008">
        <v>81500</v>
      </c>
      <c r="K172" s="1008">
        <v>81500</v>
      </c>
      <c r="L172" s="1008">
        <v>81500</v>
      </c>
      <c r="M172" s="1008">
        <v>81500</v>
      </c>
      <c r="N172" s="1008">
        <f t="shared" si="32"/>
        <v>978000</v>
      </c>
    </row>
    <row r="173" spans="1:14">
      <c r="A173" s="910"/>
      <c r="B173" s="1008"/>
      <c r="C173" s="1008">
        <v>0</v>
      </c>
      <c r="D173" s="1008">
        <v>0</v>
      </c>
      <c r="E173" s="1008">
        <v>0</v>
      </c>
      <c r="F173" s="1008">
        <v>0</v>
      </c>
      <c r="G173" s="1008">
        <v>0</v>
      </c>
      <c r="H173" s="1008">
        <v>0</v>
      </c>
      <c r="I173" s="1008">
        <v>0</v>
      </c>
      <c r="J173" s="1008">
        <v>0</v>
      </c>
      <c r="K173" s="1008">
        <v>0</v>
      </c>
      <c r="L173" s="1008">
        <v>0</v>
      </c>
      <c r="M173" s="1008">
        <v>0</v>
      </c>
      <c r="N173" s="1008">
        <f t="shared" si="32"/>
        <v>0</v>
      </c>
    </row>
    <row r="174" spans="1:14" ht="13.5" thickBot="1">
      <c r="A174" s="1035"/>
      <c r="B174" s="1036"/>
      <c r="C174" s="1036"/>
      <c r="D174" s="1036"/>
      <c r="E174" s="1036"/>
      <c r="F174" s="1036"/>
      <c r="G174" s="1036"/>
      <c r="H174" s="1036"/>
      <c r="I174" s="1036"/>
      <c r="J174" s="1036"/>
      <c r="K174" s="1036"/>
      <c r="L174" s="1036"/>
      <c r="M174" s="1036"/>
      <c r="N174" s="1008">
        <f t="shared" si="32"/>
        <v>0</v>
      </c>
    </row>
    <row r="175" spans="1:14" ht="13.5" thickBot="1">
      <c r="A175" s="1012" t="s">
        <v>1015</v>
      </c>
      <c r="B175" s="1013">
        <f t="shared" ref="B175:M175" si="33">SUM(B171:B174)</f>
        <v>390500</v>
      </c>
      <c r="C175" s="1013">
        <f t="shared" si="33"/>
        <v>390500</v>
      </c>
      <c r="D175" s="1013">
        <f t="shared" si="33"/>
        <v>390500</v>
      </c>
      <c r="E175" s="1013">
        <f t="shared" si="33"/>
        <v>390500</v>
      </c>
      <c r="F175" s="1013">
        <f t="shared" si="33"/>
        <v>390500</v>
      </c>
      <c r="G175" s="1013">
        <f t="shared" si="33"/>
        <v>390500</v>
      </c>
      <c r="H175" s="1013">
        <f t="shared" si="33"/>
        <v>390500</v>
      </c>
      <c r="I175" s="1013">
        <f t="shared" si="33"/>
        <v>390500</v>
      </c>
      <c r="J175" s="1013">
        <f t="shared" si="33"/>
        <v>390500</v>
      </c>
      <c r="K175" s="1013">
        <f t="shared" si="33"/>
        <v>390500</v>
      </c>
      <c r="L175" s="1013">
        <f t="shared" si="33"/>
        <v>390500</v>
      </c>
      <c r="M175" s="1013">
        <f t="shared" si="33"/>
        <v>390500</v>
      </c>
      <c r="N175" s="1013">
        <f t="shared" si="32"/>
        <v>4686000</v>
      </c>
    </row>
    <row r="176" spans="1:14">
      <c r="A176" s="907" t="s">
        <v>1016</v>
      </c>
      <c r="B176" s="1008">
        <v>3675</v>
      </c>
      <c r="C176" s="1008">
        <v>8525</v>
      </c>
      <c r="D176" s="1008">
        <v>5425</v>
      </c>
      <c r="E176" s="1008">
        <v>5050</v>
      </c>
      <c r="F176" s="1008">
        <v>5400</v>
      </c>
      <c r="G176" s="1008">
        <v>11550</v>
      </c>
      <c r="H176" s="1008">
        <v>0</v>
      </c>
      <c r="I176" s="1008">
        <v>9387.5</v>
      </c>
      <c r="J176" s="1008">
        <v>7950</v>
      </c>
      <c r="K176" s="1008">
        <v>5950</v>
      </c>
      <c r="L176" s="1008">
        <v>7575</v>
      </c>
      <c r="M176" s="1008">
        <v>7875</v>
      </c>
      <c r="N176" s="1008">
        <f t="shared" si="32"/>
        <v>78362.5</v>
      </c>
    </row>
    <row r="177" spans="1:15">
      <c r="A177" s="910" t="s">
        <v>1017</v>
      </c>
      <c r="B177" s="1008">
        <v>3820</v>
      </c>
      <c r="C177" s="1008"/>
      <c r="D177" s="1008"/>
      <c r="E177" s="1008"/>
      <c r="F177" s="1008"/>
      <c r="G177" s="1037"/>
      <c r="H177" s="1008"/>
      <c r="I177" s="1008"/>
      <c r="J177" s="1008"/>
      <c r="K177" s="1008"/>
      <c r="L177" s="1008"/>
      <c r="M177" s="1008"/>
      <c r="N177" s="1008">
        <f t="shared" si="32"/>
        <v>3820</v>
      </c>
    </row>
    <row r="178" spans="1:15">
      <c r="A178" s="1035" t="s">
        <v>1018</v>
      </c>
      <c r="B178" s="1008">
        <v>90000</v>
      </c>
      <c r="C178" s="1008">
        <v>90000</v>
      </c>
      <c r="D178" s="1008">
        <v>90000</v>
      </c>
      <c r="E178" s="1008">
        <v>90000</v>
      </c>
      <c r="F178" s="1008">
        <v>90000</v>
      </c>
      <c r="G178" s="1008">
        <v>90000</v>
      </c>
      <c r="H178" s="1008">
        <v>90000</v>
      </c>
      <c r="I178" s="1008">
        <v>90000</v>
      </c>
      <c r="J178" s="1008">
        <v>90000</v>
      </c>
      <c r="K178" s="1008">
        <v>90000</v>
      </c>
      <c r="L178" s="1008">
        <v>90000</v>
      </c>
      <c r="M178" s="1008">
        <v>90000</v>
      </c>
      <c r="N178" s="1008">
        <f t="shared" si="32"/>
        <v>1080000</v>
      </c>
    </row>
    <row r="179" spans="1:15">
      <c r="A179" s="907" t="s">
        <v>993</v>
      </c>
      <c r="B179" s="1008">
        <v>257182.5</v>
      </c>
      <c r="C179" s="1008">
        <v>54037.5</v>
      </c>
      <c r="D179" s="1008">
        <v>101556.76</v>
      </c>
      <c r="E179" s="1008">
        <v>109550</v>
      </c>
      <c r="F179" s="1008">
        <v>106362.5</v>
      </c>
      <c r="G179" s="1008">
        <v>137925</v>
      </c>
      <c r="H179" s="1008">
        <v>29775</v>
      </c>
      <c r="I179" s="1008">
        <v>168387.5</v>
      </c>
      <c r="J179" s="1008">
        <v>137330</v>
      </c>
      <c r="K179" s="1008">
        <v>241814.5</v>
      </c>
      <c r="L179" s="1008">
        <v>50475</v>
      </c>
      <c r="M179" s="1008">
        <v>110675</v>
      </c>
      <c r="N179" s="1008">
        <f t="shared" si="32"/>
        <v>1505071.26</v>
      </c>
    </row>
    <row r="180" spans="1:15" ht="13.5" thickBot="1">
      <c r="A180" s="1038" t="s">
        <v>1019</v>
      </c>
      <c r="B180" s="1036">
        <v>35391.5</v>
      </c>
      <c r="C180" s="1036">
        <v>8370.5</v>
      </c>
      <c r="D180" s="1036">
        <v>17636.5</v>
      </c>
      <c r="E180" s="1036">
        <v>14229.75</v>
      </c>
      <c r="F180" s="1036">
        <v>23034.25</v>
      </c>
      <c r="G180" s="1036">
        <v>27277.75</v>
      </c>
      <c r="H180" s="1036">
        <v>4676.5</v>
      </c>
      <c r="I180" s="1036">
        <v>36578</v>
      </c>
      <c r="J180" s="1036">
        <v>29605.25</v>
      </c>
      <c r="K180" s="1036">
        <v>27215</v>
      </c>
      <c r="L180" s="1036">
        <v>8272.5</v>
      </c>
      <c r="M180" s="1008">
        <v>19100.5</v>
      </c>
      <c r="N180" s="1008">
        <f t="shared" si="32"/>
        <v>251388</v>
      </c>
    </row>
    <row r="181" spans="1:15" ht="13.5" thickBot="1">
      <c r="A181" s="1039" t="s">
        <v>1001</v>
      </c>
      <c r="B181" s="1040">
        <f t="shared" ref="B181:M181" si="34">SUM(B176:B180)</f>
        <v>390069</v>
      </c>
      <c r="C181" s="1040">
        <f t="shared" si="34"/>
        <v>160933</v>
      </c>
      <c r="D181" s="1040">
        <f t="shared" si="34"/>
        <v>214618.26</v>
      </c>
      <c r="E181" s="1040">
        <f t="shared" si="34"/>
        <v>218829.75</v>
      </c>
      <c r="F181" s="1040">
        <f t="shared" si="34"/>
        <v>224796.75</v>
      </c>
      <c r="G181" s="1040">
        <f t="shared" si="34"/>
        <v>266752.75</v>
      </c>
      <c r="H181" s="1040">
        <f t="shared" si="34"/>
        <v>124451.5</v>
      </c>
      <c r="I181" s="1040">
        <f t="shared" si="34"/>
        <v>304353</v>
      </c>
      <c r="J181" s="1040">
        <f t="shared" si="34"/>
        <v>264885.25</v>
      </c>
      <c r="K181" s="1040">
        <f t="shared" si="34"/>
        <v>364979.5</v>
      </c>
      <c r="L181" s="1040">
        <f t="shared" si="34"/>
        <v>156322.5</v>
      </c>
      <c r="M181" s="1040">
        <f t="shared" si="34"/>
        <v>227650.5</v>
      </c>
      <c r="N181" s="1040">
        <f t="shared" si="32"/>
        <v>2918641.76</v>
      </c>
    </row>
    <row r="182" spans="1:15" ht="13.5" thickBot="1">
      <c r="A182" s="907" t="s">
        <v>1002</v>
      </c>
      <c r="B182" s="1010">
        <v>89832</v>
      </c>
      <c r="C182" s="1010">
        <v>0</v>
      </c>
      <c r="D182" s="1010">
        <v>0</v>
      </c>
      <c r="E182" s="1010">
        <v>1576</v>
      </c>
      <c r="F182" s="1010">
        <v>17622</v>
      </c>
      <c r="G182" s="1010">
        <v>34708</v>
      </c>
      <c r="H182" s="1010">
        <v>0</v>
      </c>
      <c r="I182" s="1010">
        <v>0</v>
      </c>
      <c r="J182" s="1010">
        <v>0</v>
      </c>
      <c r="K182" s="1010">
        <v>0</v>
      </c>
      <c r="L182" s="1010">
        <v>94560</v>
      </c>
      <c r="M182" s="1036">
        <v>0</v>
      </c>
      <c r="N182" s="1008">
        <f t="shared" si="32"/>
        <v>238298</v>
      </c>
      <c r="O182" s="970"/>
    </row>
    <row r="183" spans="1:15" ht="13.5" thickBot="1">
      <c r="A183" s="1042" t="s">
        <v>1003</v>
      </c>
      <c r="B183" s="1043">
        <f t="shared" ref="B183:M183" si="35">SUM(B175,B181,B182)</f>
        <v>870401</v>
      </c>
      <c r="C183" s="1043">
        <f t="shared" si="35"/>
        <v>551433</v>
      </c>
      <c r="D183" s="1043">
        <f t="shared" si="35"/>
        <v>605118.26</v>
      </c>
      <c r="E183" s="1043">
        <f t="shared" si="35"/>
        <v>610905.75</v>
      </c>
      <c r="F183" s="1043">
        <f t="shared" si="35"/>
        <v>632918.75</v>
      </c>
      <c r="G183" s="1043">
        <f t="shared" si="35"/>
        <v>691960.75</v>
      </c>
      <c r="H183" s="1043">
        <f t="shared" si="35"/>
        <v>514951.5</v>
      </c>
      <c r="I183" s="1043">
        <f t="shared" si="35"/>
        <v>694853</v>
      </c>
      <c r="J183" s="1043">
        <f t="shared" si="35"/>
        <v>655385.25</v>
      </c>
      <c r="K183" s="1043">
        <f t="shared" si="35"/>
        <v>755479.5</v>
      </c>
      <c r="L183" s="1043">
        <f t="shared" si="35"/>
        <v>641382.5</v>
      </c>
      <c r="M183" s="1040">
        <f t="shared" si="35"/>
        <v>618150.5</v>
      </c>
      <c r="N183" s="1040">
        <f t="shared" si="32"/>
        <v>7842939.7599999998</v>
      </c>
    </row>
    <row r="184" spans="1:15">
      <c r="A184" s="1015" t="s">
        <v>1004</v>
      </c>
      <c r="B184" s="1044">
        <v>554373</v>
      </c>
      <c r="C184" s="1044">
        <v>562354</v>
      </c>
      <c r="D184" s="1044">
        <v>541397</v>
      </c>
      <c r="E184" s="1044">
        <v>552613</v>
      </c>
      <c r="F184" s="1044">
        <v>740576</v>
      </c>
      <c r="G184" s="1044">
        <v>543245</v>
      </c>
      <c r="H184" s="1044">
        <v>454194</v>
      </c>
      <c r="I184" s="1044">
        <v>296421</v>
      </c>
      <c r="J184" s="1044">
        <v>503272</v>
      </c>
      <c r="K184" s="1044">
        <v>412440</v>
      </c>
      <c r="L184" s="1044">
        <v>510000</v>
      </c>
      <c r="M184" s="1044">
        <v>510000</v>
      </c>
      <c r="N184" s="1008">
        <f t="shared" si="32"/>
        <v>6180885</v>
      </c>
    </row>
    <row r="185" spans="1:15">
      <c r="A185" s="1015" t="s">
        <v>1006</v>
      </c>
      <c r="B185" s="1044"/>
      <c r="C185" s="1044"/>
      <c r="D185" s="1044"/>
      <c r="E185" s="1044"/>
      <c r="F185" s="1044"/>
      <c r="G185" s="1044"/>
      <c r="H185" s="1044"/>
      <c r="I185" s="1044"/>
      <c r="J185" s="1044"/>
      <c r="K185" s="1044"/>
      <c r="L185" s="1044"/>
      <c r="M185" s="1044"/>
      <c r="N185" s="1008">
        <f t="shared" si="32"/>
        <v>0</v>
      </c>
    </row>
    <row r="186" spans="1:15">
      <c r="A186" s="1015" t="s">
        <v>1020</v>
      </c>
      <c r="B186" s="1044"/>
      <c r="C186" s="1044"/>
      <c r="D186" s="1044"/>
      <c r="E186" s="1044"/>
      <c r="F186" s="1044"/>
      <c r="G186" s="1044"/>
      <c r="H186" s="1044"/>
      <c r="I186" s="1044"/>
      <c r="J186" s="1044"/>
      <c r="K186" s="1044"/>
      <c r="L186" s="1044"/>
      <c r="M186" s="1044"/>
      <c r="N186" s="1008">
        <f t="shared" si="32"/>
        <v>0</v>
      </c>
    </row>
    <row r="187" spans="1:15">
      <c r="A187" s="1046" t="s">
        <v>1009</v>
      </c>
      <c r="B187" s="1047">
        <f t="shared" ref="B187:M187" si="36">B183-SUM(B184:B186)</f>
        <v>316028</v>
      </c>
      <c r="C187" s="1047">
        <f t="shared" si="36"/>
        <v>-10921</v>
      </c>
      <c r="D187" s="1047">
        <f t="shared" si="36"/>
        <v>63721.260000000009</v>
      </c>
      <c r="E187" s="1047">
        <f t="shared" si="36"/>
        <v>58292.75</v>
      </c>
      <c r="F187" s="1047">
        <f t="shared" si="36"/>
        <v>-107657.25</v>
      </c>
      <c r="G187" s="1047">
        <f t="shared" si="36"/>
        <v>148715.75</v>
      </c>
      <c r="H187" s="1047">
        <f t="shared" si="36"/>
        <v>60757.5</v>
      </c>
      <c r="I187" s="1047">
        <f t="shared" si="36"/>
        <v>398432</v>
      </c>
      <c r="J187" s="1047">
        <f t="shared" si="36"/>
        <v>152113.25</v>
      </c>
      <c r="K187" s="1047">
        <f t="shared" si="36"/>
        <v>343039.5</v>
      </c>
      <c r="L187" s="1047">
        <f t="shared" si="36"/>
        <v>131382.5</v>
      </c>
      <c r="M187" s="1047">
        <f t="shared" si="36"/>
        <v>108150.5</v>
      </c>
      <c r="N187" s="1047">
        <f>SUM(N183-N184-N185)</f>
        <v>1662054.7599999998</v>
      </c>
    </row>
    <row r="188" spans="1:15" ht="13.5" thickBot="1">
      <c r="A188" s="1048">
        <v>206552</v>
      </c>
      <c r="B188" s="1048"/>
      <c r="C188" s="1048"/>
      <c r="D188" s="1048"/>
      <c r="E188" s="1048"/>
      <c r="F188" s="1048"/>
      <c r="G188" s="1048"/>
      <c r="H188" s="1048"/>
      <c r="I188" s="1048"/>
      <c r="J188" s="1048"/>
      <c r="K188" s="1048"/>
      <c r="L188" s="1048"/>
      <c r="M188" s="1048"/>
      <c r="N188" s="1048"/>
    </row>
    <row r="189" spans="1:15" ht="13.5" thickBot="1"/>
    <row r="190" spans="1:15" ht="20.25">
      <c r="A190" s="1702" t="s">
        <v>1021</v>
      </c>
      <c r="B190" s="1702"/>
      <c r="C190" s="1702"/>
      <c r="D190" s="1702"/>
      <c r="E190" s="1702"/>
      <c r="F190" s="1702"/>
      <c r="G190" s="1702"/>
      <c r="H190" s="1702"/>
      <c r="I190" s="1702"/>
      <c r="J190" s="1702"/>
      <c r="K190" s="1702"/>
      <c r="L190" s="1702"/>
      <c r="M190" s="1702"/>
      <c r="N190" s="1702"/>
    </row>
    <row r="191" spans="1:15">
      <c r="A191" s="906"/>
      <c r="B191" s="906"/>
      <c r="C191" s="906"/>
      <c r="D191" s="906"/>
      <c r="E191" s="906"/>
      <c r="F191" s="906"/>
      <c r="G191" s="906"/>
      <c r="H191" s="906"/>
      <c r="I191" s="906"/>
      <c r="J191" s="906"/>
      <c r="K191" s="906"/>
      <c r="L191" s="906"/>
      <c r="M191" s="906"/>
    </row>
    <row r="192" spans="1:15">
      <c r="A192" s="907"/>
      <c r="B192" s="908" t="s">
        <v>924</v>
      </c>
      <c r="C192" s="908" t="s">
        <v>925</v>
      </c>
      <c r="D192" s="909" t="s">
        <v>926</v>
      </c>
      <c r="E192" s="908" t="s">
        <v>927</v>
      </c>
      <c r="F192" s="908" t="s">
        <v>928</v>
      </c>
      <c r="G192" s="909" t="s">
        <v>929</v>
      </c>
      <c r="H192" s="908" t="s">
        <v>918</v>
      </c>
      <c r="I192" s="908" t="s">
        <v>919</v>
      </c>
      <c r="J192" s="908" t="s">
        <v>920</v>
      </c>
      <c r="K192" s="908" t="s">
        <v>921</v>
      </c>
      <c r="L192" s="908" t="s">
        <v>922</v>
      </c>
      <c r="M192" s="908" t="s">
        <v>923</v>
      </c>
      <c r="N192" s="907" t="s">
        <v>137</v>
      </c>
    </row>
    <row r="193" spans="1:14">
      <c r="A193" s="910" t="s">
        <v>183</v>
      </c>
      <c r="B193" s="911">
        <v>1924</v>
      </c>
      <c r="C193" s="911">
        <v>1924</v>
      </c>
      <c r="D193" s="911">
        <v>1924</v>
      </c>
      <c r="E193" s="911">
        <v>1924</v>
      </c>
      <c r="F193" s="911">
        <v>1924</v>
      </c>
      <c r="G193" s="911">
        <v>1924</v>
      </c>
      <c r="H193" s="911">
        <v>1924</v>
      </c>
      <c r="I193" s="911">
        <v>1924</v>
      </c>
      <c r="J193" s="911">
        <v>1924</v>
      </c>
      <c r="K193" s="911">
        <v>1924</v>
      </c>
      <c r="L193" s="911">
        <v>1924</v>
      </c>
      <c r="M193" s="911">
        <v>1924</v>
      </c>
      <c r="N193" s="911">
        <f t="shared" ref="N193:N204" si="37">SUM(B193:M193)</f>
        <v>23088</v>
      </c>
    </row>
    <row r="194" spans="1:14">
      <c r="A194" s="910" t="s">
        <v>942</v>
      </c>
      <c r="B194" s="911"/>
      <c r="C194" s="911"/>
      <c r="D194" s="911"/>
      <c r="E194" s="911"/>
      <c r="F194" s="911"/>
      <c r="G194" s="912"/>
      <c r="H194" s="911"/>
      <c r="I194" s="911"/>
      <c r="J194" s="913"/>
      <c r="K194" s="911"/>
      <c r="L194" s="911"/>
      <c r="M194" s="911"/>
      <c r="N194" s="911">
        <f t="shared" si="37"/>
        <v>0</v>
      </c>
    </row>
    <row r="195" spans="1:14">
      <c r="A195" s="910" t="s">
        <v>943</v>
      </c>
      <c r="B195" s="911"/>
      <c r="C195" s="911"/>
      <c r="D195" s="911"/>
      <c r="E195" s="911"/>
      <c r="F195" s="911"/>
      <c r="G195" s="912"/>
      <c r="H195" s="911"/>
      <c r="I195" s="911"/>
      <c r="J195" s="911"/>
      <c r="K195" s="911"/>
      <c r="L195" s="911"/>
      <c r="M195" s="907"/>
      <c r="N195" s="911">
        <f t="shared" si="37"/>
        <v>0</v>
      </c>
    </row>
    <row r="196" spans="1:14">
      <c r="A196" s="910" t="s">
        <v>945</v>
      </c>
      <c r="B196" s="911">
        <v>154.5</v>
      </c>
      <c r="C196" s="911">
        <v>126.25</v>
      </c>
      <c r="D196" s="911">
        <v>96.5</v>
      </c>
      <c r="E196" s="911">
        <v>178</v>
      </c>
      <c r="F196" s="911">
        <v>50</v>
      </c>
      <c r="G196" s="912">
        <v>155.75</v>
      </c>
      <c r="H196" s="911">
        <v>353.25</v>
      </c>
      <c r="I196" s="911">
        <v>482.25</v>
      </c>
      <c r="J196" s="911">
        <v>229.75</v>
      </c>
      <c r="K196" s="911">
        <v>75.5</v>
      </c>
      <c r="L196" s="911">
        <v>56.75</v>
      </c>
      <c r="M196" s="911">
        <v>133.25</v>
      </c>
      <c r="N196" s="911">
        <f t="shared" si="37"/>
        <v>2091.75</v>
      </c>
    </row>
    <row r="197" spans="1:14">
      <c r="A197" s="910" t="s">
        <v>946</v>
      </c>
      <c r="B197" s="911"/>
      <c r="C197" s="911"/>
      <c r="D197" s="911">
        <v>37</v>
      </c>
      <c r="E197" s="911">
        <v>119.75</v>
      </c>
      <c r="F197" s="911"/>
      <c r="G197" s="912"/>
      <c r="H197" s="911"/>
      <c r="I197" s="911"/>
      <c r="J197" s="911"/>
      <c r="K197" s="911"/>
      <c r="L197" s="911">
        <v>14.5</v>
      </c>
      <c r="M197" s="911"/>
      <c r="N197" s="911">
        <f t="shared" si="37"/>
        <v>171.25</v>
      </c>
    </row>
    <row r="198" spans="1:14">
      <c r="A198" s="910" t="s">
        <v>947</v>
      </c>
      <c r="B198" s="911">
        <v>75.75</v>
      </c>
      <c r="C198" s="911">
        <v>116.75</v>
      </c>
      <c r="D198" s="911">
        <v>146</v>
      </c>
      <c r="E198" s="911"/>
      <c r="F198" s="911">
        <v>31</v>
      </c>
      <c r="G198" s="912">
        <v>101.5</v>
      </c>
      <c r="H198" s="911">
        <v>154.5</v>
      </c>
      <c r="I198" s="911"/>
      <c r="J198" s="911">
        <v>22</v>
      </c>
      <c r="K198" s="911">
        <v>50.75</v>
      </c>
      <c r="L198" s="911">
        <v>145</v>
      </c>
      <c r="M198" s="911">
        <v>44</v>
      </c>
      <c r="N198" s="911">
        <f t="shared" si="37"/>
        <v>887.25</v>
      </c>
    </row>
    <row r="199" spans="1:14">
      <c r="A199" s="910" t="s">
        <v>948</v>
      </c>
      <c r="B199" s="911">
        <v>23.5</v>
      </c>
      <c r="C199" s="911"/>
      <c r="D199" s="911"/>
      <c r="E199" s="911"/>
      <c r="F199" s="911"/>
      <c r="G199" s="912"/>
      <c r="H199" s="911"/>
      <c r="I199" s="911"/>
      <c r="J199" s="911"/>
      <c r="K199" s="911">
        <v>7</v>
      </c>
      <c r="L199" s="911">
        <v>7.75</v>
      </c>
      <c r="M199" s="911">
        <v>7.5</v>
      </c>
      <c r="N199" s="911">
        <f t="shared" si="37"/>
        <v>45.75</v>
      </c>
    </row>
    <row r="200" spans="1:14">
      <c r="A200" s="910" t="s">
        <v>949</v>
      </c>
      <c r="B200" s="911"/>
      <c r="C200" s="911">
        <v>18.5</v>
      </c>
      <c r="D200" s="911">
        <v>15.5</v>
      </c>
      <c r="E200" s="911">
        <v>23.25</v>
      </c>
      <c r="F200" s="911">
        <v>35</v>
      </c>
      <c r="G200" s="912">
        <v>6</v>
      </c>
      <c r="H200" s="911">
        <v>15.5</v>
      </c>
      <c r="I200" s="911">
        <v>54.25</v>
      </c>
      <c r="J200" s="911">
        <v>6</v>
      </c>
      <c r="K200" s="911">
        <v>13.75</v>
      </c>
      <c r="L200" s="911">
        <v>14</v>
      </c>
      <c r="M200" s="911">
        <v>56.75</v>
      </c>
      <c r="N200" s="911">
        <f t="shared" si="37"/>
        <v>258.5</v>
      </c>
    </row>
    <row r="201" spans="1:14">
      <c r="A201" s="910" t="s">
        <v>950</v>
      </c>
      <c r="B201" s="911"/>
      <c r="C201" s="911"/>
      <c r="D201" s="911"/>
      <c r="E201" s="911"/>
      <c r="F201" s="911"/>
      <c r="G201" s="912"/>
      <c r="H201" s="911"/>
      <c r="I201" s="911"/>
      <c r="J201" s="911"/>
      <c r="K201" s="911"/>
      <c r="L201" s="911"/>
      <c r="M201" s="911"/>
      <c r="N201" s="911">
        <f t="shared" si="37"/>
        <v>0</v>
      </c>
    </row>
    <row r="202" spans="1:14">
      <c r="A202" s="910" t="s">
        <v>951</v>
      </c>
      <c r="B202" s="911"/>
      <c r="C202" s="911"/>
      <c r="D202" s="911">
        <v>111</v>
      </c>
      <c r="E202" s="911"/>
      <c r="F202" s="911">
        <v>136.25</v>
      </c>
      <c r="G202" s="912"/>
      <c r="H202" s="911"/>
      <c r="I202" s="911"/>
      <c r="J202" s="911">
        <v>21</v>
      </c>
      <c r="K202" s="911">
        <v>7</v>
      </c>
      <c r="L202" s="911">
        <v>52.75</v>
      </c>
      <c r="M202" s="911">
        <v>38.75</v>
      </c>
      <c r="N202" s="911">
        <f t="shared" si="37"/>
        <v>366.75</v>
      </c>
    </row>
    <row r="203" spans="1:14" ht="13.5" thickBot="1">
      <c r="A203" s="914" t="s">
        <v>952</v>
      </c>
      <c r="B203" s="915"/>
      <c r="C203" s="915"/>
      <c r="D203" s="915"/>
      <c r="E203" s="915"/>
      <c r="F203" s="915"/>
      <c r="G203" s="916"/>
      <c r="H203" s="915"/>
      <c r="I203" s="915"/>
      <c r="J203" s="915"/>
      <c r="K203" s="915"/>
      <c r="L203" s="915">
        <v>7.5</v>
      </c>
      <c r="M203" s="915">
        <v>7.75</v>
      </c>
      <c r="N203" s="917">
        <f t="shared" si="37"/>
        <v>15.25</v>
      </c>
    </row>
    <row r="204" spans="1:14" ht="13.5" thickBot="1">
      <c r="A204" s="918" t="s">
        <v>953</v>
      </c>
      <c r="B204" s="919">
        <f t="shared" ref="B204:M204" si="38">SUM(B193+B194+B195-B196-B197-B198-B200-B201-B202-B203)</f>
        <v>1693.75</v>
      </c>
      <c r="C204" s="919">
        <f t="shared" si="38"/>
        <v>1662.5</v>
      </c>
      <c r="D204" s="919">
        <f t="shared" si="38"/>
        <v>1518</v>
      </c>
      <c r="E204" s="919">
        <f t="shared" si="38"/>
        <v>1603</v>
      </c>
      <c r="F204" s="919">
        <f t="shared" si="38"/>
        <v>1671.75</v>
      </c>
      <c r="G204" s="1033">
        <f t="shared" si="38"/>
        <v>1660.75</v>
      </c>
      <c r="H204" s="919">
        <f t="shared" si="38"/>
        <v>1400.75</v>
      </c>
      <c r="I204" s="919">
        <f t="shared" si="38"/>
        <v>1387.5</v>
      </c>
      <c r="J204" s="919">
        <f t="shared" si="38"/>
        <v>1645.25</v>
      </c>
      <c r="K204" s="919">
        <f t="shared" si="38"/>
        <v>1777</v>
      </c>
      <c r="L204" s="919">
        <f t="shared" si="38"/>
        <v>1633.5</v>
      </c>
      <c r="M204" s="920">
        <f t="shared" si="38"/>
        <v>1643.5</v>
      </c>
      <c r="N204" s="921">
        <f t="shared" si="37"/>
        <v>19297.25</v>
      </c>
    </row>
    <row r="205" spans="1:14">
      <c r="A205" s="922"/>
      <c r="B205" s="923"/>
      <c r="C205" s="923"/>
      <c r="D205" s="923"/>
      <c r="E205" s="923"/>
      <c r="F205" s="923"/>
      <c r="G205" s="923"/>
      <c r="H205" s="923"/>
      <c r="I205" s="923"/>
      <c r="J205" s="923"/>
      <c r="K205" s="923"/>
      <c r="L205" s="923"/>
      <c r="M205" s="923"/>
      <c r="N205" s="923"/>
    </row>
    <row r="206" spans="1:14">
      <c r="A206" s="922"/>
      <c r="B206" s="923"/>
      <c r="C206" s="923"/>
      <c r="D206" s="923"/>
      <c r="E206" s="923"/>
      <c r="F206" s="923"/>
      <c r="G206" s="923"/>
      <c r="H206" s="923"/>
      <c r="I206" s="923"/>
      <c r="J206" s="923"/>
      <c r="K206" s="923"/>
      <c r="L206" s="923"/>
      <c r="M206" s="923"/>
      <c r="N206" s="924" t="s">
        <v>954</v>
      </c>
    </row>
    <row r="207" spans="1:14">
      <c r="A207" s="910" t="s">
        <v>955</v>
      </c>
      <c r="B207" s="911">
        <f t="shared" ref="B207:M207" si="39">SUM(B194*100/B204)</f>
        <v>0</v>
      </c>
      <c r="C207" s="911">
        <f t="shared" si="39"/>
        <v>0</v>
      </c>
      <c r="D207" s="911">
        <f t="shared" si="39"/>
        <v>0</v>
      </c>
      <c r="E207" s="911">
        <f t="shared" si="39"/>
        <v>0</v>
      </c>
      <c r="F207" s="911">
        <f t="shared" si="39"/>
        <v>0</v>
      </c>
      <c r="G207" s="911">
        <f t="shared" si="39"/>
        <v>0</v>
      </c>
      <c r="H207" s="911">
        <f t="shared" si="39"/>
        <v>0</v>
      </c>
      <c r="I207" s="911">
        <f t="shared" si="39"/>
        <v>0</v>
      </c>
      <c r="J207" s="911">
        <f t="shared" si="39"/>
        <v>0</v>
      </c>
      <c r="K207" s="911">
        <f t="shared" si="39"/>
        <v>0</v>
      </c>
      <c r="L207" s="911">
        <f t="shared" si="39"/>
        <v>0</v>
      </c>
      <c r="M207" s="911">
        <f t="shared" si="39"/>
        <v>0</v>
      </c>
      <c r="N207" s="925">
        <f>SUM(B207:M207)/12</f>
        <v>0</v>
      </c>
    </row>
    <row r="208" spans="1:14">
      <c r="A208" s="922"/>
      <c r="B208" s="923"/>
      <c r="C208" s="923"/>
      <c r="D208" s="923"/>
      <c r="E208" s="923"/>
      <c r="F208" s="923"/>
      <c r="G208" s="923"/>
      <c r="H208" s="923"/>
      <c r="I208" s="923"/>
      <c r="J208" s="923"/>
      <c r="K208" s="923"/>
      <c r="L208" s="923"/>
      <c r="M208" s="923"/>
      <c r="N208" s="906"/>
    </row>
    <row r="209" spans="1:14">
      <c r="A209" s="910" t="s">
        <v>956</v>
      </c>
      <c r="B209" s="911">
        <f t="shared" ref="B209:M209" si="40">SUM(B198*100/B204)</f>
        <v>4.4723247232472323</v>
      </c>
      <c r="C209" s="911">
        <f t="shared" si="40"/>
        <v>7.022556390977444</v>
      </c>
      <c r="D209" s="911">
        <f t="shared" si="40"/>
        <v>9.6179183135704882</v>
      </c>
      <c r="E209" s="911">
        <f t="shared" si="40"/>
        <v>0</v>
      </c>
      <c r="F209" s="911">
        <f t="shared" si="40"/>
        <v>1.8543442500373859</v>
      </c>
      <c r="G209" s="911">
        <f t="shared" si="40"/>
        <v>6.1116965226554267</v>
      </c>
      <c r="H209" s="911">
        <f t="shared" si="40"/>
        <v>11.029805461359986</v>
      </c>
      <c r="I209" s="911">
        <f t="shared" si="40"/>
        <v>0</v>
      </c>
      <c r="J209" s="911">
        <f t="shared" si="40"/>
        <v>1.3371827989667224</v>
      </c>
      <c r="K209" s="911">
        <f t="shared" si="40"/>
        <v>2.855936972425436</v>
      </c>
      <c r="L209" s="911">
        <f t="shared" si="40"/>
        <v>8.8766452402816043</v>
      </c>
      <c r="M209" s="911">
        <f t="shared" si="40"/>
        <v>2.6772132643748097</v>
      </c>
      <c r="N209" s="925">
        <f>SUM(B209:M209)/12</f>
        <v>4.6546353281580446</v>
      </c>
    </row>
    <row r="210" spans="1:14" ht="13.5" thickBot="1">
      <c r="A210" s="926" t="s">
        <v>957</v>
      </c>
      <c r="B210" s="917">
        <f t="shared" ref="B210:M210" si="41">SUM(B199*100/B204)</f>
        <v>1.3874538745387455</v>
      </c>
      <c r="C210" s="917">
        <f t="shared" si="41"/>
        <v>0</v>
      </c>
      <c r="D210" s="917">
        <f t="shared" si="41"/>
        <v>0</v>
      </c>
      <c r="E210" s="917">
        <f t="shared" si="41"/>
        <v>0</v>
      </c>
      <c r="F210" s="917">
        <f t="shared" si="41"/>
        <v>0</v>
      </c>
      <c r="G210" s="917">
        <f t="shared" si="41"/>
        <v>0</v>
      </c>
      <c r="H210" s="917">
        <f t="shared" si="41"/>
        <v>0</v>
      </c>
      <c r="I210" s="917">
        <f t="shared" si="41"/>
        <v>0</v>
      </c>
      <c r="J210" s="917">
        <f t="shared" si="41"/>
        <v>0</v>
      </c>
      <c r="K210" s="917">
        <f t="shared" si="41"/>
        <v>0.3939223410241981</v>
      </c>
      <c r="L210" s="917">
        <f t="shared" si="41"/>
        <v>0.47444138353229265</v>
      </c>
      <c r="M210" s="917">
        <f t="shared" si="41"/>
        <v>0.45634317006388803</v>
      </c>
      <c r="N210" s="925">
        <f>SUM(B210:M210)/12</f>
        <v>0.22601339742992699</v>
      </c>
    </row>
    <row r="211" spans="1:14" ht="13.5" thickBot="1">
      <c r="A211" s="928" t="s">
        <v>958</v>
      </c>
      <c r="B211" s="929">
        <f t="shared" ref="B211:M211" si="42">SUM(B209:B209)</f>
        <v>4.4723247232472323</v>
      </c>
      <c r="C211" s="929">
        <f t="shared" si="42"/>
        <v>7.022556390977444</v>
      </c>
      <c r="D211" s="929">
        <f t="shared" si="42"/>
        <v>9.6179183135704882</v>
      </c>
      <c r="E211" s="929">
        <f t="shared" si="42"/>
        <v>0</v>
      </c>
      <c r="F211" s="929">
        <f t="shared" si="42"/>
        <v>1.8543442500373859</v>
      </c>
      <c r="G211" s="929">
        <f t="shared" si="42"/>
        <v>6.1116965226554267</v>
      </c>
      <c r="H211" s="929">
        <f t="shared" si="42"/>
        <v>11.029805461359986</v>
      </c>
      <c r="I211" s="929">
        <f t="shared" si="42"/>
        <v>0</v>
      </c>
      <c r="J211" s="929">
        <f t="shared" si="42"/>
        <v>1.3371827989667224</v>
      </c>
      <c r="K211" s="929">
        <f t="shared" si="42"/>
        <v>2.855936972425436</v>
      </c>
      <c r="L211" s="929">
        <f t="shared" si="42"/>
        <v>8.8766452402816043</v>
      </c>
      <c r="M211" s="929">
        <f t="shared" si="42"/>
        <v>2.6772132643748097</v>
      </c>
      <c r="N211" s="930">
        <f>SUM(N209:N210)</f>
        <v>4.8806487255879718</v>
      </c>
    </row>
    <row r="212" spans="1:14">
      <c r="A212" s="922" t="s">
        <v>959</v>
      </c>
      <c r="B212" s="923"/>
      <c r="C212" s="923"/>
      <c r="D212" s="931">
        <f>SUM(B211:D211)/3</f>
        <v>7.0375998092650542</v>
      </c>
      <c r="E212" s="923"/>
      <c r="F212" s="923"/>
      <c r="G212" s="931">
        <f>SUM(E211,F211,G211)/3</f>
        <v>2.6553469242309373</v>
      </c>
      <c r="H212" s="923"/>
      <c r="I212" s="923"/>
      <c r="J212" s="931">
        <f>SUM(H211,I211,J211)/3</f>
        <v>4.1223294201089029</v>
      </c>
      <c r="K212" s="923"/>
      <c r="L212" s="923"/>
      <c r="M212" s="931">
        <f>SUM(K211,L211,M211)/3</f>
        <v>4.8032651590272835</v>
      </c>
      <c r="N212" s="932">
        <f>SUM(D212:M212)/4</f>
        <v>4.6546353281580446</v>
      </c>
    </row>
    <row r="213" spans="1:14">
      <c r="A213" s="922" t="s">
        <v>960</v>
      </c>
      <c r="B213" s="923"/>
      <c r="C213" s="923"/>
      <c r="D213" s="933"/>
      <c r="E213" s="923"/>
      <c r="F213" s="923"/>
      <c r="G213" s="933"/>
      <c r="H213" s="923"/>
      <c r="I213" s="923"/>
      <c r="J213" s="933"/>
      <c r="K213" s="923"/>
      <c r="L213" s="923"/>
      <c r="M213" s="933"/>
      <c r="N213" s="925">
        <f>SUM(D213:G213,J213,M213)/4</f>
        <v>0</v>
      </c>
    </row>
    <row r="214" spans="1:14">
      <c r="A214" s="922"/>
      <c r="B214" s="923"/>
      <c r="C214" s="923"/>
      <c r="D214" s="923"/>
      <c r="E214" s="923"/>
      <c r="F214" s="923"/>
      <c r="G214" s="923"/>
      <c r="H214" s="923"/>
      <c r="I214" s="923"/>
      <c r="J214" s="923"/>
      <c r="K214" s="923"/>
      <c r="L214" s="923"/>
      <c r="M214" s="923"/>
      <c r="N214" s="923"/>
    </row>
    <row r="215" spans="1:14">
      <c r="A215" s="910" t="s">
        <v>961</v>
      </c>
      <c r="B215" s="911">
        <f t="shared" ref="B215:M215" si="43">B202*100/B204</f>
        <v>0</v>
      </c>
      <c r="C215" s="911">
        <f t="shared" si="43"/>
        <v>0</v>
      </c>
      <c r="D215" s="911">
        <f t="shared" si="43"/>
        <v>7.3122529644268779</v>
      </c>
      <c r="E215" s="911">
        <f t="shared" si="43"/>
        <v>0</v>
      </c>
      <c r="F215" s="911">
        <f t="shared" si="43"/>
        <v>8.150142066696576</v>
      </c>
      <c r="G215" s="911">
        <f t="shared" si="43"/>
        <v>0</v>
      </c>
      <c r="H215" s="911">
        <f t="shared" si="43"/>
        <v>0</v>
      </c>
      <c r="I215" s="911">
        <f t="shared" si="43"/>
        <v>0</v>
      </c>
      <c r="J215" s="911">
        <f t="shared" si="43"/>
        <v>1.2764017626500532</v>
      </c>
      <c r="K215" s="911">
        <f t="shared" si="43"/>
        <v>0.3939223410241981</v>
      </c>
      <c r="L215" s="911">
        <f t="shared" si="43"/>
        <v>3.229262320171411</v>
      </c>
      <c r="M215" s="911">
        <f t="shared" si="43"/>
        <v>2.357773045330088</v>
      </c>
      <c r="N215" s="925">
        <f>SUM(B215:M215)/12</f>
        <v>1.8933128750249335</v>
      </c>
    </row>
    <row r="216" spans="1:14">
      <c r="A216" s="910" t="s">
        <v>962</v>
      </c>
      <c r="B216" s="911">
        <f t="shared" ref="B216:M216" si="44">B200*100/B204</f>
        <v>0</v>
      </c>
      <c r="C216" s="911">
        <f t="shared" si="44"/>
        <v>1.112781954887218</v>
      </c>
      <c r="D216" s="911">
        <f t="shared" si="44"/>
        <v>1.0210803689064558</v>
      </c>
      <c r="E216" s="911">
        <f t="shared" si="44"/>
        <v>1.4504054897067997</v>
      </c>
      <c r="F216" s="911">
        <f t="shared" si="44"/>
        <v>2.0936144758486614</v>
      </c>
      <c r="G216" s="911">
        <f t="shared" si="44"/>
        <v>0.36128255306337498</v>
      </c>
      <c r="H216" s="911">
        <f t="shared" si="44"/>
        <v>1.1065500624665359</v>
      </c>
      <c r="I216" s="911">
        <f t="shared" si="44"/>
        <v>3.9099099099099099</v>
      </c>
      <c r="J216" s="911">
        <f t="shared" si="44"/>
        <v>0.36468621790001521</v>
      </c>
      <c r="K216" s="911">
        <f t="shared" si="44"/>
        <v>0.77377602701181769</v>
      </c>
      <c r="L216" s="911">
        <f t="shared" si="44"/>
        <v>0.85705540250994794</v>
      </c>
      <c r="M216" s="911">
        <f t="shared" si="44"/>
        <v>3.4529966534834196</v>
      </c>
      <c r="N216" s="925">
        <f>SUM(B216:M216)/12</f>
        <v>1.3753449263078465</v>
      </c>
    </row>
    <row r="217" spans="1:14" ht="13.5" thickBot="1">
      <c r="A217" s="910" t="s">
        <v>963</v>
      </c>
      <c r="B217" s="911">
        <f t="shared" ref="B217:M217" si="45">B196*100/B204</f>
        <v>9.1217712177121779</v>
      </c>
      <c r="C217" s="911">
        <f t="shared" si="45"/>
        <v>7.5939849624060152</v>
      </c>
      <c r="D217" s="911">
        <f t="shared" si="45"/>
        <v>6.3570487483530957</v>
      </c>
      <c r="E217" s="911">
        <f t="shared" si="45"/>
        <v>11.104179663131628</v>
      </c>
      <c r="F217" s="911">
        <f t="shared" si="45"/>
        <v>2.9908778226409449</v>
      </c>
      <c r="G217" s="911">
        <f t="shared" si="45"/>
        <v>9.3782929399367756</v>
      </c>
      <c r="H217" s="911">
        <f t="shared" si="45"/>
        <v>25.218632875245405</v>
      </c>
      <c r="I217" s="911">
        <f t="shared" si="45"/>
        <v>34.756756756756758</v>
      </c>
      <c r="J217" s="911">
        <f t="shared" si="45"/>
        <v>13.964443093754749</v>
      </c>
      <c r="K217" s="911">
        <f t="shared" si="45"/>
        <v>4.2487338210467076</v>
      </c>
      <c r="L217" s="911">
        <f t="shared" si="45"/>
        <v>3.4741352923171105</v>
      </c>
      <c r="M217" s="911">
        <f t="shared" si="45"/>
        <v>8.1076969881350784</v>
      </c>
      <c r="N217" s="927">
        <f>SUM(B217:M217)/12</f>
        <v>11.359712848453038</v>
      </c>
    </row>
    <row r="218" spans="1:14" ht="13.5" thickBot="1">
      <c r="A218" s="934" t="s">
        <v>964</v>
      </c>
      <c r="B218" s="935">
        <f t="shared" ref="B218:M218" si="46">SUM(B193-B204)*100/B204</f>
        <v>13.594095940959409</v>
      </c>
      <c r="C218" s="935">
        <f t="shared" si="46"/>
        <v>15.729323308270677</v>
      </c>
      <c r="D218" s="935">
        <f t="shared" si="46"/>
        <v>26.745718050065875</v>
      </c>
      <c r="E218" s="935">
        <f t="shared" si="46"/>
        <v>20.024953212726139</v>
      </c>
      <c r="F218" s="935">
        <f t="shared" si="46"/>
        <v>15.088978615223569</v>
      </c>
      <c r="G218" s="935">
        <f t="shared" si="46"/>
        <v>15.851272015655578</v>
      </c>
      <c r="H218" s="935">
        <f t="shared" si="46"/>
        <v>37.354988399071928</v>
      </c>
      <c r="I218" s="935">
        <f t="shared" si="46"/>
        <v>38.666666666666664</v>
      </c>
      <c r="J218" s="935">
        <f t="shared" si="46"/>
        <v>16.94271387327154</v>
      </c>
      <c r="K218" s="935">
        <f t="shared" si="46"/>
        <v>8.2723691615081592</v>
      </c>
      <c r="L218" s="935">
        <f t="shared" si="46"/>
        <v>17.783899602081419</v>
      </c>
      <c r="M218" s="1049">
        <f t="shared" si="46"/>
        <v>17.067234560389412</v>
      </c>
      <c r="N218" s="1050">
        <f>SUM(B218:M218)/12</f>
        <v>20.260184450490861</v>
      </c>
    </row>
    <row r="219" spans="1:14">
      <c r="A219" s="922"/>
      <c r="B219" s="923"/>
      <c r="C219" s="923"/>
      <c r="D219" s="923"/>
      <c r="E219" s="923"/>
      <c r="F219" s="923"/>
      <c r="G219" s="923"/>
      <c r="H219" s="923"/>
      <c r="I219" s="923"/>
      <c r="J219" s="923"/>
      <c r="K219" s="923"/>
      <c r="L219" s="923"/>
      <c r="M219" s="923"/>
      <c r="N219" s="906"/>
    </row>
    <row r="220" spans="1:14">
      <c r="A220" s="937" t="s">
        <v>965</v>
      </c>
      <c r="B220" s="923"/>
      <c r="C220" s="923"/>
      <c r="D220" s="923"/>
      <c r="E220" s="923"/>
      <c r="F220" s="923"/>
      <c r="G220" s="923"/>
      <c r="H220" s="923"/>
      <c r="I220" s="923"/>
      <c r="J220" s="923"/>
      <c r="K220" s="923"/>
      <c r="L220" s="923"/>
      <c r="M220" s="923"/>
      <c r="N220" s="906"/>
    </row>
    <row r="221" spans="1:14">
      <c r="A221" s="910" t="s">
        <v>966</v>
      </c>
      <c r="B221" s="938">
        <v>12</v>
      </c>
      <c r="C221" s="938">
        <v>12</v>
      </c>
      <c r="D221" s="938">
        <v>12</v>
      </c>
      <c r="E221" s="938">
        <v>12</v>
      </c>
      <c r="F221" s="938">
        <f t="shared" ref="F221:N221" si="47">E224</f>
        <v>12</v>
      </c>
      <c r="G221" s="938">
        <f t="shared" si="47"/>
        <v>12</v>
      </c>
      <c r="H221" s="938">
        <f t="shared" si="47"/>
        <v>12</v>
      </c>
      <c r="I221" s="938">
        <f t="shared" si="47"/>
        <v>12</v>
      </c>
      <c r="J221" s="938">
        <f t="shared" si="47"/>
        <v>12</v>
      </c>
      <c r="K221" s="938">
        <f t="shared" si="47"/>
        <v>12</v>
      </c>
      <c r="L221" s="938">
        <f t="shared" si="47"/>
        <v>12</v>
      </c>
      <c r="M221" s="938">
        <f t="shared" si="47"/>
        <v>12</v>
      </c>
      <c r="N221" s="938">
        <f t="shared" si="47"/>
        <v>12</v>
      </c>
    </row>
    <row r="222" spans="1:14">
      <c r="A222" s="910" t="s">
        <v>967</v>
      </c>
      <c r="B222" s="938"/>
      <c r="C222" s="938"/>
      <c r="D222" s="938"/>
      <c r="E222" s="938"/>
      <c r="F222" s="938"/>
      <c r="G222" s="938"/>
      <c r="H222" s="938"/>
      <c r="I222" s="938"/>
      <c r="J222" s="938"/>
      <c r="K222" s="938"/>
      <c r="L222" s="938"/>
      <c r="M222" s="938"/>
      <c r="N222" s="938">
        <f>SUM(B222:M222)/12</f>
        <v>0</v>
      </c>
    </row>
    <row r="223" spans="1:14">
      <c r="A223" s="910" t="s">
        <v>968</v>
      </c>
      <c r="B223" s="938"/>
      <c r="C223" s="938"/>
      <c r="D223" s="938"/>
      <c r="E223" s="938"/>
      <c r="F223" s="938"/>
      <c r="G223" s="938"/>
      <c r="H223" s="938"/>
      <c r="I223" s="938"/>
      <c r="J223" s="938"/>
      <c r="K223" s="938"/>
      <c r="L223" s="938"/>
      <c r="M223" s="938"/>
      <c r="N223" s="938">
        <f>SUM(B222:M222)/12</f>
        <v>0</v>
      </c>
    </row>
    <row r="224" spans="1:14">
      <c r="A224" s="910" t="s">
        <v>965</v>
      </c>
      <c r="B224" s="938">
        <f t="shared" ref="B224:M224" si="48">SUM(B221+B222-B223)</f>
        <v>12</v>
      </c>
      <c r="C224" s="938">
        <f t="shared" si="48"/>
        <v>12</v>
      </c>
      <c r="D224" s="938">
        <f t="shared" si="48"/>
        <v>12</v>
      </c>
      <c r="E224" s="938">
        <f t="shared" si="48"/>
        <v>12</v>
      </c>
      <c r="F224" s="938">
        <f t="shared" si="48"/>
        <v>12</v>
      </c>
      <c r="G224" s="938">
        <f t="shared" si="48"/>
        <v>12</v>
      </c>
      <c r="H224" s="938">
        <f t="shared" si="48"/>
        <v>12</v>
      </c>
      <c r="I224" s="938">
        <f t="shared" si="48"/>
        <v>12</v>
      </c>
      <c r="J224" s="938">
        <f t="shared" si="48"/>
        <v>12</v>
      </c>
      <c r="K224" s="938">
        <f t="shared" si="48"/>
        <v>12</v>
      </c>
      <c r="L224" s="938">
        <f t="shared" si="48"/>
        <v>12</v>
      </c>
      <c r="M224" s="938">
        <f t="shared" si="48"/>
        <v>12</v>
      </c>
      <c r="N224" s="938">
        <f>SUM(B223:M223)/12</f>
        <v>0</v>
      </c>
    </row>
    <row r="225" spans="1:14">
      <c r="A225" s="910" t="s">
        <v>969</v>
      </c>
      <c r="B225" s="939">
        <f t="shared" ref="B225:M225" si="49">SUM(B224*100)/B221-100</f>
        <v>0</v>
      </c>
      <c r="C225" s="939">
        <f t="shared" si="49"/>
        <v>0</v>
      </c>
      <c r="D225" s="939">
        <f t="shared" si="49"/>
        <v>0</v>
      </c>
      <c r="E225" s="939">
        <f t="shared" si="49"/>
        <v>0</v>
      </c>
      <c r="F225" s="939">
        <f t="shared" si="49"/>
        <v>0</v>
      </c>
      <c r="G225" s="939">
        <f t="shared" si="49"/>
        <v>0</v>
      </c>
      <c r="H225" s="939">
        <f t="shared" si="49"/>
        <v>0</v>
      </c>
      <c r="I225" s="939">
        <f t="shared" si="49"/>
        <v>0</v>
      </c>
      <c r="J225" s="939">
        <f t="shared" si="49"/>
        <v>0</v>
      </c>
      <c r="K225" s="939">
        <f t="shared" si="49"/>
        <v>0</v>
      </c>
      <c r="L225" s="939">
        <f t="shared" si="49"/>
        <v>0</v>
      </c>
      <c r="M225" s="939">
        <f t="shared" si="49"/>
        <v>0</v>
      </c>
      <c r="N225" s="938"/>
    </row>
    <row r="226" spans="1:14">
      <c r="A226" s="922" t="s">
        <v>970</v>
      </c>
      <c r="B226" s="940"/>
      <c r="C226" s="940"/>
      <c r="D226" s="941">
        <f>SUM(B225:D225/3)</f>
        <v>0</v>
      </c>
      <c r="E226" s="940"/>
      <c r="F226" s="940"/>
      <c r="G226" s="941">
        <f>SUM(E225:G225)/3</f>
        <v>0</v>
      </c>
      <c r="H226" s="940"/>
      <c r="I226" s="940"/>
      <c r="J226" s="941">
        <f>SUM(H225:J225)/3</f>
        <v>0</v>
      </c>
      <c r="K226" s="940"/>
      <c r="L226" s="940"/>
      <c r="M226" s="941">
        <f>SUM(K225:M225)/3</f>
        <v>0</v>
      </c>
      <c r="N226" s="940"/>
    </row>
    <row r="227" spans="1:14" ht="13.5" thickBot="1">
      <c r="A227" s="1051"/>
      <c r="B227" s="1052"/>
      <c r="C227" s="1052"/>
      <c r="D227" s="1052"/>
      <c r="E227" s="1052"/>
      <c r="F227" s="1052"/>
      <c r="G227" s="1052"/>
      <c r="H227" s="1052"/>
      <c r="I227" s="1052"/>
      <c r="J227" s="1052"/>
      <c r="K227" s="1052"/>
      <c r="L227" s="1052"/>
      <c r="M227" s="1052"/>
      <c r="N227" s="1053"/>
    </row>
    <row r="228" spans="1:14" ht="15.75">
      <c r="A228" s="1054" t="s">
        <v>1022</v>
      </c>
      <c r="B228" s="1054"/>
      <c r="C228" s="1054"/>
      <c r="D228" s="1054"/>
      <c r="E228" s="1054"/>
      <c r="F228" s="1054"/>
      <c r="G228" s="1054"/>
      <c r="H228" s="1054"/>
      <c r="I228" s="1054"/>
      <c r="J228" s="1054"/>
      <c r="K228" s="1054"/>
      <c r="L228" s="1054"/>
      <c r="M228" s="1054"/>
      <c r="N228" s="1054"/>
    </row>
    <row r="229" spans="1:14" ht="15.75">
      <c r="E229" s="961"/>
      <c r="M229" s="923"/>
      <c r="N229" s="906"/>
    </row>
    <row r="230" spans="1:14">
      <c r="A230" s="1055" t="s">
        <v>1023</v>
      </c>
      <c r="B230" s="1056"/>
      <c r="C230" s="1057"/>
      <c r="D230" s="971" t="s">
        <v>1024</v>
      </c>
      <c r="I230" s="962" t="s">
        <v>1025</v>
      </c>
      <c r="J230" s="1056"/>
      <c r="K230" s="1056"/>
      <c r="L230" s="1056"/>
      <c r="M230" s="966"/>
      <c r="N230" s="1270"/>
    </row>
    <row r="231" spans="1:14">
      <c r="A231" s="1058" t="s">
        <v>1026</v>
      </c>
      <c r="B231" s="1059"/>
      <c r="C231" s="1060"/>
      <c r="D231" s="969">
        <v>281198</v>
      </c>
      <c r="E231" s="970"/>
      <c r="I231" s="1171"/>
      <c r="J231" s="1171" t="s">
        <v>1027</v>
      </c>
      <c r="K231" s="1271"/>
      <c r="L231" s="949" t="s">
        <v>1028</v>
      </c>
      <c r="M231" s="1271" t="s">
        <v>1029</v>
      </c>
      <c r="N231" s="1066"/>
    </row>
    <row r="232" spans="1:14">
      <c r="A232" s="1058" t="s">
        <v>1030</v>
      </c>
      <c r="B232" s="1059"/>
      <c r="C232" s="968"/>
      <c r="D232" s="969">
        <v>384908</v>
      </c>
      <c r="E232" s="970"/>
      <c r="I232" s="965" t="s">
        <v>1031</v>
      </c>
      <c r="J232" s="982"/>
      <c r="K232" s="968"/>
      <c r="L232" s="971"/>
      <c r="M232" s="1272">
        <v>424920</v>
      </c>
      <c r="N232" s="1270"/>
    </row>
    <row r="233" spans="1:14">
      <c r="A233" s="1058" t="s">
        <v>1032</v>
      </c>
      <c r="B233" s="1059"/>
      <c r="C233" s="968"/>
      <c r="D233" s="969">
        <v>336949</v>
      </c>
      <c r="E233" s="970"/>
      <c r="I233" s="965"/>
      <c r="J233" s="982"/>
      <c r="K233" s="968"/>
      <c r="L233" s="971"/>
      <c r="M233" s="1273"/>
      <c r="N233" s="1270"/>
    </row>
    <row r="234" spans="1:14" ht="13.5" thickBot="1">
      <c r="A234" s="1058" t="s">
        <v>1033</v>
      </c>
      <c r="B234" s="963"/>
      <c r="C234" s="968" t="s">
        <v>1034</v>
      </c>
      <c r="D234" s="969">
        <v>0</v>
      </c>
      <c r="E234" s="970"/>
      <c r="I234" s="988" t="s">
        <v>1035</v>
      </c>
      <c r="J234" s="1289" t="s">
        <v>1036</v>
      </c>
      <c r="K234" s="993"/>
      <c r="L234" s="991"/>
      <c r="M234" s="1274">
        <f>'[3]Øvrige Kontrakter 2013'!$K$44</f>
        <v>2986291</v>
      </c>
      <c r="N234" s="1275"/>
    </row>
    <row r="235" spans="1:14" ht="13.5" thickBot="1">
      <c r="A235" s="1058"/>
      <c r="B235" s="963"/>
      <c r="C235" s="968"/>
      <c r="D235" s="969"/>
      <c r="E235" s="970"/>
      <c r="I235" s="1061" t="s">
        <v>154</v>
      </c>
      <c r="J235" s="1062"/>
      <c r="K235" s="1063"/>
      <c r="L235" s="1064"/>
      <c r="M235" s="1276">
        <f>SUM(M232:M234)</f>
        <v>3411211</v>
      </c>
      <c r="N235" s="1270"/>
    </row>
    <row r="236" spans="1:14">
      <c r="A236" s="1058" t="s">
        <v>1037</v>
      </c>
      <c r="B236" s="963"/>
      <c r="C236" s="968"/>
      <c r="D236" s="969">
        <v>379751</v>
      </c>
      <c r="E236" s="970"/>
      <c r="I236" s="965" t="s">
        <v>153</v>
      </c>
      <c r="J236" s="963"/>
      <c r="K236" s="963"/>
      <c r="L236" s="1065"/>
      <c r="M236" s="1277">
        <f>M235/12</f>
        <v>284267.58333333331</v>
      </c>
      <c r="N236" s="1270"/>
    </row>
    <row r="237" spans="1:14">
      <c r="A237" s="962" t="s">
        <v>1038</v>
      </c>
      <c r="B237" s="963"/>
      <c r="C237" s="968"/>
      <c r="D237" s="969">
        <v>260400</v>
      </c>
      <c r="E237" s="970"/>
      <c r="G237" s="923"/>
      <c r="H237" s="923"/>
      <c r="I237" s="923"/>
      <c r="J237" s="923"/>
      <c r="K237" s="923"/>
      <c r="L237" s="999"/>
      <c r="M237" s="923"/>
      <c r="N237" s="906"/>
    </row>
    <row r="238" spans="1:14">
      <c r="A238" s="1288" t="s">
        <v>1039</v>
      </c>
      <c r="B238" s="965"/>
      <c r="C238" s="968"/>
      <c r="D238" s="969">
        <v>54560</v>
      </c>
      <c r="E238" s="970"/>
      <c r="G238" s="923"/>
      <c r="H238" s="923"/>
      <c r="I238" s="923"/>
      <c r="J238" s="923"/>
      <c r="K238" s="923"/>
      <c r="L238" s="999"/>
      <c r="M238" s="923"/>
      <c r="N238" s="906"/>
    </row>
    <row r="239" spans="1:14" ht="13.5" thickBot="1">
      <c r="A239" s="1287" t="s">
        <v>1040</v>
      </c>
      <c r="C239" s="1067"/>
      <c r="D239" s="969">
        <v>26500</v>
      </c>
      <c r="E239" s="970"/>
      <c r="G239" s="923"/>
      <c r="H239" s="923"/>
      <c r="I239" s="923"/>
      <c r="J239" s="923"/>
      <c r="K239" s="923"/>
      <c r="L239" s="999"/>
      <c r="M239" s="923"/>
      <c r="N239" s="906"/>
    </row>
    <row r="240" spans="1:14" ht="13.5" thickBot="1">
      <c r="A240" s="973" t="s">
        <v>154</v>
      </c>
      <c r="B240" s="975"/>
      <c r="C240" s="1068"/>
      <c r="D240" s="1249">
        <f>SUM(D231:D239)</f>
        <v>1724266</v>
      </c>
      <c r="E240" s="970"/>
      <c r="G240" s="923"/>
      <c r="H240" s="923"/>
      <c r="I240" s="923"/>
      <c r="J240" s="923"/>
      <c r="K240" s="923"/>
      <c r="L240" s="1278"/>
      <c r="M240" s="923"/>
      <c r="N240" s="906"/>
    </row>
    <row r="241" spans="1:14">
      <c r="A241" s="1069" t="s">
        <v>153</v>
      </c>
      <c r="B241" s="1070"/>
      <c r="C241" s="1071"/>
      <c r="D241" s="1072">
        <f>D240/12</f>
        <v>143688.83333333334</v>
      </c>
      <c r="E241" s="970"/>
      <c r="G241" s="923"/>
      <c r="H241" s="923"/>
      <c r="I241" s="923"/>
      <c r="J241" s="923"/>
      <c r="K241" s="923"/>
      <c r="L241" s="1278"/>
      <c r="M241" s="923"/>
      <c r="N241" s="906"/>
    </row>
    <row r="242" spans="1:14">
      <c r="C242" s="1073"/>
      <c r="E242" s="970"/>
      <c r="G242" s="923"/>
      <c r="H242" s="923"/>
      <c r="I242" s="923"/>
      <c r="J242" s="923"/>
      <c r="K242" s="923"/>
      <c r="L242" s="1278"/>
      <c r="M242" s="923"/>
      <c r="N242" s="906"/>
    </row>
    <row r="243" spans="1:14">
      <c r="C243" s="1073"/>
      <c r="E243" s="970"/>
      <c r="G243" s="923"/>
      <c r="H243" s="923"/>
      <c r="I243" s="923"/>
      <c r="J243" s="923"/>
      <c r="K243" s="923"/>
      <c r="L243" s="1278"/>
      <c r="M243" s="923"/>
      <c r="N243" s="906"/>
    </row>
    <row r="244" spans="1:14">
      <c r="C244" s="1073"/>
      <c r="E244" s="970"/>
      <c r="G244" s="923"/>
      <c r="H244" s="923"/>
      <c r="I244" s="923"/>
      <c r="J244" s="923"/>
      <c r="K244" s="923"/>
      <c r="L244" s="1278"/>
      <c r="M244" s="923"/>
      <c r="N244" s="906"/>
    </row>
    <row r="245" spans="1:14">
      <c r="C245" s="1073"/>
      <c r="E245" s="970"/>
      <c r="G245" s="923"/>
      <c r="H245" s="923"/>
      <c r="I245" s="923"/>
      <c r="J245" s="923"/>
      <c r="K245" s="923"/>
      <c r="L245" s="1278"/>
      <c r="M245" s="923"/>
      <c r="N245" s="906"/>
    </row>
    <row r="246" spans="1:14">
      <c r="A246" s="937" t="s">
        <v>986</v>
      </c>
      <c r="B246" s="923"/>
      <c r="C246" s="923"/>
      <c r="D246" s="923"/>
      <c r="E246" s="923"/>
      <c r="F246" s="923"/>
      <c r="G246" s="923"/>
      <c r="H246" s="923"/>
      <c r="I246" s="923"/>
      <c r="J246" s="923"/>
      <c r="K246" s="923"/>
      <c r="L246" s="923"/>
      <c r="M246" s="923"/>
      <c r="N246" s="906"/>
    </row>
    <row r="247" spans="1:14">
      <c r="A247" s="1007"/>
      <c r="B247" s="911" t="s">
        <v>924</v>
      </c>
      <c r="C247" s="911" t="s">
        <v>925</v>
      </c>
      <c r="D247" s="911" t="s">
        <v>926</v>
      </c>
      <c r="E247" s="911" t="s">
        <v>927</v>
      </c>
      <c r="F247" s="911" t="s">
        <v>928</v>
      </c>
      <c r="G247" s="911" t="s">
        <v>929</v>
      </c>
      <c r="H247" s="911" t="s">
        <v>918</v>
      </c>
      <c r="I247" s="911" t="s">
        <v>919</v>
      </c>
      <c r="J247" s="911" t="s">
        <v>920</v>
      </c>
      <c r="K247" s="911" t="s">
        <v>921</v>
      </c>
      <c r="L247" s="911" t="s">
        <v>922</v>
      </c>
      <c r="M247" s="911" t="s">
        <v>923</v>
      </c>
      <c r="N247" s="907"/>
    </row>
    <row r="248" spans="1:14">
      <c r="A248" s="910" t="s">
        <v>987</v>
      </c>
      <c r="B248" s="1008">
        <f t="shared" ref="B248:M248" si="50">$D$241</f>
        <v>143688.83333333334</v>
      </c>
      <c r="C248" s="1008">
        <f t="shared" si="50"/>
        <v>143688.83333333334</v>
      </c>
      <c r="D248" s="1008">
        <f t="shared" si="50"/>
        <v>143688.83333333334</v>
      </c>
      <c r="E248" s="1008">
        <f t="shared" si="50"/>
        <v>143688.83333333334</v>
      </c>
      <c r="F248" s="1008">
        <f t="shared" si="50"/>
        <v>143688.83333333334</v>
      </c>
      <c r="G248" s="1008">
        <f t="shared" si="50"/>
        <v>143688.83333333334</v>
      </c>
      <c r="H248" s="1008">
        <f t="shared" si="50"/>
        <v>143688.83333333334</v>
      </c>
      <c r="I248" s="1008">
        <f t="shared" si="50"/>
        <v>143688.83333333334</v>
      </c>
      <c r="J248" s="1008">
        <f t="shared" si="50"/>
        <v>143688.83333333334</v>
      </c>
      <c r="K248" s="1008">
        <f t="shared" si="50"/>
        <v>143688.83333333334</v>
      </c>
      <c r="L248" s="1008">
        <f t="shared" si="50"/>
        <v>143688.83333333334</v>
      </c>
      <c r="M248" s="1008">
        <f t="shared" si="50"/>
        <v>143688.83333333334</v>
      </c>
      <c r="N248" s="1011">
        <f t="shared" ref="N248:N269" si="51">SUM(B248:M248)</f>
        <v>1724265.9999999998</v>
      </c>
    </row>
    <row r="249" spans="1:14" ht="13.5" thickBot="1">
      <c r="A249" s="926" t="s">
        <v>988</v>
      </c>
      <c r="B249" s="1010">
        <f t="shared" ref="B249:M249" si="52">$M$236</f>
        <v>284267.58333333331</v>
      </c>
      <c r="C249" s="1010">
        <f t="shared" si="52"/>
        <v>284267.58333333331</v>
      </c>
      <c r="D249" s="1010">
        <f t="shared" si="52"/>
        <v>284267.58333333331</v>
      </c>
      <c r="E249" s="1010">
        <f t="shared" si="52"/>
        <v>284267.58333333331</v>
      </c>
      <c r="F249" s="1010">
        <f t="shared" si="52"/>
        <v>284267.58333333331</v>
      </c>
      <c r="G249" s="1010">
        <f t="shared" si="52"/>
        <v>284267.58333333331</v>
      </c>
      <c r="H249" s="1010">
        <f t="shared" si="52"/>
        <v>284267.58333333331</v>
      </c>
      <c r="I249" s="1010">
        <f t="shared" si="52"/>
        <v>284267.58333333331</v>
      </c>
      <c r="J249" s="1010">
        <f t="shared" si="52"/>
        <v>284267.58333333331</v>
      </c>
      <c r="K249" s="1010">
        <f t="shared" si="52"/>
        <v>284267.58333333331</v>
      </c>
      <c r="L249" s="1010">
        <f t="shared" si="52"/>
        <v>284267.58333333331</v>
      </c>
      <c r="M249" s="1010">
        <f t="shared" si="52"/>
        <v>284267.58333333331</v>
      </c>
      <c r="N249" s="1011">
        <f t="shared" si="51"/>
        <v>3411211.0000000005</v>
      </c>
    </row>
    <row r="250" spans="1:14" ht="13.5" thickBot="1">
      <c r="A250" s="1012" t="s">
        <v>1041</v>
      </c>
      <c r="B250" s="1074">
        <f t="shared" ref="B250:M250" si="53">SUM(B248,B249)</f>
        <v>427956.41666666663</v>
      </c>
      <c r="C250" s="1074">
        <f t="shared" si="53"/>
        <v>427956.41666666663</v>
      </c>
      <c r="D250" s="1074">
        <f t="shared" si="53"/>
        <v>427956.41666666663</v>
      </c>
      <c r="E250" s="1074">
        <f t="shared" si="53"/>
        <v>427956.41666666663</v>
      </c>
      <c r="F250" s="1074">
        <f t="shared" si="53"/>
        <v>427956.41666666663</v>
      </c>
      <c r="G250" s="1074">
        <f t="shared" si="53"/>
        <v>427956.41666666663</v>
      </c>
      <c r="H250" s="1074">
        <f t="shared" si="53"/>
        <v>427956.41666666663</v>
      </c>
      <c r="I250" s="1074">
        <f t="shared" si="53"/>
        <v>427956.41666666663</v>
      </c>
      <c r="J250" s="1074">
        <f t="shared" si="53"/>
        <v>427956.41666666663</v>
      </c>
      <c r="K250" s="1074">
        <f t="shared" si="53"/>
        <v>427956.41666666663</v>
      </c>
      <c r="L250" s="1074">
        <f t="shared" si="53"/>
        <v>427956.41666666663</v>
      </c>
      <c r="M250" s="1074">
        <f t="shared" si="53"/>
        <v>427956.41666666663</v>
      </c>
      <c r="N250" s="1074">
        <f t="shared" si="51"/>
        <v>5135477</v>
      </c>
    </row>
    <row r="251" spans="1:14">
      <c r="A251" s="1015" t="s">
        <v>1042</v>
      </c>
      <c r="B251" s="1016">
        <v>193437</v>
      </c>
      <c r="C251" s="1016">
        <v>190221</v>
      </c>
      <c r="D251" s="1016">
        <v>160676</v>
      </c>
      <c r="E251" s="1016">
        <v>166261</v>
      </c>
      <c r="F251" s="1016">
        <v>172314</v>
      </c>
      <c r="G251" s="1017">
        <v>270305</v>
      </c>
      <c r="H251" s="1016">
        <v>191396</v>
      </c>
      <c r="I251" s="1016">
        <v>182880</v>
      </c>
      <c r="J251" s="1016">
        <v>209641</v>
      </c>
      <c r="K251" s="1016">
        <v>267496</v>
      </c>
      <c r="L251" s="1016"/>
      <c r="M251" s="1016">
        <v>216142</v>
      </c>
      <c r="N251" s="1016">
        <f t="shared" si="51"/>
        <v>2220769</v>
      </c>
    </row>
    <row r="252" spans="1:14">
      <c r="A252" s="1015" t="s">
        <v>1043</v>
      </c>
      <c r="B252" s="1016">
        <v>5833</v>
      </c>
      <c r="C252" s="1016">
        <v>3199</v>
      </c>
      <c r="D252" s="1016">
        <v>3263</v>
      </c>
      <c r="E252" s="1016">
        <v>4678</v>
      </c>
      <c r="F252" s="1016">
        <v>2503</v>
      </c>
      <c r="G252" s="1017">
        <v>4064</v>
      </c>
      <c r="H252" s="1016"/>
      <c r="I252" s="1016"/>
      <c r="J252" s="1016"/>
      <c r="K252" s="1016"/>
      <c r="L252" s="1016"/>
      <c r="M252" s="1016"/>
      <c r="N252" s="1016">
        <f t="shared" si="51"/>
        <v>23540</v>
      </c>
    </row>
    <row r="253" spans="1:14">
      <c r="A253" s="907" t="s">
        <v>1044</v>
      </c>
      <c r="B253" s="1009">
        <v>77375</v>
      </c>
      <c r="C253" s="1009">
        <v>375</v>
      </c>
      <c r="D253" s="1009">
        <v>250</v>
      </c>
      <c r="E253" s="1009">
        <v>3250</v>
      </c>
      <c r="F253" s="1009">
        <v>1150</v>
      </c>
      <c r="G253" s="1018">
        <v>4250</v>
      </c>
      <c r="H253" s="1009">
        <v>1175</v>
      </c>
      <c r="I253" s="1009">
        <v>1075</v>
      </c>
      <c r="J253" s="1009"/>
      <c r="K253" s="1009">
        <v>10625</v>
      </c>
      <c r="L253" s="1009">
        <v>8350</v>
      </c>
      <c r="M253" s="1009">
        <v>1125</v>
      </c>
      <c r="N253" s="1016">
        <f t="shared" si="51"/>
        <v>109000</v>
      </c>
    </row>
    <row r="254" spans="1:14">
      <c r="A254" s="1028" t="s">
        <v>993</v>
      </c>
      <c r="B254" s="1009">
        <v>18750</v>
      </c>
      <c r="C254" s="1009">
        <v>11550</v>
      </c>
      <c r="D254" s="1009">
        <v>2100</v>
      </c>
      <c r="E254" s="1009">
        <v>9450</v>
      </c>
      <c r="F254" s="1009">
        <v>7050</v>
      </c>
      <c r="G254" s="1018">
        <v>22450</v>
      </c>
      <c r="H254" s="1009">
        <v>0</v>
      </c>
      <c r="I254" s="1009"/>
      <c r="J254" s="1009">
        <v>5425</v>
      </c>
      <c r="K254" s="1009">
        <v>46975</v>
      </c>
      <c r="L254" s="1009"/>
      <c r="M254" s="1009">
        <v>4987.5</v>
      </c>
      <c r="N254" s="1016">
        <f t="shared" si="51"/>
        <v>128737.5</v>
      </c>
    </row>
    <row r="255" spans="1:14" ht="13.5" thickBot="1">
      <c r="A255" s="907" t="s">
        <v>1045</v>
      </c>
      <c r="B255" s="1023"/>
      <c r="C255" s="1023"/>
      <c r="D255" s="1023"/>
      <c r="E255" s="1023"/>
      <c r="F255" s="1023"/>
      <c r="G255" s="1279"/>
      <c r="H255" s="1023"/>
      <c r="I255" s="1023"/>
      <c r="J255" s="1009">
        <v>518250</v>
      </c>
      <c r="K255" s="1023"/>
      <c r="L255" s="1023">
        <v>70000</v>
      </c>
      <c r="M255" s="1023"/>
      <c r="N255" s="1016">
        <f t="shared" si="51"/>
        <v>588250</v>
      </c>
    </row>
    <row r="256" spans="1:14" ht="13.5" thickBot="1">
      <c r="A256" s="1020" t="s">
        <v>1003</v>
      </c>
      <c r="B256" s="1040">
        <f t="shared" ref="B256:M256" si="54">SUM(B251:B255)</f>
        <v>295395</v>
      </c>
      <c r="C256" s="1040">
        <f t="shared" si="54"/>
        <v>205345</v>
      </c>
      <c r="D256" s="1040">
        <f t="shared" si="54"/>
        <v>166289</v>
      </c>
      <c r="E256" s="1040">
        <f t="shared" si="54"/>
        <v>183639</v>
      </c>
      <c r="F256" s="1040">
        <f t="shared" si="54"/>
        <v>183017</v>
      </c>
      <c r="G256" s="1040">
        <f t="shared" si="54"/>
        <v>301069</v>
      </c>
      <c r="H256" s="1040">
        <f t="shared" si="54"/>
        <v>192571</v>
      </c>
      <c r="I256" s="1040">
        <f t="shared" si="54"/>
        <v>183955</v>
      </c>
      <c r="J256" s="1040">
        <f t="shared" si="54"/>
        <v>733316</v>
      </c>
      <c r="K256" s="1040">
        <f t="shared" si="54"/>
        <v>325096</v>
      </c>
      <c r="L256" s="1040">
        <f t="shared" si="54"/>
        <v>78350</v>
      </c>
      <c r="M256" s="1040">
        <f t="shared" si="54"/>
        <v>222254.5</v>
      </c>
      <c r="N256" s="1399">
        <f t="shared" si="51"/>
        <v>3070296.5</v>
      </c>
    </row>
    <row r="257" spans="1:14">
      <c r="A257" s="907" t="s">
        <v>1002</v>
      </c>
      <c r="B257" s="1011"/>
      <c r="C257" s="1011"/>
      <c r="D257" s="1011"/>
      <c r="E257" s="1011"/>
      <c r="F257" s="1011"/>
      <c r="G257" s="1077"/>
      <c r="H257" s="1011"/>
      <c r="I257" s="1011"/>
      <c r="J257" s="1011"/>
      <c r="K257" s="1011"/>
      <c r="L257" s="1011"/>
      <c r="M257" s="1011"/>
      <c r="N257" s="1011">
        <f t="shared" si="51"/>
        <v>0</v>
      </c>
    </row>
    <row r="258" spans="1:14">
      <c r="A258" s="1042" t="s">
        <v>1003</v>
      </c>
      <c r="B258" s="1078">
        <f t="shared" ref="B258:M258" si="55">SUM(B250,B256,B257)</f>
        <v>723351.41666666663</v>
      </c>
      <c r="C258" s="1078">
        <f t="shared" si="55"/>
        <v>633301.41666666663</v>
      </c>
      <c r="D258" s="1078">
        <f t="shared" si="55"/>
        <v>594245.41666666663</v>
      </c>
      <c r="E258" s="1078">
        <f t="shared" si="55"/>
        <v>611595.41666666663</v>
      </c>
      <c r="F258" s="1078">
        <f t="shared" si="55"/>
        <v>610973.41666666663</v>
      </c>
      <c r="G258" s="1078">
        <f t="shared" si="55"/>
        <v>729025.41666666663</v>
      </c>
      <c r="H258" s="1078">
        <f t="shared" si="55"/>
        <v>620527.41666666663</v>
      </c>
      <c r="I258" s="1078">
        <f t="shared" si="55"/>
        <v>611911.41666666663</v>
      </c>
      <c r="J258" s="1078">
        <f t="shared" si="55"/>
        <v>1161272.4166666665</v>
      </c>
      <c r="K258" s="1078">
        <f t="shared" si="55"/>
        <v>753052.41666666663</v>
      </c>
      <c r="L258" s="1078">
        <f t="shared" si="55"/>
        <v>506306.41666666663</v>
      </c>
      <c r="M258" s="1078">
        <f t="shared" si="55"/>
        <v>650210.91666666663</v>
      </c>
      <c r="N258" s="1078">
        <f t="shared" si="51"/>
        <v>8205773.5000000009</v>
      </c>
    </row>
    <row r="259" spans="1:14">
      <c r="A259" s="1079" t="s">
        <v>1046</v>
      </c>
      <c r="B259" s="1010">
        <v>306257</v>
      </c>
      <c r="C259" s="1010">
        <v>359817</v>
      </c>
      <c r="D259" s="1010">
        <v>317869</v>
      </c>
      <c r="E259" s="1010">
        <v>352857</v>
      </c>
      <c r="F259" s="1010">
        <v>356942</v>
      </c>
      <c r="G259" s="1010">
        <v>316185</v>
      </c>
      <c r="H259" s="1010">
        <v>304305</v>
      </c>
      <c r="I259" s="1010">
        <v>341203</v>
      </c>
      <c r="J259" s="1010">
        <v>276400</v>
      </c>
      <c r="K259" s="1010">
        <v>280466</v>
      </c>
      <c r="L259" s="1010">
        <v>340000</v>
      </c>
      <c r="M259" s="1010">
        <v>340000</v>
      </c>
      <c r="N259" s="1010">
        <f t="shared" si="51"/>
        <v>3892301</v>
      </c>
    </row>
    <row r="260" spans="1:14">
      <c r="A260" s="907" t="s">
        <v>1047</v>
      </c>
      <c r="B260" s="1010"/>
      <c r="C260" s="1010"/>
      <c r="D260" s="1010"/>
      <c r="E260" s="1010"/>
      <c r="F260" s="1010"/>
      <c r="G260" s="1010"/>
      <c r="H260" s="1010"/>
      <c r="I260" s="1010"/>
      <c r="J260" s="1010"/>
      <c r="K260" s="1010"/>
      <c r="L260" s="1010"/>
      <c r="M260" s="1010"/>
      <c r="N260" s="1010">
        <f t="shared" si="51"/>
        <v>0</v>
      </c>
    </row>
    <row r="261" spans="1:14">
      <c r="A261" s="907" t="s">
        <v>1005</v>
      </c>
      <c r="B261" s="1010"/>
      <c r="C261" s="1010"/>
      <c r="D261" s="1010"/>
      <c r="E261" s="1010">
        <v>21313</v>
      </c>
      <c r="F261" s="1010"/>
      <c r="G261" s="1010"/>
      <c r="H261" s="1010"/>
      <c r="I261" s="1010"/>
      <c r="J261" s="1010"/>
      <c r="K261" s="1010"/>
      <c r="L261" s="1010"/>
      <c r="M261" s="1010"/>
      <c r="N261" s="1010">
        <f t="shared" si="51"/>
        <v>21313</v>
      </c>
    </row>
    <row r="262" spans="1:14">
      <c r="A262" s="907" t="s">
        <v>1048</v>
      </c>
      <c r="B262" s="1010">
        <v>8464</v>
      </c>
      <c r="C262" s="1010">
        <v>6426</v>
      </c>
      <c r="D262" s="1010">
        <v>10507</v>
      </c>
      <c r="E262" s="1010">
        <v>5556</v>
      </c>
      <c r="F262" s="1010">
        <v>5837</v>
      </c>
      <c r="G262" s="1010">
        <v>5579</v>
      </c>
      <c r="H262" s="1010">
        <v>7128</v>
      </c>
      <c r="I262" s="1010">
        <v>6855</v>
      </c>
      <c r="J262" s="1010">
        <v>9051</v>
      </c>
      <c r="K262" s="1010">
        <v>7431</v>
      </c>
      <c r="L262" s="1010">
        <v>10000</v>
      </c>
      <c r="M262" s="1010">
        <v>10000</v>
      </c>
      <c r="N262" s="1010">
        <f t="shared" si="51"/>
        <v>92834</v>
      </c>
    </row>
    <row r="263" spans="1:14">
      <c r="A263" s="907" t="s">
        <v>1049</v>
      </c>
      <c r="B263" s="1010">
        <v>5105</v>
      </c>
      <c r="C263" s="1010">
        <v>5105</v>
      </c>
      <c r="D263" s="1010">
        <v>5105</v>
      </c>
      <c r="E263" s="1010">
        <v>5105</v>
      </c>
      <c r="F263" s="1010">
        <v>5105</v>
      </c>
      <c r="G263" s="1010">
        <v>5105</v>
      </c>
      <c r="H263" s="1010">
        <v>5105</v>
      </c>
      <c r="I263" s="1010">
        <v>5105</v>
      </c>
      <c r="J263" s="1010">
        <v>5105</v>
      </c>
      <c r="K263" s="1010">
        <v>5105</v>
      </c>
      <c r="L263" s="1010">
        <v>5105</v>
      </c>
      <c r="M263" s="1010">
        <v>5105</v>
      </c>
      <c r="N263" s="1010">
        <f t="shared" si="51"/>
        <v>61260</v>
      </c>
    </row>
    <row r="264" spans="1:14">
      <c r="A264" s="907" t="s">
        <v>1050</v>
      </c>
      <c r="B264" s="1010">
        <v>27214</v>
      </c>
      <c r="C264" s="1010"/>
      <c r="D264" s="1010"/>
      <c r="E264" s="1010">
        <v>27214</v>
      </c>
      <c r="F264" s="1010"/>
      <c r="G264" s="1010"/>
      <c r="H264" s="1010">
        <v>27214</v>
      </c>
      <c r="I264" s="1010"/>
      <c r="J264" s="1010"/>
      <c r="K264" s="1010">
        <v>27214</v>
      </c>
      <c r="L264" s="1010"/>
      <c r="M264" s="1010"/>
      <c r="N264" s="1010">
        <f t="shared" si="51"/>
        <v>108856</v>
      </c>
    </row>
    <row r="265" spans="1:14">
      <c r="A265" s="907" t="s">
        <v>1051</v>
      </c>
      <c r="B265" s="1010">
        <v>2429</v>
      </c>
      <c r="C265" s="1010">
        <v>2429</v>
      </c>
      <c r="D265" s="1010">
        <v>2429</v>
      </c>
      <c r="E265" s="1010">
        <v>2429</v>
      </c>
      <c r="F265" s="1010">
        <v>2429</v>
      </c>
      <c r="G265" s="1010">
        <v>2429</v>
      </c>
      <c r="H265" s="1010">
        <v>2429</v>
      </c>
      <c r="I265" s="1010">
        <v>2429</v>
      </c>
      <c r="J265" s="1010">
        <v>2429</v>
      </c>
      <c r="K265" s="1010">
        <v>2429</v>
      </c>
      <c r="L265" s="1010">
        <v>2429</v>
      </c>
      <c r="M265" s="1010">
        <v>2429</v>
      </c>
      <c r="N265" s="1010">
        <f t="shared" si="51"/>
        <v>29148</v>
      </c>
    </row>
    <row r="266" spans="1:14">
      <c r="A266" s="907" t="s">
        <v>1052</v>
      </c>
      <c r="B266" s="1010">
        <v>1063</v>
      </c>
      <c r="C266" s="1010">
        <v>1636</v>
      </c>
      <c r="D266" s="1010">
        <v>11010</v>
      </c>
      <c r="E266" s="1010">
        <v>12704</v>
      </c>
      <c r="F266" s="1010">
        <v>10701</v>
      </c>
      <c r="G266" s="1010">
        <v>9457</v>
      </c>
      <c r="H266" s="1010">
        <v>34129</v>
      </c>
      <c r="I266" s="1010">
        <v>73142</v>
      </c>
      <c r="J266" s="1010">
        <v>20750</v>
      </c>
      <c r="K266" s="1010">
        <v>52808</v>
      </c>
      <c r="L266" s="1010">
        <v>15000</v>
      </c>
      <c r="M266" s="1010">
        <v>15000</v>
      </c>
      <c r="N266" s="1010">
        <f t="shared" si="51"/>
        <v>257400</v>
      </c>
    </row>
    <row r="267" spans="1:14">
      <c r="A267" s="907" t="s">
        <v>1053</v>
      </c>
      <c r="B267" s="1010">
        <v>5680</v>
      </c>
      <c r="C267" s="1010">
        <v>5680</v>
      </c>
      <c r="D267" s="1010">
        <v>5680</v>
      </c>
      <c r="E267" s="1010">
        <v>5680</v>
      </c>
      <c r="F267" s="1010">
        <v>5680</v>
      </c>
      <c r="G267" s="1010">
        <v>5680</v>
      </c>
      <c r="H267" s="1010">
        <v>5680</v>
      </c>
      <c r="I267" s="1010">
        <v>5680</v>
      </c>
      <c r="J267" s="1010">
        <v>5680</v>
      </c>
      <c r="K267" s="1010">
        <v>5680</v>
      </c>
      <c r="L267" s="1010">
        <v>5680</v>
      </c>
      <c r="M267" s="1010">
        <v>5680</v>
      </c>
      <c r="N267" s="1010">
        <f t="shared" si="51"/>
        <v>68160</v>
      </c>
    </row>
    <row r="268" spans="1:14">
      <c r="A268" s="907" t="s">
        <v>1054</v>
      </c>
      <c r="B268" s="1008">
        <v>184908</v>
      </c>
      <c r="C268" s="1008">
        <v>182011.05</v>
      </c>
      <c r="D268" s="1008">
        <v>153904</v>
      </c>
      <c r="E268" s="1008">
        <v>159721</v>
      </c>
      <c r="F268" s="1008">
        <v>165278</v>
      </c>
      <c r="G268" s="1008">
        <v>260166</v>
      </c>
      <c r="H268" s="1008">
        <v>184011</v>
      </c>
      <c r="I268" s="1008">
        <v>175593</v>
      </c>
      <c r="J268" s="1008">
        <v>200765</v>
      </c>
      <c r="K268" s="1008">
        <v>257369</v>
      </c>
      <c r="L268" s="1008"/>
      <c r="M268" s="1008">
        <v>207297</v>
      </c>
      <c r="N268" s="1010">
        <f t="shared" si="51"/>
        <v>2131023.0499999998</v>
      </c>
    </row>
    <row r="269" spans="1:14">
      <c r="A269" s="907" t="s">
        <v>1006</v>
      </c>
      <c r="B269" s="1008">
        <v>69000</v>
      </c>
      <c r="C269" s="1008"/>
      <c r="D269" s="1008"/>
      <c r="E269" s="1008"/>
      <c r="F269" s="1008"/>
      <c r="G269" s="1008"/>
      <c r="H269" s="1008"/>
      <c r="I269" s="1008"/>
      <c r="J269" s="1008"/>
      <c r="K269" s="1008"/>
      <c r="L269" s="1008"/>
      <c r="M269" s="1008"/>
      <c r="N269" s="1010">
        <f t="shared" si="51"/>
        <v>69000</v>
      </c>
    </row>
    <row r="270" spans="1:14">
      <c r="A270" s="1046" t="s">
        <v>1009</v>
      </c>
      <c r="B270" s="1047">
        <f>B258-SUM(B259:B269)</f>
        <v>113231.41666666663</v>
      </c>
      <c r="C270" s="1047">
        <f t="shared" ref="C270:M270" si="56">C258-SUM(C259:C269)</f>
        <v>70197.366666666581</v>
      </c>
      <c r="D270" s="1047">
        <f t="shared" si="56"/>
        <v>87741.416666666628</v>
      </c>
      <c r="E270" s="1047">
        <f t="shared" si="56"/>
        <v>19016.416666666628</v>
      </c>
      <c r="F270" s="1047">
        <f t="shared" si="56"/>
        <v>59001.416666666628</v>
      </c>
      <c r="G270" s="1047">
        <f t="shared" si="56"/>
        <v>124424.41666666663</v>
      </c>
      <c r="H270" s="1047">
        <f t="shared" si="56"/>
        <v>50526.416666666628</v>
      </c>
      <c r="I270" s="1047">
        <f t="shared" si="56"/>
        <v>1904.4166666666279</v>
      </c>
      <c r="J270" s="1047">
        <f t="shared" si="56"/>
        <v>641092.41666666651</v>
      </c>
      <c r="K270" s="1047">
        <f t="shared" si="56"/>
        <v>114550.41666666663</v>
      </c>
      <c r="L270" s="1047">
        <f t="shared" si="56"/>
        <v>128092.41666666663</v>
      </c>
      <c r="M270" s="1047">
        <f t="shared" si="56"/>
        <v>64699.916666666628</v>
      </c>
      <c r="N270" s="1047">
        <f>N258-SUM(N259:N269)</f>
        <v>1474478.4500000011</v>
      </c>
    </row>
    <row r="271" spans="1:14" ht="13.5" thickBot="1">
      <c r="A271" s="1080"/>
      <c r="B271" s="1081"/>
      <c r="C271" s="1081"/>
      <c r="D271" s="1081"/>
      <c r="E271" s="1081"/>
      <c r="F271" s="1081"/>
      <c r="G271" s="1081"/>
      <c r="H271" s="1081"/>
      <c r="I271" s="1081"/>
      <c r="J271" s="1081"/>
      <c r="K271" s="1081"/>
      <c r="L271" s="1081"/>
      <c r="M271" s="1081"/>
      <c r="N271" s="1081"/>
    </row>
    <row r="272" spans="1:14" ht="13.5" thickBot="1">
      <c r="A272" s="960"/>
      <c r="B272" s="960"/>
      <c r="C272" s="960"/>
      <c r="D272" s="960"/>
      <c r="E272" s="960"/>
      <c r="F272" s="960"/>
      <c r="G272" s="960"/>
      <c r="H272" s="960"/>
      <c r="I272" s="960"/>
      <c r="J272" s="960"/>
      <c r="K272" s="960"/>
      <c r="L272" s="960"/>
      <c r="M272" s="960"/>
      <c r="N272" s="960"/>
    </row>
    <row r="273" spans="1:14" ht="20.25">
      <c r="A273" s="1697" t="s">
        <v>1055</v>
      </c>
      <c r="B273" s="1697"/>
      <c r="C273" s="1697"/>
      <c r="D273" s="1697"/>
      <c r="E273" s="1697"/>
      <c r="F273" s="1697"/>
      <c r="G273" s="1697"/>
      <c r="H273" s="1697"/>
      <c r="I273" s="1697"/>
      <c r="J273" s="1697"/>
      <c r="K273" s="1697"/>
      <c r="L273" s="1697"/>
      <c r="M273" s="1697"/>
      <c r="N273" s="1697"/>
    </row>
    <row r="274" spans="1:14">
      <c r="A274" s="906"/>
      <c r="B274" s="906"/>
      <c r="C274" s="906"/>
      <c r="D274" s="906"/>
      <c r="E274" s="906"/>
      <c r="F274" s="906"/>
      <c r="G274" s="906"/>
      <c r="H274" s="906"/>
      <c r="I274" s="906"/>
      <c r="J274" s="906"/>
      <c r="K274" s="906"/>
      <c r="L274" s="906"/>
      <c r="M274" s="906"/>
    </row>
    <row r="275" spans="1:14">
      <c r="A275" s="907"/>
      <c r="B275" s="908" t="s">
        <v>924</v>
      </c>
      <c r="C275" s="908" t="s">
        <v>925</v>
      </c>
      <c r="D275" s="909" t="s">
        <v>926</v>
      </c>
      <c r="E275" s="908" t="s">
        <v>927</v>
      </c>
      <c r="F275" s="908" t="s">
        <v>928</v>
      </c>
      <c r="G275" s="909" t="s">
        <v>929</v>
      </c>
      <c r="H275" s="908" t="s">
        <v>918</v>
      </c>
      <c r="I275" s="908" t="s">
        <v>919</v>
      </c>
      <c r="J275" s="908" t="s">
        <v>920</v>
      </c>
      <c r="K275" s="908" t="s">
        <v>921</v>
      </c>
      <c r="L275" s="908" t="s">
        <v>922</v>
      </c>
      <c r="M275" s="908" t="s">
        <v>923</v>
      </c>
      <c r="N275" s="907" t="s">
        <v>137</v>
      </c>
    </row>
    <row r="276" spans="1:14">
      <c r="A276" s="910" t="s">
        <v>183</v>
      </c>
      <c r="B276" s="911">
        <v>2083</v>
      </c>
      <c r="C276" s="911">
        <v>2083</v>
      </c>
      <c r="D276" s="911">
        <v>2083</v>
      </c>
      <c r="E276" s="911">
        <v>2083</v>
      </c>
      <c r="F276" s="911">
        <v>2083</v>
      </c>
      <c r="G276" s="911">
        <v>2083</v>
      </c>
      <c r="H276" s="911">
        <v>2083</v>
      </c>
      <c r="I276" s="911">
        <v>2083</v>
      </c>
      <c r="J276" s="911">
        <v>2083</v>
      </c>
      <c r="K276" s="911">
        <v>2083</v>
      </c>
      <c r="L276" s="911">
        <v>2083</v>
      </c>
      <c r="M276" s="911">
        <v>2083</v>
      </c>
      <c r="N276" s="911">
        <f t="shared" ref="N276:N287" si="57">SUM(B276:M276)</f>
        <v>24996</v>
      </c>
    </row>
    <row r="277" spans="1:14">
      <c r="A277" s="910" t="s">
        <v>942</v>
      </c>
      <c r="B277" s="911"/>
      <c r="C277" s="911"/>
      <c r="D277" s="911"/>
      <c r="E277" s="911"/>
      <c r="F277" s="911"/>
      <c r="G277" s="912"/>
      <c r="H277" s="911"/>
      <c r="I277" s="911"/>
      <c r="J277" s="913"/>
      <c r="K277" s="911"/>
      <c r="L277" s="911"/>
      <c r="M277" s="911"/>
      <c r="N277" s="911">
        <f t="shared" si="57"/>
        <v>0</v>
      </c>
    </row>
    <row r="278" spans="1:14">
      <c r="A278" s="910" t="s">
        <v>943</v>
      </c>
      <c r="B278" s="911"/>
      <c r="C278" s="911"/>
      <c r="D278" s="911"/>
      <c r="E278" s="911"/>
      <c r="F278" s="911"/>
      <c r="G278" s="912"/>
      <c r="H278" s="911"/>
      <c r="I278" s="911"/>
      <c r="J278" s="911"/>
      <c r="K278" s="911"/>
      <c r="L278" s="911"/>
      <c r="M278" s="907"/>
      <c r="N278" s="911">
        <f t="shared" si="57"/>
        <v>0</v>
      </c>
    </row>
    <row r="279" spans="1:14">
      <c r="A279" s="910" t="s">
        <v>945</v>
      </c>
      <c r="B279" s="911">
        <v>86</v>
      </c>
      <c r="C279" s="911">
        <v>134.25</v>
      </c>
      <c r="D279" s="911">
        <v>206.5</v>
      </c>
      <c r="E279" s="911">
        <v>413</v>
      </c>
      <c r="F279" s="911">
        <v>79.75</v>
      </c>
      <c r="G279" s="912">
        <v>81.75</v>
      </c>
      <c r="H279" s="911">
        <v>648</v>
      </c>
      <c r="I279" s="911">
        <v>617.75</v>
      </c>
      <c r="J279" s="911">
        <v>185</v>
      </c>
      <c r="K279" s="911">
        <v>111</v>
      </c>
      <c r="L279" s="911">
        <v>27.5</v>
      </c>
      <c r="M279" s="911">
        <v>92</v>
      </c>
      <c r="N279" s="911">
        <f t="shared" si="57"/>
        <v>2682.5</v>
      </c>
    </row>
    <row r="280" spans="1:14">
      <c r="A280" s="910" t="s">
        <v>946</v>
      </c>
      <c r="B280" s="911"/>
      <c r="C280" s="911">
        <v>15.5</v>
      </c>
      <c r="D280" s="911">
        <v>92</v>
      </c>
      <c r="E280" s="911">
        <v>171.25</v>
      </c>
      <c r="F280" s="911">
        <v>27.5</v>
      </c>
      <c r="G280" s="912">
        <v>6</v>
      </c>
      <c r="H280" s="911">
        <v>13.75</v>
      </c>
      <c r="I280" s="911">
        <v>37</v>
      </c>
      <c r="J280" s="911"/>
      <c r="K280" s="911"/>
      <c r="L280" s="911">
        <v>6</v>
      </c>
      <c r="M280" s="911">
        <v>56.75</v>
      </c>
      <c r="N280" s="911">
        <f t="shared" si="57"/>
        <v>425.75</v>
      </c>
    </row>
    <row r="281" spans="1:14">
      <c r="A281" s="910" t="s">
        <v>947</v>
      </c>
      <c r="B281" s="911">
        <v>447.5</v>
      </c>
      <c r="C281" s="911">
        <v>107.5</v>
      </c>
      <c r="D281" s="911">
        <v>43</v>
      </c>
      <c r="E281" s="911">
        <v>83.5</v>
      </c>
      <c r="F281" s="911">
        <v>23.25</v>
      </c>
      <c r="G281" s="912">
        <v>31</v>
      </c>
      <c r="H281" s="911">
        <v>23.25</v>
      </c>
      <c r="I281" s="911">
        <v>13.75</v>
      </c>
      <c r="J281" s="911">
        <v>134.25</v>
      </c>
      <c r="K281" s="911">
        <v>225.5</v>
      </c>
      <c r="L281" s="911">
        <v>126.5</v>
      </c>
      <c r="M281" s="911">
        <v>21.5</v>
      </c>
      <c r="N281" s="911">
        <f t="shared" si="57"/>
        <v>1280.5</v>
      </c>
    </row>
    <row r="282" spans="1:14">
      <c r="A282" s="910" t="s">
        <v>948</v>
      </c>
      <c r="B282" s="911"/>
      <c r="C282" s="911"/>
      <c r="D282" s="911"/>
      <c r="E282" s="911"/>
      <c r="F282" s="911"/>
      <c r="G282" s="912"/>
      <c r="H282" s="911"/>
      <c r="I282" s="911"/>
      <c r="J282" s="911"/>
      <c r="K282" s="911"/>
      <c r="L282" s="911"/>
      <c r="M282" s="911"/>
      <c r="N282" s="911">
        <f t="shared" si="57"/>
        <v>0</v>
      </c>
    </row>
    <row r="283" spans="1:14">
      <c r="A283" s="910" t="s">
        <v>949</v>
      </c>
      <c r="B283" s="911"/>
      <c r="C283" s="911">
        <v>8</v>
      </c>
      <c r="D283" s="911"/>
      <c r="E283" s="911">
        <v>35.25</v>
      </c>
      <c r="F283" s="911">
        <v>25.75</v>
      </c>
      <c r="G283" s="912">
        <v>19.75</v>
      </c>
      <c r="H283" s="911">
        <v>35.25</v>
      </c>
      <c r="I283" s="911">
        <v>37</v>
      </c>
      <c r="J283" s="911">
        <v>7.75</v>
      </c>
      <c r="K283" s="911">
        <v>37</v>
      </c>
      <c r="L283" s="911"/>
      <c r="M283" s="911"/>
      <c r="N283" s="911">
        <f t="shared" si="57"/>
        <v>205.75</v>
      </c>
    </row>
    <row r="284" spans="1:14">
      <c r="A284" s="910" t="s">
        <v>950</v>
      </c>
      <c r="B284" s="911"/>
      <c r="C284" s="911"/>
      <c r="D284" s="911"/>
      <c r="E284" s="911"/>
      <c r="F284" s="911"/>
      <c r="G284" s="912"/>
      <c r="H284" s="911"/>
      <c r="I284" s="911"/>
      <c r="J284" s="911"/>
      <c r="K284" s="911"/>
      <c r="L284" s="911"/>
      <c r="M284" s="911"/>
      <c r="N284" s="911">
        <f t="shared" si="57"/>
        <v>0</v>
      </c>
    </row>
    <row r="285" spans="1:14">
      <c r="A285" s="910" t="s">
        <v>951</v>
      </c>
      <c r="B285" s="911"/>
      <c r="C285" s="911">
        <v>88</v>
      </c>
      <c r="D285" s="911"/>
      <c r="E285" s="911"/>
      <c r="F285" s="911">
        <v>62</v>
      </c>
      <c r="G285" s="912"/>
      <c r="H285" s="911"/>
      <c r="I285" s="911"/>
      <c r="J285" s="911">
        <v>24.5</v>
      </c>
      <c r="K285" s="911">
        <v>14</v>
      </c>
      <c r="L285" s="911">
        <v>46.5</v>
      </c>
      <c r="M285" s="911">
        <v>46.5</v>
      </c>
      <c r="N285" s="911">
        <f t="shared" si="57"/>
        <v>281.5</v>
      </c>
    </row>
    <row r="286" spans="1:14" ht="13.5" thickBot="1">
      <c r="A286" s="914" t="s">
        <v>952</v>
      </c>
      <c r="B286" s="915"/>
      <c r="C286" s="915"/>
      <c r="D286" s="915">
        <v>13.75</v>
      </c>
      <c r="E286" s="915"/>
      <c r="F286" s="915">
        <v>74</v>
      </c>
      <c r="G286" s="916">
        <v>37</v>
      </c>
      <c r="H286" s="915"/>
      <c r="I286" s="915"/>
      <c r="J286" s="915">
        <v>50.75</v>
      </c>
      <c r="K286" s="915"/>
      <c r="L286" s="915">
        <v>44.75</v>
      </c>
      <c r="M286" s="915">
        <v>21.5</v>
      </c>
      <c r="N286" s="917">
        <f t="shared" si="57"/>
        <v>241.75</v>
      </c>
    </row>
    <row r="287" spans="1:14" ht="13.5" thickBot="1">
      <c r="A287" s="918" t="s">
        <v>953</v>
      </c>
      <c r="B287" s="919">
        <f t="shared" ref="B287:M287" si="58">SUM(B276+B277+B278-B279-B280-B281-B283-B284-B285-B286)</f>
        <v>1549.5</v>
      </c>
      <c r="C287" s="919">
        <f t="shared" si="58"/>
        <v>1729.75</v>
      </c>
      <c r="D287" s="919">
        <f t="shared" si="58"/>
        <v>1727.75</v>
      </c>
      <c r="E287" s="919">
        <f t="shared" si="58"/>
        <v>1380</v>
      </c>
      <c r="F287" s="919">
        <f t="shared" si="58"/>
        <v>1790.75</v>
      </c>
      <c r="G287" s="1033">
        <f t="shared" si="58"/>
        <v>1907.5</v>
      </c>
      <c r="H287" s="919">
        <f t="shared" si="58"/>
        <v>1362.75</v>
      </c>
      <c r="I287" s="919">
        <f t="shared" si="58"/>
        <v>1377.5</v>
      </c>
      <c r="J287" s="919">
        <f t="shared" si="58"/>
        <v>1680.75</v>
      </c>
      <c r="K287" s="919">
        <f t="shared" si="58"/>
        <v>1695.5</v>
      </c>
      <c r="L287" s="919">
        <f t="shared" si="58"/>
        <v>1831.75</v>
      </c>
      <c r="M287" s="920">
        <f t="shared" si="58"/>
        <v>1844.75</v>
      </c>
      <c r="N287" s="921">
        <f t="shared" si="57"/>
        <v>19878.25</v>
      </c>
    </row>
    <row r="288" spans="1:14">
      <c r="A288" s="922"/>
      <c r="B288" s="923"/>
      <c r="C288" s="923"/>
      <c r="D288" s="923"/>
      <c r="E288" s="923"/>
      <c r="F288" s="923"/>
      <c r="G288" s="923"/>
      <c r="H288" s="923"/>
      <c r="I288" s="923"/>
      <c r="J288" s="923"/>
      <c r="K288" s="923"/>
      <c r="L288" s="923"/>
      <c r="M288" s="923"/>
      <c r="N288" s="923"/>
    </row>
    <row r="289" spans="1:14">
      <c r="A289" s="922"/>
      <c r="B289" s="923"/>
      <c r="C289" s="923"/>
      <c r="D289" s="923"/>
      <c r="E289" s="923"/>
      <c r="F289" s="923"/>
      <c r="G289" s="923"/>
      <c r="H289" s="923"/>
      <c r="I289" s="923"/>
      <c r="J289" s="923"/>
      <c r="K289" s="923"/>
      <c r="L289" s="923"/>
      <c r="M289" s="923"/>
      <c r="N289" s="924" t="s">
        <v>954</v>
      </c>
    </row>
    <row r="290" spans="1:14">
      <c r="A290" s="910" t="s">
        <v>955</v>
      </c>
      <c r="B290" s="911">
        <f t="shared" ref="B290:M290" si="59">SUM(B277*100/B287)</f>
        <v>0</v>
      </c>
      <c r="C290" s="911">
        <f t="shared" si="59"/>
        <v>0</v>
      </c>
      <c r="D290" s="911">
        <f t="shared" si="59"/>
        <v>0</v>
      </c>
      <c r="E290" s="911">
        <f t="shared" si="59"/>
        <v>0</v>
      </c>
      <c r="F290" s="911">
        <f t="shared" si="59"/>
        <v>0</v>
      </c>
      <c r="G290" s="911">
        <f t="shared" si="59"/>
        <v>0</v>
      </c>
      <c r="H290" s="911">
        <f t="shared" si="59"/>
        <v>0</v>
      </c>
      <c r="I290" s="911">
        <f t="shared" si="59"/>
        <v>0</v>
      </c>
      <c r="J290" s="911">
        <f t="shared" si="59"/>
        <v>0</v>
      </c>
      <c r="K290" s="911">
        <f t="shared" si="59"/>
        <v>0</v>
      </c>
      <c r="L290" s="911">
        <f t="shared" si="59"/>
        <v>0</v>
      </c>
      <c r="M290" s="911">
        <f t="shared" si="59"/>
        <v>0</v>
      </c>
      <c r="N290" s="925">
        <f>SUM(B290:M290)/12</f>
        <v>0</v>
      </c>
    </row>
    <row r="291" spans="1:14">
      <c r="A291" s="922"/>
      <c r="B291" s="923"/>
      <c r="C291" s="923"/>
      <c r="D291" s="923"/>
      <c r="E291" s="923"/>
      <c r="F291" s="923"/>
      <c r="G291" s="923"/>
      <c r="H291" s="923"/>
      <c r="I291" s="923"/>
      <c r="J291" s="923"/>
      <c r="K291" s="923"/>
      <c r="L291" s="923"/>
      <c r="M291" s="923"/>
      <c r="N291" s="906"/>
    </row>
    <row r="292" spans="1:14">
      <c r="A292" s="910" t="s">
        <v>956</v>
      </c>
      <c r="B292" s="911">
        <f t="shared" ref="B292:M292" si="60">SUM(B281*100/B287)</f>
        <v>28.880283962568569</v>
      </c>
      <c r="C292" s="911">
        <f t="shared" si="60"/>
        <v>6.2147709206532733</v>
      </c>
      <c r="D292" s="911">
        <f t="shared" si="60"/>
        <v>2.4887859933439445</v>
      </c>
      <c r="E292" s="911">
        <f t="shared" si="60"/>
        <v>6.0507246376811592</v>
      </c>
      <c r="F292" s="911">
        <f t="shared" si="60"/>
        <v>1.2983386849085579</v>
      </c>
      <c r="G292" s="911">
        <f t="shared" si="60"/>
        <v>1.6251638269986894</v>
      </c>
      <c r="H292" s="911">
        <f t="shared" si="60"/>
        <v>1.7061089708310402</v>
      </c>
      <c r="I292" s="911">
        <f t="shared" si="60"/>
        <v>0.99818511796733211</v>
      </c>
      <c r="J292" s="911">
        <f t="shared" si="60"/>
        <v>7.9875055778670241</v>
      </c>
      <c r="K292" s="911">
        <f t="shared" si="60"/>
        <v>13.299911530521969</v>
      </c>
      <c r="L292" s="911">
        <f t="shared" si="60"/>
        <v>6.9059642418452301</v>
      </c>
      <c r="M292" s="911">
        <f t="shared" si="60"/>
        <v>1.1654695758232823</v>
      </c>
      <c r="N292" s="925">
        <f>SUM(B292:M292)/12</f>
        <v>6.5517677534175052</v>
      </c>
    </row>
    <row r="293" spans="1:14" ht="13.5" thickBot="1">
      <c r="A293" s="926" t="s">
        <v>957</v>
      </c>
      <c r="B293" s="917">
        <f t="shared" ref="B293:M293" si="61">SUM(B282*100/B287)</f>
        <v>0</v>
      </c>
      <c r="C293" s="917">
        <f t="shared" si="61"/>
        <v>0</v>
      </c>
      <c r="D293" s="917">
        <f t="shared" si="61"/>
        <v>0</v>
      </c>
      <c r="E293" s="917">
        <f t="shared" si="61"/>
        <v>0</v>
      </c>
      <c r="F293" s="917">
        <f t="shared" si="61"/>
        <v>0</v>
      </c>
      <c r="G293" s="917">
        <f t="shared" si="61"/>
        <v>0</v>
      </c>
      <c r="H293" s="917">
        <f t="shared" si="61"/>
        <v>0</v>
      </c>
      <c r="I293" s="917">
        <f t="shared" si="61"/>
        <v>0</v>
      </c>
      <c r="J293" s="917">
        <f t="shared" si="61"/>
        <v>0</v>
      </c>
      <c r="K293" s="917">
        <f t="shared" si="61"/>
        <v>0</v>
      </c>
      <c r="L293" s="917">
        <f t="shared" si="61"/>
        <v>0</v>
      </c>
      <c r="M293" s="917">
        <f t="shared" si="61"/>
        <v>0</v>
      </c>
      <c r="N293" s="927">
        <f>SUM(B293:M293)/12</f>
        <v>0</v>
      </c>
    </row>
    <row r="294" spans="1:14" ht="13.5" thickBot="1">
      <c r="A294" s="928" t="s">
        <v>958</v>
      </c>
      <c r="B294" s="929">
        <f t="shared" ref="B294:M294" si="62">SUM(B292:B292)</f>
        <v>28.880283962568569</v>
      </c>
      <c r="C294" s="929">
        <f t="shared" si="62"/>
        <v>6.2147709206532733</v>
      </c>
      <c r="D294" s="929">
        <f t="shared" si="62"/>
        <v>2.4887859933439445</v>
      </c>
      <c r="E294" s="929">
        <f t="shared" si="62"/>
        <v>6.0507246376811592</v>
      </c>
      <c r="F294" s="929">
        <f t="shared" si="62"/>
        <v>1.2983386849085579</v>
      </c>
      <c r="G294" s="929">
        <f t="shared" si="62"/>
        <v>1.6251638269986894</v>
      </c>
      <c r="H294" s="929">
        <f t="shared" si="62"/>
        <v>1.7061089708310402</v>
      </c>
      <c r="I294" s="929">
        <f t="shared" si="62"/>
        <v>0.99818511796733211</v>
      </c>
      <c r="J294" s="929">
        <f t="shared" si="62"/>
        <v>7.9875055778670241</v>
      </c>
      <c r="K294" s="929">
        <f t="shared" si="62"/>
        <v>13.299911530521969</v>
      </c>
      <c r="L294" s="929">
        <f t="shared" si="62"/>
        <v>6.9059642418452301</v>
      </c>
      <c r="M294" s="929">
        <f t="shared" si="62"/>
        <v>1.1654695758232823</v>
      </c>
      <c r="N294" s="930">
        <f>SUM(N292:N293)</f>
        <v>6.5517677534175052</v>
      </c>
    </row>
    <row r="295" spans="1:14">
      <c r="A295" s="922" t="s">
        <v>959</v>
      </c>
      <c r="B295" s="923"/>
      <c r="C295" s="923"/>
      <c r="D295" s="931">
        <f>SUM(B294:D294)/4</f>
        <v>9.3959602191414469</v>
      </c>
      <c r="E295" s="923"/>
      <c r="F295" s="923"/>
      <c r="G295" s="931">
        <f>SUM(E294,F294,G294)/4</f>
        <v>2.2435567873971016</v>
      </c>
      <c r="H295" s="923"/>
      <c r="I295" s="923"/>
      <c r="J295" s="931">
        <f>SUM(H294,I294,J294)/3</f>
        <v>3.5639332222217988</v>
      </c>
      <c r="K295" s="923"/>
      <c r="L295" s="923"/>
      <c r="M295" s="931">
        <f>SUM(K294,L294,M294)/3</f>
        <v>7.1237817827301599</v>
      </c>
      <c r="N295" s="932">
        <f>SUM(D295:M295)/4</f>
        <v>5.5818080028726271</v>
      </c>
    </row>
    <row r="296" spans="1:14">
      <c r="A296" s="922" t="s">
        <v>960</v>
      </c>
      <c r="B296" s="923"/>
      <c r="C296" s="923"/>
      <c r="D296" s="933"/>
      <c r="E296" s="923"/>
      <c r="F296" s="923"/>
      <c r="G296" s="933"/>
      <c r="H296" s="923"/>
      <c r="I296" s="923"/>
      <c r="J296" s="933"/>
      <c r="K296" s="923"/>
      <c r="L296" s="923"/>
      <c r="M296" s="933"/>
      <c r="N296" s="925">
        <f>SUM(D296:G296,J296,M296)/4</f>
        <v>0</v>
      </c>
    </row>
    <row r="297" spans="1:14">
      <c r="A297" s="922"/>
      <c r="B297" s="923"/>
      <c r="C297" s="923"/>
      <c r="D297" s="923"/>
      <c r="E297" s="923"/>
      <c r="F297" s="923"/>
      <c r="G297" s="923"/>
      <c r="H297" s="923"/>
      <c r="I297" s="923"/>
      <c r="J297" s="923"/>
      <c r="K297" s="923"/>
      <c r="L297" s="923"/>
      <c r="M297" s="923"/>
      <c r="N297" s="923"/>
    </row>
    <row r="298" spans="1:14">
      <c r="A298" s="910" t="s">
        <v>961</v>
      </c>
      <c r="B298" s="911">
        <f t="shared" ref="B298:M298" si="63">B285*100/B287</f>
        <v>0</v>
      </c>
      <c r="C298" s="911">
        <f t="shared" si="63"/>
        <v>5.0874403815580287</v>
      </c>
      <c r="D298" s="911">
        <f t="shared" si="63"/>
        <v>0</v>
      </c>
      <c r="E298" s="911">
        <f t="shared" si="63"/>
        <v>0</v>
      </c>
      <c r="F298" s="911">
        <f t="shared" si="63"/>
        <v>3.4622364930894878</v>
      </c>
      <c r="G298" s="911">
        <f t="shared" si="63"/>
        <v>0</v>
      </c>
      <c r="H298" s="911">
        <f t="shared" si="63"/>
        <v>0</v>
      </c>
      <c r="I298" s="911">
        <f t="shared" si="63"/>
        <v>0</v>
      </c>
      <c r="J298" s="911">
        <f t="shared" si="63"/>
        <v>1.4576825821805741</v>
      </c>
      <c r="K298" s="911">
        <f t="shared" si="63"/>
        <v>0.82571512828074312</v>
      </c>
      <c r="L298" s="911">
        <f t="shared" si="63"/>
        <v>2.5385560256585231</v>
      </c>
      <c r="M298" s="911">
        <f t="shared" si="63"/>
        <v>2.5206667570131454</v>
      </c>
      <c r="N298" s="925">
        <f>SUM(B298:M298)/12</f>
        <v>1.3243581139817087</v>
      </c>
    </row>
    <row r="299" spans="1:14">
      <c r="A299" s="910" t="s">
        <v>962</v>
      </c>
      <c r="B299" s="911">
        <f t="shared" ref="B299:M299" si="64">B283*100/B287</f>
        <v>0</v>
      </c>
      <c r="C299" s="911">
        <f t="shared" si="64"/>
        <v>0.46249458014163897</v>
      </c>
      <c r="D299" s="911">
        <f t="shared" si="64"/>
        <v>0</v>
      </c>
      <c r="E299" s="911">
        <f t="shared" si="64"/>
        <v>2.5543478260869565</v>
      </c>
      <c r="F299" s="911">
        <f t="shared" si="64"/>
        <v>1.437944995113779</v>
      </c>
      <c r="G299" s="911">
        <f t="shared" si="64"/>
        <v>1.0353866317169069</v>
      </c>
      <c r="H299" s="911">
        <f t="shared" si="64"/>
        <v>2.5866813428728674</v>
      </c>
      <c r="I299" s="911">
        <f t="shared" si="64"/>
        <v>2.6860254083484572</v>
      </c>
      <c r="J299" s="911">
        <f t="shared" si="64"/>
        <v>0.46110367395507956</v>
      </c>
      <c r="K299" s="911">
        <f t="shared" si="64"/>
        <v>2.1822471247419641</v>
      </c>
      <c r="L299" s="911">
        <f t="shared" si="64"/>
        <v>0</v>
      </c>
      <c r="M299" s="911">
        <f t="shared" si="64"/>
        <v>0</v>
      </c>
      <c r="N299" s="925">
        <f>SUM(B299:M299)/12</f>
        <v>1.1171859652481377</v>
      </c>
    </row>
    <row r="300" spans="1:14" ht="13.5" thickBot="1">
      <c r="A300" s="910" t="s">
        <v>963</v>
      </c>
      <c r="B300" s="911">
        <f t="shared" ref="B300:M300" si="65">B279*100/B287</f>
        <v>5.5501774766053567</v>
      </c>
      <c r="C300" s="911">
        <f t="shared" si="65"/>
        <v>7.761237173001879</v>
      </c>
      <c r="D300" s="911">
        <f t="shared" si="65"/>
        <v>11.951960642454059</v>
      </c>
      <c r="E300" s="911">
        <f t="shared" si="65"/>
        <v>29.927536231884059</v>
      </c>
      <c r="F300" s="911">
        <f t="shared" si="65"/>
        <v>4.4534412955465585</v>
      </c>
      <c r="G300" s="911">
        <f t="shared" si="65"/>
        <v>4.2857142857142856</v>
      </c>
      <c r="H300" s="911">
        <f t="shared" si="65"/>
        <v>47.550908090258666</v>
      </c>
      <c r="I300" s="911">
        <f t="shared" si="65"/>
        <v>44.845735027223228</v>
      </c>
      <c r="J300" s="911">
        <f t="shared" si="65"/>
        <v>11.006990926669642</v>
      </c>
      <c r="K300" s="911">
        <f t="shared" si="65"/>
        <v>6.546741374225892</v>
      </c>
      <c r="L300" s="911">
        <f t="shared" si="65"/>
        <v>1.5012965743141804</v>
      </c>
      <c r="M300" s="911">
        <f t="shared" si="65"/>
        <v>4.9871256267786963</v>
      </c>
      <c r="N300" s="925">
        <f>SUM(B300:M300)/12</f>
        <v>15.030738727056375</v>
      </c>
    </row>
    <row r="301" spans="1:14" ht="13.5" thickBot="1">
      <c r="A301" s="934" t="s">
        <v>964</v>
      </c>
      <c r="B301" s="935">
        <f t="shared" ref="B301:M301" si="66">SUM(B276-B287)*100/B287</f>
        <v>34.430461439173925</v>
      </c>
      <c r="C301" s="935">
        <f t="shared" si="66"/>
        <v>20.422026304379244</v>
      </c>
      <c r="D301" s="935">
        <f t="shared" si="66"/>
        <v>20.561423817103169</v>
      </c>
      <c r="E301" s="935">
        <f t="shared" si="66"/>
        <v>50.94202898550725</v>
      </c>
      <c r="F301" s="935">
        <f t="shared" si="66"/>
        <v>16.319977662990368</v>
      </c>
      <c r="G301" s="935">
        <f t="shared" si="66"/>
        <v>9.2005242463958066</v>
      </c>
      <c r="H301" s="935">
        <f t="shared" si="66"/>
        <v>52.852687580260501</v>
      </c>
      <c r="I301" s="935">
        <f t="shared" si="66"/>
        <v>51.215970961887479</v>
      </c>
      <c r="J301" s="935">
        <f t="shared" si="66"/>
        <v>23.932768109474935</v>
      </c>
      <c r="K301" s="935">
        <f t="shared" si="66"/>
        <v>22.854615157770571</v>
      </c>
      <c r="L301" s="935">
        <f t="shared" si="66"/>
        <v>13.716391428961376</v>
      </c>
      <c r="M301" s="935">
        <f t="shared" si="66"/>
        <v>12.915029136739395</v>
      </c>
      <c r="N301" s="936">
        <f>SUM(B301:M301)/12</f>
        <v>27.44699206922034</v>
      </c>
    </row>
    <row r="302" spans="1:14">
      <c r="A302" s="922"/>
      <c r="B302" s="923"/>
      <c r="C302" s="923"/>
      <c r="D302" s="923"/>
      <c r="E302" s="923"/>
      <c r="F302" s="923"/>
      <c r="G302" s="923"/>
      <c r="H302" s="923"/>
      <c r="I302" s="923"/>
      <c r="J302" s="923"/>
      <c r="K302" s="923"/>
      <c r="L302" s="923"/>
      <c r="M302" s="923"/>
      <c r="N302" s="906"/>
    </row>
    <row r="303" spans="1:14">
      <c r="A303" s="937" t="s">
        <v>965</v>
      </c>
      <c r="B303" s="923"/>
      <c r="C303" s="923"/>
      <c r="D303" s="923"/>
      <c r="E303" s="923"/>
      <c r="F303" s="923"/>
      <c r="G303" s="923"/>
      <c r="H303" s="923"/>
      <c r="I303" s="923"/>
      <c r="J303" s="923"/>
      <c r="K303" s="923"/>
      <c r="L303" s="923"/>
      <c r="M303" s="923"/>
      <c r="N303" s="906"/>
    </row>
    <row r="304" spans="1:14">
      <c r="A304" s="910" t="s">
        <v>966</v>
      </c>
      <c r="B304" s="938">
        <v>13</v>
      </c>
      <c r="C304" s="938">
        <v>13</v>
      </c>
      <c r="D304" s="938">
        <v>13</v>
      </c>
      <c r="E304" s="938">
        <v>13</v>
      </c>
      <c r="F304" s="938">
        <v>13</v>
      </c>
      <c r="G304" s="938">
        <v>13</v>
      </c>
      <c r="H304" s="938">
        <v>13</v>
      </c>
      <c r="I304" s="938">
        <v>13</v>
      </c>
      <c r="J304" s="938">
        <f>I307</f>
        <v>13</v>
      </c>
      <c r="K304" s="938">
        <f>J307</f>
        <v>13</v>
      </c>
      <c r="L304" s="938">
        <f>K307</f>
        <v>13</v>
      </c>
      <c r="M304" s="938">
        <f>L307</f>
        <v>13</v>
      </c>
      <c r="N304" s="938">
        <f>M307</f>
        <v>13</v>
      </c>
    </row>
    <row r="305" spans="1:14">
      <c r="A305" s="910" t="s">
        <v>967</v>
      </c>
      <c r="B305" s="938"/>
      <c r="C305" s="938"/>
      <c r="D305" s="938"/>
      <c r="E305" s="938"/>
      <c r="F305" s="938"/>
      <c r="G305" s="938"/>
      <c r="H305" s="938"/>
      <c r="I305" s="938"/>
      <c r="J305" s="938"/>
      <c r="K305" s="938"/>
      <c r="L305" s="938"/>
      <c r="M305" s="938"/>
      <c r="N305" s="938">
        <f>SUM(B305:M305)/12</f>
        <v>0</v>
      </c>
    </row>
    <row r="306" spans="1:14">
      <c r="A306" s="910" t="s">
        <v>968</v>
      </c>
      <c r="B306" s="938"/>
      <c r="C306" s="938"/>
      <c r="D306" s="938"/>
      <c r="E306" s="938"/>
      <c r="F306" s="938"/>
      <c r="G306" s="938"/>
      <c r="H306" s="938"/>
      <c r="I306" s="938"/>
      <c r="J306" s="938"/>
      <c r="K306" s="938"/>
      <c r="L306" s="938"/>
      <c r="M306" s="938"/>
      <c r="N306" s="938">
        <f>SUM(B305:M305)/12</f>
        <v>0</v>
      </c>
    </row>
    <row r="307" spans="1:14">
      <c r="A307" s="910" t="s">
        <v>965</v>
      </c>
      <c r="B307" s="938">
        <f t="shared" ref="B307:M307" si="67">SUM(B304+B305-B306)</f>
        <v>13</v>
      </c>
      <c r="C307" s="938">
        <f t="shared" si="67"/>
        <v>13</v>
      </c>
      <c r="D307" s="938">
        <f t="shared" si="67"/>
        <v>13</v>
      </c>
      <c r="E307" s="938">
        <f t="shared" si="67"/>
        <v>13</v>
      </c>
      <c r="F307" s="938">
        <f t="shared" si="67"/>
        <v>13</v>
      </c>
      <c r="G307" s="938">
        <f t="shared" si="67"/>
        <v>13</v>
      </c>
      <c r="H307" s="938">
        <f t="shared" si="67"/>
        <v>13</v>
      </c>
      <c r="I307" s="938">
        <f t="shared" si="67"/>
        <v>13</v>
      </c>
      <c r="J307" s="938">
        <f t="shared" si="67"/>
        <v>13</v>
      </c>
      <c r="K307" s="938">
        <f t="shared" si="67"/>
        <v>13</v>
      </c>
      <c r="L307" s="938">
        <f t="shared" si="67"/>
        <v>13</v>
      </c>
      <c r="M307" s="938">
        <f t="shared" si="67"/>
        <v>13</v>
      </c>
      <c r="N307" s="938">
        <f>SUM(B306:M306)/12</f>
        <v>0</v>
      </c>
    </row>
    <row r="308" spans="1:14">
      <c r="A308" s="910" t="s">
        <v>969</v>
      </c>
      <c r="B308" s="939">
        <f t="shared" ref="B308:M308" si="68">SUM(B307*100)/B304-100</f>
        <v>0</v>
      </c>
      <c r="C308" s="939">
        <f t="shared" si="68"/>
        <v>0</v>
      </c>
      <c r="D308" s="939">
        <f t="shared" si="68"/>
        <v>0</v>
      </c>
      <c r="E308" s="939">
        <f t="shared" si="68"/>
        <v>0</v>
      </c>
      <c r="F308" s="939">
        <f t="shared" si="68"/>
        <v>0</v>
      </c>
      <c r="G308" s="939">
        <f t="shared" si="68"/>
        <v>0</v>
      </c>
      <c r="H308" s="939">
        <f t="shared" si="68"/>
        <v>0</v>
      </c>
      <c r="I308" s="939">
        <f t="shared" si="68"/>
        <v>0</v>
      </c>
      <c r="J308" s="939">
        <f t="shared" si="68"/>
        <v>0</v>
      </c>
      <c r="K308" s="939">
        <f t="shared" si="68"/>
        <v>0</v>
      </c>
      <c r="L308" s="939">
        <f t="shared" si="68"/>
        <v>0</v>
      </c>
      <c r="M308" s="939">
        <f t="shared" si="68"/>
        <v>0</v>
      </c>
      <c r="N308" s="938"/>
    </row>
    <row r="309" spans="1:14">
      <c r="A309" s="922" t="s">
        <v>970</v>
      </c>
      <c r="B309" s="940"/>
      <c r="C309" s="940"/>
      <c r="D309" s="941">
        <f>SUM(B308:D308/3)</f>
        <v>0</v>
      </c>
      <c r="E309" s="940"/>
      <c r="F309" s="940"/>
      <c r="G309" s="941">
        <f>SUM(E308:G308)/3</f>
        <v>0</v>
      </c>
      <c r="H309" s="940"/>
      <c r="I309" s="940"/>
      <c r="J309" s="941">
        <f>SUM(H308:J308)/3</f>
        <v>0</v>
      </c>
      <c r="K309" s="940"/>
      <c r="L309" s="940"/>
      <c r="M309" s="941">
        <f>SUM(K308:M308)/3</f>
        <v>0</v>
      </c>
      <c r="N309" s="940"/>
    </row>
    <row r="310" spans="1:14" ht="13.5" thickBot="1">
      <c r="A310" s="1051"/>
      <c r="B310" s="1052"/>
      <c r="C310" s="1052"/>
      <c r="D310" s="1052"/>
      <c r="E310" s="1052"/>
      <c r="F310" s="1052"/>
      <c r="G310" s="1052"/>
      <c r="H310" s="1052"/>
      <c r="I310" s="1052"/>
      <c r="J310" s="1052"/>
      <c r="K310" s="1052"/>
      <c r="L310" s="1052"/>
      <c r="M310" s="1052"/>
      <c r="N310" s="1053"/>
    </row>
    <row r="311" spans="1:14">
      <c r="A311" s="922"/>
      <c r="B311" s="923"/>
      <c r="C311" s="923"/>
      <c r="D311" s="923"/>
      <c r="E311" s="923"/>
      <c r="F311" s="923"/>
      <c r="G311" s="923"/>
      <c r="H311" s="923"/>
      <c r="I311" s="923"/>
      <c r="J311" s="923"/>
      <c r="K311" s="923"/>
      <c r="L311" s="923"/>
      <c r="M311" s="923"/>
      <c r="N311" s="906"/>
    </row>
    <row r="312" spans="1:14" ht="15.75">
      <c r="A312" s="1397" t="s">
        <v>1056</v>
      </c>
      <c r="B312" s="1397"/>
      <c r="C312" s="1397"/>
      <c r="D312" s="1397"/>
      <c r="E312" s="1397"/>
      <c r="F312" s="1397"/>
      <c r="G312" s="1397"/>
      <c r="H312" s="1397"/>
      <c r="I312" s="1397"/>
      <c r="J312" s="1397"/>
      <c r="K312" s="1397"/>
      <c r="L312" s="1397"/>
      <c r="M312" s="1397"/>
      <c r="N312" s="1397"/>
    </row>
    <row r="313" spans="1:14" ht="15.75">
      <c r="E313" s="961"/>
      <c r="M313" s="923"/>
      <c r="N313" s="906"/>
    </row>
    <row r="314" spans="1:14">
      <c r="A314" s="1055" t="s">
        <v>1023</v>
      </c>
      <c r="B314" s="1056"/>
      <c r="C314" s="1057"/>
      <c r="D314" s="971" t="s">
        <v>1024</v>
      </c>
      <c r="G314" s="978"/>
      <c r="K314" s="978"/>
      <c r="M314" s="923"/>
      <c r="N314" s="906"/>
    </row>
    <row r="315" spans="1:14">
      <c r="A315" s="1058"/>
      <c r="B315" s="1059"/>
      <c r="C315" s="1060"/>
      <c r="D315" s="969"/>
      <c r="E315" s="970"/>
      <c r="G315" s="1255"/>
      <c r="H315" s="1255"/>
      <c r="I315" s="1255"/>
      <c r="J315" s="1255"/>
      <c r="K315" s="1255"/>
      <c r="M315" s="923"/>
      <c r="N315" s="906"/>
    </row>
    <row r="316" spans="1:14" ht="13.5" thickBot="1">
      <c r="A316" s="1066"/>
      <c r="C316" s="1067"/>
      <c r="D316" s="969"/>
      <c r="E316" s="970"/>
      <c r="H316" s="1082"/>
      <c r="K316" s="970"/>
      <c r="L316" s="999"/>
      <c r="M316" s="923"/>
      <c r="N316" s="906"/>
    </row>
    <row r="317" spans="1:14" ht="13.5" thickBot="1">
      <c r="A317" s="973" t="s">
        <v>154</v>
      </c>
      <c r="B317" s="975"/>
      <c r="C317" s="1068"/>
      <c r="D317" s="1249">
        <v>5649000</v>
      </c>
      <c r="E317" s="970"/>
      <c r="H317" s="1082"/>
      <c r="K317" s="970"/>
      <c r="L317" s="999"/>
      <c r="M317" s="923"/>
      <c r="N317" s="906"/>
    </row>
    <row r="318" spans="1:14">
      <c r="A318" s="1069" t="s">
        <v>153</v>
      </c>
      <c r="B318" s="1070"/>
      <c r="C318" s="1071"/>
      <c r="D318" s="1072">
        <f>D317/12</f>
        <v>470750</v>
      </c>
      <c r="E318" s="970"/>
      <c r="K318" s="979"/>
      <c r="L318" s="999"/>
      <c r="M318" s="923"/>
      <c r="N318" s="906"/>
    </row>
    <row r="319" spans="1:14">
      <c r="C319" s="1073"/>
      <c r="E319" s="970"/>
      <c r="J319" s="1073"/>
      <c r="K319" s="979"/>
      <c r="L319" s="1278"/>
      <c r="M319" s="923"/>
      <c r="N319" s="906"/>
    </row>
    <row r="320" spans="1:14">
      <c r="A320" s="937" t="s">
        <v>986</v>
      </c>
      <c r="B320" s="923"/>
      <c r="C320" s="923"/>
      <c r="D320" s="923"/>
      <c r="E320" s="923"/>
      <c r="F320" s="923"/>
      <c r="G320" s="923"/>
      <c r="H320" s="923"/>
      <c r="I320" s="923"/>
      <c r="J320" s="923"/>
      <c r="K320" s="923"/>
      <c r="L320" s="923"/>
      <c r="M320" s="923"/>
      <c r="N320" s="906"/>
    </row>
    <row r="321" spans="1:14">
      <c r="A321" s="1007"/>
      <c r="B321" s="911" t="s">
        <v>924</v>
      </c>
      <c r="C321" s="911" t="s">
        <v>925</v>
      </c>
      <c r="D321" s="911" t="s">
        <v>926</v>
      </c>
      <c r="E321" s="911" t="s">
        <v>927</v>
      </c>
      <c r="F321" s="911" t="s">
        <v>928</v>
      </c>
      <c r="G321" s="911" t="s">
        <v>929</v>
      </c>
      <c r="H321" s="911" t="s">
        <v>918</v>
      </c>
      <c r="I321" s="911" t="s">
        <v>919</v>
      </c>
      <c r="J321" s="911" t="s">
        <v>920</v>
      </c>
      <c r="K321" s="911" t="s">
        <v>921</v>
      </c>
      <c r="L321" s="911" t="s">
        <v>922</v>
      </c>
      <c r="M321" s="911" t="s">
        <v>923</v>
      </c>
      <c r="N321" s="907"/>
    </row>
    <row r="322" spans="1:14">
      <c r="A322" s="910" t="s">
        <v>1057</v>
      </c>
      <c r="B322" s="1008">
        <f t="shared" ref="B322:M322" si="69">$D$318</f>
        <v>470750</v>
      </c>
      <c r="C322" s="1008">
        <f t="shared" si="69"/>
        <v>470750</v>
      </c>
      <c r="D322" s="1008">
        <f t="shared" si="69"/>
        <v>470750</v>
      </c>
      <c r="E322" s="1008">
        <f t="shared" si="69"/>
        <v>470750</v>
      </c>
      <c r="F322" s="1008">
        <f t="shared" si="69"/>
        <v>470750</v>
      </c>
      <c r="G322" s="1008">
        <f t="shared" si="69"/>
        <v>470750</v>
      </c>
      <c r="H322" s="1008">
        <f t="shared" si="69"/>
        <v>470750</v>
      </c>
      <c r="I322" s="1008">
        <f t="shared" si="69"/>
        <v>470750</v>
      </c>
      <c r="J322" s="1008">
        <f t="shared" si="69"/>
        <v>470750</v>
      </c>
      <c r="K322" s="1008">
        <f t="shared" si="69"/>
        <v>470750</v>
      </c>
      <c r="L322" s="1008">
        <f t="shared" si="69"/>
        <v>470750</v>
      </c>
      <c r="M322" s="1008">
        <f t="shared" si="69"/>
        <v>470750</v>
      </c>
      <c r="N322" s="1008">
        <f t="shared" ref="N322:N334" si="70">SUM(B322:M322)</f>
        <v>5649000</v>
      </c>
    </row>
    <row r="323" spans="1:14" ht="13.5" thickBot="1">
      <c r="A323" s="910"/>
      <c r="B323" s="1008">
        <v>0</v>
      </c>
      <c r="C323" s="1008">
        <v>0</v>
      </c>
      <c r="D323" s="1008"/>
      <c r="E323" s="1008"/>
      <c r="F323" s="1008"/>
      <c r="G323" s="1037"/>
      <c r="H323" s="1008"/>
      <c r="I323" s="1008"/>
      <c r="J323" s="1008"/>
      <c r="K323" s="1008"/>
      <c r="L323" s="1008"/>
      <c r="M323" s="1008"/>
      <c r="N323" s="1008">
        <f t="shared" si="70"/>
        <v>0</v>
      </c>
    </row>
    <row r="324" spans="1:14" ht="13.5" thickBot="1">
      <c r="A324" s="1012" t="s">
        <v>1057</v>
      </c>
      <c r="B324" s="1074">
        <f t="shared" ref="B324:M324" si="71">SUM(B322,B323)</f>
        <v>470750</v>
      </c>
      <c r="C324" s="1074">
        <f t="shared" si="71"/>
        <v>470750</v>
      </c>
      <c r="D324" s="1074">
        <f t="shared" si="71"/>
        <v>470750</v>
      </c>
      <c r="E324" s="1074">
        <f t="shared" si="71"/>
        <v>470750</v>
      </c>
      <c r="F324" s="1074">
        <f t="shared" si="71"/>
        <v>470750</v>
      </c>
      <c r="G324" s="1074">
        <f t="shared" si="71"/>
        <v>470750</v>
      </c>
      <c r="H324" s="1074">
        <f t="shared" si="71"/>
        <v>470750</v>
      </c>
      <c r="I324" s="1074">
        <f t="shared" si="71"/>
        <v>470750</v>
      </c>
      <c r="J324" s="1074">
        <f t="shared" si="71"/>
        <v>470750</v>
      </c>
      <c r="K324" s="1074">
        <f t="shared" si="71"/>
        <v>470750</v>
      </c>
      <c r="L324" s="1074">
        <f t="shared" si="71"/>
        <v>470750</v>
      </c>
      <c r="M324" s="1074">
        <f t="shared" si="71"/>
        <v>470750</v>
      </c>
      <c r="N324" s="1075">
        <f t="shared" si="70"/>
        <v>5649000</v>
      </c>
    </row>
    <row r="325" spans="1:14">
      <c r="A325" s="907" t="s">
        <v>1058</v>
      </c>
      <c r="B325" s="1009"/>
      <c r="C325" s="1009"/>
      <c r="D325" s="1009"/>
      <c r="E325" s="1009"/>
      <c r="F325" s="1009"/>
      <c r="G325" s="1009"/>
      <c r="H325" s="1009"/>
      <c r="I325" s="1009"/>
      <c r="J325" s="1009"/>
      <c r="K325" s="1009"/>
      <c r="L325" s="1009"/>
      <c r="M325" s="1009"/>
      <c r="N325" s="1009">
        <f t="shared" si="70"/>
        <v>0</v>
      </c>
    </row>
    <row r="326" spans="1:14">
      <c r="A326" s="1028" t="s">
        <v>1059</v>
      </c>
      <c r="B326" s="1009">
        <v>10000</v>
      </c>
      <c r="C326" s="1009"/>
      <c r="D326" s="1009">
        <v>50000</v>
      </c>
      <c r="E326" s="1009">
        <v>40000</v>
      </c>
      <c r="F326" s="1009">
        <v>20000</v>
      </c>
      <c r="G326" s="1009">
        <v>5000</v>
      </c>
      <c r="H326" s="1009">
        <v>10000</v>
      </c>
      <c r="I326" s="1009">
        <v>25000</v>
      </c>
      <c r="J326" s="1009">
        <v>5000</v>
      </c>
      <c r="K326" s="1009">
        <v>40000</v>
      </c>
      <c r="L326" s="1009">
        <v>25000</v>
      </c>
      <c r="M326" s="1009">
        <v>10000</v>
      </c>
      <c r="N326" s="1009">
        <f t="shared" si="70"/>
        <v>240000</v>
      </c>
    </row>
    <row r="327" spans="1:14">
      <c r="A327" s="1028" t="s">
        <v>993</v>
      </c>
      <c r="B327" s="1009">
        <v>85600</v>
      </c>
      <c r="C327" s="1009">
        <v>49425</v>
      </c>
      <c r="D327" s="1009">
        <v>53400</v>
      </c>
      <c r="E327" s="1009">
        <v>53150</v>
      </c>
      <c r="F327" s="1009">
        <v>49150</v>
      </c>
      <c r="G327" s="1009">
        <v>39350</v>
      </c>
      <c r="H327" s="1009">
        <v>5975</v>
      </c>
      <c r="I327" s="1009">
        <v>81475</v>
      </c>
      <c r="J327" s="1009">
        <v>40675</v>
      </c>
      <c r="K327" s="1009">
        <v>94700</v>
      </c>
      <c r="L327" s="1009">
        <v>66075</v>
      </c>
      <c r="M327" s="1009">
        <v>63725</v>
      </c>
      <c r="N327" s="1009">
        <f t="shared" si="70"/>
        <v>682700</v>
      </c>
    </row>
    <row r="328" spans="1:14" ht="13.5" thickBot="1">
      <c r="A328" s="1038" t="s">
        <v>1057</v>
      </c>
      <c r="B328" s="1023"/>
      <c r="C328" s="1023"/>
      <c r="D328" s="1023"/>
      <c r="E328" s="1023"/>
      <c r="F328" s="1023"/>
      <c r="G328" s="1023"/>
      <c r="H328" s="1023"/>
      <c r="I328" s="1023"/>
      <c r="J328" s="1023"/>
      <c r="K328" s="1023"/>
      <c r="L328" s="1023"/>
      <c r="M328" s="1023"/>
      <c r="N328" s="1009">
        <f t="shared" si="70"/>
        <v>0</v>
      </c>
    </row>
    <row r="329" spans="1:14" ht="13.5" thickBot="1">
      <c r="A329" s="1039" t="s">
        <v>1001</v>
      </c>
      <c r="B329" s="1040">
        <f t="shared" ref="B329:M329" si="72">SUM(B325:B328)</f>
        <v>95600</v>
      </c>
      <c r="C329" s="1040">
        <f t="shared" si="72"/>
        <v>49425</v>
      </c>
      <c r="D329" s="1040">
        <f t="shared" si="72"/>
        <v>103400</v>
      </c>
      <c r="E329" s="1040">
        <f t="shared" si="72"/>
        <v>93150</v>
      </c>
      <c r="F329" s="1040">
        <f t="shared" si="72"/>
        <v>69150</v>
      </c>
      <c r="G329" s="1040">
        <f t="shared" si="72"/>
        <v>44350</v>
      </c>
      <c r="H329" s="1040">
        <f t="shared" si="72"/>
        <v>15975</v>
      </c>
      <c r="I329" s="1040">
        <f t="shared" si="72"/>
        <v>106475</v>
      </c>
      <c r="J329" s="1040">
        <f t="shared" si="72"/>
        <v>45675</v>
      </c>
      <c r="K329" s="1040">
        <f t="shared" si="72"/>
        <v>134700</v>
      </c>
      <c r="L329" s="1040">
        <f t="shared" si="72"/>
        <v>91075</v>
      </c>
      <c r="M329" s="1040">
        <f t="shared" si="72"/>
        <v>73725</v>
      </c>
      <c r="N329" s="1040">
        <f t="shared" si="70"/>
        <v>922700</v>
      </c>
    </row>
    <row r="330" spans="1:14">
      <c r="A330" s="907" t="s">
        <v>1002</v>
      </c>
      <c r="B330" s="1011"/>
      <c r="C330" s="1011"/>
      <c r="D330" s="1011"/>
      <c r="E330" s="1011"/>
      <c r="F330" s="1011"/>
      <c r="G330" s="1077"/>
      <c r="H330" s="1011"/>
      <c r="I330" s="1011"/>
      <c r="J330" s="1011"/>
      <c r="K330" s="1011"/>
      <c r="L330" s="1011"/>
      <c r="M330" s="1011"/>
      <c r="N330" s="1009">
        <f t="shared" si="70"/>
        <v>0</v>
      </c>
    </row>
    <row r="331" spans="1:14">
      <c r="A331" s="1042" t="s">
        <v>1003</v>
      </c>
      <c r="B331" s="1083">
        <f t="shared" ref="B331:M331" si="73">SUM(B324+B329)</f>
        <v>566350</v>
      </c>
      <c r="C331" s="1083">
        <f t="shared" si="73"/>
        <v>520175</v>
      </c>
      <c r="D331" s="1083">
        <f t="shared" si="73"/>
        <v>574150</v>
      </c>
      <c r="E331" s="1083">
        <f t="shared" si="73"/>
        <v>563900</v>
      </c>
      <c r="F331" s="1083">
        <f t="shared" si="73"/>
        <v>539900</v>
      </c>
      <c r="G331" s="1083">
        <f t="shared" si="73"/>
        <v>515100</v>
      </c>
      <c r="H331" s="1083">
        <f t="shared" si="73"/>
        <v>486725</v>
      </c>
      <c r="I331" s="1083">
        <f t="shared" si="73"/>
        <v>577225</v>
      </c>
      <c r="J331" s="1083">
        <f t="shared" si="73"/>
        <v>516425</v>
      </c>
      <c r="K331" s="1083">
        <f t="shared" si="73"/>
        <v>605450</v>
      </c>
      <c r="L331" s="1083">
        <f t="shared" si="73"/>
        <v>561825</v>
      </c>
      <c r="M331" s="1083">
        <f t="shared" si="73"/>
        <v>544475</v>
      </c>
      <c r="N331" s="1083">
        <f t="shared" si="70"/>
        <v>6571700</v>
      </c>
    </row>
    <row r="332" spans="1:14">
      <c r="A332" s="1079" t="s">
        <v>1004</v>
      </c>
      <c r="B332" s="1011">
        <v>471518</v>
      </c>
      <c r="C332" s="1011">
        <v>483517</v>
      </c>
      <c r="D332" s="1011">
        <v>472377</v>
      </c>
      <c r="E332" s="1011">
        <v>573117</v>
      </c>
      <c r="F332" s="1011">
        <v>488510</v>
      </c>
      <c r="G332" s="1011">
        <v>462472</v>
      </c>
      <c r="H332" s="1011">
        <v>427386</v>
      </c>
      <c r="I332" s="1011">
        <v>466711</v>
      </c>
      <c r="J332" s="1011">
        <v>496594</v>
      </c>
      <c r="K332" s="1011">
        <v>437359</v>
      </c>
      <c r="L332" s="1011">
        <v>500000</v>
      </c>
      <c r="M332" s="1011">
        <v>500000</v>
      </c>
      <c r="N332" s="1011">
        <f t="shared" si="70"/>
        <v>5779561</v>
      </c>
    </row>
    <row r="333" spans="1:14">
      <c r="A333" s="907" t="s">
        <v>1060</v>
      </c>
      <c r="B333" s="1008">
        <v>75000</v>
      </c>
      <c r="C333" s="1008">
        <v>75000</v>
      </c>
      <c r="D333" s="1008">
        <v>75000</v>
      </c>
      <c r="E333" s="1008">
        <v>75000</v>
      </c>
      <c r="F333" s="1008">
        <v>75000</v>
      </c>
      <c r="G333" s="1008">
        <v>75000</v>
      </c>
      <c r="H333" s="1008">
        <v>75000</v>
      </c>
      <c r="I333" s="1008">
        <v>75000</v>
      </c>
      <c r="J333" s="1008">
        <v>75000</v>
      </c>
      <c r="K333" s="1008">
        <v>75000</v>
      </c>
      <c r="L333" s="1008">
        <v>75000</v>
      </c>
      <c r="M333" s="1008">
        <v>75000</v>
      </c>
      <c r="N333" s="1011">
        <f t="shared" si="70"/>
        <v>900000</v>
      </c>
    </row>
    <row r="334" spans="1:14">
      <c r="A334" s="907" t="s">
        <v>1061</v>
      </c>
      <c r="B334" s="1008"/>
      <c r="C334" s="1008"/>
      <c r="D334" s="1008"/>
      <c r="E334" s="1008"/>
      <c r="F334" s="1008"/>
      <c r="G334" s="1008"/>
      <c r="H334" s="1008"/>
      <c r="I334" s="1008"/>
      <c r="J334" s="1008"/>
      <c r="K334" s="1008"/>
      <c r="L334" s="1008"/>
      <c r="M334" s="1008"/>
      <c r="N334" s="1011">
        <f t="shared" si="70"/>
        <v>0</v>
      </c>
    </row>
    <row r="335" spans="1:14">
      <c r="A335" s="1046" t="s">
        <v>1009</v>
      </c>
      <c r="B335" s="1047">
        <f>B331-SUM(B332:B334)</f>
        <v>19832</v>
      </c>
      <c r="C335" s="1047">
        <f t="shared" ref="C335:N335" si="74">C331-SUM(C332:C334)</f>
        <v>-38342</v>
      </c>
      <c r="D335" s="1047">
        <f t="shared" si="74"/>
        <v>26773</v>
      </c>
      <c r="E335" s="1047">
        <f t="shared" si="74"/>
        <v>-84217</v>
      </c>
      <c r="F335" s="1047">
        <f t="shared" si="74"/>
        <v>-23610</v>
      </c>
      <c r="G335" s="1047">
        <f t="shared" si="74"/>
        <v>-22372</v>
      </c>
      <c r="H335" s="1047">
        <f t="shared" si="74"/>
        <v>-15661</v>
      </c>
      <c r="I335" s="1047">
        <f t="shared" si="74"/>
        <v>35514</v>
      </c>
      <c r="J335" s="1047">
        <f t="shared" si="74"/>
        <v>-55169</v>
      </c>
      <c r="K335" s="1047">
        <f t="shared" si="74"/>
        <v>93091</v>
      </c>
      <c r="L335" s="1047">
        <f t="shared" si="74"/>
        <v>-13175</v>
      </c>
      <c r="M335" s="1047">
        <f t="shared" si="74"/>
        <v>-30525</v>
      </c>
      <c r="N335" s="1047">
        <f t="shared" si="74"/>
        <v>-107861</v>
      </c>
    </row>
    <row r="336" spans="1:14">
      <c r="A336" s="1084"/>
      <c r="B336" s="1085"/>
      <c r="C336" s="1085"/>
      <c r="D336" s="1085"/>
      <c r="E336" s="1085"/>
      <c r="F336" s="1085"/>
      <c r="G336" s="1085"/>
      <c r="H336" s="1085"/>
      <c r="I336" s="1085"/>
      <c r="J336" s="1085"/>
      <c r="K336" s="1085"/>
      <c r="L336" s="1085"/>
      <c r="M336" s="1085"/>
      <c r="N336" s="1085"/>
    </row>
    <row r="338" spans="1:2">
      <c r="A338" s="1286" t="s">
        <v>1062</v>
      </c>
      <c r="B338" s="905">
        <v>2405</v>
      </c>
    </row>
  </sheetData>
  <sheetProtection password="CC44" sheet="1" objects="1" scenarios="1"/>
  <mergeCells count="5">
    <mergeCell ref="A273:N273"/>
    <mergeCell ref="A1:N1"/>
    <mergeCell ref="A57:N57"/>
    <mergeCell ref="A131:N131"/>
    <mergeCell ref="A190:N190"/>
  </mergeCells>
  <pageMargins left="0.19685039370078741" right="0" top="0.19685039370078741" bottom="0.19685039370078741" header="0.51181102362204722" footer="0.51181102362204722"/>
  <pageSetup paperSize="9" scale="80" orientation="landscape" horizontalDpi="4294967293" r:id="rId1"/>
  <headerFooter alignWithMargins="0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24">
    <tabColor indexed="39"/>
  </sheetPr>
  <dimension ref="A1:Q328"/>
  <sheetViews>
    <sheetView topLeftCell="A88" zoomScale="75" zoomScaleNormal="75" workbookViewId="0">
      <selection activeCell="M108" sqref="M108"/>
    </sheetView>
  </sheetViews>
  <sheetFormatPr defaultColWidth="9.140625" defaultRowHeight="12.75"/>
  <cols>
    <col min="1" max="1" width="23.85546875" style="905" customWidth="1"/>
    <col min="2" max="2" width="11.140625" style="905" customWidth="1"/>
    <col min="3" max="5" width="11.7109375" style="905" customWidth="1"/>
    <col min="6" max="6" width="12.28515625" style="905" customWidth="1"/>
    <col min="7" max="7" width="11.140625" style="905" bestFit="1" customWidth="1"/>
    <col min="8" max="8" width="12.28515625" style="905" customWidth="1"/>
    <col min="9" max="9" width="13" style="905" customWidth="1"/>
    <col min="10" max="10" width="12.5703125" style="905" customWidth="1"/>
    <col min="11" max="11" width="12.140625" style="905" customWidth="1"/>
    <col min="12" max="12" width="11.140625" style="905" customWidth="1"/>
    <col min="13" max="13" width="13.5703125" style="905" customWidth="1"/>
    <col min="14" max="14" width="12" style="905" customWidth="1"/>
    <col min="15" max="16384" width="9.140625" style="905"/>
  </cols>
  <sheetData>
    <row r="1" spans="1:14" ht="20.25">
      <c r="A1" s="1698" t="s">
        <v>1063</v>
      </c>
      <c r="B1" s="1698"/>
      <c r="C1" s="1698"/>
      <c r="D1" s="1698"/>
      <c r="E1" s="1698"/>
      <c r="F1" s="1698"/>
      <c r="G1" s="1698"/>
      <c r="H1" s="1698"/>
      <c r="I1" s="1698"/>
      <c r="J1" s="1698"/>
      <c r="K1" s="1698"/>
      <c r="L1" s="1698"/>
      <c r="M1" s="1698"/>
      <c r="N1" s="1698"/>
    </row>
    <row r="2" spans="1:14">
      <c r="A2" s="906"/>
      <c r="B2" s="906"/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6"/>
    </row>
    <row r="3" spans="1:14">
      <c r="A3" s="907"/>
      <c r="B3" s="908" t="s">
        <v>924</v>
      </c>
      <c r="C3" s="908" t="s">
        <v>925</v>
      </c>
      <c r="D3" s="909" t="s">
        <v>926</v>
      </c>
      <c r="E3" s="908" t="s">
        <v>927</v>
      </c>
      <c r="F3" s="908" t="s">
        <v>928</v>
      </c>
      <c r="G3" s="909" t="s">
        <v>929</v>
      </c>
      <c r="H3" s="908" t="s">
        <v>918</v>
      </c>
      <c r="I3" s="908" t="s">
        <v>919</v>
      </c>
      <c r="J3" s="908" t="s">
        <v>920</v>
      </c>
      <c r="K3" s="908" t="s">
        <v>921</v>
      </c>
      <c r="L3" s="908" t="s">
        <v>922</v>
      </c>
      <c r="M3" s="908" t="s">
        <v>923</v>
      </c>
      <c r="N3" s="907" t="s">
        <v>137</v>
      </c>
    </row>
    <row r="4" spans="1:14">
      <c r="A4" s="910" t="s">
        <v>183</v>
      </c>
      <c r="B4" s="911">
        <v>7054.52</v>
      </c>
      <c r="C4" s="911">
        <v>6894</v>
      </c>
      <c r="D4" s="911">
        <v>6894</v>
      </c>
      <c r="E4" s="911">
        <v>6894</v>
      </c>
      <c r="F4" s="911">
        <v>6894</v>
      </c>
      <c r="G4" s="911">
        <v>6894</v>
      </c>
      <c r="H4" s="911">
        <v>6894</v>
      </c>
      <c r="I4" s="911">
        <v>6894</v>
      </c>
      <c r="J4" s="911">
        <v>6894</v>
      </c>
      <c r="K4" s="911">
        <v>6894</v>
      </c>
      <c r="L4" s="911">
        <v>6894</v>
      </c>
      <c r="M4" s="911">
        <v>6894</v>
      </c>
      <c r="N4" s="911">
        <f t="shared" ref="N4:N16" si="0">SUM(B4:M4)</f>
        <v>82888.52</v>
      </c>
    </row>
    <row r="5" spans="1:14">
      <c r="A5" s="910" t="s">
        <v>942</v>
      </c>
      <c r="B5" s="911">
        <v>16</v>
      </c>
      <c r="C5" s="911">
        <v>37.25</v>
      </c>
      <c r="D5" s="911">
        <v>100.25</v>
      </c>
      <c r="E5" s="911">
        <v>59.5</v>
      </c>
      <c r="F5" s="911">
        <v>54</v>
      </c>
      <c r="G5" s="912">
        <v>82</v>
      </c>
      <c r="H5" s="911">
        <v>199.5</v>
      </c>
      <c r="I5" s="911">
        <v>149.5</v>
      </c>
      <c r="J5" s="913">
        <v>130.5</v>
      </c>
      <c r="K5" s="911">
        <v>7.75</v>
      </c>
      <c r="L5" s="911"/>
      <c r="M5" s="911"/>
      <c r="N5" s="911">
        <f t="shared" si="0"/>
        <v>836.25</v>
      </c>
    </row>
    <row r="6" spans="1:14">
      <c r="A6" s="910" t="s">
        <v>943</v>
      </c>
      <c r="B6" s="911">
        <v>548.5</v>
      </c>
      <c r="C6" s="911"/>
      <c r="D6" s="911"/>
      <c r="E6" s="911"/>
      <c r="F6" s="911"/>
      <c r="G6" s="912"/>
      <c r="H6" s="911"/>
      <c r="I6" s="911"/>
      <c r="J6" s="911"/>
      <c r="K6" s="911"/>
      <c r="L6" s="911"/>
      <c r="M6" s="907"/>
      <c r="N6" s="911">
        <f t="shared" si="0"/>
        <v>548.5</v>
      </c>
    </row>
    <row r="7" spans="1:14">
      <c r="A7" s="910" t="s">
        <v>944</v>
      </c>
      <c r="B7" s="911">
        <v>4.5</v>
      </c>
      <c r="C7" s="911">
        <v>14.5</v>
      </c>
      <c r="D7" s="911">
        <v>17</v>
      </c>
      <c r="E7" s="911">
        <v>20</v>
      </c>
      <c r="F7" s="911">
        <v>7.25</v>
      </c>
      <c r="G7" s="912">
        <v>18</v>
      </c>
      <c r="H7" s="911"/>
      <c r="I7" s="911">
        <v>18.5</v>
      </c>
      <c r="J7" s="911">
        <v>5.5</v>
      </c>
      <c r="K7" s="911">
        <v>29</v>
      </c>
      <c r="L7" s="911"/>
      <c r="M7" s="907"/>
      <c r="N7" s="911">
        <f t="shared" si="0"/>
        <v>134.25</v>
      </c>
    </row>
    <row r="8" spans="1:14">
      <c r="A8" s="910" t="s">
        <v>945</v>
      </c>
      <c r="B8" s="911">
        <v>361.5</v>
      </c>
      <c r="C8" s="911">
        <v>494</v>
      </c>
      <c r="D8" s="911">
        <v>772.5</v>
      </c>
      <c r="E8" s="911">
        <v>486.5</v>
      </c>
      <c r="F8" s="911">
        <v>98.25</v>
      </c>
      <c r="G8" s="912">
        <v>885.75</v>
      </c>
      <c r="H8" s="911">
        <v>1624.25</v>
      </c>
      <c r="I8" s="911">
        <v>1477.75</v>
      </c>
      <c r="J8" s="911">
        <v>829.25</v>
      </c>
      <c r="K8" s="911">
        <v>538.25</v>
      </c>
      <c r="L8" s="911"/>
      <c r="M8" s="911"/>
      <c r="N8" s="911">
        <f t="shared" si="0"/>
        <v>7568</v>
      </c>
    </row>
    <row r="9" spans="1:14">
      <c r="A9" s="910" t="s">
        <v>946</v>
      </c>
      <c r="B9" s="911"/>
      <c r="C9" s="911">
        <v>105.75</v>
      </c>
      <c r="D9" s="911"/>
      <c r="E9" s="911">
        <v>202</v>
      </c>
      <c r="F9" s="911">
        <v>12</v>
      </c>
      <c r="G9" s="912">
        <v>10.5</v>
      </c>
      <c r="H9" s="911"/>
      <c r="I9" s="911"/>
      <c r="J9" s="911"/>
      <c r="K9" s="911">
        <v>23.25</v>
      </c>
      <c r="L9" s="911"/>
      <c r="M9" s="911"/>
      <c r="N9" s="911">
        <f t="shared" si="0"/>
        <v>353.5</v>
      </c>
    </row>
    <row r="10" spans="1:14">
      <c r="A10" s="910" t="s">
        <v>947</v>
      </c>
      <c r="B10" s="911">
        <v>202.75</v>
      </c>
      <c r="C10" s="911">
        <v>216.75</v>
      </c>
      <c r="D10" s="911">
        <v>288.5</v>
      </c>
      <c r="E10" s="911">
        <v>178</v>
      </c>
      <c r="F10" s="911">
        <v>193</v>
      </c>
      <c r="G10" s="912">
        <v>235</v>
      </c>
      <c r="H10" s="911">
        <v>181.75</v>
      </c>
      <c r="I10" s="911">
        <v>212</v>
      </c>
      <c r="J10" s="911">
        <v>313.25</v>
      </c>
      <c r="K10" s="911">
        <v>55</v>
      </c>
      <c r="L10" s="911"/>
      <c r="M10" s="911"/>
      <c r="N10" s="911">
        <f t="shared" si="0"/>
        <v>2076</v>
      </c>
    </row>
    <row r="11" spans="1:14">
      <c r="A11" s="910" t="s">
        <v>948</v>
      </c>
      <c r="B11" s="911">
        <v>7.75</v>
      </c>
      <c r="C11" s="911"/>
      <c r="D11" s="911"/>
      <c r="E11" s="911"/>
      <c r="F11" s="911"/>
      <c r="G11" s="912"/>
      <c r="H11" s="911"/>
      <c r="I11" s="911"/>
      <c r="J11" s="911"/>
      <c r="K11" s="911"/>
      <c r="L11" s="911"/>
      <c r="M11" s="911"/>
      <c r="N11" s="911">
        <f t="shared" si="0"/>
        <v>7.75</v>
      </c>
    </row>
    <row r="12" spans="1:14">
      <c r="A12" s="910" t="s">
        <v>949</v>
      </c>
      <c r="B12" s="911">
        <v>389.5</v>
      </c>
      <c r="C12" s="911">
        <v>235.75</v>
      </c>
      <c r="D12" s="911">
        <v>352.75</v>
      </c>
      <c r="E12" s="911">
        <v>319.5</v>
      </c>
      <c r="F12" s="911">
        <v>547.25</v>
      </c>
      <c r="G12" s="912">
        <v>329.75</v>
      </c>
      <c r="H12" s="911">
        <v>66.5</v>
      </c>
      <c r="I12" s="911">
        <v>221.25</v>
      </c>
      <c r="J12" s="911">
        <v>224</v>
      </c>
      <c r="K12" s="911">
        <v>530.5</v>
      </c>
      <c r="L12" s="911"/>
      <c r="M12" s="911"/>
      <c r="N12" s="911">
        <f t="shared" si="0"/>
        <v>3216.75</v>
      </c>
    </row>
    <row r="13" spans="1:14">
      <c r="A13" s="910" t="s">
        <v>950</v>
      </c>
      <c r="B13" s="911"/>
      <c r="C13" s="911"/>
      <c r="D13" s="911"/>
      <c r="E13" s="911"/>
      <c r="F13" s="911"/>
      <c r="G13" s="912"/>
      <c r="H13" s="911"/>
      <c r="I13" s="911">
        <v>84.25</v>
      </c>
      <c r="J13" s="911">
        <v>126.25</v>
      </c>
      <c r="K13" s="911">
        <v>92</v>
      </c>
      <c r="L13" s="911"/>
      <c r="M13" s="911"/>
      <c r="N13" s="911">
        <f t="shared" si="0"/>
        <v>302.5</v>
      </c>
    </row>
    <row r="14" spans="1:14">
      <c r="A14" s="910" t="s">
        <v>951</v>
      </c>
      <c r="B14" s="911">
        <v>122.75</v>
      </c>
      <c r="C14" s="911">
        <v>232.5</v>
      </c>
      <c r="D14" s="911">
        <v>54</v>
      </c>
      <c r="E14" s="911">
        <v>101.5</v>
      </c>
      <c r="F14" s="911">
        <v>115</v>
      </c>
      <c r="G14" s="912">
        <v>61.25</v>
      </c>
      <c r="H14" s="911"/>
      <c r="I14" s="911">
        <v>37</v>
      </c>
      <c r="J14" s="911">
        <v>7</v>
      </c>
      <c r="K14" s="911">
        <v>137.5</v>
      </c>
      <c r="L14" s="911"/>
      <c r="M14" s="911"/>
      <c r="N14" s="911">
        <f t="shared" si="0"/>
        <v>868.5</v>
      </c>
    </row>
    <row r="15" spans="1:14" ht="13.5" thickBot="1">
      <c r="A15" s="914" t="s">
        <v>952</v>
      </c>
      <c r="B15" s="915"/>
      <c r="C15" s="915"/>
      <c r="D15" s="915"/>
      <c r="E15" s="915"/>
      <c r="F15" s="915"/>
      <c r="G15" s="916">
        <v>22.25</v>
      </c>
      <c r="H15" s="915"/>
      <c r="I15" s="915"/>
      <c r="J15" s="915"/>
      <c r="K15" s="915"/>
      <c r="L15" s="915"/>
      <c r="M15" s="915"/>
      <c r="N15" s="917">
        <f t="shared" si="0"/>
        <v>22.25</v>
      </c>
    </row>
    <row r="16" spans="1:14" ht="13.5" thickBot="1">
      <c r="A16" s="918" t="s">
        <v>953</v>
      </c>
      <c r="B16" s="919">
        <f>SUM(B4+B5+B6-B7-B8-B9-B10-B12-B13-B14-B15)</f>
        <v>6538.02</v>
      </c>
      <c r="C16" s="919">
        <f t="shared" ref="C16:M16" si="1">SUM(C4+C5+C6+C7-C8-C9-C10-C12-C13-C14-C15)</f>
        <v>5661</v>
      </c>
      <c r="D16" s="919">
        <f t="shared" si="1"/>
        <v>5543.5</v>
      </c>
      <c r="E16" s="919">
        <f t="shared" si="1"/>
        <v>5686</v>
      </c>
      <c r="F16" s="919">
        <f t="shared" si="1"/>
        <v>5989.75</v>
      </c>
      <c r="G16" s="919">
        <f t="shared" si="1"/>
        <v>5449.5</v>
      </c>
      <c r="H16" s="919">
        <f t="shared" si="1"/>
        <v>5221</v>
      </c>
      <c r="I16" s="919">
        <f t="shared" si="1"/>
        <v>5029.75</v>
      </c>
      <c r="J16" s="919">
        <f t="shared" si="1"/>
        <v>5530.25</v>
      </c>
      <c r="K16" s="919">
        <f t="shared" si="1"/>
        <v>5554.25</v>
      </c>
      <c r="L16" s="919">
        <f t="shared" si="1"/>
        <v>6894</v>
      </c>
      <c r="M16" s="920">
        <f t="shared" si="1"/>
        <v>6894</v>
      </c>
      <c r="N16" s="921">
        <f t="shared" si="0"/>
        <v>69991.02</v>
      </c>
    </row>
    <row r="17" spans="1:14">
      <c r="A17" s="922"/>
      <c r="B17" s="923"/>
      <c r="C17" s="923"/>
      <c r="D17" s="923"/>
      <c r="E17" s="923"/>
      <c r="F17" s="923"/>
      <c r="G17" s="923"/>
      <c r="H17" s="923"/>
      <c r="I17" s="923"/>
      <c r="J17" s="923"/>
      <c r="K17" s="923"/>
      <c r="L17" s="923"/>
      <c r="M17" s="923"/>
      <c r="N17" s="923"/>
    </row>
    <row r="18" spans="1:14">
      <c r="A18" s="922"/>
      <c r="B18" s="923"/>
      <c r="C18" s="923"/>
      <c r="D18" s="923"/>
      <c r="E18" s="923"/>
      <c r="F18" s="923"/>
      <c r="G18" s="923"/>
      <c r="H18" s="923"/>
      <c r="I18" s="923"/>
      <c r="J18" s="923"/>
      <c r="K18" s="923"/>
      <c r="L18" s="923"/>
      <c r="M18" s="923"/>
      <c r="N18" s="924" t="s">
        <v>954</v>
      </c>
    </row>
    <row r="19" spans="1:14">
      <c r="A19" s="910" t="s">
        <v>955</v>
      </c>
      <c r="B19" s="911">
        <f t="shared" ref="B19:M19" si="2">SUM(B5*100/B16)</f>
        <v>0.2447224083132202</v>
      </c>
      <c r="C19" s="911">
        <f t="shared" si="2"/>
        <v>0.65801095212859917</v>
      </c>
      <c r="D19" s="911">
        <f t="shared" si="2"/>
        <v>1.8084242806890953</v>
      </c>
      <c r="E19" s="911">
        <f t="shared" si="2"/>
        <v>1.046429827646852</v>
      </c>
      <c r="F19" s="911">
        <f t="shared" si="2"/>
        <v>0.90154013105722275</v>
      </c>
      <c r="G19" s="911">
        <f t="shared" si="2"/>
        <v>1.5047252041471695</v>
      </c>
      <c r="H19" s="911">
        <f t="shared" si="2"/>
        <v>3.8211070676115688</v>
      </c>
      <c r="I19" s="911">
        <f t="shared" si="2"/>
        <v>2.9723147273721358</v>
      </c>
      <c r="J19" s="911">
        <f t="shared" si="2"/>
        <v>2.3597486551240903</v>
      </c>
      <c r="K19" s="911">
        <f t="shared" si="2"/>
        <v>0.13953279020569834</v>
      </c>
      <c r="L19" s="911">
        <f t="shared" si="2"/>
        <v>0</v>
      </c>
      <c r="M19" s="911">
        <f t="shared" si="2"/>
        <v>0</v>
      </c>
      <c r="N19" s="925">
        <f>SUM(B19:M19)/12</f>
        <v>1.2880463370246378</v>
      </c>
    </row>
    <row r="20" spans="1:14">
      <c r="A20" s="922"/>
      <c r="B20" s="923"/>
      <c r="C20" s="923"/>
      <c r="D20" s="923"/>
      <c r="E20" s="923"/>
      <c r="F20" s="923"/>
      <c r="G20" s="923"/>
      <c r="H20" s="923"/>
      <c r="I20" s="923"/>
      <c r="J20" s="923"/>
      <c r="K20" s="923"/>
      <c r="L20" s="923"/>
      <c r="M20" s="923"/>
      <c r="N20" s="906"/>
    </row>
    <row r="21" spans="1:14">
      <c r="A21" s="910" t="s">
        <v>956</v>
      </c>
      <c r="B21" s="911">
        <f t="shared" ref="B21:M21" si="3">SUM(B10*100/B16)</f>
        <v>3.1010917678440872</v>
      </c>
      <c r="C21" s="911">
        <f t="shared" si="3"/>
        <v>3.8288288288288288</v>
      </c>
      <c r="D21" s="911">
        <f t="shared" si="3"/>
        <v>5.2042933164967984</v>
      </c>
      <c r="E21" s="911">
        <f t="shared" si="3"/>
        <v>3.1304959549771367</v>
      </c>
      <c r="F21" s="911">
        <f t="shared" si="3"/>
        <v>3.2221712091489629</v>
      </c>
      <c r="G21" s="911">
        <f t="shared" si="3"/>
        <v>4.3123222313973759</v>
      </c>
      <c r="H21" s="911">
        <f t="shared" si="3"/>
        <v>3.4811338823980083</v>
      </c>
      <c r="I21" s="911">
        <f t="shared" si="3"/>
        <v>4.2149212187484464</v>
      </c>
      <c r="J21" s="911">
        <f t="shared" si="3"/>
        <v>5.6643008905564844</v>
      </c>
      <c r="K21" s="911">
        <f t="shared" si="3"/>
        <v>0.9902327046856011</v>
      </c>
      <c r="L21" s="911">
        <f t="shared" si="3"/>
        <v>0</v>
      </c>
      <c r="M21" s="911">
        <f t="shared" si="3"/>
        <v>0</v>
      </c>
      <c r="N21" s="925">
        <f>SUM(B21:M21)/12</f>
        <v>3.0958160004234778</v>
      </c>
    </row>
    <row r="22" spans="1:14" ht="13.5" thickBot="1">
      <c r="A22" s="926" t="s">
        <v>957</v>
      </c>
      <c r="B22" s="917">
        <f t="shared" ref="B22:M22" si="4">SUM(B11*100/B16)</f>
        <v>0.11853741652671602</v>
      </c>
      <c r="C22" s="917">
        <f t="shared" si="4"/>
        <v>0</v>
      </c>
      <c r="D22" s="917">
        <f t="shared" si="4"/>
        <v>0</v>
      </c>
      <c r="E22" s="917">
        <f t="shared" si="4"/>
        <v>0</v>
      </c>
      <c r="F22" s="917">
        <f t="shared" si="4"/>
        <v>0</v>
      </c>
      <c r="G22" s="917">
        <f t="shared" si="4"/>
        <v>0</v>
      </c>
      <c r="H22" s="917">
        <f t="shared" si="4"/>
        <v>0</v>
      </c>
      <c r="I22" s="917">
        <f t="shared" si="4"/>
        <v>0</v>
      </c>
      <c r="J22" s="917">
        <f t="shared" si="4"/>
        <v>0</v>
      </c>
      <c r="K22" s="917">
        <f t="shared" si="4"/>
        <v>0</v>
      </c>
      <c r="L22" s="917">
        <f t="shared" si="4"/>
        <v>0</v>
      </c>
      <c r="M22" s="917">
        <f t="shared" si="4"/>
        <v>0</v>
      </c>
      <c r="N22" s="927">
        <f>SUM(B22:M22)/12</f>
        <v>9.878118043893002E-3</v>
      </c>
    </row>
    <row r="23" spans="1:14" ht="13.5" thickBot="1">
      <c r="A23" s="928" t="s">
        <v>958</v>
      </c>
      <c r="B23" s="929">
        <f t="shared" ref="B23:M23" si="5">SUM(B21:B21)</f>
        <v>3.1010917678440872</v>
      </c>
      <c r="C23" s="929">
        <f t="shared" si="5"/>
        <v>3.8288288288288288</v>
      </c>
      <c r="D23" s="929">
        <f t="shared" si="5"/>
        <v>5.2042933164967984</v>
      </c>
      <c r="E23" s="929">
        <f t="shared" si="5"/>
        <v>3.1304959549771367</v>
      </c>
      <c r="F23" s="929">
        <f t="shared" si="5"/>
        <v>3.2221712091489629</v>
      </c>
      <c r="G23" s="929">
        <f t="shared" si="5"/>
        <v>4.3123222313973759</v>
      </c>
      <c r="H23" s="929">
        <f t="shared" si="5"/>
        <v>3.4811338823980083</v>
      </c>
      <c r="I23" s="929">
        <f t="shared" si="5"/>
        <v>4.2149212187484464</v>
      </c>
      <c r="J23" s="929">
        <f t="shared" si="5"/>
        <v>5.6643008905564844</v>
      </c>
      <c r="K23" s="929">
        <f t="shared" si="5"/>
        <v>0.9902327046856011</v>
      </c>
      <c r="L23" s="929">
        <f t="shared" si="5"/>
        <v>0</v>
      </c>
      <c r="M23" s="929">
        <f t="shared" si="5"/>
        <v>0</v>
      </c>
      <c r="N23" s="930">
        <f>SUM(N21:N22)</f>
        <v>3.1056941184673708</v>
      </c>
    </row>
    <row r="24" spans="1:14">
      <c r="A24" s="922" t="s">
        <v>959</v>
      </c>
      <c r="B24" s="923"/>
      <c r="C24" s="923"/>
      <c r="D24" s="931">
        <f>SUM(B23:D23)/3</f>
        <v>4.0447379710565716</v>
      </c>
      <c r="E24" s="923"/>
      <c r="F24" s="923"/>
      <c r="G24" s="931">
        <f>SUM(E23,F23,G23)/3</f>
        <v>3.5549964651744919</v>
      </c>
      <c r="H24" s="923"/>
      <c r="I24" s="923"/>
      <c r="J24" s="931">
        <f>SUM(H23,I23,J23)/3</f>
        <v>4.4534519972343132</v>
      </c>
      <c r="K24" s="923"/>
      <c r="L24" s="923"/>
      <c r="M24" s="931">
        <f>SUM(K23,L23,M23)/3</f>
        <v>0.33007756822853368</v>
      </c>
      <c r="N24" s="932">
        <f>SUM(D24:M24)/4</f>
        <v>3.0958160004234778</v>
      </c>
    </row>
    <row r="25" spans="1:14">
      <c r="A25" s="922" t="s">
        <v>960</v>
      </c>
      <c r="B25" s="923"/>
      <c r="C25" s="923"/>
      <c r="D25" s="933"/>
      <c r="E25" s="923"/>
      <c r="F25" s="923"/>
      <c r="G25" s="933"/>
      <c r="H25" s="923"/>
      <c r="I25" s="923"/>
      <c r="J25" s="933"/>
      <c r="K25" s="923"/>
      <c r="L25" s="923"/>
      <c r="M25" s="933"/>
      <c r="N25" s="925">
        <f>SUM(D25:G25,J25,M25)/4</f>
        <v>0</v>
      </c>
    </row>
    <row r="26" spans="1:14">
      <c r="A26" s="922"/>
      <c r="B26" s="923"/>
      <c r="C26" s="923"/>
      <c r="D26" s="923"/>
      <c r="E26" s="923"/>
      <c r="F26" s="923"/>
      <c r="G26" s="923"/>
      <c r="H26" s="923"/>
      <c r="I26" s="923"/>
      <c r="J26" s="923"/>
      <c r="K26" s="923"/>
      <c r="L26" s="923"/>
      <c r="M26" s="923"/>
      <c r="N26" s="923"/>
    </row>
    <row r="27" spans="1:14">
      <c r="A27" s="910" t="s">
        <v>961</v>
      </c>
      <c r="B27" s="911">
        <f t="shared" ref="B27:M27" si="6">B14*100/B16</f>
        <v>1.8774797262779861</v>
      </c>
      <c r="C27" s="911">
        <f t="shared" si="6"/>
        <v>4.1070482246952835</v>
      </c>
      <c r="D27" s="911">
        <f t="shared" si="6"/>
        <v>0.97411382700460003</v>
      </c>
      <c r="E27" s="911">
        <f t="shared" si="6"/>
        <v>1.7850861765740416</v>
      </c>
      <c r="F27" s="911">
        <f t="shared" si="6"/>
        <v>1.919946575399641</v>
      </c>
      <c r="G27" s="911">
        <f t="shared" si="6"/>
        <v>1.1239563262684651</v>
      </c>
      <c r="H27" s="911">
        <f t="shared" si="6"/>
        <v>0</v>
      </c>
      <c r="I27" s="911">
        <f t="shared" si="6"/>
        <v>0.73562304289477609</v>
      </c>
      <c r="J27" s="911">
        <f t="shared" si="6"/>
        <v>0.12657655621355274</v>
      </c>
      <c r="K27" s="911">
        <f t="shared" si="6"/>
        <v>2.4755817617140026</v>
      </c>
      <c r="L27" s="911">
        <f t="shared" si="6"/>
        <v>0</v>
      </c>
      <c r="M27" s="911">
        <f t="shared" si="6"/>
        <v>0</v>
      </c>
      <c r="N27" s="925">
        <f>SUM(B27:M27)/12</f>
        <v>1.2604510180868622</v>
      </c>
    </row>
    <row r="28" spans="1:14">
      <c r="A28" s="910" t="s">
        <v>962</v>
      </c>
      <c r="B28" s="911">
        <f t="shared" ref="B28:M28" si="7">B12*100/B16</f>
        <v>5.9574611273749545</v>
      </c>
      <c r="C28" s="911">
        <f t="shared" si="7"/>
        <v>4.1644585762232822</v>
      </c>
      <c r="D28" s="911">
        <f t="shared" si="7"/>
        <v>6.3633083791828264</v>
      </c>
      <c r="E28" s="911">
        <f t="shared" si="7"/>
        <v>5.6190643686246924</v>
      </c>
      <c r="F28" s="911">
        <f t="shared" si="7"/>
        <v>9.1364414207604661</v>
      </c>
      <c r="G28" s="911">
        <f t="shared" si="7"/>
        <v>6.0510138544820622</v>
      </c>
      <c r="H28" s="911">
        <f t="shared" si="7"/>
        <v>1.2737023558705229</v>
      </c>
      <c r="I28" s="911">
        <f t="shared" si="7"/>
        <v>4.3988269794721404</v>
      </c>
      <c r="J28" s="911">
        <f t="shared" si="7"/>
        <v>4.0504497988336876</v>
      </c>
      <c r="K28" s="911">
        <f t="shared" si="7"/>
        <v>9.5512445424674794</v>
      </c>
      <c r="L28" s="911">
        <f t="shared" si="7"/>
        <v>0</v>
      </c>
      <c r="M28" s="911">
        <f t="shared" si="7"/>
        <v>0</v>
      </c>
      <c r="N28" s="925">
        <f>SUM(B28:M28)/12</f>
        <v>4.7138309502743434</v>
      </c>
    </row>
    <row r="29" spans="1:14" ht="13.5" thickBot="1">
      <c r="A29" s="910" t="s">
        <v>963</v>
      </c>
      <c r="B29" s="911">
        <f t="shared" ref="B29:M29" si="8">B8*100/B16</f>
        <v>5.5291969128268184</v>
      </c>
      <c r="C29" s="911">
        <f t="shared" si="8"/>
        <v>8.7263734322557855</v>
      </c>
      <c r="D29" s="911">
        <f t="shared" si="8"/>
        <v>13.935239469649138</v>
      </c>
      <c r="E29" s="911">
        <f t="shared" si="8"/>
        <v>8.5561027084066126</v>
      </c>
      <c r="F29" s="911">
        <f t="shared" si="8"/>
        <v>1.6403021828957802</v>
      </c>
      <c r="G29" s="911">
        <f t="shared" si="8"/>
        <v>16.253784750894578</v>
      </c>
      <c r="H29" s="911">
        <f t="shared" si="8"/>
        <v>31.109940624401457</v>
      </c>
      <c r="I29" s="911">
        <f t="shared" si="8"/>
        <v>29.380187882101495</v>
      </c>
      <c r="J29" s="911">
        <f t="shared" si="8"/>
        <v>14.994801320012657</v>
      </c>
      <c r="K29" s="911">
        <f t="shared" si="8"/>
        <v>9.6907773326731785</v>
      </c>
      <c r="L29" s="911">
        <f t="shared" si="8"/>
        <v>0</v>
      </c>
      <c r="M29" s="911">
        <f t="shared" si="8"/>
        <v>0</v>
      </c>
      <c r="N29" s="925">
        <f>SUM(B29:M29)/12</f>
        <v>11.651392218009791</v>
      </c>
    </row>
    <row r="30" spans="1:14" ht="13.5" thickBot="1">
      <c r="A30" s="934" t="s">
        <v>964</v>
      </c>
      <c r="B30" s="935">
        <f t="shared" ref="B30:M30" si="9">SUM(B4-B16)*100/B16</f>
        <v>7.899945243361139</v>
      </c>
      <c r="C30" s="935">
        <f t="shared" si="9"/>
        <v>21.78060413354531</v>
      </c>
      <c r="D30" s="935">
        <f t="shared" si="9"/>
        <v>24.361865247587264</v>
      </c>
      <c r="E30" s="935">
        <f t="shared" si="9"/>
        <v>21.245163559620121</v>
      </c>
      <c r="F30" s="935">
        <f t="shared" si="9"/>
        <v>15.096623398305438</v>
      </c>
      <c r="G30" s="935">
        <f t="shared" si="9"/>
        <v>26.507018992568124</v>
      </c>
      <c r="H30" s="935">
        <f t="shared" si="9"/>
        <v>32.04366979505842</v>
      </c>
      <c r="I30" s="935">
        <f t="shared" si="9"/>
        <v>37.064466424772604</v>
      </c>
      <c r="J30" s="935">
        <f t="shared" si="9"/>
        <v>24.659825505176077</v>
      </c>
      <c r="K30" s="935">
        <f t="shared" si="9"/>
        <v>24.121168474591528</v>
      </c>
      <c r="L30" s="935">
        <f t="shared" si="9"/>
        <v>0</v>
      </c>
      <c r="M30" s="935">
        <f t="shared" si="9"/>
        <v>0</v>
      </c>
      <c r="N30" s="936">
        <f>SUM(B30:M30)/12</f>
        <v>19.565029231215505</v>
      </c>
    </row>
    <row r="31" spans="1:14">
      <c r="A31" s="922"/>
      <c r="B31" s="923"/>
      <c r="C31" s="923"/>
      <c r="D31" s="923"/>
      <c r="E31" s="923"/>
      <c r="F31" s="923"/>
      <c r="G31" s="923"/>
      <c r="H31" s="923"/>
      <c r="I31" s="923"/>
      <c r="J31" s="923"/>
      <c r="K31" s="923"/>
      <c r="L31" s="923"/>
      <c r="M31" s="923"/>
      <c r="N31" s="906"/>
    </row>
    <row r="32" spans="1:14">
      <c r="A32" s="937" t="s">
        <v>965</v>
      </c>
      <c r="B32" s="923"/>
      <c r="C32" s="923"/>
      <c r="D32" s="923"/>
      <c r="E32" s="923"/>
      <c r="F32" s="923"/>
      <c r="G32" s="923"/>
      <c r="H32" s="923"/>
      <c r="I32" s="923"/>
      <c r="J32" s="923"/>
      <c r="K32" s="923"/>
      <c r="L32" s="923"/>
      <c r="M32" s="923"/>
      <c r="N32" s="906"/>
    </row>
    <row r="33" spans="1:14">
      <c r="A33" s="910" t="s">
        <v>966</v>
      </c>
      <c r="B33" s="938">
        <v>44</v>
      </c>
      <c r="C33" s="938">
        <v>43</v>
      </c>
      <c r="D33" s="938">
        <v>43</v>
      </c>
      <c r="E33" s="938">
        <v>43</v>
      </c>
      <c r="F33" s="938">
        <v>43</v>
      </c>
      <c r="G33" s="938">
        <v>43</v>
      </c>
      <c r="H33" s="938">
        <v>43</v>
      </c>
      <c r="I33" s="938">
        <v>43</v>
      </c>
      <c r="J33" s="938">
        <v>43</v>
      </c>
      <c r="K33" s="938">
        <v>43</v>
      </c>
      <c r="L33" s="938">
        <v>43</v>
      </c>
      <c r="M33" s="938">
        <v>43</v>
      </c>
      <c r="N33" s="938">
        <v>43</v>
      </c>
    </row>
    <row r="34" spans="1:14">
      <c r="A34" s="910" t="s">
        <v>967</v>
      </c>
      <c r="B34" s="938"/>
      <c r="C34" s="938"/>
      <c r="D34" s="938"/>
      <c r="E34" s="938"/>
      <c r="F34" s="938"/>
      <c r="G34" s="938"/>
      <c r="H34" s="938"/>
      <c r="I34" s="938"/>
      <c r="J34" s="938"/>
      <c r="K34" s="938"/>
      <c r="L34" s="938"/>
      <c r="M34" s="938"/>
      <c r="N34" s="938"/>
    </row>
    <row r="35" spans="1:14">
      <c r="A35" s="910" t="s">
        <v>968</v>
      </c>
      <c r="B35" s="938"/>
      <c r="C35" s="938">
        <v>1</v>
      </c>
      <c r="D35" s="938"/>
      <c r="E35" s="938"/>
      <c r="F35" s="938"/>
      <c r="G35" s="938"/>
      <c r="H35" s="938"/>
      <c r="I35" s="938"/>
      <c r="J35" s="938"/>
      <c r="K35" s="938"/>
      <c r="L35" s="938"/>
      <c r="M35" s="938"/>
      <c r="N35" s="938"/>
    </row>
    <row r="36" spans="1:14">
      <c r="A36" s="910" t="s">
        <v>965</v>
      </c>
      <c r="B36" s="938"/>
      <c r="C36" s="938"/>
      <c r="D36" s="938"/>
      <c r="E36" s="938"/>
      <c r="F36" s="938"/>
      <c r="G36" s="938"/>
      <c r="H36" s="938"/>
      <c r="I36" s="938"/>
      <c r="J36" s="938"/>
      <c r="K36" s="938"/>
      <c r="L36" s="938"/>
      <c r="M36" s="938"/>
      <c r="N36" s="938"/>
    </row>
    <row r="37" spans="1:14">
      <c r="A37" s="910" t="s">
        <v>969</v>
      </c>
      <c r="B37" s="939">
        <f t="shared" ref="B37:M37" si="10">SUM(B36*100)/B33-100</f>
        <v>-100</v>
      </c>
      <c r="C37" s="939">
        <f t="shared" si="10"/>
        <v>-100</v>
      </c>
      <c r="D37" s="939">
        <f t="shared" si="10"/>
        <v>-100</v>
      </c>
      <c r="E37" s="939">
        <f t="shared" si="10"/>
        <v>-100</v>
      </c>
      <c r="F37" s="939">
        <f t="shared" si="10"/>
        <v>-100</v>
      </c>
      <c r="G37" s="939">
        <f t="shared" si="10"/>
        <v>-100</v>
      </c>
      <c r="H37" s="939">
        <f t="shared" si="10"/>
        <v>-100</v>
      </c>
      <c r="I37" s="939">
        <f t="shared" si="10"/>
        <v>-100</v>
      </c>
      <c r="J37" s="939">
        <f t="shared" si="10"/>
        <v>-100</v>
      </c>
      <c r="K37" s="939">
        <f t="shared" si="10"/>
        <v>-100</v>
      </c>
      <c r="L37" s="939">
        <f t="shared" si="10"/>
        <v>-100</v>
      </c>
      <c r="M37" s="939">
        <f t="shared" si="10"/>
        <v>-100</v>
      </c>
      <c r="N37" s="938"/>
    </row>
    <row r="38" spans="1:14">
      <c r="A38" s="922" t="s">
        <v>970</v>
      </c>
      <c r="B38" s="940"/>
      <c r="C38" s="940"/>
      <c r="D38" s="941">
        <f>SUM(B37:D37/3)</f>
        <v>-33.333333333333336</v>
      </c>
      <c r="E38" s="940"/>
      <c r="F38" s="940"/>
      <c r="G38" s="941">
        <f>SUM(E37:G37)/3</f>
        <v>-100</v>
      </c>
      <c r="H38" s="940"/>
      <c r="I38" s="940"/>
      <c r="J38" s="941">
        <f>SUM(H37:J37)/3</f>
        <v>-100</v>
      </c>
      <c r="K38" s="940"/>
      <c r="L38" s="940"/>
      <c r="M38" s="941">
        <f>SUM(K37:M37)/3</f>
        <v>-100</v>
      </c>
      <c r="N38" s="940"/>
    </row>
    <row r="39" spans="1:14">
      <c r="A39" s="922"/>
      <c r="B39" s="923"/>
      <c r="C39" s="923"/>
      <c r="D39" s="923"/>
      <c r="E39" s="923"/>
      <c r="F39" s="923"/>
      <c r="G39" s="923"/>
      <c r="H39" s="923"/>
      <c r="I39" s="923"/>
      <c r="J39" s="923"/>
      <c r="K39" s="923"/>
      <c r="L39" s="923"/>
      <c r="M39" s="923"/>
      <c r="N39" s="906"/>
    </row>
    <row r="40" spans="1:14" ht="16.5" thickBot="1">
      <c r="E40" s="942" t="s">
        <v>971</v>
      </c>
      <c r="F40" s="943"/>
      <c r="G40" s="944">
        <v>2012</v>
      </c>
    </row>
    <row r="41" spans="1:14">
      <c r="A41" s="945" t="s">
        <v>972</v>
      </c>
      <c r="B41" s="946" t="s">
        <v>924</v>
      </c>
      <c r="C41" s="946" t="s">
        <v>925</v>
      </c>
      <c r="D41" s="946" t="s">
        <v>926</v>
      </c>
      <c r="E41" s="946" t="s">
        <v>927</v>
      </c>
      <c r="F41" s="946" t="s">
        <v>928</v>
      </c>
      <c r="G41" s="946" t="s">
        <v>929</v>
      </c>
      <c r="H41" s="946" t="s">
        <v>918</v>
      </c>
      <c r="I41" s="946" t="s">
        <v>919</v>
      </c>
      <c r="J41" s="946" t="s">
        <v>920</v>
      </c>
      <c r="K41" s="946" t="s">
        <v>921</v>
      </c>
      <c r="L41" s="946" t="s">
        <v>922</v>
      </c>
      <c r="M41" s="946" t="s">
        <v>923</v>
      </c>
      <c r="N41" s="947" t="s">
        <v>137</v>
      </c>
    </row>
    <row r="42" spans="1:14">
      <c r="A42" s="948" t="s">
        <v>973</v>
      </c>
      <c r="B42" s="949">
        <v>37</v>
      </c>
      <c r="C42" s="949">
        <v>60</v>
      </c>
      <c r="D42" s="949">
        <v>48</v>
      </c>
      <c r="E42" s="949">
        <v>37</v>
      </c>
      <c r="F42" s="949">
        <v>32</v>
      </c>
      <c r="G42" s="949">
        <v>41</v>
      </c>
      <c r="H42" s="949">
        <v>62</v>
      </c>
      <c r="I42" s="949">
        <v>39</v>
      </c>
      <c r="J42" s="949">
        <v>28</v>
      </c>
      <c r="K42" s="949">
        <v>63</v>
      </c>
      <c r="L42" s="949">
        <v>57</v>
      </c>
      <c r="M42" s="949"/>
      <c r="N42" s="950">
        <f>SUM(B42:M42)</f>
        <v>504</v>
      </c>
    </row>
    <row r="43" spans="1:14">
      <c r="A43" s="948" t="s">
        <v>974</v>
      </c>
      <c r="B43" s="949">
        <v>2467</v>
      </c>
      <c r="C43" s="949">
        <v>2557</v>
      </c>
      <c r="D43" s="949">
        <v>2482</v>
      </c>
      <c r="E43" s="949">
        <v>1372</v>
      </c>
      <c r="F43" s="949">
        <v>1607</v>
      </c>
      <c r="G43" s="949">
        <v>1873</v>
      </c>
      <c r="H43" s="949">
        <v>1784</v>
      </c>
      <c r="I43" s="949">
        <v>1740</v>
      </c>
      <c r="J43" s="949">
        <v>1950</v>
      </c>
      <c r="K43" s="949">
        <v>2671</v>
      </c>
      <c r="L43" s="949">
        <v>3452</v>
      </c>
      <c r="M43" s="949"/>
      <c r="N43" s="950">
        <f>SUM(B43:M43)</f>
        <v>23955</v>
      </c>
    </row>
    <row r="44" spans="1:14">
      <c r="A44" s="948" t="s">
        <v>975</v>
      </c>
      <c r="B44" s="949">
        <v>273</v>
      </c>
      <c r="C44" s="949">
        <v>203</v>
      </c>
      <c r="D44" s="949">
        <v>585</v>
      </c>
      <c r="E44" s="949">
        <v>434</v>
      </c>
      <c r="F44" s="949">
        <v>1388</v>
      </c>
      <c r="G44" s="949">
        <v>1422</v>
      </c>
      <c r="H44" s="949">
        <v>2089</v>
      </c>
      <c r="I44" s="949">
        <v>3086</v>
      </c>
      <c r="J44" s="949">
        <v>1155</v>
      </c>
      <c r="K44" s="949">
        <v>707</v>
      </c>
      <c r="L44" s="949">
        <v>493</v>
      </c>
      <c r="M44" s="949"/>
      <c r="N44" s="950">
        <f>SUM(B44:M44)</f>
        <v>11835</v>
      </c>
    </row>
    <row r="45" spans="1:14">
      <c r="A45" s="948" t="s">
        <v>976</v>
      </c>
      <c r="B45" s="949">
        <v>884</v>
      </c>
      <c r="C45" s="949">
        <v>1038</v>
      </c>
      <c r="D45" s="949">
        <v>964</v>
      </c>
      <c r="E45" s="949">
        <v>790</v>
      </c>
      <c r="F45" s="949">
        <v>660</v>
      </c>
      <c r="G45" s="949">
        <v>1021</v>
      </c>
      <c r="H45" s="949">
        <v>803</v>
      </c>
      <c r="I45" s="949">
        <v>941</v>
      </c>
      <c r="J45" s="949">
        <v>838</v>
      </c>
      <c r="K45" s="949">
        <v>1006</v>
      </c>
      <c r="L45" s="949">
        <v>1040</v>
      </c>
      <c r="M45" s="949"/>
      <c r="N45" s="950">
        <f>SUM(B45:M45)</f>
        <v>9985</v>
      </c>
    </row>
    <row r="46" spans="1:14" ht="13.5" thickBot="1">
      <c r="A46" s="951" t="s">
        <v>977</v>
      </c>
      <c r="B46" s="952">
        <v>1</v>
      </c>
      <c r="C46" s="952">
        <v>7</v>
      </c>
      <c r="D46" s="952"/>
      <c r="E46" s="952">
        <v>1</v>
      </c>
      <c r="F46" s="952"/>
      <c r="G46" s="952"/>
      <c r="H46" s="952">
        <v>1</v>
      </c>
      <c r="I46" s="952"/>
      <c r="J46" s="952">
        <v>1</v>
      </c>
      <c r="K46" s="952">
        <v>1</v>
      </c>
      <c r="L46" s="952">
        <v>3</v>
      </c>
      <c r="M46" s="952"/>
      <c r="N46" s="1244">
        <f>SUM(B46:M46)</f>
        <v>15</v>
      </c>
    </row>
    <row r="47" spans="1:14">
      <c r="N47" s="1245">
        <f>SUM(N42:N46)</f>
        <v>46294</v>
      </c>
    </row>
    <row r="48" spans="1:14" ht="16.5" thickBot="1">
      <c r="E48" s="942" t="s">
        <v>978</v>
      </c>
      <c r="F48" s="943"/>
      <c r="G48" s="944">
        <v>2012</v>
      </c>
    </row>
    <row r="49" spans="1:17">
      <c r="A49" s="945" t="s">
        <v>979</v>
      </c>
      <c r="B49" s="946" t="s">
        <v>924</v>
      </c>
      <c r="C49" s="946" t="s">
        <v>925</v>
      </c>
      <c r="D49" s="946" t="s">
        <v>926</v>
      </c>
      <c r="E49" s="946" t="s">
        <v>927</v>
      </c>
      <c r="F49" s="946" t="s">
        <v>928</v>
      </c>
      <c r="G49" s="946" t="s">
        <v>929</v>
      </c>
      <c r="H49" s="946" t="s">
        <v>918</v>
      </c>
      <c r="I49" s="946" t="s">
        <v>919</v>
      </c>
      <c r="J49" s="946" t="s">
        <v>920</v>
      </c>
      <c r="K49" s="946" t="s">
        <v>921</v>
      </c>
      <c r="L49" s="946" t="s">
        <v>922</v>
      </c>
      <c r="M49" s="946" t="s">
        <v>923</v>
      </c>
      <c r="N49" s="947" t="s">
        <v>137</v>
      </c>
    </row>
    <row r="50" spans="1:17">
      <c r="A50" s="1246" t="s">
        <v>980</v>
      </c>
      <c r="B50" s="954"/>
      <c r="C50" s="954"/>
      <c r="D50" s="954"/>
      <c r="E50" s="954"/>
      <c r="F50" s="954"/>
      <c r="G50" s="954"/>
      <c r="H50" s="954"/>
      <c r="I50" s="954"/>
      <c r="J50" s="954"/>
      <c r="K50" s="954"/>
      <c r="L50" s="954"/>
      <c r="M50" s="954"/>
      <c r="N50" s="955">
        <f>SUM(B50:M50)</f>
        <v>0</v>
      </c>
    </row>
    <row r="51" spans="1:17">
      <c r="A51" s="948" t="s">
        <v>981</v>
      </c>
      <c r="B51" s="956">
        <v>19</v>
      </c>
      <c r="C51" s="956">
        <v>29</v>
      </c>
      <c r="D51" s="956">
        <v>17</v>
      </c>
      <c r="E51" s="956">
        <v>22</v>
      </c>
      <c r="F51" s="956">
        <v>21</v>
      </c>
      <c r="G51" s="956">
        <v>15</v>
      </c>
      <c r="H51" s="956">
        <v>13</v>
      </c>
      <c r="I51" s="956">
        <v>24</v>
      </c>
      <c r="J51" s="956">
        <v>16</v>
      </c>
      <c r="K51" s="956">
        <v>22</v>
      </c>
      <c r="L51" s="956">
        <v>12</v>
      </c>
      <c r="M51" s="956"/>
      <c r="N51" s="955">
        <f>SUM(B51:M51)</f>
        <v>210</v>
      </c>
    </row>
    <row r="52" spans="1:17">
      <c r="A52" s="948" t="s">
        <v>982</v>
      </c>
      <c r="B52" s="956">
        <v>12</v>
      </c>
      <c r="C52" s="956">
        <v>12</v>
      </c>
      <c r="D52" s="956">
        <v>20</v>
      </c>
      <c r="E52" s="956">
        <v>25</v>
      </c>
      <c r="F52" s="956">
        <v>38</v>
      </c>
      <c r="G52" s="956">
        <v>21</v>
      </c>
      <c r="H52" s="956">
        <v>36</v>
      </c>
      <c r="I52" s="956">
        <v>35</v>
      </c>
      <c r="J52" s="956">
        <v>27</v>
      </c>
      <c r="K52" s="956">
        <v>42</v>
      </c>
      <c r="L52" s="956">
        <v>29</v>
      </c>
      <c r="M52" s="956"/>
      <c r="N52" s="955">
        <f>SUM(B52:M52)</f>
        <v>297</v>
      </c>
    </row>
    <row r="53" spans="1:17">
      <c r="A53" s="948" t="s">
        <v>983</v>
      </c>
      <c r="B53" s="957">
        <v>1</v>
      </c>
      <c r="C53" s="957"/>
      <c r="D53" s="957">
        <v>4</v>
      </c>
      <c r="E53" s="957">
        <v>3</v>
      </c>
      <c r="F53" s="957">
        <v>7</v>
      </c>
      <c r="G53" s="957">
        <v>4</v>
      </c>
      <c r="H53" s="957"/>
      <c r="I53" s="957">
        <v>4</v>
      </c>
      <c r="J53" s="957">
        <v>4</v>
      </c>
      <c r="K53" s="957">
        <v>6</v>
      </c>
      <c r="L53" s="957">
        <v>2</v>
      </c>
      <c r="M53" s="957"/>
      <c r="N53" s="955">
        <f>SUM(B53:M53)</f>
        <v>35</v>
      </c>
    </row>
    <row r="54" spans="1:17">
      <c r="A54" s="1247" t="s">
        <v>851</v>
      </c>
      <c r="B54" s="957"/>
      <c r="C54" s="957">
        <v>13</v>
      </c>
      <c r="D54" s="957">
        <v>31</v>
      </c>
      <c r="E54" s="957">
        <v>17</v>
      </c>
      <c r="F54" s="957">
        <v>7</v>
      </c>
      <c r="G54" s="957"/>
      <c r="H54" s="957"/>
      <c r="I54" s="957"/>
      <c r="J54" s="957">
        <v>8</v>
      </c>
      <c r="K54" s="957">
        <v>7</v>
      </c>
      <c r="L54" s="957">
        <v>14</v>
      </c>
      <c r="M54" s="957"/>
      <c r="N54" s="955">
        <f t="shared" ref="N54:N55" si="11">SUM(B54:M54)</f>
        <v>97</v>
      </c>
    </row>
    <row r="55" spans="1:17" ht="13.5" thickBot="1">
      <c r="A55" s="971" t="s">
        <v>984</v>
      </c>
      <c r="B55" s="958">
        <v>46</v>
      </c>
      <c r="C55" s="958">
        <v>51</v>
      </c>
      <c r="D55" s="958">
        <v>54</v>
      </c>
      <c r="E55" s="958">
        <v>48</v>
      </c>
      <c r="F55" s="958">
        <v>47</v>
      </c>
      <c r="G55" s="958">
        <v>44</v>
      </c>
      <c r="H55" s="958">
        <v>38</v>
      </c>
      <c r="I55" s="958">
        <v>67</v>
      </c>
      <c r="J55" s="958">
        <v>61</v>
      </c>
      <c r="K55" s="958">
        <v>59</v>
      </c>
      <c r="L55" s="958">
        <v>61</v>
      </c>
      <c r="M55" s="958"/>
      <c r="N55" s="955">
        <f t="shared" si="11"/>
        <v>576</v>
      </c>
    </row>
    <row r="56" spans="1:17" ht="13.5" thickBot="1">
      <c r="A56" s="971"/>
      <c r="B56" s="960"/>
      <c r="C56" s="960"/>
      <c r="D56" s="960"/>
      <c r="E56" s="960"/>
      <c r="F56" s="960"/>
      <c r="G56" s="960"/>
      <c r="H56" s="960"/>
      <c r="I56" s="960"/>
      <c r="J56" s="960"/>
      <c r="K56" s="960"/>
      <c r="L56" s="960"/>
      <c r="M56" s="960"/>
      <c r="N56" s="955">
        <f>SUM(N50:N55)</f>
        <v>1215</v>
      </c>
    </row>
    <row r="57" spans="1:17" ht="18">
      <c r="A57" s="1699" t="s">
        <v>1064</v>
      </c>
      <c r="B57" s="1700"/>
      <c r="C57" s="1700"/>
      <c r="D57" s="1700"/>
      <c r="E57" s="1700"/>
      <c r="F57" s="1700"/>
      <c r="G57" s="1700"/>
      <c r="H57" s="1700"/>
      <c r="I57" s="1700"/>
      <c r="J57" s="1700"/>
      <c r="K57" s="1700"/>
      <c r="L57" s="1700"/>
      <c r="M57" s="1700"/>
      <c r="N57" s="1700"/>
    </row>
    <row r="58" spans="1:17" ht="15.75">
      <c r="E58" s="961"/>
      <c r="M58" s="923"/>
      <c r="N58" s="906"/>
    </row>
    <row r="59" spans="1:17">
      <c r="A59" s="962" t="s">
        <v>1065</v>
      </c>
      <c r="B59" s="963"/>
      <c r="C59" s="964"/>
      <c r="D59" s="971" t="s">
        <v>1024</v>
      </c>
      <c r="I59" s="965"/>
      <c r="J59" s="966" t="s">
        <v>1066</v>
      </c>
      <c r="K59" s="963"/>
      <c r="L59" s="963"/>
      <c r="M59" s="963"/>
      <c r="N59" s="967"/>
      <c r="P59" s="923"/>
      <c r="Q59" s="906"/>
    </row>
    <row r="60" spans="1:17">
      <c r="A60" s="965">
        <v>722</v>
      </c>
      <c r="B60" s="965" t="s">
        <v>1067</v>
      </c>
      <c r="C60" s="968"/>
      <c r="D60" s="969">
        <v>9775928</v>
      </c>
      <c r="E60" s="970"/>
      <c r="F60" s="970"/>
      <c r="G60" s="970"/>
      <c r="H60" s="970"/>
      <c r="I60" s="971" t="s">
        <v>1068</v>
      </c>
      <c r="J60" s="949" t="s">
        <v>1069</v>
      </c>
      <c r="K60" s="949" t="s">
        <v>1070</v>
      </c>
      <c r="L60" s="1171" t="s">
        <v>1027</v>
      </c>
      <c r="M60" s="1248"/>
      <c r="N60" s="949" t="s">
        <v>1029</v>
      </c>
      <c r="P60" s="923"/>
      <c r="Q60" s="906"/>
    </row>
    <row r="61" spans="1:17" ht="13.5" thickBot="1">
      <c r="A61" s="965"/>
      <c r="B61" s="965"/>
      <c r="C61" s="968"/>
      <c r="D61" s="969"/>
      <c r="E61" s="970"/>
      <c r="F61" s="970"/>
      <c r="G61" s="970"/>
      <c r="H61" s="970"/>
      <c r="I61" s="1703" t="s">
        <v>1071</v>
      </c>
      <c r="J61" s="1704"/>
      <c r="K61" s="1704"/>
      <c r="L61" s="1704"/>
      <c r="M61" s="1705"/>
      <c r="N61" s="972">
        <f>F90</f>
        <v>3091624</v>
      </c>
      <c r="O61" s="970"/>
      <c r="P61" s="923"/>
      <c r="Q61" s="906"/>
    </row>
    <row r="62" spans="1:17" ht="13.5" thickBot="1">
      <c r="A62" s="973" t="s">
        <v>154</v>
      </c>
      <c r="B62" s="974"/>
      <c r="C62" s="975"/>
      <c r="D62" s="1249">
        <f>SUM(D60:D61)</f>
        <v>9775928</v>
      </c>
      <c r="E62" s="979"/>
      <c r="F62" s="979"/>
      <c r="G62" s="979"/>
      <c r="H62" s="970"/>
      <c r="I62" s="949">
        <v>11820</v>
      </c>
      <c r="J62" s="965">
        <v>147</v>
      </c>
      <c r="K62" s="982">
        <v>40664</v>
      </c>
      <c r="L62" s="965" t="s">
        <v>1072</v>
      </c>
      <c r="M62" s="1250"/>
      <c r="N62" s="976">
        <v>72061</v>
      </c>
      <c r="O62" s="977"/>
      <c r="P62" s="923"/>
      <c r="Q62" s="906"/>
    </row>
    <row r="63" spans="1:17">
      <c r="A63" s="905" t="s">
        <v>153</v>
      </c>
      <c r="B63" s="978"/>
      <c r="C63" s="978"/>
      <c r="D63" s="979">
        <f>D62/12</f>
        <v>814660.66666666663</v>
      </c>
      <c r="E63" s="980"/>
      <c r="F63" s="980"/>
      <c r="G63" s="980"/>
      <c r="H63" s="970"/>
      <c r="I63" s="949">
        <v>62300</v>
      </c>
      <c r="J63" s="965">
        <v>150</v>
      </c>
      <c r="K63" s="982">
        <v>40544</v>
      </c>
      <c r="L63" s="965" t="s">
        <v>1073</v>
      </c>
      <c r="M63" s="968"/>
      <c r="N63" s="976">
        <v>63079</v>
      </c>
      <c r="O63" s="999"/>
      <c r="P63" s="923"/>
      <c r="Q63" s="906"/>
    </row>
    <row r="64" spans="1:17">
      <c r="B64" s="978"/>
      <c r="C64" s="978"/>
      <c r="H64" s="970"/>
      <c r="I64" s="949">
        <v>62011</v>
      </c>
      <c r="J64" s="981" t="s">
        <v>1074</v>
      </c>
      <c r="K64" s="982">
        <v>38048</v>
      </c>
      <c r="L64" s="965" t="s">
        <v>1075</v>
      </c>
      <c r="M64" s="968"/>
      <c r="N64" s="976">
        <v>19971</v>
      </c>
      <c r="O64" s="999"/>
      <c r="P64" s="923"/>
      <c r="Q64" s="906"/>
    </row>
    <row r="65" spans="1:17">
      <c r="B65" s="978"/>
      <c r="C65" s="978"/>
      <c r="H65" s="970"/>
      <c r="I65" s="949" t="s">
        <v>1076</v>
      </c>
      <c r="J65" s="981" t="s">
        <v>1077</v>
      </c>
      <c r="K65" s="982">
        <v>38047</v>
      </c>
      <c r="L65" s="965" t="s">
        <v>1078</v>
      </c>
      <c r="M65" s="968"/>
      <c r="N65" s="976">
        <v>19971</v>
      </c>
      <c r="O65" s="999"/>
      <c r="P65" s="923"/>
      <c r="Q65" s="906"/>
    </row>
    <row r="66" spans="1:17">
      <c r="A66" s="965"/>
      <c r="B66" s="966" t="s">
        <v>1066</v>
      </c>
      <c r="C66" s="963"/>
      <c r="D66" s="963"/>
      <c r="E66" s="963"/>
      <c r="F66" s="967"/>
      <c r="G66" s="978"/>
      <c r="H66" s="970" t="s">
        <v>1079</v>
      </c>
      <c r="I66" s="1251"/>
      <c r="J66" s="1252"/>
      <c r="K66" s="1253"/>
      <c r="L66" s="1252"/>
      <c r="M66" s="1250"/>
      <c r="N66" s="1254"/>
      <c r="O66" s="970"/>
      <c r="P66" s="923"/>
      <c r="Q66" s="906"/>
    </row>
    <row r="67" spans="1:17">
      <c r="A67" s="971" t="s">
        <v>1068</v>
      </c>
      <c r="B67" s="949" t="s">
        <v>1069</v>
      </c>
      <c r="C67" s="949" t="s">
        <v>1070</v>
      </c>
      <c r="D67" s="1171" t="s">
        <v>1027</v>
      </c>
      <c r="E67" s="949"/>
      <c r="F67" s="949" t="s">
        <v>1029</v>
      </c>
      <c r="G67" s="1255"/>
      <c r="H67" s="1256" t="s">
        <v>1080</v>
      </c>
      <c r="I67" s="983">
        <v>31400</v>
      </c>
      <c r="J67" s="984">
        <v>758</v>
      </c>
      <c r="K67" s="985">
        <v>37500</v>
      </c>
      <c r="L67" s="984" t="s">
        <v>1081</v>
      </c>
      <c r="M67" s="986"/>
      <c r="N67" s="987">
        <v>40161</v>
      </c>
      <c r="O67" s="996"/>
      <c r="P67" s="923"/>
      <c r="Q67" s="906"/>
    </row>
    <row r="68" spans="1:17">
      <c r="A68" s="949">
        <v>31139</v>
      </c>
      <c r="B68" s="981">
        <v>111</v>
      </c>
      <c r="C68" s="982">
        <v>40634</v>
      </c>
      <c r="D68" s="965" t="s">
        <v>1082</v>
      </c>
      <c r="E68" s="1257"/>
      <c r="F68" s="1258">
        <v>58572</v>
      </c>
      <c r="G68" s="977"/>
      <c r="H68" s="1256" t="s">
        <v>1083</v>
      </c>
      <c r="I68" s="983">
        <v>51302</v>
      </c>
      <c r="J68" s="984">
        <v>114</v>
      </c>
      <c r="K68" s="985">
        <v>40544</v>
      </c>
      <c r="L68" s="984" t="s">
        <v>1084</v>
      </c>
      <c r="M68" s="986"/>
      <c r="N68" s="987">
        <v>16814</v>
      </c>
      <c r="O68" s="999"/>
      <c r="P68" s="923"/>
      <c r="Q68" s="906"/>
    </row>
    <row r="69" spans="1:17">
      <c r="A69" s="1259" t="s">
        <v>1085</v>
      </c>
      <c r="B69" s="965">
        <v>112</v>
      </c>
      <c r="C69" s="982">
        <v>37956</v>
      </c>
      <c r="D69" s="965" t="s">
        <v>1086</v>
      </c>
      <c r="E69" s="968"/>
      <c r="F69" s="976">
        <v>118520</v>
      </c>
      <c r="G69" s="970"/>
      <c r="H69" s="1256" t="s">
        <v>1087</v>
      </c>
      <c r="I69" s="983">
        <v>53204</v>
      </c>
      <c r="J69" s="984">
        <v>114</v>
      </c>
      <c r="K69" s="985">
        <v>40544</v>
      </c>
      <c r="L69" s="984" t="s">
        <v>1088</v>
      </c>
      <c r="M69" s="986"/>
      <c r="N69" s="987">
        <v>35767</v>
      </c>
      <c r="O69" s="999"/>
      <c r="P69" s="923"/>
      <c r="Q69" s="906"/>
    </row>
    <row r="70" spans="1:17">
      <c r="A70" s="1259" t="s">
        <v>1089</v>
      </c>
      <c r="B70" s="988">
        <v>113</v>
      </c>
      <c r="C70" s="989">
        <v>38012</v>
      </c>
      <c r="D70" s="988" t="s">
        <v>1090</v>
      </c>
      <c r="E70" s="990"/>
      <c r="F70" s="991">
        <v>148969</v>
      </c>
      <c r="G70" s="970"/>
      <c r="I70" s="949">
        <v>62300</v>
      </c>
      <c r="J70" s="965">
        <v>149</v>
      </c>
      <c r="K70" s="982">
        <v>40544</v>
      </c>
      <c r="L70" s="965" t="s">
        <v>1091</v>
      </c>
      <c r="M70" s="968"/>
      <c r="N70" s="991">
        <v>50092</v>
      </c>
      <c r="O70" s="970"/>
      <c r="P70" s="923"/>
      <c r="Q70" s="906"/>
    </row>
    <row r="71" spans="1:17">
      <c r="A71" s="949">
        <v>39610</v>
      </c>
      <c r="B71" s="1260">
        <v>153</v>
      </c>
      <c r="C71" s="1261" t="s">
        <v>1092</v>
      </c>
      <c r="D71" s="965"/>
      <c r="E71" s="968"/>
      <c r="F71" s="969">
        <v>80000</v>
      </c>
      <c r="G71" s="977"/>
      <c r="H71" s="970"/>
      <c r="I71" s="949">
        <v>62300</v>
      </c>
      <c r="J71" s="965">
        <v>148</v>
      </c>
      <c r="K71" s="982">
        <v>40544</v>
      </c>
      <c r="L71" s="965" t="s">
        <v>1093</v>
      </c>
      <c r="M71" s="968"/>
      <c r="N71" s="991">
        <v>57478</v>
      </c>
      <c r="O71" s="970"/>
      <c r="P71" s="923"/>
      <c r="Q71" s="906"/>
    </row>
    <row r="72" spans="1:17">
      <c r="A72" s="949">
        <v>23140</v>
      </c>
      <c r="B72" s="988">
        <v>116</v>
      </c>
      <c r="C72" s="989">
        <v>38412</v>
      </c>
      <c r="D72" s="988" t="s">
        <v>1094</v>
      </c>
      <c r="E72" s="990"/>
      <c r="F72" s="991">
        <v>61552</v>
      </c>
      <c r="G72" s="970"/>
      <c r="H72" s="970"/>
      <c r="I72" s="949">
        <v>49500</v>
      </c>
      <c r="J72" s="988">
        <v>900</v>
      </c>
      <c r="K72" s="989">
        <v>38353</v>
      </c>
      <c r="L72" s="988" t="s">
        <v>1095</v>
      </c>
      <c r="M72" s="990"/>
      <c r="N72" s="991">
        <v>4178</v>
      </c>
      <c r="O72" s="970"/>
      <c r="P72" s="923"/>
      <c r="Q72" s="906"/>
    </row>
    <row r="73" spans="1:17">
      <c r="A73" s="949">
        <v>54100</v>
      </c>
      <c r="B73" s="965">
        <v>119</v>
      </c>
      <c r="C73" s="982">
        <v>38808</v>
      </c>
      <c r="D73" s="965" t="s">
        <v>1096</v>
      </c>
      <c r="E73" s="968"/>
      <c r="F73" s="976">
        <v>1662560</v>
      </c>
      <c r="G73" s="970"/>
      <c r="H73" s="970"/>
      <c r="I73" s="949">
        <v>82500</v>
      </c>
      <c r="J73" s="965">
        <v>740</v>
      </c>
      <c r="K73" s="982">
        <v>37834</v>
      </c>
      <c r="L73" s="965" t="s">
        <v>1097</v>
      </c>
      <c r="M73" s="968"/>
      <c r="N73" s="976">
        <v>94947</v>
      </c>
      <c r="O73" s="970"/>
      <c r="P73" s="923"/>
      <c r="Q73" s="906"/>
    </row>
    <row r="74" spans="1:17">
      <c r="A74" s="949">
        <v>62005</v>
      </c>
      <c r="B74" s="965">
        <v>121</v>
      </c>
      <c r="C74" s="982">
        <v>39264</v>
      </c>
      <c r="D74" s="965" t="s">
        <v>1098</v>
      </c>
      <c r="E74" s="968"/>
      <c r="F74" s="976">
        <v>100185</v>
      </c>
      <c r="G74" s="970"/>
      <c r="H74" s="970"/>
      <c r="I74" s="949">
        <v>62006</v>
      </c>
      <c r="J74" s="981" t="s">
        <v>1099</v>
      </c>
      <c r="K74" s="982">
        <v>39173</v>
      </c>
      <c r="L74" s="965" t="s">
        <v>1100</v>
      </c>
      <c r="M74" s="968"/>
      <c r="N74" s="976">
        <v>41689</v>
      </c>
      <c r="O74" s="1262"/>
      <c r="P74" s="923"/>
      <c r="Q74" s="906"/>
    </row>
    <row r="75" spans="1:17">
      <c r="A75" s="949">
        <v>38350</v>
      </c>
      <c r="B75" s="965">
        <v>122</v>
      </c>
      <c r="C75" s="982">
        <v>39264</v>
      </c>
      <c r="D75" s="965" t="s">
        <v>1101</v>
      </c>
      <c r="E75" s="968"/>
      <c r="F75" s="976">
        <v>18880</v>
      </c>
      <c r="G75" s="970"/>
      <c r="H75" s="970"/>
      <c r="I75" s="949">
        <v>38050</v>
      </c>
      <c r="J75" s="992" t="s">
        <v>1102</v>
      </c>
      <c r="K75" s="989">
        <v>39448</v>
      </c>
      <c r="L75" s="1263" t="s">
        <v>1103</v>
      </c>
      <c r="M75" s="993"/>
      <c r="N75" s="991">
        <v>30662</v>
      </c>
      <c r="O75" s="970"/>
      <c r="P75" s="923"/>
      <c r="Q75" s="906"/>
    </row>
    <row r="76" spans="1:17">
      <c r="A76" s="949">
        <v>60111</v>
      </c>
      <c r="B76" s="992">
        <v>128</v>
      </c>
      <c r="C76" s="989">
        <v>39815</v>
      </c>
      <c r="D76" s="965" t="s">
        <v>1104</v>
      </c>
      <c r="E76" s="1257"/>
      <c r="F76" s="969">
        <v>178927</v>
      </c>
      <c r="G76" s="970"/>
      <c r="H76" s="994"/>
      <c r="I76" s="949">
        <v>28100</v>
      </c>
      <c r="J76" s="988">
        <v>728</v>
      </c>
      <c r="K76" s="989">
        <v>38846</v>
      </c>
      <c r="L76" s="965" t="s">
        <v>1105</v>
      </c>
      <c r="M76" s="990"/>
      <c r="N76" s="990">
        <v>73827</v>
      </c>
      <c r="O76" s="970"/>
      <c r="P76" s="923"/>
      <c r="Q76" s="906"/>
    </row>
    <row r="77" spans="1:17">
      <c r="A77" s="949">
        <v>37105</v>
      </c>
      <c r="B77" s="992">
        <v>129</v>
      </c>
      <c r="C77" s="989">
        <v>39904</v>
      </c>
      <c r="D77" s="965" t="s">
        <v>1106</v>
      </c>
      <c r="E77" s="1257"/>
      <c r="F77" s="969">
        <v>19252</v>
      </c>
      <c r="G77" s="970"/>
      <c r="H77" s="970"/>
      <c r="I77" s="949">
        <v>38400</v>
      </c>
      <c r="J77" s="965">
        <v>138</v>
      </c>
      <c r="K77" s="1253">
        <v>40544</v>
      </c>
      <c r="L77" s="965" t="s">
        <v>1107</v>
      </c>
      <c r="M77" s="1250"/>
      <c r="N77" s="969">
        <v>29289</v>
      </c>
      <c r="O77" s="970"/>
      <c r="P77" s="923"/>
      <c r="Q77" s="906"/>
    </row>
    <row r="78" spans="1:17">
      <c r="A78" s="949">
        <v>69725</v>
      </c>
      <c r="B78" s="992">
        <v>130</v>
      </c>
      <c r="C78" s="989">
        <v>39918</v>
      </c>
      <c r="D78" s="965" t="s">
        <v>1108</v>
      </c>
      <c r="E78" s="1257"/>
      <c r="F78" s="969">
        <v>29820</v>
      </c>
      <c r="G78" s="970"/>
      <c r="H78" s="970"/>
      <c r="I78" s="949">
        <v>37100</v>
      </c>
      <c r="J78" s="988">
        <v>139</v>
      </c>
      <c r="K78" s="1253">
        <v>40544</v>
      </c>
      <c r="L78" s="965" t="s">
        <v>1109</v>
      </c>
      <c r="M78" s="990"/>
      <c r="N78" s="991">
        <v>9763</v>
      </c>
      <c r="O78" s="970"/>
      <c r="P78" s="923"/>
      <c r="Q78" s="906"/>
    </row>
    <row r="79" spans="1:17">
      <c r="A79" s="949">
        <v>19020</v>
      </c>
      <c r="B79" s="992">
        <v>131</v>
      </c>
      <c r="C79" s="989">
        <v>40238</v>
      </c>
      <c r="D79" s="995" t="s">
        <v>1110</v>
      </c>
      <c r="F79" s="969">
        <v>210256</v>
      </c>
      <c r="G79" s="970"/>
      <c r="H79" s="970"/>
      <c r="I79" s="949"/>
      <c r="J79" s="988"/>
      <c r="K79" s="989"/>
      <c r="L79" s="988"/>
      <c r="M79" s="990"/>
      <c r="N79" s="991"/>
      <c r="O79" s="970"/>
      <c r="P79" s="923"/>
      <c r="Q79" s="906"/>
    </row>
    <row r="80" spans="1:17">
      <c r="A80" s="949">
        <v>54100</v>
      </c>
      <c r="B80" s="992">
        <v>133</v>
      </c>
      <c r="C80" s="989">
        <v>40040</v>
      </c>
      <c r="D80" s="965" t="s">
        <v>1111</v>
      </c>
      <c r="E80" s="1257"/>
      <c r="F80" s="1264"/>
      <c r="G80" s="1265" t="s">
        <v>1112</v>
      </c>
      <c r="H80" s="970"/>
      <c r="I80" s="949"/>
      <c r="J80" s="988"/>
      <c r="K80" s="989"/>
      <c r="L80" s="988"/>
      <c r="M80" s="990"/>
      <c r="N80" s="991"/>
      <c r="O80" s="970"/>
      <c r="P80" s="923"/>
      <c r="Q80" s="906"/>
    </row>
    <row r="81" spans="1:17">
      <c r="A81" s="949">
        <v>50005</v>
      </c>
      <c r="B81" s="965">
        <v>132</v>
      </c>
      <c r="C81" s="982">
        <v>40057</v>
      </c>
      <c r="D81" s="965" t="s">
        <v>1113</v>
      </c>
      <c r="E81" s="969"/>
      <c r="F81" s="976">
        <v>182255</v>
      </c>
      <c r="G81" s="970"/>
      <c r="H81" s="970"/>
      <c r="I81" s="949">
        <v>20100</v>
      </c>
      <c r="J81" s="1252" t="s">
        <v>1067</v>
      </c>
      <c r="K81" s="982">
        <v>40179</v>
      </c>
      <c r="L81" s="965" t="s">
        <v>1038</v>
      </c>
      <c r="M81" s="968"/>
      <c r="N81" s="991">
        <v>546551</v>
      </c>
      <c r="O81" s="996"/>
      <c r="P81" s="923"/>
      <c r="Q81" s="906"/>
    </row>
    <row r="82" spans="1:17">
      <c r="A82" s="1266"/>
      <c r="B82" s="988">
        <v>140</v>
      </c>
      <c r="C82" s="989">
        <v>40575</v>
      </c>
      <c r="D82" s="969" t="s">
        <v>1114</v>
      </c>
      <c r="F82" s="991"/>
      <c r="G82" s="999" t="s">
        <v>1115</v>
      </c>
      <c r="H82" s="970"/>
      <c r="I82" s="949">
        <v>80005</v>
      </c>
      <c r="J82" s="1252" t="s">
        <v>1067</v>
      </c>
      <c r="K82" s="982">
        <v>40179</v>
      </c>
      <c r="L82" s="965" t="s">
        <v>1116</v>
      </c>
      <c r="M82" s="968"/>
      <c r="N82" s="991">
        <v>505945</v>
      </c>
      <c r="O82" s="996"/>
      <c r="P82" s="923"/>
      <c r="Q82" s="906"/>
    </row>
    <row r="83" spans="1:17">
      <c r="A83" s="949">
        <v>62400</v>
      </c>
      <c r="B83" s="988">
        <v>141</v>
      </c>
      <c r="C83" s="989">
        <v>40544</v>
      </c>
      <c r="D83" s="988" t="s">
        <v>1117</v>
      </c>
      <c r="E83" s="990"/>
      <c r="F83" s="991">
        <v>18298</v>
      </c>
      <c r="G83" s="977" t="s">
        <v>1118</v>
      </c>
      <c r="H83" s="970"/>
      <c r="I83" s="949">
        <v>39630</v>
      </c>
      <c r="J83" s="1252" t="s">
        <v>1067</v>
      </c>
      <c r="K83" s="982">
        <v>40179</v>
      </c>
      <c r="L83" s="965" t="s">
        <v>1119</v>
      </c>
      <c r="M83" s="968"/>
      <c r="N83" s="991">
        <v>578646</v>
      </c>
      <c r="O83" s="996"/>
      <c r="P83" s="923"/>
      <c r="Q83" s="906"/>
    </row>
    <row r="84" spans="1:17">
      <c r="A84" s="949">
        <v>60109</v>
      </c>
      <c r="B84" s="971">
        <v>142</v>
      </c>
      <c r="C84" s="982">
        <v>40544</v>
      </c>
      <c r="D84" s="965" t="s">
        <v>1120</v>
      </c>
      <c r="E84" s="968"/>
      <c r="F84" s="976">
        <v>54291</v>
      </c>
      <c r="G84" s="977" t="s">
        <v>1121</v>
      </c>
      <c r="H84" s="970"/>
      <c r="I84" s="949">
        <v>49500</v>
      </c>
      <c r="J84" s="1252" t="s">
        <v>1067</v>
      </c>
      <c r="K84" s="982">
        <v>40179</v>
      </c>
      <c r="L84" s="965" t="s">
        <v>1122</v>
      </c>
      <c r="M84" s="968"/>
      <c r="N84" s="991">
        <v>542491</v>
      </c>
      <c r="O84" s="996"/>
      <c r="P84" s="923"/>
      <c r="Q84" s="906"/>
    </row>
    <row r="85" spans="1:17">
      <c r="A85" s="949">
        <v>67004</v>
      </c>
      <c r="B85" s="971">
        <v>143</v>
      </c>
      <c r="C85" s="982">
        <v>40544</v>
      </c>
      <c r="D85" s="965" t="s">
        <v>1123</v>
      </c>
      <c r="E85" s="968"/>
      <c r="F85" s="976">
        <v>1666</v>
      </c>
      <c r="G85" s="977" t="s">
        <v>1124</v>
      </c>
      <c r="H85" s="970"/>
      <c r="I85" s="949">
        <v>60111</v>
      </c>
      <c r="J85" s="1252" t="s">
        <v>1067</v>
      </c>
      <c r="K85" s="982">
        <v>40179</v>
      </c>
      <c r="L85" s="965" t="s">
        <v>1125</v>
      </c>
      <c r="M85" s="968"/>
      <c r="N85" s="991">
        <v>717095</v>
      </c>
      <c r="O85" s="996"/>
      <c r="P85" s="923"/>
      <c r="Q85" s="906"/>
    </row>
    <row r="86" spans="1:17">
      <c r="A86" s="1000">
        <v>62300</v>
      </c>
      <c r="B86" s="971">
        <v>144</v>
      </c>
      <c r="C86" s="1082">
        <v>40544</v>
      </c>
      <c r="D86" s="965" t="s">
        <v>1126</v>
      </c>
      <c r="E86" s="968"/>
      <c r="F86" s="976">
        <v>3734</v>
      </c>
      <c r="G86" s="977" t="s">
        <v>1127</v>
      </c>
      <c r="H86" s="1267"/>
      <c r="I86" s="949">
        <v>11023</v>
      </c>
      <c r="J86" s="1252" t="s">
        <v>1067</v>
      </c>
      <c r="K86" s="982">
        <v>40179</v>
      </c>
      <c r="L86" s="988" t="s">
        <v>1128</v>
      </c>
      <c r="M86" s="990"/>
      <c r="N86" s="991">
        <v>4118094</v>
      </c>
      <c r="O86" s="996"/>
      <c r="P86" s="923"/>
      <c r="Q86" s="906"/>
    </row>
    <row r="87" spans="1:17">
      <c r="A87" s="949">
        <v>33410</v>
      </c>
      <c r="B87" s="971">
        <v>145</v>
      </c>
      <c r="C87" s="982">
        <v>40544</v>
      </c>
      <c r="D87" s="965" t="s">
        <v>1129</v>
      </c>
      <c r="E87" s="968"/>
      <c r="F87" s="976">
        <v>16166</v>
      </c>
      <c r="G87" s="1001" t="s">
        <v>1130</v>
      </c>
      <c r="H87" s="970"/>
      <c r="I87" s="949">
        <v>11023</v>
      </c>
      <c r="J87" s="1252" t="s">
        <v>1067</v>
      </c>
      <c r="K87" s="982">
        <v>40179</v>
      </c>
      <c r="L87" s="965" t="s">
        <v>1131</v>
      </c>
      <c r="M87" s="968"/>
      <c r="N87" s="991">
        <v>1085980</v>
      </c>
      <c r="O87" s="996"/>
      <c r="P87" s="923"/>
      <c r="Q87" s="906"/>
    </row>
    <row r="88" spans="1:17" ht="13.5" thickBot="1">
      <c r="A88" s="949">
        <v>39851</v>
      </c>
      <c r="B88" s="971">
        <v>146</v>
      </c>
      <c r="C88" s="982">
        <v>40544</v>
      </c>
      <c r="D88" s="965" t="s">
        <v>1132</v>
      </c>
      <c r="E88" s="968"/>
      <c r="F88" s="976">
        <v>10778</v>
      </c>
      <c r="G88" s="1001" t="s">
        <v>1133</v>
      </c>
      <c r="H88" s="1267"/>
      <c r="I88" s="949" t="s">
        <v>1134</v>
      </c>
      <c r="J88" s="1252" t="s">
        <v>1067</v>
      </c>
      <c r="K88" s="982">
        <v>40179</v>
      </c>
      <c r="L88" s="988" t="s">
        <v>1076</v>
      </c>
      <c r="M88" s="990"/>
      <c r="N88" s="991">
        <v>1681126</v>
      </c>
      <c r="O88" s="996"/>
      <c r="P88" s="923"/>
      <c r="Q88" s="906"/>
    </row>
    <row r="89" spans="1:17" ht="13.5" thickBot="1">
      <c r="A89" s="949">
        <v>53401</v>
      </c>
      <c r="B89" s="1268">
        <v>154</v>
      </c>
      <c r="C89" s="1253">
        <v>40966</v>
      </c>
      <c r="D89" s="1263" t="s">
        <v>1135</v>
      </c>
      <c r="E89" s="1257"/>
      <c r="F89" s="1258">
        <v>116943</v>
      </c>
      <c r="G89" s="977"/>
      <c r="H89" s="1267"/>
      <c r="J89" s="973" t="s">
        <v>154</v>
      </c>
      <c r="K89" s="975"/>
      <c r="L89" s="974"/>
      <c r="M89" s="975"/>
      <c r="N89" s="1249">
        <f>SUM(N61:N88)</f>
        <v>13527301</v>
      </c>
      <c r="O89" s="999"/>
      <c r="P89" s="923"/>
      <c r="Q89" s="906"/>
    </row>
    <row r="90" spans="1:17" ht="13.5" thickBot="1">
      <c r="B90" s="973" t="s">
        <v>1136</v>
      </c>
      <c r="C90" s="975"/>
      <c r="D90" s="974"/>
      <c r="E90" s="975"/>
      <c r="F90" s="1002">
        <f>SUM(F67:F89)</f>
        <v>3091624</v>
      </c>
      <c r="G90" s="970"/>
      <c r="H90" s="1267"/>
      <c r="J90" s="1003" t="s">
        <v>153</v>
      </c>
      <c r="K90" s="1003"/>
      <c r="L90" s="1003"/>
      <c r="M90" s="1004"/>
      <c r="N90" s="1269">
        <f>N89/12</f>
        <v>1127275.0833333333</v>
      </c>
      <c r="O90" s="999"/>
      <c r="P90" s="923"/>
      <c r="Q90" s="906"/>
    </row>
    <row r="91" spans="1:17">
      <c r="C91" s="970"/>
      <c r="D91" s="970"/>
      <c r="E91" s="970"/>
      <c r="F91" s="970"/>
      <c r="G91" s="970"/>
      <c r="H91" s="970"/>
      <c r="L91" s="979"/>
      <c r="M91" s="1005"/>
      <c r="N91" s="1005"/>
      <c r="O91" s="999"/>
      <c r="P91" s="923"/>
      <c r="Q91" s="906"/>
    </row>
    <row r="92" spans="1:17">
      <c r="C92" s="970"/>
      <c r="D92" s="970"/>
      <c r="E92" s="970"/>
      <c r="F92" s="970"/>
      <c r="G92" s="970"/>
      <c r="H92" s="970"/>
      <c r="L92" s="979"/>
      <c r="M92" s="1005"/>
      <c r="N92" s="1005"/>
      <c r="O92" s="970"/>
      <c r="P92" s="923"/>
      <c r="Q92" s="906"/>
    </row>
    <row r="93" spans="1:17">
      <c r="C93" s="970"/>
      <c r="D93" s="970"/>
      <c r="E93" s="970"/>
      <c r="F93" s="970"/>
      <c r="G93" s="970"/>
      <c r="H93" s="970"/>
      <c r="L93" s="979"/>
      <c r="M93" s="1005"/>
      <c r="N93" s="1005"/>
      <c r="O93" s="1006"/>
      <c r="P93" s="923"/>
      <c r="Q93" s="906"/>
    </row>
    <row r="94" spans="1:17">
      <c r="C94" s="970"/>
      <c r="D94" s="970"/>
      <c r="E94" s="970"/>
      <c r="F94" s="970"/>
      <c r="G94" s="970"/>
      <c r="L94" s="979"/>
      <c r="M94" s="1005"/>
      <c r="N94" s="1005"/>
      <c r="O94" s="1006"/>
      <c r="P94" s="923"/>
      <c r="Q94" s="906"/>
    </row>
    <row r="95" spans="1:17">
      <c r="C95" s="970"/>
      <c r="D95" s="970"/>
      <c r="E95" s="970"/>
      <c r="F95" s="970"/>
      <c r="G95" s="970"/>
      <c r="L95" s="979"/>
      <c r="M95" s="1005"/>
      <c r="N95" s="1005"/>
      <c r="O95" s="999"/>
      <c r="P95" s="923"/>
      <c r="Q95" s="906"/>
    </row>
    <row r="96" spans="1:17">
      <c r="C96" s="970"/>
      <c r="D96" s="970"/>
      <c r="E96" s="970"/>
      <c r="F96" s="970"/>
      <c r="G96" s="970"/>
      <c r="L96" s="979"/>
      <c r="M96" s="1005"/>
      <c r="N96" s="1005"/>
      <c r="O96" s="970"/>
      <c r="P96" s="923"/>
      <c r="Q96" s="906"/>
    </row>
    <row r="97" spans="1:14">
      <c r="C97" s="970"/>
      <c r="D97" s="970"/>
      <c r="L97" s="979"/>
      <c r="M97" s="1005"/>
      <c r="N97" s="1005"/>
    </row>
    <row r="98" spans="1:14">
      <c r="A98" s="1007" t="s">
        <v>986</v>
      </c>
      <c r="B98" s="911" t="s">
        <v>924</v>
      </c>
      <c r="C98" s="911" t="s">
        <v>925</v>
      </c>
      <c r="D98" s="911" t="s">
        <v>926</v>
      </c>
      <c r="E98" s="911" t="s">
        <v>927</v>
      </c>
      <c r="F98" s="911" t="s">
        <v>928</v>
      </c>
      <c r="G98" s="911" t="s">
        <v>929</v>
      </c>
      <c r="H98" s="911" t="s">
        <v>918</v>
      </c>
      <c r="I98" s="911" t="s">
        <v>919</v>
      </c>
      <c r="J98" s="911" t="s">
        <v>920</v>
      </c>
      <c r="K98" s="911" t="s">
        <v>921</v>
      </c>
      <c r="L98" s="911" t="s">
        <v>922</v>
      </c>
      <c r="M98" s="911" t="s">
        <v>923</v>
      </c>
      <c r="N98" s="907"/>
    </row>
    <row r="99" spans="1:14">
      <c r="A99" s="910" t="s">
        <v>987</v>
      </c>
      <c r="B99" s="1008"/>
      <c r="C99" s="1008"/>
      <c r="D99" s="1008"/>
      <c r="E99" s="1008"/>
      <c r="F99" s="1008"/>
      <c r="G99" s="1008"/>
      <c r="H99" s="1008"/>
      <c r="I99" s="1008"/>
      <c r="J99" s="1008"/>
      <c r="K99" s="1008"/>
      <c r="L99" s="1008"/>
      <c r="M99" s="1008"/>
      <c r="N99" s="1009">
        <f>SUM(B99:M99)</f>
        <v>0</v>
      </c>
    </row>
    <row r="100" spans="1:14" ht="13.5" thickBot="1">
      <c r="A100" s="926" t="s">
        <v>988</v>
      </c>
      <c r="B100" s="1010">
        <f>N90</f>
        <v>1127275.0833333333</v>
      </c>
      <c r="C100" s="1010">
        <f>N90</f>
        <v>1127275.0833333333</v>
      </c>
      <c r="D100" s="1010">
        <f>N90</f>
        <v>1127275.0833333333</v>
      </c>
      <c r="E100" s="1010">
        <f>N90</f>
        <v>1127275.0833333333</v>
      </c>
      <c r="F100" s="1010">
        <f>N90</f>
        <v>1127275.0833333333</v>
      </c>
      <c r="G100" s="1010">
        <f>N90</f>
        <v>1127275.0833333333</v>
      </c>
      <c r="H100" s="1010">
        <f>N90</f>
        <v>1127275.0833333333</v>
      </c>
      <c r="I100" s="1010">
        <f>N90</f>
        <v>1127275.0833333333</v>
      </c>
      <c r="J100" s="1010">
        <f>N90</f>
        <v>1127275.0833333333</v>
      </c>
      <c r="K100" s="1010">
        <f>N90</f>
        <v>1127275.0833333333</v>
      </c>
      <c r="L100" s="1010">
        <f>N90</f>
        <v>1127275.0833333333</v>
      </c>
      <c r="M100" s="1010">
        <f>N90</f>
        <v>1127275.0833333333</v>
      </c>
      <c r="N100" s="1011">
        <f>SUM(B100:M100)</f>
        <v>13527301.000000002</v>
      </c>
    </row>
    <row r="101" spans="1:14" ht="13.5" thickBot="1">
      <c r="A101" s="1012" t="s">
        <v>989</v>
      </c>
      <c r="B101" s="1013">
        <f t="shared" ref="B101:M101" si="12">SUM(B99:B100)</f>
        <v>1127275.0833333333</v>
      </c>
      <c r="C101" s="1013">
        <f t="shared" si="12"/>
        <v>1127275.0833333333</v>
      </c>
      <c r="D101" s="1013">
        <f t="shared" si="12"/>
        <v>1127275.0833333333</v>
      </c>
      <c r="E101" s="1013">
        <f t="shared" si="12"/>
        <v>1127275.0833333333</v>
      </c>
      <c r="F101" s="1013">
        <f t="shared" si="12"/>
        <v>1127275.0833333333</v>
      </c>
      <c r="G101" s="1013">
        <f t="shared" si="12"/>
        <v>1127275.0833333333</v>
      </c>
      <c r="H101" s="1013">
        <f t="shared" si="12"/>
        <v>1127275.0833333333</v>
      </c>
      <c r="I101" s="1013">
        <f t="shared" si="12"/>
        <v>1127275.0833333333</v>
      </c>
      <c r="J101" s="1013">
        <f t="shared" si="12"/>
        <v>1127275.0833333333</v>
      </c>
      <c r="K101" s="1013">
        <f t="shared" si="12"/>
        <v>1127275.0833333333</v>
      </c>
      <c r="L101" s="1013">
        <f t="shared" si="12"/>
        <v>1127275.0833333333</v>
      </c>
      <c r="M101" s="1013">
        <f t="shared" si="12"/>
        <v>1127275.0833333333</v>
      </c>
      <c r="N101" s="1013">
        <f t="shared" ref="N101:N119" si="13">SUM(B101:M101)</f>
        <v>13527301.000000002</v>
      </c>
    </row>
    <row r="102" spans="1:14">
      <c r="A102" s="1015" t="s">
        <v>990</v>
      </c>
      <c r="B102" s="1016">
        <v>1630</v>
      </c>
      <c r="C102" s="1016">
        <v>5075</v>
      </c>
      <c r="D102" s="1016">
        <v>5950</v>
      </c>
      <c r="E102" s="1016">
        <v>6999</v>
      </c>
      <c r="F102" s="1016">
        <v>2537</v>
      </c>
      <c r="G102" s="1017">
        <v>6300</v>
      </c>
      <c r="H102" s="1017">
        <v>500</v>
      </c>
      <c r="I102" s="1017">
        <v>6475</v>
      </c>
      <c r="J102" s="1017">
        <v>1925</v>
      </c>
      <c r="K102" s="1017">
        <v>10150</v>
      </c>
      <c r="L102" s="1017">
        <v>3062</v>
      </c>
      <c r="M102" s="1017">
        <v>3587</v>
      </c>
      <c r="N102" s="1011">
        <f t="shared" si="13"/>
        <v>54190</v>
      </c>
    </row>
    <row r="103" spans="1:14">
      <c r="A103" s="907" t="s">
        <v>991</v>
      </c>
      <c r="B103" s="1009">
        <v>115125</v>
      </c>
      <c r="C103" s="1009">
        <v>129312</v>
      </c>
      <c r="D103" s="1009">
        <v>135500</v>
      </c>
      <c r="E103" s="1009">
        <v>225875</v>
      </c>
      <c r="F103" s="1009">
        <v>115625</v>
      </c>
      <c r="G103" s="1009">
        <v>167188</v>
      </c>
      <c r="H103" s="1009">
        <v>241981</v>
      </c>
      <c r="I103" s="1009">
        <v>210475</v>
      </c>
      <c r="J103" s="1009">
        <v>202352</v>
      </c>
      <c r="K103" s="1009">
        <v>176780</v>
      </c>
      <c r="L103" s="1009">
        <v>95000</v>
      </c>
      <c r="M103" s="1009">
        <v>57000</v>
      </c>
      <c r="N103" s="1011">
        <f t="shared" si="13"/>
        <v>1872213</v>
      </c>
    </row>
    <row r="104" spans="1:14">
      <c r="A104" s="907" t="s">
        <v>992</v>
      </c>
      <c r="B104" s="1009">
        <v>25874</v>
      </c>
      <c r="C104" s="1009">
        <v>25874</v>
      </c>
      <c r="D104" s="1009">
        <v>25874</v>
      </c>
      <c r="E104" s="1009">
        <v>25874</v>
      </c>
      <c r="F104" s="1009">
        <v>36625</v>
      </c>
      <c r="G104" s="1009">
        <v>30443</v>
      </c>
      <c r="H104" s="1009">
        <v>38083</v>
      </c>
      <c r="I104" s="1009">
        <v>39758</v>
      </c>
      <c r="J104" s="1009">
        <v>100213</v>
      </c>
      <c r="K104" s="1009">
        <v>40677</v>
      </c>
      <c r="L104" s="1009">
        <v>87118</v>
      </c>
      <c r="M104" s="1009">
        <v>18553</v>
      </c>
      <c r="N104" s="1011">
        <f t="shared" si="13"/>
        <v>494966</v>
      </c>
    </row>
    <row r="105" spans="1:14">
      <c r="A105" s="907" t="s">
        <v>993</v>
      </c>
      <c r="B105" s="1009">
        <v>272462.5</v>
      </c>
      <c r="C105" s="1008">
        <v>79308.5</v>
      </c>
      <c r="D105" s="1008">
        <v>84467</v>
      </c>
      <c r="E105" s="1019">
        <v>86850</v>
      </c>
      <c r="F105" s="1019">
        <v>111212.5</v>
      </c>
      <c r="G105" s="1019">
        <v>29975</v>
      </c>
      <c r="H105" s="1019">
        <v>575</v>
      </c>
      <c r="I105" s="1019">
        <v>67512.5</v>
      </c>
      <c r="J105" s="1019">
        <v>48062.5</v>
      </c>
      <c r="K105" s="1019">
        <v>170187.5</v>
      </c>
      <c r="L105" s="1019">
        <v>94875</v>
      </c>
      <c r="M105" s="1019">
        <v>30000</v>
      </c>
      <c r="N105" s="1011">
        <f t="shared" si="13"/>
        <v>1075488</v>
      </c>
    </row>
    <row r="106" spans="1:14">
      <c r="A106" s="907" t="s">
        <v>994</v>
      </c>
      <c r="B106" s="1009">
        <v>500</v>
      </c>
      <c r="C106" s="1008">
        <v>225</v>
      </c>
      <c r="D106" s="1008">
        <v>1825</v>
      </c>
      <c r="E106" s="1008">
        <v>200</v>
      </c>
      <c r="F106" s="1008">
        <v>510</v>
      </c>
      <c r="G106" s="1008">
        <v>200</v>
      </c>
      <c r="H106" s="1008">
        <v>200</v>
      </c>
      <c r="I106" s="1008">
        <v>4040</v>
      </c>
      <c r="J106" s="1008">
        <v>300</v>
      </c>
      <c r="K106" s="1008">
        <v>2330</v>
      </c>
      <c r="L106" s="1008">
        <v>3910</v>
      </c>
      <c r="M106" s="1008">
        <v>200</v>
      </c>
      <c r="N106" s="1011">
        <f t="shared" si="13"/>
        <v>14440</v>
      </c>
    </row>
    <row r="107" spans="1:14">
      <c r="A107" s="907" t="s">
        <v>1137</v>
      </c>
      <c r="B107" s="1009">
        <v>11</v>
      </c>
      <c r="C107" s="1008">
        <v>21</v>
      </c>
      <c r="D107" s="1008">
        <v>22</v>
      </c>
      <c r="E107" s="1008">
        <v>24</v>
      </c>
      <c r="F107" s="1008">
        <v>27</v>
      </c>
      <c r="G107" s="1008">
        <v>23</v>
      </c>
      <c r="H107" s="1008">
        <v>1</v>
      </c>
      <c r="I107" s="1008">
        <v>45</v>
      </c>
      <c r="J107" s="1008">
        <v>54</v>
      </c>
      <c r="K107" s="1008">
        <v>44</v>
      </c>
      <c r="L107" s="1008">
        <v>43</v>
      </c>
      <c r="M107" s="1008"/>
      <c r="N107" s="1011">
        <f t="shared" si="13"/>
        <v>315</v>
      </c>
    </row>
    <row r="108" spans="1:14">
      <c r="A108" s="907" t="s">
        <v>996</v>
      </c>
      <c r="B108" s="1009">
        <v>26870</v>
      </c>
      <c r="C108" s="1008">
        <v>47597</v>
      </c>
      <c r="D108" s="1008">
        <v>55200</v>
      </c>
      <c r="E108" s="1008">
        <v>49480</v>
      </c>
      <c r="F108" s="1008">
        <v>59710</v>
      </c>
      <c r="G108" s="1008">
        <v>56820</v>
      </c>
      <c r="H108" s="1008">
        <v>1500</v>
      </c>
      <c r="I108" s="1008">
        <v>36975</v>
      </c>
      <c r="J108" s="1008">
        <v>121390</v>
      </c>
      <c r="K108" s="1008">
        <v>97830</v>
      </c>
      <c r="L108" s="1008">
        <v>70630</v>
      </c>
      <c r="M108" s="1008">
        <v>20000</v>
      </c>
      <c r="N108" s="1011">
        <f t="shared" si="13"/>
        <v>644002</v>
      </c>
    </row>
    <row r="109" spans="1:14">
      <c r="A109" s="907" t="s">
        <v>997</v>
      </c>
      <c r="B109" s="1009">
        <v>9</v>
      </c>
      <c r="C109" s="1008">
        <v>20</v>
      </c>
      <c r="D109" s="1008">
        <v>10</v>
      </c>
      <c r="E109" s="1008">
        <v>9</v>
      </c>
      <c r="F109" s="1008">
        <v>8</v>
      </c>
      <c r="G109" s="1008">
        <v>10</v>
      </c>
      <c r="H109" s="1008">
        <v>12</v>
      </c>
      <c r="I109" s="1008">
        <v>9</v>
      </c>
      <c r="J109" s="1008">
        <v>8</v>
      </c>
      <c r="K109" s="1008">
        <v>10</v>
      </c>
      <c r="L109" s="1008"/>
      <c r="M109" s="1008"/>
      <c r="N109" s="1011">
        <f t="shared" si="13"/>
        <v>105</v>
      </c>
    </row>
    <row r="110" spans="1:14">
      <c r="A110" s="907" t="s">
        <v>998</v>
      </c>
      <c r="B110" s="1009"/>
      <c r="C110" s="1008">
        <v>3150</v>
      </c>
      <c r="D110" s="1008">
        <v>8100</v>
      </c>
      <c r="E110" s="1008">
        <v>3150</v>
      </c>
      <c r="F110" s="1008">
        <v>2250</v>
      </c>
      <c r="G110" s="1008"/>
      <c r="H110" s="1008"/>
      <c r="I110" s="1008"/>
      <c r="J110" s="1008">
        <v>1800</v>
      </c>
      <c r="K110" s="1008">
        <v>900</v>
      </c>
      <c r="L110" s="1008">
        <v>2500</v>
      </c>
      <c r="M110" s="1008">
        <v>450</v>
      </c>
      <c r="N110" s="1011">
        <f t="shared" si="13"/>
        <v>22300</v>
      </c>
    </row>
    <row r="111" spans="1:14">
      <c r="A111" s="907" t="s">
        <v>894</v>
      </c>
      <c r="B111" s="1009">
        <v>14600</v>
      </c>
      <c r="C111" s="1009">
        <v>14600</v>
      </c>
      <c r="D111" s="1009">
        <v>14600</v>
      </c>
      <c r="E111" s="1009">
        <v>14600</v>
      </c>
      <c r="F111" s="1009">
        <v>14190</v>
      </c>
      <c r="G111" s="1009">
        <v>24690</v>
      </c>
      <c r="H111" s="1009">
        <v>38775</v>
      </c>
      <c r="I111" s="1009">
        <v>38180</v>
      </c>
      <c r="J111" s="1009">
        <v>20650</v>
      </c>
      <c r="K111" s="1009">
        <v>20725</v>
      </c>
      <c r="L111" s="1009">
        <v>15175</v>
      </c>
      <c r="M111" s="1009">
        <v>12000</v>
      </c>
      <c r="N111" s="1011">
        <f t="shared" si="13"/>
        <v>242785</v>
      </c>
    </row>
    <row r="112" spans="1:14" ht="13.5" thickBot="1">
      <c r="A112" s="907" t="s">
        <v>1000</v>
      </c>
      <c r="B112" s="1009"/>
      <c r="C112" s="1008"/>
      <c r="D112" s="1008"/>
      <c r="E112" s="1008"/>
      <c r="F112" s="1008"/>
      <c r="G112" s="1008"/>
      <c r="H112" s="1008"/>
      <c r="I112" s="1008"/>
      <c r="J112" s="1008"/>
      <c r="K112" s="1008"/>
      <c r="L112" s="1008"/>
      <c r="M112" s="1008"/>
      <c r="N112" s="1011">
        <f t="shared" si="13"/>
        <v>0</v>
      </c>
    </row>
    <row r="113" spans="1:14" ht="13.5" thickBot="1">
      <c r="A113" s="1020" t="s">
        <v>1001</v>
      </c>
      <c r="B113" s="1013">
        <f t="shared" ref="B113:M113" si="14">SUM(B102:B112)</f>
        <v>457081.5</v>
      </c>
      <c r="C113" s="1013">
        <f t="shared" si="14"/>
        <v>305182.5</v>
      </c>
      <c r="D113" s="1013">
        <f t="shared" si="14"/>
        <v>331548</v>
      </c>
      <c r="E113" s="1013">
        <f t="shared" si="14"/>
        <v>413061</v>
      </c>
      <c r="F113" s="1013">
        <f t="shared" si="14"/>
        <v>342694.5</v>
      </c>
      <c r="G113" s="1013">
        <f t="shared" si="14"/>
        <v>315649</v>
      </c>
      <c r="H113" s="1013">
        <f t="shared" si="14"/>
        <v>321627</v>
      </c>
      <c r="I113" s="1013">
        <f t="shared" si="14"/>
        <v>403469.5</v>
      </c>
      <c r="J113" s="1013">
        <f t="shared" si="14"/>
        <v>496754.5</v>
      </c>
      <c r="K113" s="1013">
        <f t="shared" si="14"/>
        <v>519633.5</v>
      </c>
      <c r="L113" s="1013">
        <f t="shared" si="14"/>
        <v>372313</v>
      </c>
      <c r="M113" s="1013">
        <f t="shared" si="14"/>
        <v>141790</v>
      </c>
      <c r="N113" s="1013">
        <f t="shared" si="13"/>
        <v>4420804</v>
      </c>
    </row>
    <row r="114" spans="1:14" ht="13.5" thickBot="1">
      <c r="A114" s="1015" t="s">
        <v>1002</v>
      </c>
      <c r="B114" s="1022"/>
      <c r="C114" s="1023"/>
      <c r="D114" s="1023"/>
      <c r="E114" s="1023"/>
      <c r="F114" s="1023"/>
      <c r="G114" s="1023"/>
      <c r="H114" s="1023"/>
      <c r="I114" s="1023"/>
      <c r="J114" s="1023"/>
      <c r="K114" s="1023">
        <v>202930</v>
      </c>
      <c r="L114" s="1023"/>
      <c r="M114" s="1023"/>
      <c r="N114" s="1011">
        <f t="shared" si="13"/>
        <v>202930</v>
      </c>
    </row>
    <row r="115" spans="1:14" ht="13.5" thickBot="1">
      <c r="A115" s="1024" t="s">
        <v>1003</v>
      </c>
      <c r="B115" s="1013">
        <f t="shared" ref="B115:M115" si="15">SUM(B101,B113,B114)</f>
        <v>1584356.5833333333</v>
      </c>
      <c r="C115" s="1013">
        <f t="shared" si="15"/>
        <v>1432457.5833333333</v>
      </c>
      <c r="D115" s="1013">
        <f t="shared" si="15"/>
        <v>1458823.0833333333</v>
      </c>
      <c r="E115" s="1013">
        <f t="shared" si="15"/>
        <v>1540336.0833333333</v>
      </c>
      <c r="F115" s="1013">
        <f t="shared" si="15"/>
        <v>1469969.5833333333</v>
      </c>
      <c r="G115" s="1013">
        <f t="shared" si="15"/>
        <v>1442924.0833333333</v>
      </c>
      <c r="H115" s="1013">
        <f t="shared" si="15"/>
        <v>1448902.0833333333</v>
      </c>
      <c r="I115" s="1013">
        <f t="shared" si="15"/>
        <v>1530744.5833333333</v>
      </c>
      <c r="J115" s="1013">
        <f t="shared" si="15"/>
        <v>1624029.5833333333</v>
      </c>
      <c r="K115" s="1013">
        <f t="shared" si="15"/>
        <v>1849838.5833333333</v>
      </c>
      <c r="L115" s="1013">
        <f t="shared" si="15"/>
        <v>1499588.0833333333</v>
      </c>
      <c r="M115" s="1013">
        <f t="shared" si="15"/>
        <v>1269065.0833333333</v>
      </c>
      <c r="N115" s="1013">
        <f t="shared" si="13"/>
        <v>18151035</v>
      </c>
    </row>
    <row r="116" spans="1:14">
      <c r="A116" s="1026" t="s">
        <v>1004</v>
      </c>
      <c r="B116" s="1010">
        <v>1332759</v>
      </c>
      <c r="C116" s="1010">
        <v>1476393</v>
      </c>
      <c r="D116" s="1010">
        <v>1301103</v>
      </c>
      <c r="E116" s="1010">
        <v>1348898</v>
      </c>
      <c r="F116" s="1010">
        <v>1481380</v>
      </c>
      <c r="G116" s="1010">
        <v>1380971</v>
      </c>
      <c r="H116" s="1010">
        <v>1329126</v>
      </c>
      <c r="I116" s="1010">
        <v>1495000</v>
      </c>
      <c r="J116" s="1010">
        <v>1337740</v>
      </c>
      <c r="K116" s="1010">
        <v>1383818</v>
      </c>
      <c r="L116" s="1010">
        <v>1450000</v>
      </c>
      <c r="M116" s="1010">
        <v>1450000</v>
      </c>
      <c r="N116" s="1011">
        <f t="shared" si="13"/>
        <v>16767188</v>
      </c>
    </row>
    <row r="117" spans="1:14">
      <c r="A117" s="1028" t="s">
        <v>1005</v>
      </c>
      <c r="B117" s="1010"/>
      <c r="C117" s="1010"/>
      <c r="D117" s="1010"/>
      <c r="E117" s="1010"/>
      <c r="F117" s="1010">
        <v>150000</v>
      </c>
      <c r="G117" s="1010"/>
      <c r="H117" s="1010"/>
      <c r="I117" s="1010"/>
      <c r="J117" s="1010"/>
      <c r="K117" s="1010"/>
      <c r="L117" s="1010"/>
      <c r="M117" s="1010"/>
      <c r="N117" s="1011">
        <f t="shared" si="13"/>
        <v>150000</v>
      </c>
    </row>
    <row r="118" spans="1:14">
      <c r="A118" s="1028" t="s">
        <v>1006</v>
      </c>
      <c r="B118" s="1010"/>
      <c r="C118" s="1010"/>
      <c r="D118" s="1010"/>
      <c r="E118" s="1010"/>
      <c r="F118" s="1010"/>
      <c r="G118" s="1010"/>
      <c r="H118" s="1010"/>
      <c r="I118" s="1010">
        <v>500000</v>
      </c>
      <c r="J118" s="1010"/>
      <c r="K118" s="1010"/>
      <c r="L118" s="1010"/>
      <c r="M118" s="1010"/>
      <c r="N118" s="1011">
        <f t="shared" si="13"/>
        <v>500000</v>
      </c>
    </row>
    <row r="119" spans="1:14" ht="13.5" thickBot="1">
      <c r="A119" s="1028" t="s">
        <v>1008</v>
      </c>
      <c r="B119" s="1010"/>
      <c r="C119" s="1010"/>
      <c r="D119" s="1010"/>
      <c r="E119" s="1010"/>
      <c r="F119" s="1010"/>
      <c r="G119" s="1010"/>
      <c r="H119" s="1010"/>
      <c r="I119" s="1010"/>
      <c r="J119" s="1010">
        <v>99925</v>
      </c>
      <c r="K119" s="1010">
        <v>15000</v>
      </c>
      <c r="L119" s="1010">
        <v>15000</v>
      </c>
      <c r="M119" s="1010">
        <v>15000</v>
      </c>
      <c r="N119" s="1011">
        <f t="shared" si="13"/>
        <v>144925</v>
      </c>
    </row>
    <row r="120" spans="1:14" ht="13.5" thickBot="1">
      <c r="A120" s="1029" t="s">
        <v>1009</v>
      </c>
      <c r="B120" s="1030">
        <f>B115-SUM(B116:B119)</f>
        <v>251597.58333333326</v>
      </c>
      <c r="C120" s="1030">
        <f t="shared" ref="C120:N120" si="16">C115-SUM(C116:C119)</f>
        <v>-43935.416666666744</v>
      </c>
      <c r="D120" s="1030">
        <f t="shared" si="16"/>
        <v>157720.08333333326</v>
      </c>
      <c r="E120" s="1030">
        <f t="shared" si="16"/>
        <v>191438.08333333326</v>
      </c>
      <c r="F120" s="1030">
        <f t="shared" si="16"/>
        <v>-161410.41666666674</v>
      </c>
      <c r="G120" s="1030">
        <f t="shared" si="16"/>
        <v>61953.083333333256</v>
      </c>
      <c r="H120" s="1030">
        <f t="shared" si="16"/>
        <v>119776.08333333326</v>
      </c>
      <c r="I120" s="1030">
        <f t="shared" si="16"/>
        <v>-464255.41666666674</v>
      </c>
      <c r="J120" s="1030">
        <f t="shared" si="16"/>
        <v>186364.58333333326</v>
      </c>
      <c r="K120" s="1030">
        <f t="shared" si="16"/>
        <v>451020.58333333326</v>
      </c>
      <c r="L120" s="1030">
        <f t="shared" si="16"/>
        <v>34588.083333333256</v>
      </c>
      <c r="M120" s="1030">
        <f t="shared" si="16"/>
        <v>-195934.91666666674</v>
      </c>
      <c r="N120" s="1030">
        <f t="shared" si="16"/>
        <v>588922</v>
      </c>
    </row>
    <row r="121" spans="1:14" ht="13.5" thickBot="1">
      <c r="A121" s="1031"/>
      <c r="B121" s="1032"/>
      <c r="C121" s="1032"/>
      <c r="D121" s="1032"/>
      <c r="E121" s="1032"/>
      <c r="F121" s="1032"/>
      <c r="G121" s="1032"/>
      <c r="H121" s="1032"/>
      <c r="I121" s="1032"/>
      <c r="J121" s="1032"/>
      <c r="K121" s="1032"/>
      <c r="L121" s="1032"/>
      <c r="M121" s="1032"/>
      <c r="N121" s="1032"/>
    </row>
    <row r="122" spans="1:14" ht="20.25">
      <c r="A122" s="1701" t="s">
        <v>1138</v>
      </c>
      <c r="B122" s="1701"/>
      <c r="C122" s="1701"/>
      <c r="D122" s="1701"/>
      <c r="E122" s="1701"/>
      <c r="F122" s="1701"/>
      <c r="G122" s="1701"/>
      <c r="H122" s="1701"/>
      <c r="I122" s="1701"/>
      <c r="J122" s="1701"/>
      <c r="K122" s="1701"/>
      <c r="L122" s="1701"/>
      <c r="M122" s="1701"/>
      <c r="N122" s="1701"/>
    </row>
    <row r="123" spans="1:14">
      <c r="A123" s="906"/>
      <c r="B123" s="906"/>
      <c r="C123" s="906"/>
      <c r="D123" s="906"/>
      <c r="E123" s="906"/>
      <c r="F123" s="906"/>
      <c r="G123" s="906"/>
      <c r="H123" s="906"/>
      <c r="I123" s="906"/>
      <c r="J123" s="906"/>
      <c r="K123" s="906"/>
      <c r="L123" s="906"/>
      <c r="M123" s="906"/>
    </row>
    <row r="124" spans="1:14">
      <c r="A124" s="907"/>
      <c r="B124" s="908" t="s">
        <v>924</v>
      </c>
      <c r="C124" s="908" t="s">
        <v>925</v>
      </c>
      <c r="D124" s="909" t="s">
        <v>926</v>
      </c>
      <c r="E124" s="908" t="s">
        <v>927</v>
      </c>
      <c r="F124" s="908" t="s">
        <v>928</v>
      </c>
      <c r="G124" s="909" t="s">
        <v>929</v>
      </c>
      <c r="H124" s="908" t="s">
        <v>918</v>
      </c>
      <c r="I124" s="908" t="s">
        <v>919</v>
      </c>
      <c r="J124" s="908" t="s">
        <v>920</v>
      </c>
      <c r="K124" s="908" t="s">
        <v>921</v>
      </c>
      <c r="L124" s="908" t="s">
        <v>922</v>
      </c>
      <c r="M124" s="908" t="s">
        <v>923</v>
      </c>
      <c r="N124" s="907" t="s">
        <v>137</v>
      </c>
    </row>
    <row r="125" spans="1:14">
      <c r="A125" s="910" t="s">
        <v>183</v>
      </c>
      <c r="B125" s="911">
        <v>2565</v>
      </c>
      <c r="C125" s="911">
        <v>2565</v>
      </c>
      <c r="D125" s="911">
        <v>2565</v>
      </c>
      <c r="E125" s="911">
        <v>2565</v>
      </c>
      <c r="F125" s="911">
        <v>2565</v>
      </c>
      <c r="G125" s="911">
        <v>2565</v>
      </c>
      <c r="H125" s="911">
        <v>2565</v>
      </c>
      <c r="I125" s="911">
        <v>2565</v>
      </c>
      <c r="J125" s="911">
        <v>2565</v>
      </c>
      <c r="K125" s="911">
        <v>2565</v>
      </c>
      <c r="L125" s="911">
        <v>2565</v>
      </c>
      <c r="M125" s="911">
        <v>2565</v>
      </c>
      <c r="N125" s="911">
        <f t="shared" ref="N125:N136" si="17">SUM(B125:M125)</f>
        <v>30780</v>
      </c>
    </row>
    <row r="126" spans="1:14">
      <c r="A126" s="910" t="s">
        <v>942</v>
      </c>
      <c r="B126" s="911"/>
      <c r="C126" s="911"/>
      <c r="D126" s="911"/>
      <c r="E126" s="911"/>
      <c r="F126" s="911"/>
      <c r="G126" s="912"/>
      <c r="H126" s="911"/>
      <c r="I126" s="911"/>
      <c r="J126" s="913"/>
      <c r="K126" s="911"/>
      <c r="L126" s="911"/>
      <c r="M126" s="911"/>
      <c r="N126" s="911">
        <f t="shared" si="17"/>
        <v>0</v>
      </c>
    </row>
    <row r="127" spans="1:14">
      <c r="A127" s="910" t="s">
        <v>1011</v>
      </c>
      <c r="B127" s="911"/>
      <c r="C127" s="911"/>
      <c r="D127" s="911"/>
      <c r="E127" s="911"/>
      <c r="F127" s="911"/>
      <c r="G127" s="912"/>
      <c r="H127" s="911"/>
      <c r="I127" s="911"/>
      <c r="J127" s="911"/>
      <c r="K127" s="911"/>
      <c r="L127" s="911"/>
      <c r="M127" s="907"/>
      <c r="N127" s="911">
        <f t="shared" si="17"/>
        <v>0</v>
      </c>
    </row>
    <row r="128" spans="1:14">
      <c r="A128" s="910" t="s">
        <v>945</v>
      </c>
      <c r="B128" s="911">
        <v>50.75</v>
      </c>
      <c r="C128" s="911">
        <v>121</v>
      </c>
      <c r="D128" s="911">
        <v>235.75</v>
      </c>
      <c r="E128" s="911">
        <v>340.75</v>
      </c>
      <c r="F128" s="911">
        <v>51.5</v>
      </c>
      <c r="G128" s="912">
        <v>56.75</v>
      </c>
      <c r="H128" s="911">
        <v>1314</v>
      </c>
      <c r="I128" s="911">
        <v>388</v>
      </c>
      <c r="J128" s="911">
        <v>169.5</v>
      </c>
      <c r="K128" s="911">
        <v>210</v>
      </c>
      <c r="L128" s="911"/>
      <c r="M128" s="911"/>
      <c r="N128" s="911">
        <f t="shared" si="17"/>
        <v>2938</v>
      </c>
    </row>
    <row r="129" spans="1:14">
      <c r="A129" s="910" t="s">
        <v>946</v>
      </c>
      <c r="B129" s="911">
        <v>37</v>
      </c>
      <c r="C129" s="911">
        <v>37</v>
      </c>
      <c r="D129" s="911">
        <v>21.5</v>
      </c>
      <c r="E129" s="911">
        <v>68</v>
      </c>
      <c r="F129" s="911">
        <v>23.25</v>
      </c>
      <c r="G129" s="912">
        <v>37</v>
      </c>
      <c r="H129" s="911"/>
      <c r="I129" s="911"/>
      <c r="J129" s="911"/>
      <c r="K129" s="911"/>
      <c r="L129" s="911"/>
      <c r="M129" s="911"/>
      <c r="N129" s="911">
        <f t="shared" si="17"/>
        <v>223.75</v>
      </c>
    </row>
    <row r="130" spans="1:14">
      <c r="A130" s="910" t="s">
        <v>947</v>
      </c>
      <c r="B130" s="911">
        <v>46.5</v>
      </c>
      <c r="C130" s="911">
        <v>161</v>
      </c>
      <c r="D130" s="911">
        <v>42.5</v>
      </c>
      <c r="E130" s="911">
        <v>15.5</v>
      </c>
      <c r="F130" s="911">
        <v>23.25</v>
      </c>
      <c r="G130" s="912">
        <v>111</v>
      </c>
      <c r="H130" s="911">
        <v>7.75</v>
      </c>
      <c r="I130" s="911">
        <v>52.5</v>
      </c>
      <c r="J130" s="911">
        <v>21.5</v>
      </c>
      <c r="K130" s="911">
        <v>38.75</v>
      </c>
      <c r="L130" s="911"/>
      <c r="M130" s="911"/>
      <c r="N130" s="911">
        <f t="shared" si="17"/>
        <v>520.25</v>
      </c>
    </row>
    <row r="131" spans="1:14">
      <c r="A131" s="910" t="s">
        <v>948</v>
      </c>
      <c r="B131" s="911"/>
      <c r="C131" s="911"/>
      <c r="D131" s="911"/>
      <c r="E131" s="911"/>
      <c r="F131" s="911"/>
      <c r="G131" s="912"/>
      <c r="H131" s="911"/>
      <c r="I131" s="911"/>
      <c r="J131" s="911"/>
      <c r="K131" s="911"/>
      <c r="L131" s="911"/>
      <c r="M131" s="911"/>
      <c r="N131" s="911">
        <f t="shared" si="17"/>
        <v>0</v>
      </c>
    </row>
    <row r="132" spans="1:14">
      <c r="A132" s="910" t="s">
        <v>949</v>
      </c>
      <c r="B132" s="911">
        <v>34.25</v>
      </c>
      <c r="C132" s="911">
        <v>58.5</v>
      </c>
      <c r="D132" s="911">
        <v>23</v>
      </c>
      <c r="E132" s="911">
        <v>39.75</v>
      </c>
      <c r="F132" s="911">
        <v>80.75</v>
      </c>
      <c r="G132" s="912">
        <v>136.75</v>
      </c>
      <c r="H132" s="911">
        <v>268.5</v>
      </c>
      <c r="I132" s="911">
        <v>118</v>
      </c>
      <c r="J132" s="911">
        <v>77.75</v>
      </c>
      <c r="K132" s="911">
        <v>202.25</v>
      </c>
      <c r="L132" s="911"/>
      <c r="M132" s="911"/>
      <c r="N132" s="911">
        <f t="shared" si="17"/>
        <v>1039.5</v>
      </c>
    </row>
    <row r="133" spans="1:14">
      <c r="A133" s="910" t="s">
        <v>950</v>
      </c>
      <c r="B133" s="911"/>
      <c r="C133" s="911"/>
      <c r="D133" s="911"/>
      <c r="E133" s="911"/>
      <c r="F133" s="911"/>
      <c r="G133" s="912"/>
      <c r="H133" s="911"/>
      <c r="I133" s="911"/>
      <c r="J133" s="911"/>
      <c r="K133" s="911"/>
      <c r="L133" s="911"/>
      <c r="M133" s="911"/>
      <c r="N133" s="911">
        <f t="shared" si="17"/>
        <v>0</v>
      </c>
    </row>
    <row r="134" spans="1:14">
      <c r="A134" s="910" t="s">
        <v>951</v>
      </c>
      <c r="B134" s="911">
        <v>18</v>
      </c>
      <c r="C134" s="911">
        <v>114.25</v>
      </c>
      <c r="D134" s="911"/>
      <c r="E134" s="911"/>
      <c r="F134" s="911">
        <v>147.25</v>
      </c>
      <c r="G134" s="912">
        <v>15.5</v>
      </c>
      <c r="H134" s="911"/>
      <c r="I134" s="911"/>
      <c r="J134" s="911"/>
      <c r="K134" s="911"/>
      <c r="L134" s="911"/>
      <c r="M134" s="911"/>
      <c r="N134" s="911">
        <f t="shared" si="17"/>
        <v>295</v>
      </c>
    </row>
    <row r="135" spans="1:14" ht="13.5" thickBot="1">
      <c r="A135" s="914" t="s">
        <v>952</v>
      </c>
      <c r="B135" s="915"/>
      <c r="C135" s="915"/>
      <c r="D135" s="915"/>
      <c r="E135" s="915"/>
      <c r="F135" s="915"/>
      <c r="G135" s="916"/>
      <c r="H135" s="915"/>
      <c r="I135" s="915"/>
      <c r="J135" s="915"/>
      <c r="K135" s="915"/>
      <c r="L135" s="915"/>
      <c r="M135" s="915"/>
      <c r="N135" s="917">
        <f t="shared" si="17"/>
        <v>0</v>
      </c>
    </row>
    <row r="136" spans="1:14" ht="13.5" thickBot="1">
      <c r="A136" s="918" t="s">
        <v>953</v>
      </c>
      <c r="B136" s="919">
        <f t="shared" ref="B136:M136" si="18">SUM(B125+B126+B127-B128-B129-B130-B132-B133-B134-B135)</f>
        <v>2378.5</v>
      </c>
      <c r="C136" s="919">
        <f t="shared" si="18"/>
        <v>2073.25</v>
      </c>
      <c r="D136" s="919">
        <f t="shared" si="18"/>
        <v>2242.25</v>
      </c>
      <c r="E136" s="919">
        <f t="shared" si="18"/>
        <v>2101</v>
      </c>
      <c r="F136" s="919">
        <f t="shared" si="18"/>
        <v>2239</v>
      </c>
      <c r="G136" s="1033">
        <f t="shared" si="18"/>
        <v>2208</v>
      </c>
      <c r="H136" s="919">
        <f t="shared" si="18"/>
        <v>974.75</v>
      </c>
      <c r="I136" s="919">
        <f t="shared" si="18"/>
        <v>2006.5</v>
      </c>
      <c r="J136" s="919">
        <f t="shared" si="18"/>
        <v>2296.25</v>
      </c>
      <c r="K136" s="919">
        <f t="shared" si="18"/>
        <v>2114</v>
      </c>
      <c r="L136" s="919">
        <f t="shared" si="18"/>
        <v>2565</v>
      </c>
      <c r="M136" s="920">
        <f t="shared" si="18"/>
        <v>2565</v>
      </c>
      <c r="N136" s="921">
        <f t="shared" si="17"/>
        <v>25763.5</v>
      </c>
    </row>
    <row r="137" spans="1:14">
      <c r="A137" s="922"/>
      <c r="B137" s="923"/>
      <c r="C137" s="923"/>
      <c r="D137" s="923"/>
      <c r="E137" s="923"/>
      <c r="F137" s="923"/>
      <c r="G137" s="923"/>
      <c r="H137" s="923"/>
      <c r="I137" s="923"/>
      <c r="J137" s="923"/>
      <c r="K137" s="923"/>
      <c r="L137" s="923"/>
      <c r="M137" s="923"/>
      <c r="N137" s="923"/>
    </row>
    <row r="138" spans="1:14">
      <c r="A138" s="922"/>
      <c r="B138" s="923"/>
      <c r="C138" s="923"/>
      <c r="D138" s="923"/>
      <c r="E138" s="923"/>
      <c r="F138" s="923"/>
      <c r="G138" s="923"/>
      <c r="H138" s="923"/>
      <c r="I138" s="923"/>
      <c r="J138" s="923"/>
      <c r="K138" s="923"/>
      <c r="L138" s="923"/>
      <c r="M138" s="923"/>
      <c r="N138" s="924" t="s">
        <v>954</v>
      </c>
    </row>
    <row r="139" spans="1:14">
      <c r="A139" s="910" t="s">
        <v>955</v>
      </c>
      <c r="B139" s="911">
        <f t="shared" ref="B139:M139" si="19">SUM(B126*100/B136)</f>
        <v>0</v>
      </c>
      <c r="C139" s="911">
        <f t="shared" si="19"/>
        <v>0</v>
      </c>
      <c r="D139" s="911">
        <f t="shared" si="19"/>
        <v>0</v>
      </c>
      <c r="E139" s="911">
        <f t="shared" si="19"/>
        <v>0</v>
      </c>
      <c r="F139" s="911">
        <f t="shared" si="19"/>
        <v>0</v>
      </c>
      <c r="G139" s="911">
        <f t="shared" si="19"/>
        <v>0</v>
      </c>
      <c r="H139" s="911">
        <f t="shared" si="19"/>
        <v>0</v>
      </c>
      <c r="I139" s="911">
        <f t="shared" si="19"/>
        <v>0</v>
      </c>
      <c r="J139" s="911">
        <f t="shared" si="19"/>
        <v>0</v>
      </c>
      <c r="K139" s="911">
        <f t="shared" si="19"/>
        <v>0</v>
      </c>
      <c r="L139" s="911">
        <f t="shared" si="19"/>
        <v>0</v>
      </c>
      <c r="M139" s="911">
        <f t="shared" si="19"/>
        <v>0</v>
      </c>
      <c r="N139" s="925">
        <f>SUM(B139:M139)/12</f>
        <v>0</v>
      </c>
    </row>
    <row r="140" spans="1:14">
      <c r="A140" s="922"/>
      <c r="B140" s="923"/>
      <c r="C140" s="923"/>
      <c r="D140" s="923"/>
      <c r="E140" s="923"/>
      <c r="F140" s="923"/>
      <c r="G140" s="923"/>
      <c r="H140" s="923"/>
      <c r="I140" s="923"/>
      <c r="J140" s="923"/>
      <c r="K140" s="923"/>
      <c r="L140" s="923"/>
      <c r="M140" s="923"/>
      <c r="N140" s="906"/>
    </row>
    <row r="141" spans="1:14">
      <c r="A141" s="910" t="s">
        <v>956</v>
      </c>
      <c r="B141" s="911">
        <f t="shared" ref="B141:M141" si="20">SUM(B130*100/B136)</f>
        <v>1.9550136640739961</v>
      </c>
      <c r="C141" s="911">
        <f t="shared" si="20"/>
        <v>7.7655854334981314</v>
      </c>
      <c r="D141" s="911">
        <f t="shared" si="20"/>
        <v>1.8954175493366039</v>
      </c>
      <c r="E141" s="911">
        <f t="shared" si="20"/>
        <v>0.73774393146120898</v>
      </c>
      <c r="F141" s="911">
        <f t="shared" si="20"/>
        <v>1.0384100044662796</v>
      </c>
      <c r="G141" s="911">
        <f t="shared" si="20"/>
        <v>5.0271739130434785</v>
      </c>
      <c r="H141" s="911">
        <f t="shared" si="20"/>
        <v>0.79507566042575017</v>
      </c>
      <c r="I141" s="911">
        <f t="shared" si="20"/>
        <v>2.6164963867430848</v>
      </c>
      <c r="J141" s="911">
        <f t="shared" si="20"/>
        <v>0.93630919978225369</v>
      </c>
      <c r="K141" s="911">
        <f t="shared" si="20"/>
        <v>1.8330179754020814</v>
      </c>
      <c r="L141" s="911">
        <f t="shared" si="20"/>
        <v>0</v>
      </c>
      <c r="M141" s="911">
        <f t="shared" si="20"/>
        <v>0</v>
      </c>
      <c r="N141" s="925">
        <f>SUM(B141:M141)/12</f>
        <v>2.050020309852739</v>
      </c>
    </row>
    <row r="142" spans="1:14" ht="13.5" thickBot="1">
      <c r="A142" s="926" t="s">
        <v>957</v>
      </c>
      <c r="B142" s="917">
        <f t="shared" ref="B142:M142" si="21">SUM(B131*100/B136)</f>
        <v>0</v>
      </c>
      <c r="C142" s="917">
        <f t="shared" si="21"/>
        <v>0</v>
      </c>
      <c r="D142" s="917">
        <f t="shared" si="21"/>
        <v>0</v>
      </c>
      <c r="E142" s="917">
        <f t="shared" si="21"/>
        <v>0</v>
      </c>
      <c r="F142" s="917">
        <f t="shared" si="21"/>
        <v>0</v>
      </c>
      <c r="G142" s="917">
        <f t="shared" si="21"/>
        <v>0</v>
      </c>
      <c r="H142" s="917">
        <f t="shared" si="21"/>
        <v>0</v>
      </c>
      <c r="I142" s="917">
        <f t="shared" si="21"/>
        <v>0</v>
      </c>
      <c r="J142" s="917">
        <f t="shared" si="21"/>
        <v>0</v>
      </c>
      <c r="K142" s="917">
        <f t="shared" si="21"/>
        <v>0</v>
      </c>
      <c r="L142" s="917">
        <f t="shared" si="21"/>
        <v>0</v>
      </c>
      <c r="M142" s="917">
        <f t="shared" si="21"/>
        <v>0</v>
      </c>
      <c r="N142" s="927">
        <f>SUM(B142:M142)/12</f>
        <v>0</v>
      </c>
    </row>
    <row r="143" spans="1:14" ht="13.5" thickBot="1">
      <c r="A143" s="928" t="s">
        <v>958</v>
      </c>
      <c r="B143" s="929">
        <f t="shared" ref="B143:M143" si="22">SUM(B141:B141)</f>
        <v>1.9550136640739961</v>
      </c>
      <c r="C143" s="929">
        <f t="shared" si="22"/>
        <v>7.7655854334981314</v>
      </c>
      <c r="D143" s="929">
        <f t="shared" si="22"/>
        <v>1.8954175493366039</v>
      </c>
      <c r="E143" s="929">
        <f t="shared" si="22"/>
        <v>0.73774393146120898</v>
      </c>
      <c r="F143" s="929">
        <f t="shared" si="22"/>
        <v>1.0384100044662796</v>
      </c>
      <c r="G143" s="929">
        <f t="shared" si="22"/>
        <v>5.0271739130434785</v>
      </c>
      <c r="H143" s="929">
        <f t="shared" si="22"/>
        <v>0.79507566042575017</v>
      </c>
      <c r="I143" s="929">
        <f t="shared" si="22"/>
        <v>2.6164963867430848</v>
      </c>
      <c r="J143" s="929">
        <f t="shared" si="22"/>
        <v>0.93630919978225369</v>
      </c>
      <c r="K143" s="929">
        <f t="shared" si="22"/>
        <v>1.8330179754020814</v>
      </c>
      <c r="L143" s="929">
        <f t="shared" si="22"/>
        <v>0</v>
      </c>
      <c r="M143" s="929">
        <f t="shared" si="22"/>
        <v>0</v>
      </c>
      <c r="N143" s="930">
        <f>SUM(N141:N142)</f>
        <v>2.050020309852739</v>
      </c>
    </row>
    <row r="144" spans="1:14">
      <c r="A144" s="922" t="s">
        <v>959</v>
      </c>
      <c r="B144" s="923"/>
      <c r="C144" s="923"/>
      <c r="D144" s="931">
        <f>SUM(B143:D143)/3</f>
        <v>3.8720055489695775</v>
      </c>
      <c r="E144" s="923"/>
      <c r="F144" s="923"/>
      <c r="G144" s="931">
        <f>SUM(E143,F143,G143)/3</f>
        <v>2.2677759496569894</v>
      </c>
      <c r="H144" s="923"/>
      <c r="I144" s="923"/>
      <c r="J144" s="931">
        <f>SUM(H143,I143,J143)/3</f>
        <v>1.4492937489836963</v>
      </c>
      <c r="K144" s="923"/>
      <c r="L144" s="923"/>
      <c r="M144" s="931">
        <f>SUM(K143,L143,M143)/3</f>
        <v>0.61100599180069382</v>
      </c>
      <c r="N144" s="932">
        <f>SUM(D144:M144)/4</f>
        <v>2.0500203098527394</v>
      </c>
    </row>
    <row r="145" spans="1:14">
      <c r="A145" s="922" t="s">
        <v>960</v>
      </c>
      <c r="B145" s="923"/>
      <c r="C145" s="923"/>
      <c r="D145" s="933"/>
      <c r="E145" s="923"/>
      <c r="F145" s="923"/>
      <c r="G145" s="933"/>
      <c r="H145" s="923"/>
      <c r="I145" s="923"/>
      <c r="J145" s="933"/>
      <c r="K145" s="923"/>
      <c r="L145" s="923"/>
      <c r="M145" s="933"/>
      <c r="N145" s="925">
        <f>SUM(D145:G145,J145,M145)/4</f>
        <v>0</v>
      </c>
    </row>
    <row r="146" spans="1:14">
      <c r="A146" s="922"/>
      <c r="B146" s="923"/>
      <c r="C146" s="923"/>
      <c r="D146" s="923"/>
      <c r="E146" s="923"/>
      <c r="F146" s="923"/>
      <c r="G146" s="923"/>
      <c r="H146" s="923"/>
      <c r="I146" s="923"/>
      <c r="J146" s="923"/>
      <c r="K146" s="923"/>
      <c r="L146" s="923"/>
      <c r="M146" s="923"/>
      <c r="N146" s="923"/>
    </row>
    <row r="147" spans="1:14">
      <c r="A147" s="910" t="s">
        <v>961</v>
      </c>
      <c r="B147" s="911">
        <f t="shared" ref="B147:M147" si="23">B134*100/B136</f>
        <v>0.75677948286735341</v>
      </c>
      <c r="C147" s="911">
        <f t="shared" si="23"/>
        <v>5.5106716507898224</v>
      </c>
      <c r="D147" s="911">
        <f t="shared" si="23"/>
        <v>0</v>
      </c>
      <c r="E147" s="911">
        <f t="shared" si="23"/>
        <v>0</v>
      </c>
      <c r="F147" s="911">
        <f t="shared" si="23"/>
        <v>6.5765966949531043</v>
      </c>
      <c r="G147" s="911">
        <f t="shared" si="23"/>
        <v>0.70199275362318836</v>
      </c>
      <c r="H147" s="911">
        <f t="shared" si="23"/>
        <v>0</v>
      </c>
      <c r="I147" s="911">
        <f t="shared" si="23"/>
        <v>0</v>
      </c>
      <c r="J147" s="911">
        <f t="shared" si="23"/>
        <v>0</v>
      </c>
      <c r="K147" s="911">
        <f t="shared" si="23"/>
        <v>0</v>
      </c>
      <c r="L147" s="911">
        <f t="shared" si="23"/>
        <v>0</v>
      </c>
      <c r="M147" s="911">
        <f t="shared" si="23"/>
        <v>0</v>
      </c>
      <c r="N147" s="925">
        <f>SUM(B147:M147)/12</f>
        <v>1.1288367151861223</v>
      </c>
    </row>
    <row r="148" spans="1:14">
      <c r="A148" s="910" t="s">
        <v>962</v>
      </c>
      <c r="B148" s="911">
        <f t="shared" ref="B148:M148" si="24">B132*100/B136</f>
        <v>1.4399831826781586</v>
      </c>
      <c r="C148" s="911">
        <f t="shared" si="24"/>
        <v>2.8216568190039792</v>
      </c>
      <c r="D148" s="911">
        <f t="shared" si="24"/>
        <v>1.0257553796409855</v>
      </c>
      <c r="E148" s="911">
        <f t="shared" si="24"/>
        <v>1.8919562113279391</v>
      </c>
      <c r="F148" s="911">
        <f t="shared" si="24"/>
        <v>3.6065207682000895</v>
      </c>
      <c r="G148" s="911">
        <f t="shared" si="24"/>
        <v>6.19338768115942</v>
      </c>
      <c r="H148" s="911">
        <f t="shared" si="24"/>
        <v>27.545524493459862</v>
      </c>
      <c r="I148" s="911">
        <f t="shared" si="24"/>
        <v>5.8808871168701717</v>
      </c>
      <c r="J148" s="911">
        <f t="shared" si="24"/>
        <v>3.3859553620032661</v>
      </c>
      <c r="K148" s="911">
        <f t="shared" si="24"/>
        <v>9.5671712393566697</v>
      </c>
      <c r="L148" s="911">
        <f t="shared" si="24"/>
        <v>0</v>
      </c>
      <c r="M148" s="911">
        <f t="shared" si="24"/>
        <v>0</v>
      </c>
      <c r="N148" s="925">
        <f>SUM(B148:M148)/12</f>
        <v>5.2798998544750448</v>
      </c>
    </row>
    <row r="149" spans="1:14" ht="13.5" thickBot="1">
      <c r="A149" s="910" t="s">
        <v>963</v>
      </c>
      <c r="B149" s="911">
        <f t="shared" ref="B149:M149" si="25">B128*100/B136</f>
        <v>2.1336977086398989</v>
      </c>
      <c r="C149" s="911">
        <f t="shared" si="25"/>
        <v>5.836247437597974</v>
      </c>
      <c r="D149" s="911">
        <f t="shared" si="25"/>
        <v>10.513992641320103</v>
      </c>
      <c r="E149" s="911">
        <f t="shared" si="25"/>
        <v>16.218467396477866</v>
      </c>
      <c r="F149" s="911">
        <f t="shared" si="25"/>
        <v>2.3001339883876732</v>
      </c>
      <c r="G149" s="911">
        <f t="shared" si="25"/>
        <v>2.5701992753623188</v>
      </c>
      <c r="H149" s="911">
        <f t="shared" si="25"/>
        <v>134.80379584508847</v>
      </c>
      <c r="I149" s="911">
        <f t="shared" si="25"/>
        <v>19.337154248691753</v>
      </c>
      <c r="J149" s="911">
        <f t="shared" si="25"/>
        <v>7.3816004354926514</v>
      </c>
      <c r="K149" s="911">
        <f t="shared" si="25"/>
        <v>9.9337748344370862</v>
      </c>
      <c r="L149" s="911">
        <f t="shared" si="25"/>
        <v>0</v>
      </c>
      <c r="M149" s="911">
        <f t="shared" si="25"/>
        <v>0</v>
      </c>
      <c r="N149" s="925">
        <f>SUM(B149:M149)/12</f>
        <v>17.585755317624649</v>
      </c>
    </row>
    <row r="150" spans="1:14" ht="13.5" thickBot="1">
      <c r="A150" s="934" t="s">
        <v>964</v>
      </c>
      <c r="B150" s="935">
        <f t="shared" ref="B150:M150" si="26">SUM(B125-B136)*100/B136</f>
        <v>7.8410763085978559</v>
      </c>
      <c r="C150" s="935">
        <f t="shared" si="26"/>
        <v>23.718798987097554</v>
      </c>
      <c r="D150" s="935">
        <f t="shared" si="26"/>
        <v>14.394023859962092</v>
      </c>
      <c r="E150" s="935">
        <f t="shared" si="26"/>
        <v>22.084721561161352</v>
      </c>
      <c r="F150" s="935">
        <f t="shared" si="26"/>
        <v>14.560071460473425</v>
      </c>
      <c r="G150" s="935">
        <f t="shared" si="26"/>
        <v>16.168478260869566</v>
      </c>
      <c r="H150" s="935">
        <f t="shared" si="26"/>
        <v>163.14439599897409</v>
      </c>
      <c r="I150" s="935">
        <f t="shared" si="26"/>
        <v>27.83453775230501</v>
      </c>
      <c r="J150" s="935">
        <f t="shared" si="26"/>
        <v>11.703864997278171</v>
      </c>
      <c r="K150" s="935">
        <f t="shared" si="26"/>
        <v>21.333964049195838</v>
      </c>
      <c r="L150" s="935">
        <f t="shared" si="26"/>
        <v>0</v>
      </c>
      <c r="M150" s="935">
        <f t="shared" si="26"/>
        <v>0</v>
      </c>
      <c r="N150" s="936">
        <f>SUM(B150:M150)/12</f>
        <v>26.898661102992918</v>
      </c>
    </row>
    <row r="151" spans="1:14">
      <c r="A151" s="922"/>
      <c r="B151" s="923"/>
      <c r="C151" s="923"/>
      <c r="D151" s="923"/>
      <c r="E151" s="923"/>
      <c r="F151" s="923"/>
      <c r="G151" s="923"/>
      <c r="H151" s="923"/>
      <c r="I151" s="923"/>
      <c r="J151" s="923"/>
      <c r="K151" s="923"/>
      <c r="L151" s="923"/>
      <c r="M151" s="923"/>
      <c r="N151" s="906"/>
    </row>
    <row r="152" spans="1:14">
      <c r="A152" s="937" t="s">
        <v>965</v>
      </c>
      <c r="B152" s="923"/>
      <c r="C152" s="923"/>
      <c r="D152" s="923"/>
      <c r="E152" s="923"/>
      <c r="F152" s="923"/>
      <c r="G152" s="923"/>
      <c r="H152" s="923"/>
      <c r="I152" s="923"/>
      <c r="J152" s="923"/>
      <c r="K152" s="923"/>
      <c r="L152" s="923"/>
      <c r="M152" s="923"/>
      <c r="N152" s="906"/>
    </row>
    <row r="153" spans="1:14">
      <c r="A153" s="910" t="s">
        <v>966</v>
      </c>
      <c r="B153" s="938">
        <v>16</v>
      </c>
      <c r="C153" s="938">
        <v>16</v>
      </c>
      <c r="D153" s="938">
        <v>16</v>
      </c>
      <c r="E153" s="938">
        <v>16</v>
      </c>
      <c r="F153" s="938">
        <v>16</v>
      </c>
      <c r="G153" s="938">
        <v>16</v>
      </c>
      <c r="H153" s="938">
        <v>16</v>
      </c>
      <c r="I153" s="938">
        <f t="shared" ref="I153:N153" si="27">H156</f>
        <v>16</v>
      </c>
      <c r="J153" s="938">
        <f t="shared" si="27"/>
        <v>16</v>
      </c>
      <c r="K153" s="938">
        <f t="shared" si="27"/>
        <v>16</v>
      </c>
      <c r="L153" s="938">
        <f t="shared" si="27"/>
        <v>16</v>
      </c>
      <c r="M153" s="938">
        <f t="shared" si="27"/>
        <v>16</v>
      </c>
      <c r="N153" s="938">
        <f t="shared" si="27"/>
        <v>16</v>
      </c>
    </row>
    <row r="154" spans="1:14">
      <c r="A154" s="910" t="s">
        <v>967</v>
      </c>
      <c r="B154" s="938"/>
      <c r="C154" s="938"/>
      <c r="D154" s="938"/>
      <c r="E154" s="938"/>
      <c r="F154" s="938"/>
      <c r="G154" s="938"/>
      <c r="H154" s="938"/>
      <c r="I154" s="938"/>
      <c r="J154" s="938"/>
      <c r="K154" s="938"/>
      <c r="L154" s="938"/>
      <c r="M154" s="938"/>
      <c r="N154" s="938">
        <f>SUM(B154:M154)/12</f>
        <v>0</v>
      </c>
    </row>
    <row r="155" spans="1:14">
      <c r="A155" s="910" t="s">
        <v>968</v>
      </c>
      <c r="B155" s="938"/>
      <c r="C155" s="938"/>
      <c r="D155" s="938"/>
      <c r="E155" s="938"/>
      <c r="F155" s="938"/>
      <c r="G155" s="938"/>
      <c r="H155" s="938"/>
      <c r="I155" s="938"/>
      <c r="J155" s="938"/>
      <c r="K155" s="938"/>
      <c r="L155" s="938"/>
      <c r="M155" s="938"/>
      <c r="N155" s="938">
        <f>SUM(B154:M154)/12</f>
        <v>0</v>
      </c>
    </row>
    <row r="156" spans="1:14">
      <c r="A156" s="910" t="s">
        <v>965</v>
      </c>
      <c r="B156" s="938">
        <f t="shared" ref="B156:M156" si="28">SUM(B153+B154-B155)</f>
        <v>16</v>
      </c>
      <c r="C156" s="938">
        <f t="shared" si="28"/>
        <v>16</v>
      </c>
      <c r="D156" s="938">
        <f t="shared" si="28"/>
        <v>16</v>
      </c>
      <c r="E156" s="938">
        <f t="shared" si="28"/>
        <v>16</v>
      </c>
      <c r="F156" s="938">
        <f t="shared" si="28"/>
        <v>16</v>
      </c>
      <c r="G156" s="938">
        <f t="shared" si="28"/>
        <v>16</v>
      </c>
      <c r="H156" s="938">
        <f t="shared" si="28"/>
        <v>16</v>
      </c>
      <c r="I156" s="938">
        <f t="shared" si="28"/>
        <v>16</v>
      </c>
      <c r="J156" s="938">
        <f t="shared" si="28"/>
        <v>16</v>
      </c>
      <c r="K156" s="938">
        <f t="shared" si="28"/>
        <v>16</v>
      </c>
      <c r="L156" s="938">
        <f t="shared" si="28"/>
        <v>16</v>
      </c>
      <c r="M156" s="938">
        <f t="shared" si="28"/>
        <v>16</v>
      </c>
      <c r="N156" s="938">
        <f>SUM(B155:M155)/12</f>
        <v>0</v>
      </c>
    </row>
    <row r="157" spans="1:14">
      <c r="A157" s="910" t="s">
        <v>969</v>
      </c>
      <c r="B157" s="939">
        <f t="shared" ref="B157:M157" si="29">SUM(B156*100)/B153-100</f>
        <v>0</v>
      </c>
      <c r="C157" s="939">
        <f t="shared" si="29"/>
        <v>0</v>
      </c>
      <c r="D157" s="939">
        <f t="shared" si="29"/>
        <v>0</v>
      </c>
      <c r="E157" s="939">
        <f t="shared" si="29"/>
        <v>0</v>
      </c>
      <c r="F157" s="939">
        <f t="shared" si="29"/>
        <v>0</v>
      </c>
      <c r="G157" s="939">
        <f t="shared" si="29"/>
        <v>0</v>
      </c>
      <c r="H157" s="939">
        <f t="shared" si="29"/>
        <v>0</v>
      </c>
      <c r="I157" s="939">
        <f t="shared" si="29"/>
        <v>0</v>
      </c>
      <c r="J157" s="939">
        <f t="shared" si="29"/>
        <v>0</v>
      </c>
      <c r="K157" s="939">
        <f t="shared" si="29"/>
        <v>0</v>
      </c>
      <c r="L157" s="939">
        <f t="shared" si="29"/>
        <v>0</v>
      </c>
      <c r="M157" s="939">
        <f t="shared" si="29"/>
        <v>0</v>
      </c>
      <c r="N157" s="938"/>
    </row>
    <row r="158" spans="1:14">
      <c r="A158" s="922" t="s">
        <v>970</v>
      </c>
      <c r="B158" s="940"/>
      <c r="C158" s="940"/>
      <c r="D158" s="941">
        <f>SUM(B157:D157/3)</f>
        <v>0</v>
      </c>
      <c r="E158" s="940"/>
      <c r="F158" s="940"/>
      <c r="G158" s="941">
        <f>SUM(E157:G157)/3</f>
        <v>0</v>
      </c>
      <c r="H158" s="940"/>
      <c r="I158" s="940"/>
      <c r="J158" s="941">
        <f>SUM(H157:J157)/3</f>
        <v>0</v>
      </c>
      <c r="K158" s="940"/>
      <c r="L158" s="940"/>
      <c r="M158" s="941">
        <f>SUM(K157:M157)/3</f>
        <v>0</v>
      </c>
      <c r="N158" s="940"/>
    </row>
    <row r="159" spans="1:14">
      <c r="A159" s="922"/>
      <c r="B159" s="923"/>
      <c r="C159" s="923"/>
      <c r="D159" s="923"/>
      <c r="E159" s="923"/>
      <c r="F159" s="923"/>
      <c r="G159" s="923"/>
      <c r="H159" s="923"/>
      <c r="I159" s="923"/>
      <c r="J159" s="923"/>
      <c r="K159" s="923"/>
      <c r="L159" s="923"/>
      <c r="M159" s="923"/>
      <c r="N159" s="906"/>
    </row>
    <row r="160" spans="1:14" ht="15.75">
      <c r="A160" s="937"/>
      <c r="B160" s="1005"/>
      <c r="C160" s="1005"/>
      <c r="D160" s="1005"/>
      <c r="E160" s="1005"/>
      <c r="F160" s="1005"/>
      <c r="G160" s="1034"/>
      <c r="H160" s="1005"/>
      <c r="I160" s="1005"/>
      <c r="J160" s="1005"/>
      <c r="K160" s="1005"/>
      <c r="L160" s="1005"/>
      <c r="M160" s="1005"/>
      <c r="N160" s="906"/>
    </row>
    <row r="161" spans="1:15">
      <c r="A161" s="1007" t="s">
        <v>986</v>
      </c>
      <c r="B161" s="911" t="s">
        <v>924</v>
      </c>
      <c r="C161" s="911" t="s">
        <v>925</v>
      </c>
      <c r="D161" s="911" t="s">
        <v>926</v>
      </c>
      <c r="E161" s="911" t="s">
        <v>927</v>
      </c>
      <c r="F161" s="911" t="s">
        <v>928</v>
      </c>
      <c r="G161" s="911" t="s">
        <v>929</v>
      </c>
      <c r="H161" s="911" t="s">
        <v>918</v>
      </c>
      <c r="I161" s="911" t="s">
        <v>919</v>
      </c>
      <c r="J161" s="911" t="s">
        <v>920</v>
      </c>
      <c r="K161" s="911" t="s">
        <v>921</v>
      </c>
      <c r="L161" s="911" t="s">
        <v>922</v>
      </c>
      <c r="M161" s="911" t="s">
        <v>923</v>
      </c>
      <c r="N161" s="907" t="s">
        <v>137</v>
      </c>
    </row>
    <row r="162" spans="1:15">
      <c r="A162" s="910" t="s">
        <v>1013</v>
      </c>
      <c r="B162" s="1334">
        <v>208000</v>
      </c>
      <c r="C162" s="1334">
        <v>208000</v>
      </c>
      <c r="D162" s="1334">
        <v>208000</v>
      </c>
      <c r="E162" s="1334">
        <v>208000</v>
      </c>
      <c r="F162" s="1334">
        <v>208000</v>
      </c>
      <c r="G162" s="1334">
        <v>208000</v>
      </c>
      <c r="H162" s="1334">
        <v>208000</v>
      </c>
      <c r="I162" s="1334">
        <v>208000</v>
      </c>
      <c r="J162" s="1334">
        <v>208000</v>
      </c>
      <c r="K162" s="1334">
        <v>208000</v>
      </c>
      <c r="L162" s="1334">
        <v>208000</v>
      </c>
      <c r="M162" s="1334">
        <v>208000</v>
      </c>
      <c r="N162" s="1334">
        <f t="shared" ref="N162:N176" si="30">SUM(B162:M162)</f>
        <v>2496000</v>
      </c>
    </row>
    <row r="163" spans="1:15">
      <c r="A163" s="910" t="s">
        <v>1014</v>
      </c>
      <c r="B163" s="1008">
        <v>81500</v>
      </c>
      <c r="C163" s="1008">
        <v>81500</v>
      </c>
      <c r="D163" s="1008">
        <v>81500</v>
      </c>
      <c r="E163" s="1008">
        <v>81500</v>
      </c>
      <c r="F163" s="1008">
        <v>81500</v>
      </c>
      <c r="G163" s="1008">
        <v>81500</v>
      </c>
      <c r="H163" s="1008">
        <v>81500</v>
      </c>
      <c r="I163" s="1008">
        <v>81500</v>
      </c>
      <c r="J163" s="1008">
        <v>81500</v>
      </c>
      <c r="K163" s="1008">
        <v>81500</v>
      </c>
      <c r="L163" s="1008">
        <v>81500</v>
      </c>
      <c r="M163" s="1008">
        <v>81500</v>
      </c>
      <c r="N163" s="1008">
        <f t="shared" si="30"/>
        <v>978000</v>
      </c>
    </row>
    <row r="164" spans="1:15">
      <c r="A164" s="910" t="s">
        <v>1017</v>
      </c>
      <c r="B164" s="1008">
        <v>3820</v>
      </c>
      <c r="C164" s="1008">
        <v>0</v>
      </c>
      <c r="D164" s="1008">
        <v>0</v>
      </c>
      <c r="E164" s="1008">
        <v>0</v>
      </c>
      <c r="F164" s="1008">
        <v>0</v>
      </c>
      <c r="G164" s="1008">
        <v>0</v>
      </c>
      <c r="H164" s="1008">
        <v>0</v>
      </c>
      <c r="I164" s="1008">
        <v>0</v>
      </c>
      <c r="J164" s="1008">
        <v>0</v>
      </c>
      <c r="K164" s="1008">
        <v>0</v>
      </c>
      <c r="L164" s="1008">
        <v>0</v>
      </c>
      <c r="M164" s="1008">
        <v>0</v>
      </c>
      <c r="N164" s="1008">
        <f t="shared" si="30"/>
        <v>3820</v>
      </c>
    </row>
    <row r="165" spans="1:15" ht="13.5" thickBot="1">
      <c r="A165" s="1035" t="s">
        <v>1018</v>
      </c>
      <c r="B165" s="1036">
        <v>87000</v>
      </c>
      <c r="C165" s="1036">
        <v>87000</v>
      </c>
      <c r="D165" s="1036">
        <v>87000</v>
      </c>
      <c r="E165" s="1036">
        <v>87000</v>
      </c>
      <c r="F165" s="1036">
        <v>87000</v>
      </c>
      <c r="G165" s="1036">
        <v>87000</v>
      </c>
      <c r="H165" s="1036">
        <v>87000</v>
      </c>
      <c r="I165" s="1036">
        <v>87000</v>
      </c>
      <c r="J165" s="1036">
        <v>87000</v>
      </c>
      <c r="K165" s="1036">
        <v>87000</v>
      </c>
      <c r="L165" s="1036">
        <v>87000</v>
      </c>
      <c r="M165" s="1036">
        <v>87000</v>
      </c>
      <c r="N165" s="1008">
        <f t="shared" si="30"/>
        <v>1044000</v>
      </c>
    </row>
    <row r="166" spans="1:15" ht="13.5" thickBot="1">
      <c r="A166" s="1012" t="s">
        <v>1015</v>
      </c>
      <c r="B166" s="1013">
        <f t="shared" ref="B166:M166" si="31">SUM(B162:B165)</f>
        <v>380320</v>
      </c>
      <c r="C166" s="1013">
        <f t="shared" si="31"/>
        <v>376500</v>
      </c>
      <c r="D166" s="1013">
        <f t="shared" si="31"/>
        <v>376500</v>
      </c>
      <c r="E166" s="1013">
        <f t="shared" si="31"/>
        <v>376500</v>
      </c>
      <c r="F166" s="1013">
        <f t="shared" si="31"/>
        <v>376500</v>
      </c>
      <c r="G166" s="1013">
        <f t="shared" si="31"/>
        <v>376500</v>
      </c>
      <c r="H166" s="1013">
        <f t="shared" si="31"/>
        <v>376500</v>
      </c>
      <c r="I166" s="1013">
        <f t="shared" si="31"/>
        <v>376500</v>
      </c>
      <c r="J166" s="1013">
        <f t="shared" si="31"/>
        <v>376500</v>
      </c>
      <c r="K166" s="1013">
        <f t="shared" si="31"/>
        <v>376500</v>
      </c>
      <c r="L166" s="1013">
        <f t="shared" si="31"/>
        <v>376500</v>
      </c>
      <c r="M166" s="1013">
        <f t="shared" si="31"/>
        <v>376500</v>
      </c>
      <c r="N166" s="1013">
        <f t="shared" si="30"/>
        <v>4521820</v>
      </c>
    </row>
    <row r="167" spans="1:15">
      <c r="A167" s="907" t="s">
        <v>1016</v>
      </c>
      <c r="B167" s="1008">
        <v>10812</v>
      </c>
      <c r="C167" s="1008">
        <v>5075</v>
      </c>
      <c r="D167" s="1008">
        <v>9100</v>
      </c>
      <c r="E167" s="1008">
        <v>12625</v>
      </c>
      <c r="F167" s="1008">
        <v>4350</v>
      </c>
      <c r="G167" s="1037">
        <v>7175</v>
      </c>
      <c r="H167" s="1008">
        <v>1000</v>
      </c>
      <c r="I167" s="1008">
        <v>5300</v>
      </c>
      <c r="J167" s="1008">
        <v>9012</v>
      </c>
      <c r="K167" s="1008">
        <v>8535</v>
      </c>
      <c r="L167" s="1008">
        <v>14300</v>
      </c>
      <c r="M167" s="1008">
        <v>4500</v>
      </c>
      <c r="N167" s="1008">
        <f t="shared" si="30"/>
        <v>91784</v>
      </c>
    </row>
    <row r="168" spans="1:15">
      <c r="A168" s="907"/>
      <c r="B168" s="1008"/>
      <c r="C168" s="1008"/>
      <c r="D168" s="1008"/>
      <c r="E168" s="1008"/>
      <c r="F168" s="1008"/>
      <c r="G168" s="1037"/>
      <c r="H168" s="1008"/>
      <c r="I168" s="1008"/>
      <c r="J168" s="1008"/>
      <c r="K168" s="1008"/>
      <c r="L168" s="1008"/>
      <c r="M168" s="1008"/>
      <c r="N168" s="1008">
        <f t="shared" si="30"/>
        <v>0</v>
      </c>
    </row>
    <row r="169" spans="1:15">
      <c r="A169" s="907" t="s">
        <v>1139</v>
      </c>
      <c r="B169" s="1008">
        <v>9820</v>
      </c>
      <c r="C169" s="1008">
        <v>7040</v>
      </c>
      <c r="D169" s="1008">
        <v>7900</v>
      </c>
      <c r="E169" s="1008">
        <v>5260</v>
      </c>
      <c r="F169" s="1008">
        <v>7420</v>
      </c>
      <c r="G169" s="1037">
        <v>5000</v>
      </c>
      <c r="H169" s="1008">
        <v>1000</v>
      </c>
      <c r="I169" s="1008">
        <v>2200</v>
      </c>
      <c r="J169" s="1008">
        <v>2640</v>
      </c>
      <c r="K169" s="1008">
        <v>2500</v>
      </c>
      <c r="L169" s="1008">
        <v>3300</v>
      </c>
      <c r="M169" s="1008"/>
      <c r="N169" s="1008">
        <f t="shared" si="30"/>
        <v>54080</v>
      </c>
    </row>
    <row r="170" spans="1:15">
      <c r="A170" s="907" t="s">
        <v>993</v>
      </c>
      <c r="B170" s="1008">
        <v>337925</v>
      </c>
      <c r="C170" s="1008">
        <v>47730.5</v>
      </c>
      <c r="D170" s="1008">
        <v>181660.63</v>
      </c>
      <c r="E170" s="1008">
        <v>145575</v>
      </c>
      <c r="F170" s="1008">
        <v>162021.26</v>
      </c>
      <c r="G170" s="1008">
        <v>82509.63</v>
      </c>
      <c r="H170" s="1008">
        <v>2975</v>
      </c>
      <c r="I170" s="1008">
        <v>95575</v>
      </c>
      <c r="J170" s="1008">
        <v>111994.26</v>
      </c>
      <c r="K170" s="1008">
        <v>161037.5</v>
      </c>
      <c r="L170" s="1008">
        <v>113425</v>
      </c>
      <c r="M170" s="1010">
        <v>80000</v>
      </c>
      <c r="N170" s="1008">
        <f t="shared" si="30"/>
        <v>1522428.78</v>
      </c>
    </row>
    <row r="171" spans="1:15" ht="13.5" thickBot="1">
      <c r="A171" s="1038" t="s">
        <v>1019</v>
      </c>
      <c r="B171" s="1036">
        <v>38799</v>
      </c>
      <c r="C171" s="1036">
        <v>4290</v>
      </c>
      <c r="D171" s="1036">
        <v>13806.75</v>
      </c>
      <c r="E171" s="1036">
        <v>28375.5</v>
      </c>
      <c r="F171" s="1036">
        <v>29461.75</v>
      </c>
      <c r="G171" s="1036">
        <v>14718.25</v>
      </c>
      <c r="H171" s="1036">
        <v>575</v>
      </c>
      <c r="I171" s="1036">
        <v>31698.5</v>
      </c>
      <c r="J171" s="1036">
        <v>34003.25</v>
      </c>
      <c r="K171" s="1036">
        <v>36215.5</v>
      </c>
      <c r="L171" s="1036">
        <v>29678.5</v>
      </c>
      <c r="M171" s="1008">
        <v>5000</v>
      </c>
      <c r="N171" s="1008">
        <f t="shared" si="30"/>
        <v>266622</v>
      </c>
    </row>
    <row r="172" spans="1:15" ht="13.5" thickBot="1">
      <c r="A172" s="1039" t="s">
        <v>1001</v>
      </c>
      <c r="B172" s="1040">
        <f t="shared" ref="B172:M172" si="32">SUM(B167:B171)</f>
        <v>397356</v>
      </c>
      <c r="C172" s="1040">
        <f t="shared" si="32"/>
        <v>64135.5</v>
      </c>
      <c r="D172" s="1040">
        <f t="shared" si="32"/>
        <v>212467.38</v>
      </c>
      <c r="E172" s="1040">
        <f t="shared" si="32"/>
        <v>191835.5</v>
      </c>
      <c r="F172" s="1040">
        <f t="shared" si="32"/>
        <v>203253.01</v>
      </c>
      <c r="G172" s="1040">
        <f t="shared" si="32"/>
        <v>109402.88</v>
      </c>
      <c r="H172" s="1040">
        <f t="shared" si="32"/>
        <v>5550</v>
      </c>
      <c r="I172" s="1040">
        <f t="shared" si="32"/>
        <v>134773.5</v>
      </c>
      <c r="J172" s="1040">
        <f t="shared" si="32"/>
        <v>157649.51</v>
      </c>
      <c r="K172" s="1040">
        <f t="shared" si="32"/>
        <v>208288</v>
      </c>
      <c r="L172" s="1040">
        <f t="shared" si="32"/>
        <v>160703.5</v>
      </c>
      <c r="M172" s="1040">
        <f t="shared" si="32"/>
        <v>89500</v>
      </c>
      <c r="N172" s="1040">
        <f t="shared" si="30"/>
        <v>1934914.78</v>
      </c>
    </row>
    <row r="173" spans="1:15" ht="13.5" thickBot="1">
      <c r="A173" s="907" t="s">
        <v>1002</v>
      </c>
      <c r="B173" s="1010">
        <v>0</v>
      </c>
      <c r="C173" s="1010">
        <v>0</v>
      </c>
      <c r="D173" s="1010">
        <v>0</v>
      </c>
      <c r="E173" s="1010">
        <v>0</v>
      </c>
      <c r="F173" s="1010">
        <v>1576</v>
      </c>
      <c r="G173" s="1010">
        <v>0</v>
      </c>
      <c r="H173" s="1010">
        <v>0</v>
      </c>
      <c r="I173" s="1010">
        <v>0</v>
      </c>
      <c r="J173" s="1010">
        <v>0</v>
      </c>
      <c r="K173" s="1010">
        <v>0</v>
      </c>
      <c r="L173" s="1010">
        <v>0</v>
      </c>
      <c r="M173" s="1036">
        <v>0</v>
      </c>
      <c r="N173" s="1008">
        <f t="shared" si="30"/>
        <v>1576</v>
      </c>
      <c r="O173" s="970"/>
    </row>
    <row r="174" spans="1:15" ht="13.5" thickBot="1">
      <c r="A174" s="1042" t="s">
        <v>1003</v>
      </c>
      <c r="B174" s="1040">
        <f t="shared" ref="B174:M174" si="33">SUM(B166,B172,B173)</f>
        <v>777676</v>
      </c>
      <c r="C174" s="1040">
        <f t="shared" si="33"/>
        <v>440635.5</v>
      </c>
      <c r="D174" s="1040">
        <f t="shared" si="33"/>
        <v>588967.38</v>
      </c>
      <c r="E174" s="1040">
        <f t="shared" si="33"/>
        <v>568335.5</v>
      </c>
      <c r="F174" s="1040">
        <f t="shared" si="33"/>
        <v>581329.01</v>
      </c>
      <c r="G174" s="1040">
        <f t="shared" si="33"/>
        <v>485902.88</v>
      </c>
      <c r="H174" s="1040">
        <f t="shared" si="33"/>
        <v>382050</v>
      </c>
      <c r="I174" s="1040">
        <f t="shared" si="33"/>
        <v>511273.5</v>
      </c>
      <c r="J174" s="1040">
        <f t="shared" si="33"/>
        <v>534149.51</v>
      </c>
      <c r="K174" s="1040">
        <f t="shared" si="33"/>
        <v>584788</v>
      </c>
      <c r="L174" s="1040">
        <f t="shared" si="33"/>
        <v>537203.5</v>
      </c>
      <c r="M174" s="1040">
        <f t="shared" si="33"/>
        <v>466000</v>
      </c>
      <c r="N174" s="1040">
        <f t="shared" si="30"/>
        <v>6458310.7799999993</v>
      </c>
    </row>
    <row r="175" spans="1:15">
      <c r="A175" s="1015" t="s">
        <v>1004</v>
      </c>
      <c r="B175" s="1044">
        <v>587857</v>
      </c>
      <c r="C175" s="1044">
        <v>529956</v>
      </c>
      <c r="D175" s="1044">
        <v>554281</v>
      </c>
      <c r="E175" s="1044">
        <v>514388</v>
      </c>
      <c r="F175" s="1044">
        <v>615919</v>
      </c>
      <c r="G175" s="1044">
        <v>457918</v>
      </c>
      <c r="H175" s="1044">
        <v>501043</v>
      </c>
      <c r="I175" s="1044">
        <v>472785</v>
      </c>
      <c r="J175" s="1044">
        <v>503272</v>
      </c>
      <c r="K175" s="1044">
        <v>503209</v>
      </c>
      <c r="L175" s="1044">
        <v>510000</v>
      </c>
      <c r="M175" s="1044">
        <v>510000</v>
      </c>
      <c r="N175" s="1008">
        <f t="shared" si="30"/>
        <v>6260628</v>
      </c>
    </row>
    <row r="176" spans="1:15">
      <c r="A176" s="1015" t="s">
        <v>1006</v>
      </c>
      <c r="B176" s="1044"/>
      <c r="C176" s="1044"/>
      <c r="D176" s="1044"/>
      <c r="E176" s="1044"/>
      <c r="F176" s="1044"/>
      <c r="G176" s="1044"/>
      <c r="H176" s="1044"/>
      <c r="I176" s="1044">
        <v>400000</v>
      </c>
      <c r="J176" s="1044"/>
      <c r="K176" s="1044"/>
      <c r="L176" s="1044"/>
      <c r="M176" s="1044"/>
      <c r="N176" s="1008">
        <f t="shared" si="30"/>
        <v>400000</v>
      </c>
    </row>
    <row r="177" spans="1:14">
      <c r="A177" s="1046" t="s">
        <v>1009</v>
      </c>
      <c r="B177" s="1047">
        <f>B174-SUM(B175:B176)</f>
        <v>189819</v>
      </c>
      <c r="C177" s="1047">
        <f t="shared" ref="C177:M177" si="34">C174-SUM(C175:C176)</f>
        <v>-89320.5</v>
      </c>
      <c r="D177" s="1047">
        <f t="shared" si="34"/>
        <v>34686.380000000005</v>
      </c>
      <c r="E177" s="1047">
        <f t="shared" si="34"/>
        <v>53947.5</v>
      </c>
      <c r="F177" s="1047">
        <f t="shared" si="34"/>
        <v>-34589.989999999991</v>
      </c>
      <c r="G177" s="1047">
        <f t="shared" si="34"/>
        <v>27984.880000000005</v>
      </c>
      <c r="H177" s="1047">
        <f t="shared" si="34"/>
        <v>-118993</v>
      </c>
      <c r="I177" s="1047">
        <f t="shared" si="34"/>
        <v>-361511.5</v>
      </c>
      <c r="J177" s="1047">
        <f t="shared" si="34"/>
        <v>30877.510000000009</v>
      </c>
      <c r="K177" s="1047">
        <f t="shared" si="34"/>
        <v>81579</v>
      </c>
      <c r="L177" s="1047">
        <f t="shared" si="34"/>
        <v>27203.5</v>
      </c>
      <c r="M177" s="1047">
        <f t="shared" si="34"/>
        <v>-44000</v>
      </c>
      <c r="N177" s="1047">
        <f>N174-SUM(N175:N176)</f>
        <v>-202317.22000000067</v>
      </c>
    </row>
    <row r="178" spans="1:14" ht="13.5" thickBot="1">
      <c r="A178" s="1048">
        <v>206552</v>
      </c>
      <c r="B178" s="1048"/>
      <c r="C178" s="1048"/>
      <c r="D178" s="1048"/>
      <c r="E178" s="1048"/>
      <c r="F178" s="1048"/>
      <c r="G178" s="1048"/>
      <c r="H178" s="1048"/>
      <c r="I178" s="1048"/>
      <c r="J178" s="1048"/>
      <c r="K178" s="1048"/>
      <c r="L178" s="1048"/>
      <c r="M178" s="1048"/>
      <c r="N178" s="1048"/>
    </row>
    <row r="179" spans="1:14" ht="13.5" thickBot="1"/>
    <row r="180" spans="1:14" ht="20.25">
      <c r="A180" s="1702" t="s">
        <v>1140</v>
      </c>
      <c r="B180" s="1702"/>
      <c r="C180" s="1702"/>
      <c r="D180" s="1702"/>
      <c r="E180" s="1702"/>
      <c r="F180" s="1702"/>
      <c r="G180" s="1702"/>
      <c r="H180" s="1702"/>
      <c r="I180" s="1702"/>
      <c r="J180" s="1702"/>
      <c r="K180" s="1702"/>
      <c r="L180" s="1702"/>
      <c r="M180" s="1702"/>
      <c r="N180" s="1702"/>
    </row>
    <row r="181" spans="1:14">
      <c r="A181" s="906"/>
      <c r="B181" s="906"/>
      <c r="C181" s="906"/>
      <c r="D181" s="906"/>
      <c r="E181" s="906"/>
      <c r="F181" s="906"/>
      <c r="G181" s="906"/>
      <c r="H181" s="906"/>
      <c r="I181" s="906"/>
      <c r="J181" s="906"/>
      <c r="K181" s="906"/>
      <c r="L181" s="906"/>
      <c r="M181" s="906"/>
    </row>
    <row r="182" spans="1:14">
      <c r="A182" s="907"/>
      <c r="B182" s="908" t="s">
        <v>924</v>
      </c>
      <c r="C182" s="908" t="s">
        <v>925</v>
      </c>
      <c r="D182" s="909" t="s">
        <v>926</v>
      </c>
      <c r="E182" s="908" t="s">
        <v>927</v>
      </c>
      <c r="F182" s="908" t="s">
        <v>928</v>
      </c>
      <c r="G182" s="909" t="s">
        <v>929</v>
      </c>
      <c r="H182" s="908" t="s">
        <v>918</v>
      </c>
      <c r="I182" s="908" t="s">
        <v>919</v>
      </c>
      <c r="J182" s="908" t="s">
        <v>920</v>
      </c>
      <c r="K182" s="908" t="s">
        <v>921</v>
      </c>
      <c r="L182" s="908" t="s">
        <v>922</v>
      </c>
      <c r="M182" s="908" t="s">
        <v>923</v>
      </c>
      <c r="N182" s="907" t="s">
        <v>137</v>
      </c>
    </row>
    <row r="183" spans="1:14">
      <c r="A183" s="910" t="s">
        <v>183</v>
      </c>
      <c r="B183" s="911">
        <v>1924</v>
      </c>
      <c r="C183" s="911">
        <v>1924</v>
      </c>
      <c r="D183" s="911">
        <v>1924</v>
      </c>
      <c r="E183" s="911">
        <v>1924</v>
      </c>
      <c r="F183" s="911">
        <v>1924</v>
      </c>
      <c r="G183" s="911">
        <v>1924</v>
      </c>
      <c r="H183" s="911">
        <v>1924</v>
      </c>
      <c r="I183" s="911">
        <v>1924</v>
      </c>
      <c r="J183" s="911">
        <v>1924</v>
      </c>
      <c r="K183" s="911">
        <v>1924</v>
      </c>
      <c r="L183" s="911">
        <v>1924</v>
      </c>
      <c r="M183" s="911">
        <v>1924</v>
      </c>
      <c r="N183" s="911">
        <f t="shared" ref="N183:N194" si="35">SUM(B183:M183)</f>
        <v>23088</v>
      </c>
    </row>
    <row r="184" spans="1:14">
      <c r="A184" s="910" t="s">
        <v>942</v>
      </c>
      <c r="B184" s="911"/>
      <c r="C184" s="911"/>
      <c r="D184" s="911"/>
      <c r="E184" s="911"/>
      <c r="F184" s="911"/>
      <c r="G184" s="912"/>
      <c r="H184" s="911"/>
      <c r="I184" s="911"/>
      <c r="J184" s="913"/>
      <c r="K184" s="911"/>
      <c r="L184" s="911"/>
      <c r="M184" s="911"/>
      <c r="N184" s="911">
        <f t="shared" si="35"/>
        <v>0</v>
      </c>
    </row>
    <row r="185" spans="1:14">
      <c r="A185" s="910" t="s">
        <v>943</v>
      </c>
      <c r="B185" s="911">
        <v>163.5</v>
      </c>
      <c r="C185" s="911"/>
      <c r="D185" s="911"/>
      <c r="E185" s="911"/>
      <c r="F185" s="911"/>
      <c r="G185" s="912"/>
      <c r="H185" s="911"/>
      <c r="I185" s="911"/>
      <c r="J185" s="911"/>
      <c r="K185" s="911"/>
      <c r="L185" s="911"/>
      <c r="M185" s="907"/>
      <c r="N185" s="911">
        <f t="shared" si="35"/>
        <v>163.5</v>
      </c>
    </row>
    <row r="186" spans="1:14">
      <c r="A186" s="910" t="s">
        <v>945</v>
      </c>
      <c r="B186" s="911">
        <v>140</v>
      </c>
      <c r="C186" s="911">
        <v>216.25</v>
      </c>
      <c r="D186" s="911">
        <v>94.25</v>
      </c>
      <c r="E186" s="911">
        <v>99</v>
      </c>
      <c r="F186" s="911">
        <v>48.25</v>
      </c>
      <c r="G186" s="912">
        <v>222</v>
      </c>
      <c r="H186" s="911">
        <v>549.5</v>
      </c>
      <c r="I186" s="911">
        <v>472</v>
      </c>
      <c r="J186" s="911">
        <v>95.5</v>
      </c>
      <c r="K186" s="911"/>
      <c r="L186" s="911"/>
      <c r="M186" s="911"/>
      <c r="N186" s="911">
        <f t="shared" si="35"/>
        <v>1936.75</v>
      </c>
    </row>
    <row r="187" spans="1:14">
      <c r="A187" s="910" t="s">
        <v>946</v>
      </c>
      <c r="B187" s="911"/>
      <c r="C187" s="911">
        <v>37</v>
      </c>
      <c r="D187" s="911"/>
      <c r="E187" s="911">
        <v>192</v>
      </c>
      <c r="F187" s="911"/>
      <c r="G187" s="912"/>
      <c r="H187" s="911"/>
      <c r="I187" s="911"/>
      <c r="J187" s="911"/>
      <c r="K187" s="911">
        <v>15.5</v>
      </c>
      <c r="L187" s="911"/>
      <c r="M187" s="911"/>
      <c r="N187" s="911">
        <f t="shared" si="35"/>
        <v>244.5</v>
      </c>
    </row>
    <row r="188" spans="1:14">
      <c r="A188" s="910" t="s">
        <v>947</v>
      </c>
      <c r="B188" s="911">
        <v>89.5</v>
      </c>
      <c r="C188" s="911">
        <v>96.25</v>
      </c>
      <c r="D188" s="911">
        <v>111</v>
      </c>
      <c r="E188" s="911">
        <v>60.25</v>
      </c>
      <c r="F188" s="911">
        <v>15.5</v>
      </c>
      <c r="G188" s="912">
        <v>29.25</v>
      </c>
      <c r="H188" s="911">
        <v>66.25</v>
      </c>
      <c r="I188" s="911"/>
      <c r="J188" s="911">
        <v>94.25</v>
      </c>
      <c r="K188" s="911">
        <v>82</v>
      </c>
      <c r="L188" s="911"/>
      <c r="M188" s="911"/>
      <c r="N188" s="911">
        <f t="shared" si="35"/>
        <v>644.25</v>
      </c>
    </row>
    <row r="189" spans="1:14">
      <c r="A189" s="910" t="s">
        <v>948</v>
      </c>
      <c r="B189" s="911"/>
      <c r="C189" s="911">
        <v>7</v>
      </c>
      <c r="D189" s="911"/>
      <c r="E189" s="911"/>
      <c r="F189" s="911"/>
      <c r="G189" s="912">
        <v>7.75</v>
      </c>
      <c r="H189" s="911"/>
      <c r="I189" s="911">
        <v>6</v>
      </c>
      <c r="J189" s="911"/>
      <c r="K189" s="911"/>
      <c r="L189" s="911"/>
      <c r="M189" s="911"/>
      <c r="N189" s="911">
        <f t="shared" si="35"/>
        <v>20.75</v>
      </c>
    </row>
    <row r="190" spans="1:14">
      <c r="A190" s="910" t="s">
        <v>949</v>
      </c>
      <c r="B190" s="911">
        <v>7.75</v>
      </c>
      <c r="C190" s="911">
        <v>37</v>
      </c>
      <c r="D190" s="911"/>
      <c r="E190" s="911"/>
      <c r="F190" s="911">
        <v>7.75</v>
      </c>
      <c r="G190" s="912"/>
      <c r="H190" s="911"/>
      <c r="I190" s="911">
        <v>31</v>
      </c>
      <c r="J190" s="911">
        <v>13.75</v>
      </c>
      <c r="K190" s="911">
        <v>13</v>
      </c>
      <c r="L190" s="911"/>
      <c r="M190" s="911"/>
      <c r="N190" s="911">
        <f t="shared" si="35"/>
        <v>110.25</v>
      </c>
    </row>
    <row r="191" spans="1:14">
      <c r="A191" s="910" t="s">
        <v>950</v>
      </c>
      <c r="B191" s="911"/>
      <c r="C191" s="911">
        <v>74</v>
      </c>
      <c r="D191" s="911"/>
      <c r="E191" s="911"/>
      <c r="F191" s="911"/>
      <c r="G191" s="912"/>
      <c r="H191" s="911"/>
      <c r="I191" s="911"/>
      <c r="J191" s="911"/>
      <c r="K191" s="911"/>
      <c r="L191" s="911"/>
      <c r="M191" s="911"/>
      <c r="N191" s="911">
        <f t="shared" si="35"/>
        <v>74</v>
      </c>
    </row>
    <row r="192" spans="1:14">
      <c r="A192" s="910" t="s">
        <v>951</v>
      </c>
      <c r="B192" s="911"/>
      <c r="C192" s="911">
        <v>11.75</v>
      </c>
      <c r="D192" s="911"/>
      <c r="E192" s="911">
        <v>22.75</v>
      </c>
      <c r="F192" s="911">
        <v>109</v>
      </c>
      <c r="G192" s="912">
        <v>23.25</v>
      </c>
      <c r="H192" s="911"/>
      <c r="I192" s="911"/>
      <c r="J192" s="911"/>
      <c r="K192" s="911">
        <v>38</v>
      </c>
      <c r="L192" s="911"/>
      <c r="M192" s="911"/>
      <c r="N192" s="911">
        <f t="shared" si="35"/>
        <v>204.75</v>
      </c>
    </row>
    <row r="193" spans="1:14" ht="13.5" thickBot="1">
      <c r="A193" s="914" t="s">
        <v>952</v>
      </c>
      <c r="B193" s="915"/>
      <c r="C193" s="915"/>
      <c r="D193" s="915"/>
      <c r="E193" s="915"/>
      <c r="F193" s="915">
        <v>6</v>
      </c>
      <c r="G193" s="916">
        <v>7.75</v>
      </c>
      <c r="H193" s="915"/>
      <c r="I193" s="915"/>
      <c r="J193" s="915"/>
      <c r="K193" s="915"/>
      <c r="L193" s="915"/>
      <c r="M193" s="915"/>
      <c r="N193" s="917">
        <f t="shared" si="35"/>
        <v>13.75</v>
      </c>
    </row>
    <row r="194" spans="1:14" ht="13.5" thickBot="1">
      <c r="A194" s="918" t="s">
        <v>953</v>
      </c>
      <c r="B194" s="919">
        <f t="shared" ref="B194:M194" si="36">SUM(B183+B184+B185-B186-B187-B188-B190-B191-B192-B193)</f>
        <v>1850.25</v>
      </c>
      <c r="C194" s="919">
        <f t="shared" si="36"/>
        <v>1451.75</v>
      </c>
      <c r="D194" s="919">
        <f t="shared" si="36"/>
        <v>1718.75</v>
      </c>
      <c r="E194" s="919">
        <f t="shared" si="36"/>
        <v>1550</v>
      </c>
      <c r="F194" s="919">
        <f t="shared" si="36"/>
        <v>1737.5</v>
      </c>
      <c r="G194" s="1033">
        <f t="shared" si="36"/>
        <v>1641.75</v>
      </c>
      <c r="H194" s="919">
        <f t="shared" si="36"/>
        <v>1308.25</v>
      </c>
      <c r="I194" s="919">
        <f t="shared" si="36"/>
        <v>1421</v>
      </c>
      <c r="J194" s="919">
        <f t="shared" si="36"/>
        <v>1720.5</v>
      </c>
      <c r="K194" s="919">
        <f t="shared" si="36"/>
        <v>1775.5</v>
      </c>
      <c r="L194" s="919">
        <f t="shared" si="36"/>
        <v>1924</v>
      </c>
      <c r="M194" s="920">
        <f t="shared" si="36"/>
        <v>1924</v>
      </c>
      <c r="N194" s="921">
        <f t="shared" si="35"/>
        <v>20023.25</v>
      </c>
    </row>
    <row r="195" spans="1:14">
      <c r="A195" s="922"/>
      <c r="B195" s="923"/>
      <c r="C195" s="923"/>
      <c r="D195" s="923"/>
      <c r="E195" s="923"/>
      <c r="F195" s="923"/>
      <c r="G195" s="923"/>
      <c r="H195" s="923"/>
      <c r="I195" s="923"/>
      <c r="J195" s="923"/>
      <c r="K195" s="923"/>
      <c r="L195" s="923"/>
      <c r="M195" s="923"/>
      <c r="N195" s="923"/>
    </row>
    <row r="196" spans="1:14">
      <c r="A196" s="922"/>
      <c r="B196" s="923"/>
      <c r="C196" s="923"/>
      <c r="D196" s="923"/>
      <c r="E196" s="923"/>
      <c r="F196" s="923"/>
      <c r="G196" s="923"/>
      <c r="H196" s="923"/>
      <c r="I196" s="923"/>
      <c r="J196" s="923"/>
      <c r="K196" s="923"/>
      <c r="L196" s="923"/>
      <c r="M196" s="923"/>
      <c r="N196" s="924" t="s">
        <v>954</v>
      </c>
    </row>
    <row r="197" spans="1:14">
      <c r="A197" s="910" t="s">
        <v>955</v>
      </c>
      <c r="B197" s="911">
        <f t="shared" ref="B197:M197" si="37">SUM(B184*100/B194)</f>
        <v>0</v>
      </c>
      <c r="C197" s="911">
        <f t="shared" si="37"/>
        <v>0</v>
      </c>
      <c r="D197" s="911">
        <f t="shared" si="37"/>
        <v>0</v>
      </c>
      <c r="E197" s="911">
        <f t="shared" si="37"/>
        <v>0</v>
      </c>
      <c r="F197" s="911">
        <f t="shared" si="37"/>
        <v>0</v>
      </c>
      <c r="G197" s="911">
        <f t="shared" si="37"/>
        <v>0</v>
      </c>
      <c r="H197" s="911">
        <f t="shared" si="37"/>
        <v>0</v>
      </c>
      <c r="I197" s="911">
        <f t="shared" si="37"/>
        <v>0</v>
      </c>
      <c r="J197" s="911">
        <f t="shared" si="37"/>
        <v>0</v>
      </c>
      <c r="K197" s="911">
        <f t="shared" si="37"/>
        <v>0</v>
      </c>
      <c r="L197" s="911">
        <f t="shared" si="37"/>
        <v>0</v>
      </c>
      <c r="M197" s="911">
        <f t="shared" si="37"/>
        <v>0</v>
      </c>
      <c r="N197" s="925">
        <f>SUM(B197:M197)/12</f>
        <v>0</v>
      </c>
    </row>
    <row r="198" spans="1:14">
      <c r="A198" s="922"/>
      <c r="B198" s="923"/>
      <c r="C198" s="923"/>
      <c r="D198" s="923"/>
      <c r="E198" s="923"/>
      <c r="F198" s="923"/>
      <c r="G198" s="923"/>
      <c r="H198" s="923"/>
      <c r="I198" s="923"/>
      <c r="J198" s="923"/>
      <c r="K198" s="923"/>
      <c r="L198" s="923"/>
      <c r="M198" s="923"/>
      <c r="N198" s="906"/>
    </row>
    <row r="199" spans="1:14">
      <c r="A199" s="910" t="s">
        <v>956</v>
      </c>
      <c r="B199" s="911">
        <f t="shared" ref="B199:M199" si="38">SUM(B188*100/B194)</f>
        <v>4.8371841643021209</v>
      </c>
      <c r="C199" s="911">
        <f t="shared" si="38"/>
        <v>6.6299293955570864</v>
      </c>
      <c r="D199" s="911">
        <f t="shared" si="38"/>
        <v>6.458181818181818</v>
      </c>
      <c r="E199" s="911">
        <f t="shared" si="38"/>
        <v>3.8870967741935485</v>
      </c>
      <c r="F199" s="911">
        <f t="shared" si="38"/>
        <v>0.8920863309352518</v>
      </c>
      <c r="G199" s="911">
        <f t="shared" si="38"/>
        <v>1.7816354499771585</v>
      </c>
      <c r="H199" s="911">
        <f t="shared" si="38"/>
        <v>5.0640168163577295</v>
      </c>
      <c r="I199" s="911">
        <f t="shared" si="38"/>
        <v>0</v>
      </c>
      <c r="J199" s="911">
        <f t="shared" si="38"/>
        <v>5.4780587038651554</v>
      </c>
      <c r="K199" s="911">
        <f t="shared" si="38"/>
        <v>4.6184173472261332</v>
      </c>
      <c r="L199" s="911">
        <f t="shared" si="38"/>
        <v>0</v>
      </c>
      <c r="M199" s="911">
        <f t="shared" si="38"/>
        <v>0</v>
      </c>
      <c r="N199" s="925">
        <f>SUM(B199:M199)/12</f>
        <v>3.3038839000496671</v>
      </c>
    </row>
    <row r="200" spans="1:14" ht="13.5" thickBot="1">
      <c r="A200" s="926" t="s">
        <v>957</v>
      </c>
      <c r="B200" s="917">
        <f t="shared" ref="B200:M200" si="39">SUM(B189*100/B194)</f>
        <v>0</v>
      </c>
      <c r="C200" s="917">
        <f t="shared" si="39"/>
        <v>0.48217668331324265</v>
      </c>
      <c r="D200" s="917">
        <f t="shared" si="39"/>
        <v>0</v>
      </c>
      <c r="E200" s="917">
        <f t="shared" si="39"/>
        <v>0</v>
      </c>
      <c r="F200" s="917">
        <f t="shared" si="39"/>
        <v>0</v>
      </c>
      <c r="G200" s="917">
        <f t="shared" si="39"/>
        <v>0.47205725597685394</v>
      </c>
      <c r="H200" s="917">
        <f t="shared" si="39"/>
        <v>0</v>
      </c>
      <c r="I200" s="917">
        <f t="shared" si="39"/>
        <v>0.42223786066150598</v>
      </c>
      <c r="J200" s="917">
        <f t="shared" si="39"/>
        <v>0</v>
      </c>
      <c r="K200" s="917">
        <f t="shared" si="39"/>
        <v>0</v>
      </c>
      <c r="L200" s="917">
        <f t="shared" si="39"/>
        <v>0</v>
      </c>
      <c r="M200" s="917">
        <f t="shared" si="39"/>
        <v>0</v>
      </c>
      <c r="N200" s="925">
        <f>SUM(B200:M200)/12</f>
        <v>0.11470598332930021</v>
      </c>
    </row>
    <row r="201" spans="1:14" ht="13.5" thickBot="1">
      <c r="A201" s="928" t="s">
        <v>958</v>
      </c>
      <c r="B201" s="929">
        <f t="shared" ref="B201:M201" si="40">SUM(B199:B199)</f>
        <v>4.8371841643021209</v>
      </c>
      <c r="C201" s="929">
        <f t="shared" si="40"/>
        <v>6.6299293955570864</v>
      </c>
      <c r="D201" s="929">
        <f t="shared" si="40"/>
        <v>6.458181818181818</v>
      </c>
      <c r="E201" s="929">
        <f t="shared" si="40"/>
        <v>3.8870967741935485</v>
      </c>
      <c r="F201" s="929">
        <f t="shared" si="40"/>
        <v>0.8920863309352518</v>
      </c>
      <c r="G201" s="929">
        <f t="shared" si="40"/>
        <v>1.7816354499771585</v>
      </c>
      <c r="H201" s="929">
        <f t="shared" si="40"/>
        <v>5.0640168163577295</v>
      </c>
      <c r="I201" s="929">
        <f t="shared" si="40"/>
        <v>0</v>
      </c>
      <c r="J201" s="929">
        <f t="shared" si="40"/>
        <v>5.4780587038651554</v>
      </c>
      <c r="K201" s="929">
        <f t="shared" si="40"/>
        <v>4.6184173472261332</v>
      </c>
      <c r="L201" s="929">
        <f t="shared" si="40"/>
        <v>0</v>
      </c>
      <c r="M201" s="929">
        <f t="shared" si="40"/>
        <v>0</v>
      </c>
      <c r="N201" s="930">
        <f>SUM(N199:N200)</f>
        <v>3.4185898833789672</v>
      </c>
    </row>
    <row r="202" spans="1:14">
      <c r="A202" s="922" t="s">
        <v>959</v>
      </c>
      <c r="B202" s="923"/>
      <c r="C202" s="923"/>
      <c r="D202" s="931">
        <f>SUM(B201:D201)/3</f>
        <v>5.9750984593470085</v>
      </c>
      <c r="E202" s="923"/>
      <c r="F202" s="923"/>
      <c r="G202" s="931">
        <f>SUM(E201,F201,G201)/3</f>
        <v>2.1869395183686531</v>
      </c>
      <c r="H202" s="923"/>
      <c r="I202" s="923"/>
      <c r="J202" s="931">
        <f>SUM(H201,I201,J201)/3</f>
        <v>3.514025173407628</v>
      </c>
      <c r="K202" s="923"/>
      <c r="L202" s="923"/>
      <c r="M202" s="931">
        <f>SUM(K201,L201,M201)/3</f>
        <v>1.5394724490753777</v>
      </c>
      <c r="N202" s="932">
        <f>SUM(D202:M202)/4</f>
        <v>3.3038839000496667</v>
      </c>
    </row>
    <row r="203" spans="1:14">
      <c r="A203" s="922" t="s">
        <v>960</v>
      </c>
      <c r="B203" s="923"/>
      <c r="C203" s="923"/>
      <c r="D203" s="933"/>
      <c r="E203" s="923"/>
      <c r="F203" s="923"/>
      <c r="G203" s="933"/>
      <c r="H203" s="923"/>
      <c r="I203" s="923"/>
      <c r="J203" s="933"/>
      <c r="K203" s="923"/>
      <c r="L203" s="923"/>
      <c r="M203" s="933"/>
      <c r="N203" s="925">
        <f>SUM(D203:G203,J203,M203)/4</f>
        <v>0</v>
      </c>
    </row>
    <row r="204" spans="1:14">
      <c r="A204" s="922"/>
      <c r="B204" s="923"/>
      <c r="C204" s="923"/>
      <c r="D204" s="923"/>
      <c r="E204" s="923"/>
      <c r="F204" s="923"/>
      <c r="G204" s="923"/>
      <c r="H204" s="923"/>
      <c r="I204" s="923"/>
      <c r="J204" s="923"/>
      <c r="K204" s="923"/>
      <c r="L204" s="923"/>
      <c r="M204" s="923"/>
      <c r="N204" s="923"/>
    </row>
    <row r="205" spans="1:14">
      <c r="A205" s="910" t="s">
        <v>961</v>
      </c>
      <c r="B205" s="911">
        <f t="shared" ref="B205:M205" si="41">B192*100/B194</f>
        <v>0</v>
      </c>
      <c r="C205" s="911">
        <f t="shared" si="41"/>
        <v>0.80936800413294296</v>
      </c>
      <c r="D205" s="911">
        <f t="shared" si="41"/>
        <v>0</v>
      </c>
      <c r="E205" s="911">
        <f t="shared" si="41"/>
        <v>1.467741935483871</v>
      </c>
      <c r="F205" s="911">
        <f t="shared" si="41"/>
        <v>6.2733812949640289</v>
      </c>
      <c r="G205" s="911">
        <f t="shared" si="41"/>
        <v>1.4161717679305619</v>
      </c>
      <c r="H205" s="911">
        <f t="shared" si="41"/>
        <v>0</v>
      </c>
      <c r="I205" s="911">
        <f t="shared" si="41"/>
        <v>0</v>
      </c>
      <c r="J205" s="911">
        <f t="shared" si="41"/>
        <v>0</v>
      </c>
      <c r="K205" s="911">
        <f t="shared" si="41"/>
        <v>2.1402421852999156</v>
      </c>
      <c r="L205" s="911">
        <f t="shared" si="41"/>
        <v>0</v>
      </c>
      <c r="M205" s="911">
        <f t="shared" si="41"/>
        <v>0</v>
      </c>
      <c r="N205" s="925">
        <f>SUM(B205:M205)/12</f>
        <v>1.0089087656509435</v>
      </c>
    </row>
    <row r="206" spans="1:14">
      <c r="A206" s="910" t="s">
        <v>962</v>
      </c>
      <c r="B206" s="911">
        <f t="shared" ref="B206:M206" si="42">B190*100/B194</f>
        <v>0.41886231590325634</v>
      </c>
      <c r="C206" s="911">
        <f t="shared" si="42"/>
        <v>2.5486481832271397</v>
      </c>
      <c r="D206" s="911">
        <f t="shared" si="42"/>
        <v>0</v>
      </c>
      <c r="E206" s="911">
        <f t="shared" si="42"/>
        <v>0</v>
      </c>
      <c r="F206" s="911">
        <f t="shared" si="42"/>
        <v>0.4460431654676259</v>
      </c>
      <c r="G206" s="911">
        <f t="shared" si="42"/>
        <v>0</v>
      </c>
      <c r="H206" s="911">
        <f t="shared" si="42"/>
        <v>0</v>
      </c>
      <c r="I206" s="911">
        <f t="shared" si="42"/>
        <v>2.1815622800844476</v>
      </c>
      <c r="J206" s="911">
        <f t="shared" si="42"/>
        <v>0.79918628305725081</v>
      </c>
      <c r="K206" s="911">
        <f t="shared" si="42"/>
        <v>0.7321881160236553</v>
      </c>
      <c r="L206" s="911">
        <f t="shared" si="42"/>
        <v>0</v>
      </c>
      <c r="M206" s="911">
        <f t="shared" si="42"/>
        <v>0</v>
      </c>
      <c r="N206" s="925">
        <f>SUM(B206:M206)/12</f>
        <v>0.59387419531361463</v>
      </c>
    </row>
    <row r="207" spans="1:14" ht="13.5" thickBot="1">
      <c r="A207" s="910" t="s">
        <v>963</v>
      </c>
      <c r="B207" s="911">
        <f t="shared" ref="B207:M207" si="43">B186*100/B194</f>
        <v>7.5665450614781786</v>
      </c>
      <c r="C207" s="911">
        <f t="shared" si="43"/>
        <v>14.895815395212674</v>
      </c>
      <c r="D207" s="911">
        <f t="shared" si="43"/>
        <v>5.4836363636363634</v>
      </c>
      <c r="E207" s="911">
        <f t="shared" si="43"/>
        <v>6.387096774193548</v>
      </c>
      <c r="F207" s="911">
        <f t="shared" si="43"/>
        <v>2.7769784172661871</v>
      </c>
      <c r="G207" s="911">
        <f t="shared" si="43"/>
        <v>13.522156235724076</v>
      </c>
      <c r="H207" s="911">
        <f t="shared" si="43"/>
        <v>42.002675329638834</v>
      </c>
      <c r="I207" s="911">
        <f t="shared" si="43"/>
        <v>33.21604503870514</v>
      </c>
      <c r="J207" s="911">
        <f t="shared" si="43"/>
        <v>5.5507120023249055</v>
      </c>
      <c r="K207" s="911">
        <f t="shared" si="43"/>
        <v>0</v>
      </c>
      <c r="L207" s="911">
        <f t="shared" si="43"/>
        <v>0</v>
      </c>
      <c r="M207" s="911">
        <f t="shared" si="43"/>
        <v>0</v>
      </c>
      <c r="N207" s="927">
        <f>SUM(B207:M207)/12</f>
        <v>10.950138384848325</v>
      </c>
    </row>
    <row r="208" spans="1:14" ht="13.5" thickBot="1">
      <c r="A208" s="934" t="s">
        <v>964</v>
      </c>
      <c r="B208" s="935">
        <f t="shared" ref="B208:M208" si="44">SUM(B183-B194)*100/B194</f>
        <v>3.9859478448858261</v>
      </c>
      <c r="C208" s="935">
        <f t="shared" si="44"/>
        <v>32.529705527811259</v>
      </c>
      <c r="D208" s="935">
        <f t="shared" si="44"/>
        <v>11.941818181818181</v>
      </c>
      <c r="E208" s="935">
        <f t="shared" si="44"/>
        <v>24.129032258064516</v>
      </c>
      <c r="F208" s="935">
        <f t="shared" si="44"/>
        <v>10.733812949640289</v>
      </c>
      <c r="G208" s="935">
        <f t="shared" si="44"/>
        <v>17.192020709608649</v>
      </c>
      <c r="H208" s="935">
        <f t="shared" si="44"/>
        <v>47.066692145996562</v>
      </c>
      <c r="I208" s="935">
        <f t="shared" si="44"/>
        <v>35.397607318789582</v>
      </c>
      <c r="J208" s="935">
        <f t="shared" si="44"/>
        <v>11.827956989247312</v>
      </c>
      <c r="K208" s="935">
        <f t="shared" si="44"/>
        <v>8.3638411715009848</v>
      </c>
      <c r="L208" s="935">
        <f t="shared" si="44"/>
        <v>0</v>
      </c>
      <c r="M208" s="1049">
        <f t="shared" si="44"/>
        <v>0</v>
      </c>
      <c r="N208" s="1050">
        <f>SUM(B208:M208)/12</f>
        <v>16.93070292478026</v>
      </c>
    </row>
    <row r="209" spans="1:14">
      <c r="A209" s="922"/>
      <c r="B209" s="923"/>
      <c r="C209" s="923"/>
      <c r="D209" s="923"/>
      <c r="E209" s="923"/>
      <c r="F209" s="923"/>
      <c r="G209" s="923"/>
      <c r="H209" s="923"/>
      <c r="I209" s="923"/>
      <c r="J209" s="923"/>
      <c r="K209" s="923"/>
      <c r="L209" s="923"/>
      <c r="M209" s="923"/>
      <c r="N209" s="906"/>
    </row>
    <row r="210" spans="1:14">
      <c r="A210" s="937" t="s">
        <v>965</v>
      </c>
      <c r="B210" s="923"/>
      <c r="C210" s="923"/>
      <c r="D210" s="923"/>
      <c r="E210" s="923"/>
      <c r="F210" s="923"/>
      <c r="G210" s="923"/>
      <c r="H210" s="923"/>
      <c r="I210" s="923"/>
      <c r="J210" s="923"/>
      <c r="K210" s="923"/>
      <c r="L210" s="923"/>
      <c r="M210" s="923"/>
      <c r="N210" s="906"/>
    </row>
    <row r="211" spans="1:14">
      <c r="A211" s="910" t="s">
        <v>966</v>
      </c>
      <c r="B211" s="938">
        <v>12</v>
      </c>
      <c r="C211" s="938">
        <v>12</v>
      </c>
      <c r="D211" s="938">
        <v>12</v>
      </c>
      <c r="E211" s="938">
        <v>12</v>
      </c>
      <c r="F211" s="938">
        <f t="shared" ref="F211:N211" si="45">E214</f>
        <v>12</v>
      </c>
      <c r="G211" s="938">
        <f t="shared" si="45"/>
        <v>12</v>
      </c>
      <c r="H211" s="938">
        <f t="shared" si="45"/>
        <v>12</v>
      </c>
      <c r="I211" s="938">
        <f t="shared" si="45"/>
        <v>12</v>
      </c>
      <c r="J211" s="938">
        <f t="shared" si="45"/>
        <v>12</v>
      </c>
      <c r="K211" s="938">
        <f t="shared" si="45"/>
        <v>12</v>
      </c>
      <c r="L211" s="938">
        <f t="shared" si="45"/>
        <v>12</v>
      </c>
      <c r="M211" s="938">
        <f t="shared" si="45"/>
        <v>12</v>
      </c>
      <c r="N211" s="938">
        <f t="shared" si="45"/>
        <v>12</v>
      </c>
    </row>
    <row r="212" spans="1:14">
      <c r="A212" s="910" t="s">
        <v>967</v>
      </c>
      <c r="B212" s="938"/>
      <c r="C212" s="938"/>
      <c r="D212" s="938"/>
      <c r="E212" s="938"/>
      <c r="F212" s="938"/>
      <c r="G212" s="938"/>
      <c r="H212" s="938"/>
      <c r="I212" s="938"/>
      <c r="J212" s="938"/>
      <c r="K212" s="938"/>
      <c r="L212" s="938"/>
      <c r="M212" s="938"/>
      <c r="N212" s="938">
        <f>SUM(B212:M212)/12</f>
        <v>0</v>
      </c>
    </row>
    <row r="213" spans="1:14">
      <c r="A213" s="910" t="s">
        <v>968</v>
      </c>
      <c r="B213" s="938"/>
      <c r="C213" s="938"/>
      <c r="D213" s="938"/>
      <c r="E213" s="938"/>
      <c r="F213" s="938"/>
      <c r="G213" s="938"/>
      <c r="H213" s="938"/>
      <c r="I213" s="938"/>
      <c r="J213" s="938"/>
      <c r="K213" s="938"/>
      <c r="L213" s="938"/>
      <c r="M213" s="938"/>
      <c r="N213" s="938">
        <f>SUM(B212:M212)/12</f>
        <v>0</v>
      </c>
    </row>
    <row r="214" spans="1:14">
      <c r="A214" s="910" t="s">
        <v>965</v>
      </c>
      <c r="B214" s="938">
        <f t="shared" ref="B214:M214" si="46">SUM(B211+B212-B213)</f>
        <v>12</v>
      </c>
      <c r="C214" s="938">
        <f t="shared" si="46"/>
        <v>12</v>
      </c>
      <c r="D214" s="938">
        <f t="shared" si="46"/>
        <v>12</v>
      </c>
      <c r="E214" s="938">
        <f t="shared" si="46"/>
        <v>12</v>
      </c>
      <c r="F214" s="938">
        <f t="shared" si="46"/>
        <v>12</v>
      </c>
      <c r="G214" s="938">
        <f t="shared" si="46"/>
        <v>12</v>
      </c>
      <c r="H214" s="938">
        <f t="shared" si="46"/>
        <v>12</v>
      </c>
      <c r="I214" s="938">
        <f t="shared" si="46"/>
        <v>12</v>
      </c>
      <c r="J214" s="938">
        <f t="shared" si="46"/>
        <v>12</v>
      </c>
      <c r="K214" s="938">
        <f t="shared" si="46"/>
        <v>12</v>
      </c>
      <c r="L214" s="938">
        <f t="shared" si="46"/>
        <v>12</v>
      </c>
      <c r="M214" s="938">
        <f t="shared" si="46"/>
        <v>12</v>
      </c>
      <c r="N214" s="938">
        <f>SUM(B213:M213)/12</f>
        <v>0</v>
      </c>
    </row>
    <row r="215" spans="1:14">
      <c r="A215" s="910" t="s">
        <v>969</v>
      </c>
      <c r="B215" s="939">
        <f t="shared" ref="B215:M215" si="47">SUM(B214*100)/B211-100</f>
        <v>0</v>
      </c>
      <c r="C215" s="939">
        <f t="shared" si="47"/>
        <v>0</v>
      </c>
      <c r="D215" s="939">
        <f t="shared" si="47"/>
        <v>0</v>
      </c>
      <c r="E215" s="939">
        <f t="shared" si="47"/>
        <v>0</v>
      </c>
      <c r="F215" s="939">
        <f t="shared" si="47"/>
        <v>0</v>
      </c>
      <c r="G215" s="939">
        <f t="shared" si="47"/>
        <v>0</v>
      </c>
      <c r="H215" s="939">
        <f t="shared" si="47"/>
        <v>0</v>
      </c>
      <c r="I215" s="939">
        <f t="shared" si="47"/>
        <v>0</v>
      </c>
      <c r="J215" s="939">
        <f t="shared" si="47"/>
        <v>0</v>
      </c>
      <c r="K215" s="939">
        <f t="shared" si="47"/>
        <v>0</v>
      </c>
      <c r="L215" s="939">
        <f t="shared" si="47"/>
        <v>0</v>
      </c>
      <c r="M215" s="939">
        <f t="shared" si="47"/>
        <v>0</v>
      </c>
      <c r="N215" s="938"/>
    </row>
    <row r="216" spans="1:14">
      <c r="A216" s="922" t="s">
        <v>970</v>
      </c>
      <c r="B216" s="940"/>
      <c r="C216" s="940"/>
      <c r="D216" s="941">
        <f>SUM(B215:D215/3)</f>
        <v>0</v>
      </c>
      <c r="E216" s="940"/>
      <c r="F216" s="940"/>
      <c r="G216" s="941">
        <f>SUM(E215:G215)/3</f>
        <v>0</v>
      </c>
      <c r="H216" s="940"/>
      <c r="I216" s="940"/>
      <c r="J216" s="941">
        <f>SUM(H215:J215)/3</f>
        <v>0</v>
      </c>
      <c r="K216" s="940"/>
      <c r="L216" s="940"/>
      <c r="M216" s="941">
        <f>SUM(K215:M215)/3</f>
        <v>0</v>
      </c>
      <c r="N216" s="940"/>
    </row>
    <row r="217" spans="1:14" ht="13.5" thickBot="1">
      <c r="A217" s="1051"/>
      <c r="B217" s="1052"/>
      <c r="C217" s="1052"/>
      <c r="D217" s="1052"/>
      <c r="E217" s="1052"/>
      <c r="F217" s="1052"/>
      <c r="G217" s="1052"/>
      <c r="H217" s="1052"/>
      <c r="I217" s="1052"/>
      <c r="J217" s="1052"/>
      <c r="K217" s="1052"/>
      <c r="L217" s="1052"/>
      <c r="M217" s="1052"/>
      <c r="N217" s="1053"/>
    </row>
    <row r="218" spans="1:14" ht="15.75">
      <c r="A218" s="1054" t="s">
        <v>1022</v>
      </c>
      <c r="B218" s="1054"/>
      <c r="C218" s="1054"/>
      <c r="D218" s="1054"/>
      <c r="E218" s="1054"/>
      <c r="F218" s="1054"/>
      <c r="G218" s="1054"/>
      <c r="H218" s="1054"/>
      <c r="I218" s="1054"/>
      <c r="J218" s="1054"/>
      <c r="K218" s="1054"/>
      <c r="L218" s="1054"/>
      <c r="M218" s="1054"/>
      <c r="N218" s="1054"/>
    </row>
    <row r="219" spans="1:14" ht="15.75">
      <c r="E219" s="961"/>
      <c r="M219" s="923"/>
      <c r="N219" s="906"/>
    </row>
    <row r="220" spans="1:14">
      <c r="A220" s="1055" t="s">
        <v>1023</v>
      </c>
      <c r="B220" s="1056"/>
      <c r="C220" s="1057"/>
      <c r="D220" s="971" t="s">
        <v>1024</v>
      </c>
      <c r="I220" s="962" t="s">
        <v>1025</v>
      </c>
      <c r="J220" s="1056"/>
      <c r="K220" s="1056"/>
      <c r="L220" s="1056"/>
      <c r="M220" s="966"/>
      <c r="N220" s="1270"/>
    </row>
    <row r="221" spans="1:14">
      <c r="A221" s="1058" t="s">
        <v>1026</v>
      </c>
      <c r="B221" s="1059"/>
      <c r="C221" s="1060"/>
      <c r="D221" s="969">
        <v>283339</v>
      </c>
      <c r="E221" s="970"/>
      <c r="I221" s="1171"/>
      <c r="J221" s="1171" t="s">
        <v>1027</v>
      </c>
      <c r="K221" s="1271"/>
      <c r="L221" s="949" t="s">
        <v>1028</v>
      </c>
      <c r="M221" s="1271" t="s">
        <v>1029</v>
      </c>
      <c r="N221" s="1066"/>
    </row>
    <row r="222" spans="1:14">
      <c r="A222" s="1058" t="s">
        <v>1030</v>
      </c>
      <c r="B222" s="1059"/>
      <c r="C222" s="968"/>
      <c r="D222" s="969">
        <v>373262</v>
      </c>
      <c r="E222" s="970"/>
      <c r="I222" s="965" t="s">
        <v>1031</v>
      </c>
      <c r="J222" s="982"/>
      <c r="K222" s="968"/>
      <c r="L222" s="971"/>
      <c r="M222" s="1272">
        <v>418920</v>
      </c>
      <c r="N222" s="1270"/>
    </row>
    <row r="223" spans="1:14">
      <c r="A223" s="1058" t="s">
        <v>1032</v>
      </c>
      <c r="B223" s="1059"/>
      <c r="C223" s="968"/>
      <c r="D223" s="969">
        <v>330170</v>
      </c>
      <c r="E223" s="970"/>
      <c r="I223" s="965"/>
      <c r="J223" s="982"/>
      <c r="K223" s="968"/>
      <c r="L223" s="971"/>
      <c r="M223" s="1273"/>
      <c r="N223" s="1270"/>
    </row>
    <row r="224" spans="1:14" ht="13.5" thickBot="1">
      <c r="A224" s="1058" t="s">
        <v>1033</v>
      </c>
      <c r="B224" s="963"/>
      <c r="C224" s="968" t="s">
        <v>1034</v>
      </c>
      <c r="D224" s="969">
        <v>0</v>
      </c>
      <c r="E224" s="970"/>
      <c r="I224" s="988" t="s">
        <v>1035</v>
      </c>
      <c r="J224" s="1289" t="s">
        <v>1141</v>
      </c>
      <c r="K224" s="993"/>
      <c r="L224" s="991"/>
      <c r="M224" s="1274">
        <f>'[4]Øvrige Kontrakter 2012'!$K$43</f>
        <v>3533299</v>
      </c>
      <c r="N224" s="1275"/>
    </row>
    <row r="225" spans="1:14" ht="13.5" thickBot="1">
      <c r="A225" s="1058" t="s">
        <v>1142</v>
      </c>
      <c r="B225" s="963"/>
      <c r="C225" s="968"/>
      <c r="D225" s="969">
        <v>395816</v>
      </c>
      <c r="E225" s="970"/>
      <c r="I225" s="1061" t="s">
        <v>154</v>
      </c>
      <c r="J225" s="1062"/>
      <c r="K225" s="1063"/>
      <c r="L225" s="1064"/>
      <c r="M225" s="1276">
        <f>SUM(M222:M224)</f>
        <v>3952219</v>
      </c>
      <c r="N225" s="1270"/>
    </row>
    <row r="226" spans="1:14">
      <c r="A226" s="1058" t="s">
        <v>1037</v>
      </c>
      <c r="B226" s="963"/>
      <c r="C226" s="968"/>
      <c r="D226" s="969">
        <v>372760</v>
      </c>
      <c r="E226" s="970"/>
      <c r="I226" s="965" t="s">
        <v>153</v>
      </c>
      <c r="J226" s="963"/>
      <c r="K226" s="963"/>
      <c r="L226" s="1065"/>
      <c r="M226" s="1277">
        <f>M225/12</f>
        <v>329351.58333333331</v>
      </c>
      <c r="N226" s="1270"/>
    </row>
    <row r="227" spans="1:14">
      <c r="A227" s="962" t="s">
        <v>1038</v>
      </c>
      <c r="B227" s="963"/>
      <c r="C227" s="968"/>
      <c r="D227" s="969">
        <v>265650</v>
      </c>
      <c r="E227" s="970"/>
      <c r="G227" s="923"/>
      <c r="H227" s="923"/>
      <c r="I227" s="923"/>
      <c r="J227" s="923"/>
      <c r="K227" s="923"/>
      <c r="L227" s="999"/>
      <c r="M227" s="923"/>
      <c r="N227" s="906"/>
    </row>
    <row r="228" spans="1:14">
      <c r="A228" s="1288" t="s">
        <v>1039</v>
      </c>
      <c r="B228" s="965"/>
      <c r="C228" s="968"/>
      <c r="D228" s="969">
        <v>55660</v>
      </c>
      <c r="E228" s="970"/>
      <c r="G228" s="923"/>
      <c r="H228" s="923"/>
      <c r="I228" s="923"/>
      <c r="J228" s="923"/>
      <c r="K228" s="923"/>
      <c r="L228" s="999"/>
      <c r="M228" s="923"/>
      <c r="N228" s="906"/>
    </row>
    <row r="229" spans="1:14" ht="13.5" thickBot="1">
      <c r="A229" s="1287" t="s">
        <v>1040</v>
      </c>
      <c r="C229" s="1067"/>
      <c r="D229" s="969">
        <v>26500</v>
      </c>
      <c r="E229" s="970"/>
      <c r="G229" s="923"/>
      <c r="H229" s="923"/>
      <c r="I229" s="923"/>
      <c r="J229" s="923"/>
      <c r="K229" s="923"/>
      <c r="L229" s="999"/>
      <c r="M229" s="923"/>
      <c r="N229" s="906"/>
    </row>
    <row r="230" spans="1:14" ht="13.5" thickBot="1">
      <c r="A230" s="973" t="s">
        <v>154</v>
      </c>
      <c r="B230" s="975"/>
      <c r="C230" s="1068"/>
      <c r="D230" s="1249">
        <f>SUM(D221:D229)</f>
        <v>2103157</v>
      </c>
      <c r="E230" s="970"/>
      <c r="G230" s="923"/>
      <c r="H230" s="923"/>
      <c r="I230" s="923"/>
      <c r="J230" s="923"/>
      <c r="K230" s="923"/>
      <c r="L230" s="1278"/>
      <c r="M230" s="923"/>
      <c r="N230" s="906"/>
    </row>
    <row r="231" spans="1:14">
      <c r="A231" s="1069" t="s">
        <v>153</v>
      </c>
      <c r="B231" s="1070"/>
      <c r="C231" s="1071"/>
      <c r="D231" s="1072">
        <f>D230/12</f>
        <v>175263.08333333334</v>
      </c>
      <c r="E231" s="970"/>
      <c r="G231" s="923"/>
      <c r="H231" s="923"/>
      <c r="I231" s="923"/>
      <c r="J231" s="923"/>
      <c r="K231" s="923"/>
      <c r="L231" s="1278"/>
      <c r="M231" s="923"/>
      <c r="N231" s="906"/>
    </row>
    <row r="232" spans="1:14">
      <c r="C232" s="1073"/>
      <c r="E232" s="970"/>
      <c r="G232" s="923"/>
      <c r="H232" s="923"/>
      <c r="I232" s="923"/>
      <c r="J232" s="923"/>
      <c r="K232" s="923"/>
      <c r="L232" s="1278"/>
      <c r="M232" s="923"/>
      <c r="N232" s="906"/>
    </row>
    <row r="233" spans="1:14">
      <c r="C233" s="1073"/>
      <c r="E233" s="970"/>
      <c r="G233" s="923"/>
      <c r="H233" s="923"/>
      <c r="I233" s="923"/>
      <c r="J233" s="923"/>
      <c r="K233" s="923"/>
      <c r="L233" s="1278"/>
      <c r="M233" s="923"/>
      <c r="N233" s="906"/>
    </row>
    <row r="234" spans="1:14">
      <c r="C234" s="1073"/>
      <c r="E234" s="970"/>
      <c r="G234" s="923"/>
      <c r="H234" s="923"/>
      <c r="I234" s="923"/>
      <c r="J234" s="923"/>
      <c r="K234" s="923"/>
      <c r="L234" s="1278"/>
      <c r="M234" s="923"/>
      <c r="N234" s="906"/>
    </row>
    <row r="235" spans="1:14">
      <c r="C235" s="1073"/>
      <c r="E235" s="970"/>
      <c r="G235" s="923"/>
      <c r="H235" s="923"/>
      <c r="I235" s="923"/>
      <c r="J235" s="923"/>
      <c r="K235" s="923"/>
      <c r="L235" s="1278"/>
      <c r="M235" s="923"/>
      <c r="N235" s="906"/>
    </row>
    <row r="236" spans="1:14">
      <c r="A236" s="937" t="s">
        <v>986</v>
      </c>
      <c r="B236" s="923"/>
      <c r="C236" s="923"/>
      <c r="D236" s="923"/>
      <c r="E236" s="923"/>
      <c r="F236" s="923"/>
      <c r="G236" s="923"/>
      <c r="H236" s="923"/>
      <c r="I236" s="923"/>
      <c r="J236" s="923"/>
      <c r="K236" s="923"/>
      <c r="L236" s="923"/>
      <c r="M236" s="923"/>
      <c r="N236" s="906"/>
    </row>
    <row r="237" spans="1:14">
      <c r="A237" s="1007"/>
      <c r="B237" s="911" t="s">
        <v>924</v>
      </c>
      <c r="C237" s="911" t="s">
        <v>925</v>
      </c>
      <c r="D237" s="911" t="s">
        <v>926</v>
      </c>
      <c r="E237" s="911" t="s">
        <v>927</v>
      </c>
      <c r="F237" s="911" t="s">
        <v>928</v>
      </c>
      <c r="G237" s="911" t="s">
        <v>929</v>
      </c>
      <c r="H237" s="911" t="s">
        <v>918</v>
      </c>
      <c r="I237" s="911" t="s">
        <v>919</v>
      </c>
      <c r="J237" s="911" t="s">
        <v>920</v>
      </c>
      <c r="K237" s="911" t="s">
        <v>921</v>
      </c>
      <c r="L237" s="911" t="s">
        <v>922</v>
      </c>
      <c r="M237" s="911" t="s">
        <v>923</v>
      </c>
      <c r="N237" s="907"/>
    </row>
    <row r="238" spans="1:14">
      <c r="A238" s="910" t="s">
        <v>987</v>
      </c>
      <c r="B238" s="1008">
        <f t="shared" ref="B238:M238" si="48">$D$231</f>
        <v>175263.08333333334</v>
      </c>
      <c r="C238" s="1008">
        <f t="shared" si="48"/>
        <v>175263.08333333334</v>
      </c>
      <c r="D238" s="1008">
        <f t="shared" si="48"/>
        <v>175263.08333333334</v>
      </c>
      <c r="E238" s="1008">
        <f t="shared" si="48"/>
        <v>175263.08333333334</v>
      </c>
      <c r="F238" s="1008">
        <f t="shared" si="48"/>
        <v>175263.08333333334</v>
      </c>
      <c r="G238" s="1008">
        <f t="shared" si="48"/>
        <v>175263.08333333334</v>
      </c>
      <c r="H238" s="1008">
        <f t="shared" si="48"/>
        <v>175263.08333333334</v>
      </c>
      <c r="I238" s="1008">
        <f t="shared" si="48"/>
        <v>175263.08333333334</v>
      </c>
      <c r="J238" s="1008">
        <f t="shared" si="48"/>
        <v>175263.08333333334</v>
      </c>
      <c r="K238" s="1008">
        <f t="shared" si="48"/>
        <v>175263.08333333334</v>
      </c>
      <c r="L238" s="1008">
        <f t="shared" si="48"/>
        <v>175263.08333333334</v>
      </c>
      <c r="M238" s="1008">
        <f t="shared" si="48"/>
        <v>175263.08333333334</v>
      </c>
      <c r="N238" s="1011">
        <f>SUM(B238:M238)</f>
        <v>2103156.9999999995</v>
      </c>
    </row>
    <row r="239" spans="1:14" ht="13.5" thickBot="1">
      <c r="A239" s="926" t="s">
        <v>988</v>
      </c>
      <c r="B239" s="1010">
        <f t="shared" ref="B239:M239" si="49">$M$226</f>
        <v>329351.58333333331</v>
      </c>
      <c r="C239" s="1010">
        <f t="shared" si="49"/>
        <v>329351.58333333331</v>
      </c>
      <c r="D239" s="1010">
        <f t="shared" si="49"/>
        <v>329351.58333333331</v>
      </c>
      <c r="E239" s="1010">
        <f t="shared" si="49"/>
        <v>329351.58333333331</v>
      </c>
      <c r="F239" s="1010">
        <f t="shared" si="49"/>
        <v>329351.58333333331</v>
      </c>
      <c r="G239" s="1010">
        <f t="shared" si="49"/>
        <v>329351.58333333331</v>
      </c>
      <c r="H239" s="1010">
        <f t="shared" si="49"/>
        <v>329351.58333333331</v>
      </c>
      <c r="I239" s="1010">
        <f t="shared" si="49"/>
        <v>329351.58333333331</v>
      </c>
      <c r="J239" s="1010">
        <f t="shared" si="49"/>
        <v>329351.58333333331</v>
      </c>
      <c r="K239" s="1010">
        <f t="shared" si="49"/>
        <v>329351.58333333331</v>
      </c>
      <c r="L239" s="1010">
        <f t="shared" si="49"/>
        <v>329351.58333333331</v>
      </c>
      <c r="M239" s="1010">
        <f t="shared" si="49"/>
        <v>329351.58333333331</v>
      </c>
      <c r="N239" s="1011">
        <f t="shared" ref="N239:N245" si="50">SUM(B239:M239)</f>
        <v>3952219.0000000005</v>
      </c>
    </row>
    <row r="240" spans="1:14" ht="13.5" thickBot="1">
      <c r="A240" s="1012" t="s">
        <v>1041</v>
      </c>
      <c r="B240" s="1074">
        <f t="shared" ref="B240:M240" si="51">SUM(B238,B239)</f>
        <v>504614.66666666663</v>
      </c>
      <c r="C240" s="1074">
        <f t="shared" si="51"/>
        <v>504614.66666666663</v>
      </c>
      <c r="D240" s="1074">
        <f t="shared" si="51"/>
        <v>504614.66666666663</v>
      </c>
      <c r="E240" s="1074">
        <f t="shared" si="51"/>
        <v>504614.66666666663</v>
      </c>
      <c r="F240" s="1074">
        <f t="shared" si="51"/>
        <v>504614.66666666663</v>
      </c>
      <c r="G240" s="1074">
        <f t="shared" si="51"/>
        <v>504614.66666666663</v>
      </c>
      <c r="H240" s="1074">
        <f t="shared" si="51"/>
        <v>504614.66666666663</v>
      </c>
      <c r="I240" s="1074">
        <f t="shared" si="51"/>
        <v>504614.66666666663</v>
      </c>
      <c r="J240" s="1074">
        <f t="shared" si="51"/>
        <v>504614.66666666663</v>
      </c>
      <c r="K240" s="1074">
        <f t="shared" si="51"/>
        <v>504614.66666666663</v>
      </c>
      <c r="L240" s="1074">
        <f t="shared" si="51"/>
        <v>504614.66666666663</v>
      </c>
      <c r="M240" s="1074">
        <f t="shared" si="51"/>
        <v>504614.66666666663</v>
      </c>
      <c r="N240" s="1074">
        <f t="shared" si="50"/>
        <v>6055376</v>
      </c>
    </row>
    <row r="241" spans="1:14">
      <c r="A241" s="1015" t="s">
        <v>1042</v>
      </c>
      <c r="B241" s="1016">
        <v>241299</v>
      </c>
      <c r="C241" s="1016">
        <v>283588</v>
      </c>
      <c r="D241" s="1016">
        <v>267782</v>
      </c>
      <c r="E241" s="1016">
        <v>174168.9</v>
      </c>
      <c r="F241" s="1016">
        <v>216960</v>
      </c>
      <c r="G241" s="1017">
        <v>260372</v>
      </c>
      <c r="H241" s="1016">
        <v>210307</v>
      </c>
      <c r="I241" s="1016">
        <v>221290</v>
      </c>
      <c r="J241" s="1016">
        <v>205479</v>
      </c>
      <c r="K241" s="1016">
        <v>236545.7</v>
      </c>
      <c r="L241" s="1016">
        <v>221664</v>
      </c>
      <c r="M241" s="1016"/>
      <c r="N241" s="1016">
        <f t="shared" si="50"/>
        <v>2539455.6</v>
      </c>
    </row>
    <row r="242" spans="1:14">
      <c r="A242" s="1015" t="s">
        <v>1043</v>
      </c>
      <c r="B242" s="1016"/>
      <c r="C242" s="1016">
        <v>975</v>
      </c>
      <c r="D242" s="1016">
        <v>1125</v>
      </c>
      <c r="E242" s="1016">
        <v>1175</v>
      </c>
      <c r="F242" s="1016">
        <v>1032</v>
      </c>
      <c r="G242" s="1017">
        <v>1000</v>
      </c>
      <c r="H242" s="1016">
        <v>1225</v>
      </c>
      <c r="I242" s="1016"/>
      <c r="J242" s="1016"/>
      <c r="K242" s="1016"/>
      <c r="L242" s="1016"/>
      <c r="M242" s="1016"/>
      <c r="N242" s="1016">
        <f t="shared" si="50"/>
        <v>6532</v>
      </c>
    </row>
    <row r="243" spans="1:14">
      <c r="A243" s="907" t="s">
        <v>1044</v>
      </c>
      <c r="B243" s="1009">
        <v>875</v>
      </c>
      <c r="C243" s="1009">
        <v>175</v>
      </c>
      <c r="D243" s="1009">
        <v>3600</v>
      </c>
      <c r="E243" s="1009">
        <v>1250</v>
      </c>
      <c r="F243" s="1009">
        <v>375</v>
      </c>
      <c r="G243" s="1018">
        <v>125</v>
      </c>
      <c r="H243" s="1009">
        <v>50375</v>
      </c>
      <c r="I243" s="1009">
        <v>125</v>
      </c>
      <c r="J243" s="1009">
        <v>825</v>
      </c>
      <c r="K243" s="1009">
        <v>5200</v>
      </c>
      <c r="L243" s="1009">
        <v>2125</v>
      </c>
      <c r="M243" s="1009">
        <v>175</v>
      </c>
      <c r="N243" s="1016">
        <f t="shared" si="50"/>
        <v>65225</v>
      </c>
    </row>
    <row r="244" spans="1:14">
      <c r="A244" s="1028" t="s">
        <v>993</v>
      </c>
      <c r="B244" s="1009">
        <v>24375</v>
      </c>
      <c r="C244" s="1009"/>
      <c r="D244" s="1009">
        <v>4650</v>
      </c>
      <c r="E244" s="1009">
        <v>20250</v>
      </c>
      <c r="F244" s="1009">
        <v>8100</v>
      </c>
      <c r="G244" s="1018">
        <v>2850</v>
      </c>
      <c r="H244" s="1009"/>
      <c r="I244" s="1009">
        <v>7500</v>
      </c>
      <c r="J244" s="1009">
        <v>12150</v>
      </c>
      <c r="K244" s="1009">
        <v>31600</v>
      </c>
      <c r="L244" s="1009">
        <v>7950</v>
      </c>
      <c r="M244" s="1009"/>
      <c r="N244" s="1016">
        <f t="shared" si="50"/>
        <v>119425</v>
      </c>
    </row>
    <row r="245" spans="1:14" ht="13.5" thickBot="1">
      <c r="A245" s="907" t="s">
        <v>1045</v>
      </c>
      <c r="B245" s="1023"/>
      <c r="C245" s="1023"/>
      <c r="D245" s="1023">
        <v>29400</v>
      </c>
      <c r="E245" s="1023"/>
      <c r="F245" s="1023"/>
      <c r="G245" s="1279"/>
      <c r="H245" s="1023"/>
      <c r="I245" s="1023"/>
      <c r="J245" s="1023"/>
      <c r="K245" s="1023"/>
      <c r="L245" s="1023">
        <v>110000</v>
      </c>
      <c r="M245" s="1023"/>
      <c r="N245" s="1016">
        <f t="shared" si="50"/>
        <v>139400</v>
      </c>
    </row>
    <row r="246" spans="1:14" ht="13.5" thickBot="1">
      <c r="A246" s="1020" t="s">
        <v>1003</v>
      </c>
      <c r="B246" s="1040">
        <f>SUM(B241:B245)</f>
        <v>266549</v>
      </c>
      <c r="C246" s="1040">
        <f t="shared" ref="C246:M246" si="52">SUM(C241:C245)</f>
        <v>284738</v>
      </c>
      <c r="D246" s="1040">
        <f t="shared" si="52"/>
        <v>306557</v>
      </c>
      <c r="E246" s="1040">
        <f t="shared" si="52"/>
        <v>196843.9</v>
      </c>
      <c r="F246" s="1040">
        <f t="shared" si="52"/>
        <v>226467</v>
      </c>
      <c r="G246" s="1040">
        <f t="shared" si="52"/>
        <v>264347</v>
      </c>
      <c r="H246" s="1040">
        <f t="shared" si="52"/>
        <v>261907</v>
      </c>
      <c r="I246" s="1040">
        <f t="shared" si="52"/>
        <v>228915</v>
      </c>
      <c r="J246" s="1040">
        <f t="shared" si="52"/>
        <v>218454</v>
      </c>
      <c r="K246" s="1040">
        <f t="shared" si="52"/>
        <v>273345.7</v>
      </c>
      <c r="L246" s="1040">
        <f t="shared" si="52"/>
        <v>341739</v>
      </c>
      <c r="M246" s="1040">
        <f t="shared" si="52"/>
        <v>175</v>
      </c>
      <c r="N246" s="1040">
        <f t="shared" ref="N246:N260" si="53">SUM(B246:M246)</f>
        <v>2870037.6</v>
      </c>
    </row>
    <row r="247" spans="1:14">
      <c r="A247" s="907" t="s">
        <v>1002</v>
      </c>
      <c r="B247" s="1011"/>
      <c r="C247" s="1011"/>
      <c r="D247" s="1011"/>
      <c r="E247" s="1011"/>
      <c r="F247" s="1011"/>
      <c r="G247" s="1077"/>
      <c r="H247" s="1011"/>
      <c r="I247" s="1011"/>
      <c r="J247" s="1011"/>
      <c r="K247" s="1011"/>
      <c r="L247" s="1011"/>
      <c r="M247" s="1011"/>
      <c r="N247" s="1011">
        <f t="shared" si="53"/>
        <v>0</v>
      </c>
    </row>
    <row r="248" spans="1:14">
      <c r="A248" s="1042" t="s">
        <v>1003</v>
      </c>
      <c r="B248" s="1078">
        <f t="shared" ref="B248:M248" si="54">SUM(B240,B246,B247)</f>
        <v>771163.66666666663</v>
      </c>
      <c r="C248" s="1078">
        <f t="shared" si="54"/>
        <v>789352.66666666663</v>
      </c>
      <c r="D248" s="1078">
        <f t="shared" si="54"/>
        <v>811171.66666666663</v>
      </c>
      <c r="E248" s="1078">
        <f t="shared" si="54"/>
        <v>701458.56666666665</v>
      </c>
      <c r="F248" s="1078">
        <f t="shared" si="54"/>
        <v>731081.66666666663</v>
      </c>
      <c r="G248" s="1078">
        <f t="shared" si="54"/>
        <v>768961.66666666663</v>
      </c>
      <c r="H248" s="1078">
        <f t="shared" si="54"/>
        <v>766521.66666666663</v>
      </c>
      <c r="I248" s="1078">
        <f t="shared" si="54"/>
        <v>733529.66666666663</v>
      </c>
      <c r="J248" s="1078">
        <f t="shared" si="54"/>
        <v>723068.66666666663</v>
      </c>
      <c r="K248" s="1078">
        <f t="shared" si="54"/>
        <v>777960.3666666667</v>
      </c>
      <c r="L248" s="1078">
        <f t="shared" si="54"/>
        <v>846353.66666666663</v>
      </c>
      <c r="M248" s="1078">
        <f t="shared" si="54"/>
        <v>504789.66666666663</v>
      </c>
      <c r="N248" s="1078">
        <f t="shared" si="53"/>
        <v>8925413.5999999996</v>
      </c>
    </row>
    <row r="249" spans="1:14">
      <c r="A249" s="1079" t="s">
        <v>1046</v>
      </c>
      <c r="B249" s="1010">
        <v>333625</v>
      </c>
      <c r="C249" s="1010">
        <v>329280</v>
      </c>
      <c r="D249" s="1010">
        <v>324721</v>
      </c>
      <c r="E249" s="1010">
        <v>387187</v>
      </c>
      <c r="F249" s="1010">
        <v>360265</v>
      </c>
      <c r="G249" s="1010">
        <v>337554</v>
      </c>
      <c r="H249" s="1010">
        <v>324572</v>
      </c>
      <c r="I249" s="1010">
        <v>323329</v>
      </c>
      <c r="J249" s="1010">
        <v>336558</v>
      </c>
      <c r="K249" s="1010">
        <v>327491</v>
      </c>
      <c r="L249" s="1010">
        <v>330000</v>
      </c>
      <c r="M249" s="1010">
        <v>330000</v>
      </c>
      <c r="N249" s="1010">
        <f t="shared" si="53"/>
        <v>4044582</v>
      </c>
    </row>
    <row r="250" spans="1:14">
      <c r="A250" s="907" t="s">
        <v>1047</v>
      </c>
      <c r="B250" s="1010"/>
      <c r="C250" s="1010"/>
      <c r="D250" s="1010"/>
      <c r="E250" s="1010"/>
      <c r="F250" s="1010"/>
      <c r="G250" s="1010"/>
      <c r="H250" s="1010">
        <v>250000</v>
      </c>
      <c r="I250" s="1010"/>
      <c r="J250" s="1010"/>
      <c r="K250" s="1010"/>
      <c r="L250" s="1010"/>
      <c r="M250" s="1010"/>
      <c r="N250" s="1010">
        <f>SUM(B250:M250)</f>
        <v>250000</v>
      </c>
    </row>
    <row r="251" spans="1:14">
      <c r="A251" s="907" t="s">
        <v>1005</v>
      </c>
      <c r="B251" s="1010"/>
      <c r="C251" s="1010"/>
      <c r="D251" s="1010"/>
      <c r="E251" s="1010"/>
      <c r="F251" s="1010">
        <v>23747</v>
      </c>
      <c r="G251" s="1010"/>
      <c r="H251" s="1010"/>
      <c r="I251" s="1010"/>
      <c r="J251" s="1010"/>
      <c r="K251" s="1010"/>
      <c r="L251" s="1010"/>
      <c r="M251" s="1010"/>
      <c r="N251" s="1010">
        <f>SUM(B251:M251)</f>
        <v>23747</v>
      </c>
    </row>
    <row r="252" spans="1:14">
      <c r="A252" s="907" t="s">
        <v>1048</v>
      </c>
      <c r="B252" s="1010">
        <v>4038</v>
      </c>
      <c r="C252" s="1010">
        <v>7255</v>
      </c>
      <c r="D252" s="1010">
        <v>5239</v>
      </c>
      <c r="E252" s="1010">
        <v>7089</v>
      </c>
      <c r="F252" s="1010">
        <v>6096</v>
      </c>
      <c r="G252" s="1010">
        <v>5467</v>
      </c>
      <c r="H252" s="1010">
        <v>8105</v>
      </c>
      <c r="I252" s="1010">
        <v>9648</v>
      </c>
      <c r="J252" s="1010">
        <v>5829</v>
      </c>
      <c r="K252" s="1010">
        <v>8431</v>
      </c>
      <c r="L252" s="1010">
        <v>10000</v>
      </c>
      <c r="M252" s="1010">
        <v>10000</v>
      </c>
      <c r="N252" s="1010">
        <f t="shared" si="53"/>
        <v>87197</v>
      </c>
    </row>
    <row r="253" spans="1:14">
      <c r="A253" s="907" t="s">
        <v>1143</v>
      </c>
      <c r="B253" s="1010"/>
      <c r="C253" s="1010"/>
      <c r="D253" s="1010">
        <v>6671</v>
      </c>
      <c r="E253" s="1010">
        <v>2938</v>
      </c>
      <c r="F253" s="1010">
        <v>5000</v>
      </c>
      <c r="G253" s="1010">
        <v>5000</v>
      </c>
      <c r="H253" s="1010">
        <v>5000</v>
      </c>
      <c r="I253" s="1010">
        <v>5000</v>
      </c>
      <c r="J253" s="1010">
        <v>5000</v>
      </c>
      <c r="K253" s="1010">
        <v>5000</v>
      </c>
      <c r="L253" s="1010">
        <v>5000</v>
      </c>
      <c r="M253" s="1010">
        <v>5000</v>
      </c>
      <c r="N253" s="1010">
        <f>SUM(B253:M253)</f>
        <v>49609</v>
      </c>
    </row>
    <row r="254" spans="1:14">
      <c r="A254" s="907" t="s">
        <v>1050</v>
      </c>
      <c r="B254" s="1010">
        <v>53852</v>
      </c>
      <c r="C254" s="1010"/>
      <c r="D254" s="1010"/>
      <c r="E254" s="1010">
        <v>27214</v>
      </c>
      <c r="F254" s="1010"/>
      <c r="G254" s="1010"/>
      <c r="H254" s="1010">
        <v>27214</v>
      </c>
      <c r="I254" s="1010"/>
      <c r="J254" s="1010"/>
      <c r="K254" s="1010">
        <v>27214</v>
      </c>
      <c r="L254" s="1010"/>
      <c r="M254" s="1010"/>
      <c r="N254" s="1010">
        <f t="shared" si="53"/>
        <v>135494</v>
      </c>
    </row>
    <row r="255" spans="1:14">
      <c r="A255" s="907" t="s">
        <v>1051</v>
      </c>
      <c r="B255" s="1010">
        <v>2429</v>
      </c>
      <c r="C255" s="1010">
        <v>2429</v>
      </c>
      <c r="D255" s="1010">
        <v>2429</v>
      </c>
      <c r="E255" s="1010">
        <v>2429</v>
      </c>
      <c r="F255" s="1010">
        <v>2429</v>
      </c>
      <c r="G255" s="1010">
        <v>2429</v>
      </c>
      <c r="H255" s="1010">
        <v>2429</v>
      </c>
      <c r="I255" s="1010">
        <v>2429</v>
      </c>
      <c r="J255" s="1010">
        <v>2429</v>
      </c>
      <c r="K255" s="1010">
        <v>2429</v>
      </c>
      <c r="L255" s="1010">
        <v>2429</v>
      </c>
      <c r="M255" s="1010">
        <v>2429</v>
      </c>
      <c r="N255" s="1010">
        <f t="shared" si="53"/>
        <v>29148</v>
      </c>
    </row>
    <row r="256" spans="1:14">
      <c r="A256" s="907" t="s">
        <v>1052</v>
      </c>
      <c r="B256" s="1010"/>
      <c r="C256" s="1010"/>
      <c r="D256" s="1010"/>
      <c r="E256" s="1010"/>
      <c r="F256" s="1010"/>
      <c r="G256" s="1010"/>
      <c r="H256" s="1010"/>
      <c r="I256" s="1010"/>
      <c r="J256" s="1010">
        <v>167546</v>
      </c>
      <c r="K256" s="1010">
        <v>30000</v>
      </c>
      <c r="L256" s="1010">
        <v>30000</v>
      </c>
      <c r="M256" s="1010">
        <v>30000</v>
      </c>
      <c r="N256" s="1010">
        <f t="shared" si="53"/>
        <v>257546</v>
      </c>
    </row>
    <row r="257" spans="1:14">
      <c r="A257" s="907" t="s">
        <v>1053</v>
      </c>
      <c r="B257" s="1010">
        <v>5680</v>
      </c>
      <c r="C257" s="1010">
        <v>5680</v>
      </c>
      <c r="D257" s="1010">
        <v>5680</v>
      </c>
      <c r="E257" s="1010">
        <v>5680</v>
      </c>
      <c r="F257" s="1010">
        <v>5680</v>
      </c>
      <c r="G257" s="1010">
        <v>5680</v>
      </c>
      <c r="H257" s="1010">
        <v>5680</v>
      </c>
      <c r="I257" s="1010">
        <v>5680</v>
      </c>
      <c r="J257" s="1010">
        <v>5680</v>
      </c>
      <c r="K257" s="1010">
        <v>5680</v>
      </c>
      <c r="L257" s="1010">
        <v>5680</v>
      </c>
      <c r="M257" s="1010">
        <v>5680</v>
      </c>
      <c r="N257" s="1010">
        <f t="shared" si="53"/>
        <v>68160</v>
      </c>
    </row>
    <row r="258" spans="1:14">
      <c r="A258" s="907" t="s">
        <v>1054</v>
      </c>
      <c r="B258" s="1008">
        <v>229965</v>
      </c>
      <c r="C258" s="1008">
        <v>268945</v>
      </c>
      <c r="D258" s="1008">
        <v>255187</v>
      </c>
      <c r="E258" s="1008">
        <v>166648</v>
      </c>
      <c r="F258" s="1008">
        <v>207215</v>
      </c>
      <c r="G258" s="1008">
        <v>248244</v>
      </c>
      <c r="H258" s="1008">
        <v>200491</v>
      </c>
      <c r="I258" s="1008">
        <v>211029</v>
      </c>
      <c r="J258" s="1008">
        <v>196060</v>
      </c>
      <c r="K258" s="1008">
        <v>226734.1</v>
      </c>
      <c r="L258" s="1008">
        <v>211242</v>
      </c>
      <c r="M258" s="1008"/>
      <c r="N258" s="1010">
        <f t="shared" si="53"/>
        <v>2421760.1</v>
      </c>
    </row>
    <row r="259" spans="1:14">
      <c r="A259" s="907" t="s">
        <v>1006</v>
      </c>
      <c r="B259" s="1008"/>
      <c r="C259" s="1008"/>
      <c r="D259" s="1008"/>
      <c r="E259" s="1008"/>
      <c r="F259" s="1008"/>
      <c r="G259" s="1008"/>
      <c r="H259" s="1008"/>
      <c r="I259" s="1008">
        <v>400000</v>
      </c>
      <c r="J259" s="1008"/>
      <c r="K259" s="1008"/>
      <c r="L259" s="1008"/>
      <c r="M259" s="1008"/>
      <c r="N259" s="1010">
        <f>SUM(B259:M259)</f>
        <v>400000</v>
      </c>
    </row>
    <row r="260" spans="1:14">
      <c r="A260" s="1046" t="s">
        <v>1009</v>
      </c>
      <c r="B260" s="1047">
        <f>SUM(B248-B249-B250-B251-B252-B253-B254-B255-B256-B257-B258)</f>
        <v>141574.66666666663</v>
      </c>
      <c r="C260" s="1047">
        <f>SUM(C248-C249-C251-C252-C253-C254-C255-C256-C257-C258)</f>
        <v>175763.66666666663</v>
      </c>
      <c r="D260" s="1047">
        <f>SUM(D248-D249-D251-D252-D253-D254-D255-D256-D257-D258)</f>
        <v>211244.66666666663</v>
      </c>
      <c r="E260" s="1047">
        <f>SUM(E248-E249-E251-E252-E253-E254-E255-E256-E257-E258)</f>
        <v>102273.56666666665</v>
      </c>
      <c r="F260" s="1047">
        <f>SUM(F248-F249-F251-F252-F253-F254-F255-F256-F257-F258)</f>
        <v>120649.66666666663</v>
      </c>
      <c r="G260" s="1047">
        <f>SUM(G248-G249-G251-G252-G253-G254-G255-G256-G257-G258)</f>
        <v>164587.66666666663</v>
      </c>
      <c r="H260" s="1047">
        <f>SUM(H248-H249-H250-H251-H252-H253-H254-H255-H256-H257-H258)</f>
        <v>-56969.333333333372</v>
      </c>
      <c r="I260" s="1047">
        <f>SUM(I248-I249-I251-I252-I253-I254-I255-I256-I257-I258-I259)</f>
        <v>-223585.33333333337</v>
      </c>
      <c r="J260" s="1047">
        <f>SUM(J248-J249-J251-J252-J253-J254-J255-J256-J257-J258)</f>
        <v>3966.6666666666279</v>
      </c>
      <c r="K260" s="1047">
        <f>SUM(K248-K249-K251-K252-K253-K254-K255-K256-K257-K258)</f>
        <v>144981.26666666669</v>
      </c>
      <c r="L260" s="1047">
        <f>SUM(L248-L249-L251-L252-L253-L254-L255-L256-L257-L258)</f>
        <v>252002.66666666663</v>
      </c>
      <c r="M260" s="1047">
        <f>SUM(M248-M249-M251-M252-M253-M254-M255-M256-M257-M258)</f>
        <v>121680.66666666663</v>
      </c>
      <c r="N260" s="1047">
        <f t="shared" si="53"/>
        <v>1158170.4999999995</v>
      </c>
    </row>
    <row r="261" spans="1:14" ht="13.5" thickBot="1">
      <c r="A261" s="1080"/>
      <c r="B261" s="1081"/>
      <c r="C261" s="1081"/>
      <c r="D261" s="1081"/>
      <c r="E261" s="1081"/>
      <c r="F261" s="1081"/>
      <c r="G261" s="1081"/>
      <c r="H261" s="1081"/>
      <c r="I261" s="1081"/>
      <c r="J261" s="1081"/>
      <c r="K261" s="1081"/>
      <c r="L261" s="1081"/>
      <c r="M261" s="1081"/>
      <c r="N261" s="1081"/>
    </row>
    <row r="262" spans="1:14" ht="13.5" thickBot="1">
      <c r="A262" s="960"/>
      <c r="B262" s="960"/>
      <c r="C262" s="960"/>
      <c r="D262" s="960"/>
      <c r="E262" s="960"/>
      <c r="F262" s="960"/>
      <c r="G262" s="960"/>
      <c r="H262" s="960"/>
      <c r="I262" s="960"/>
      <c r="J262" s="960"/>
      <c r="K262" s="960"/>
      <c r="L262" s="960"/>
      <c r="M262" s="960"/>
      <c r="N262" s="960"/>
    </row>
    <row r="263" spans="1:14" ht="20.25">
      <c r="A263" s="1697" t="s">
        <v>1144</v>
      </c>
      <c r="B263" s="1697"/>
      <c r="C263" s="1697"/>
      <c r="D263" s="1697"/>
      <c r="E263" s="1697"/>
      <c r="F263" s="1697"/>
      <c r="G263" s="1697"/>
      <c r="H263" s="1697"/>
      <c r="I263" s="1697"/>
      <c r="J263" s="1697"/>
      <c r="K263" s="1697"/>
      <c r="L263" s="1697"/>
      <c r="M263" s="1697"/>
      <c r="N263" s="1697"/>
    </row>
    <row r="264" spans="1:14">
      <c r="A264" s="906"/>
      <c r="B264" s="906"/>
      <c r="C264" s="906"/>
      <c r="D264" s="906"/>
      <c r="E264" s="906"/>
      <c r="F264" s="906"/>
      <c r="G264" s="906"/>
      <c r="H264" s="906"/>
      <c r="I264" s="906"/>
      <c r="J264" s="906"/>
      <c r="K264" s="906"/>
      <c r="L264" s="906"/>
      <c r="M264" s="906"/>
    </row>
    <row r="265" spans="1:14">
      <c r="A265" s="907"/>
      <c r="B265" s="908" t="s">
        <v>924</v>
      </c>
      <c r="C265" s="908" t="s">
        <v>925</v>
      </c>
      <c r="D265" s="909" t="s">
        <v>926</v>
      </c>
      <c r="E265" s="908" t="s">
        <v>927</v>
      </c>
      <c r="F265" s="908" t="s">
        <v>928</v>
      </c>
      <c r="G265" s="909" t="s">
        <v>929</v>
      </c>
      <c r="H265" s="908" t="s">
        <v>918</v>
      </c>
      <c r="I265" s="908" t="s">
        <v>919</v>
      </c>
      <c r="J265" s="908" t="s">
        <v>920</v>
      </c>
      <c r="K265" s="908" t="s">
        <v>921</v>
      </c>
      <c r="L265" s="908" t="s">
        <v>922</v>
      </c>
      <c r="M265" s="908" t="s">
        <v>923</v>
      </c>
      <c r="N265" s="907" t="s">
        <v>137</v>
      </c>
    </row>
    <row r="266" spans="1:14">
      <c r="A266" s="910" t="s">
        <v>183</v>
      </c>
      <c r="B266" s="911">
        <v>2083</v>
      </c>
      <c r="C266" s="911">
        <v>2083</v>
      </c>
      <c r="D266" s="911">
        <v>2083</v>
      </c>
      <c r="E266" s="911">
        <v>2083</v>
      </c>
      <c r="F266" s="911">
        <v>2083</v>
      </c>
      <c r="G266" s="911">
        <v>2083</v>
      </c>
      <c r="H266" s="911">
        <v>2083</v>
      </c>
      <c r="I266" s="911">
        <v>2083</v>
      </c>
      <c r="J266" s="911">
        <v>2083</v>
      </c>
      <c r="K266" s="911">
        <v>2083</v>
      </c>
      <c r="L266" s="911">
        <v>2083</v>
      </c>
      <c r="M266" s="911">
        <v>2083</v>
      </c>
      <c r="N266" s="911">
        <f t="shared" ref="N266:N277" si="55">SUM(B266:M266)</f>
        <v>24996</v>
      </c>
    </row>
    <row r="267" spans="1:14">
      <c r="A267" s="910" t="s">
        <v>942</v>
      </c>
      <c r="B267" s="911"/>
      <c r="C267" s="911"/>
      <c r="D267" s="911"/>
      <c r="E267" s="911"/>
      <c r="F267" s="911"/>
      <c r="G267" s="912"/>
      <c r="H267" s="911"/>
      <c r="I267" s="911"/>
      <c r="J267" s="913"/>
      <c r="K267" s="911"/>
      <c r="L267" s="911"/>
      <c r="M267" s="911"/>
      <c r="N267" s="911">
        <f t="shared" si="55"/>
        <v>0</v>
      </c>
    </row>
    <row r="268" spans="1:14">
      <c r="A268" s="910" t="s">
        <v>943</v>
      </c>
      <c r="B268" s="911"/>
      <c r="C268" s="911"/>
      <c r="D268" s="911"/>
      <c r="E268" s="911"/>
      <c r="F268" s="911"/>
      <c r="G268" s="912"/>
      <c r="H268" s="911"/>
      <c r="I268" s="911"/>
      <c r="J268" s="911"/>
      <c r="K268" s="911"/>
      <c r="L268" s="911"/>
      <c r="M268" s="907"/>
      <c r="N268" s="911">
        <f t="shared" si="55"/>
        <v>0</v>
      </c>
    </row>
    <row r="269" spans="1:14">
      <c r="A269" s="910" t="s">
        <v>945</v>
      </c>
      <c r="B269" s="911">
        <v>81.75</v>
      </c>
      <c r="C269" s="911">
        <v>109.25</v>
      </c>
      <c r="D269" s="911">
        <v>142.75</v>
      </c>
      <c r="E269" s="911">
        <v>293</v>
      </c>
      <c r="F269" s="911">
        <v>98</v>
      </c>
      <c r="G269" s="912">
        <v>191</v>
      </c>
      <c r="H269" s="911">
        <v>410.5</v>
      </c>
      <c r="I269" s="911">
        <v>625.5</v>
      </c>
      <c r="J269" s="911">
        <v>118.75</v>
      </c>
      <c r="K269" s="911">
        <v>89.5</v>
      </c>
      <c r="L269" s="911"/>
      <c r="M269" s="911"/>
      <c r="N269" s="911">
        <f t="shared" si="55"/>
        <v>2160</v>
      </c>
    </row>
    <row r="270" spans="1:14">
      <c r="A270" s="910" t="s">
        <v>946</v>
      </c>
      <c r="B270" s="911">
        <v>7.75</v>
      </c>
      <c r="C270" s="911">
        <v>50.75</v>
      </c>
      <c r="D270" s="911">
        <v>93.75</v>
      </c>
      <c r="E270" s="911">
        <v>109</v>
      </c>
      <c r="F270" s="911"/>
      <c r="G270" s="912"/>
      <c r="H270" s="911">
        <v>27.5</v>
      </c>
      <c r="I270" s="911">
        <v>37</v>
      </c>
      <c r="J270" s="911"/>
      <c r="K270" s="911">
        <v>19.75</v>
      </c>
      <c r="L270" s="911"/>
      <c r="M270" s="911"/>
      <c r="N270" s="911">
        <f t="shared" si="55"/>
        <v>345.5</v>
      </c>
    </row>
    <row r="271" spans="1:14">
      <c r="A271" s="910" t="s">
        <v>947</v>
      </c>
      <c r="B271" s="911">
        <v>145.5</v>
      </c>
      <c r="C271" s="911">
        <v>23.25</v>
      </c>
      <c r="D271" s="911">
        <v>50.75</v>
      </c>
      <c r="E271" s="911"/>
      <c r="F271" s="911">
        <v>171.25</v>
      </c>
      <c r="G271" s="912">
        <v>50.75</v>
      </c>
      <c r="H271" s="911">
        <v>124.75</v>
      </c>
      <c r="I271" s="911">
        <v>97.25</v>
      </c>
      <c r="J271" s="911">
        <v>23.25</v>
      </c>
      <c r="K271" s="911">
        <v>167.75</v>
      </c>
      <c r="L271" s="911"/>
      <c r="M271" s="911"/>
      <c r="N271" s="911">
        <f t="shared" si="55"/>
        <v>854.5</v>
      </c>
    </row>
    <row r="272" spans="1:14">
      <c r="A272" s="910" t="s">
        <v>948</v>
      </c>
      <c r="B272" s="911"/>
      <c r="C272" s="911">
        <v>15.5</v>
      </c>
      <c r="D272" s="911"/>
      <c r="E272" s="911"/>
      <c r="F272" s="911"/>
      <c r="G272" s="912"/>
      <c r="H272" s="911">
        <v>7.75</v>
      </c>
      <c r="I272" s="911"/>
      <c r="J272" s="911"/>
      <c r="K272" s="911">
        <v>7.75</v>
      </c>
      <c r="L272" s="911"/>
      <c r="M272" s="911"/>
      <c r="N272" s="911">
        <f t="shared" si="55"/>
        <v>31</v>
      </c>
    </row>
    <row r="273" spans="1:14">
      <c r="A273" s="910" t="s">
        <v>949</v>
      </c>
      <c r="B273" s="911">
        <v>21.5</v>
      </c>
      <c r="C273" s="911">
        <v>27.5</v>
      </c>
      <c r="D273" s="911"/>
      <c r="E273" s="911"/>
      <c r="F273" s="911">
        <v>15</v>
      </c>
      <c r="G273" s="912">
        <v>13.75</v>
      </c>
      <c r="H273" s="911"/>
      <c r="I273" s="911"/>
      <c r="J273" s="911">
        <v>20</v>
      </c>
      <c r="K273" s="911"/>
      <c r="L273" s="911"/>
      <c r="M273" s="911"/>
      <c r="N273" s="911">
        <f t="shared" si="55"/>
        <v>97.75</v>
      </c>
    </row>
    <row r="274" spans="1:14">
      <c r="A274" s="910" t="s">
        <v>950</v>
      </c>
      <c r="B274" s="911"/>
      <c r="C274" s="911"/>
      <c r="D274" s="911"/>
      <c r="E274" s="911"/>
      <c r="F274" s="911"/>
      <c r="G274" s="912"/>
      <c r="H274" s="911"/>
      <c r="I274" s="911"/>
      <c r="J274" s="911"/>
      <c r="K274" s="911"/>
      <c r="L274" s="911"/>
      <c r="M274" s="911"/>
      <c r="N274" s="911">
        <f t="shared" si="55"/>
        <v>0</v>
      </c>
    </row>
    <row r="275" spans="1:14">
      <c r="A275" s="910" t="s">
        <v>951</v>
      </c>
      <c r="B275" s="911">
        <v>6</v>
      </c>
      <c r="C275" s="911">
        <v>23.25</v>
      </c>
      <c r="D275" s="911"/>
      <c r="E275" s="911"/>
      <c r="F275" s="911"/>
      <c r="G275" s="912"/>
      <c r="H275" s="911"/>
      <c r="I275" s="911"/>
      <c r="J275" s="911"/>
      <c r="K275" s="911"/>
      <c r="L275" s="911"/>
      <c r="M275" s="911"/>
      <c r="N275" s="911">
        <f t="shared" si="55"/>
        <v>29.25</v>
      </c>
    </row>
    <row r="276" spans="1:14" ht="13.5" thickBot="1">
      <c r="A276" s="914" t="s">
        <v>952</v>
      </c>
      <c r="B276" s="915">
        <v>7.75</v>
      </c>
      <c r="C276" s="915"/>
      <c r="D276" s="915"/>
      <c r="E276" s="915">
        <v>29.25</v>
      </c>
      <c r="F276" s="915"/>
      <c r="G276" s="916"/>
      <c r="H276" s="915">
        <v>7.75</v>
      </c>
      <c r="I276" s="915">
        <v>37</v>
      </c>
      <c r="J276" s="915"/>
      <c r="K276" s="915">
        <v>52.5</v>
      </c>
      <c r="L276" s="915"/>
      <c r="M276" s="915"/>
      <c r="N276" s="917">
        <f t="shared" si="55"/>
        <v>134.25</v>
      </c>
    </row>
    <row r="277" spans="1:14" ht="13.5" thickBot="1">
      <c r="A277" s="918" t="s">
        <v>953</v>
      </c>
      <c r="B277" s="919">
        <f t="shared" ref="B277:M277" si="56">SUM(B266+B267+B268-B269-B270-B271-B273-B274-B275-B276)</f>
        <v>1812.75</v>
      </c>
      <c r="C277" s="919">
        <f t="shared" si="56"/>
        <v>1849</v>
      </c>
      <c r="D277" s="919">
        <f t="shared" si="56"/>
        <v>1795.75</v>
      </c>
      <c r="E277" s="919">
        <f t="shared" si="56"/>
        <v>1651.75</v>
      </c>
      <c r="F277" s="919">
        <f t="shared" si="56"/>
        <v>1798.75</v>
      </c>
      <c r="G277" s="1033">
        <f t="shared" si="56"/>
        <v>1827.5</v>
      </c>
      <c r="H277" s="919">
        <f t="shared" si="56"/>
        <v>1512.5</v>
      </c>
      <c r="I277" s="919">
        <f t="shared" si="56"/>
        <v>1286.25</v>
      </c>
      <c r="J277" s="919">
        <f t="shared" si="56"/>
        <v>1921</v>
      </c>
      <c r="K277" s="919">
        <f t="shared" si="56"/>
        <v>1753.5</v>
      </c>
      <c r="L277" s="919">
        <f t="shared" si="56"/>
        <v>2083</v>
      </c>
      <c r="M277" s="920">
        <f t="shared" si="56"/>
        <v>2083</v>
      </c>
      <c r="N277" s="921">
        <f t="shared" si="55"/>
        <v>21374.75</v>
      </c>
    </row>
    <row r="278" spans="1:14">
      <c r="A278" s="922"/>
      <c r="B278" s="923"/>
      <c r="C278" s="923"/>
      <c r="D278" s="923"/>
      <c r="E278" s="923"/>
      <c r="F278" s="923"/>
      <c r="G278" s="923"/>
      <c r="H278" s="923"/>
      <c r="I278" s="923"/>
      <c r="J278" s="923"/>
      <c r="K278" s="923"/>
      <c r="L278" s="923"/>
      <c r="M278" s="923"/>
      <c r="N278" s="923"/>
    </row>
    <row r="279" spans="1:14">
      <c r="A279" s="922"/>
      <c r="B279" s="923"/>
      <c r="C279" s="923"/>
      <c r="D279" s="923"/>
      <c r="E279" s="923"/>
      <c r="F279" s="923"/>
      <c r="G279" s="923"/>
      <c r="H279" s="923"/>
      <c r="I279" s="923"/>
      <c r="J279" s="923"/>
      <c r="K279" s="923"/>
      <c r="L279" s="923"/>
      <c r="M279" s="923"/>
      <c r="N279" s="924" t="s">
        <v>954</v>
      </c>
    </row>
    <row r="280" spans="1:14">
      <c r="A280" s="910" t="s">
        <v>955</v>
      </c>
      <c r="B280" s="911">
        <f t="shared" ref="B280:M280" si="57">SUM(B267*100/B277)</f>
        <v>0</v>
      </c>
      <c r="C280" s="911">
        <f t="shared" si="57"/>
        <v>0</v>
      </c>
      <c r="D280" s="911">
        <f t="shared" si="57"/>
        <v>0</v>
      </c>
      <c r="E280" s="911">
        <f t="shared" si="57"/>
        <v>0</v>
      </c>
      <c r="F280" s="911">
        <f t="shared" si="57"/>
        <v>0</v>
      </c>
      <c r="G280" s="911">
        <f t="shared" si="57"/>
        <v>0</v>
      </c>
      <c r="H280" s="911">
        <f t="shared" si="57"/>
        <v>0</v>
      </c>
      <c r="I280" s="911">
        <f t="shared" si="57"/>
        <v>0</v>
      </c>
      <c r="J280" s="911">
        <f t="shared" si="57"/>
        <v>0</v>
      </c>
      <c r="K280" s="911">
        <f t="shared" si="57"/>
        <v>0</v>
      </c>
      <c r="L280" s="911">
        <f t="shared" si="57"/>
        <v>0</v>
      </c>
      <c r="M280" s="911">
        <f t="shared" si="57"/>
        <v>0</v>
      </c>
      <c r="N280" s="925">
        <f>SUM(B280:M280)/12</f>
        <v>0</v>
      </c>
    </row>
    <row r="281" spans="1:14">
      <c r="A281" s="922"/>
      <c r="B281" s="923"/>
      <c r="C281" s="923"/>
      <c r="D281" s="923"/>
      <c r="E281" s="923"/>
      <c r="F281" s="923"/>
      <c r="G281" s="923"/>
      <c r="H281" s="923"/>
      <c r="I281" s="923"/>
      <c r="J281" s="923"/>
      <c r="K281" s="923"/>
      <c r="L281" s="923"/>
      <c r="M281" s="923"/>
      <c r="N281" s="906"/>
    </row>
    <row r="282" spans="1:14">
      <c r="A282" s="910" t="s">
        <v>956</v>
      </c>
      <c r="B282" s="911">
        <f t="shared" ref="B282:M282" si="58">SUM(B271*100/B277)</f>
        <v>8.0264791063301608</v>
      </c>
      <c r="C282" s="911">
        <f t="shared" si="58"/>
        <v>1.25743645213629</v>
      </c>
      <c r="D282" s="911">
        <f t="shared" si="58"/>
        <v>2.8261172212167618</v>
      </c>
      <c r="E282" s="911">
        <f t="shared" si="58"/>
        <v>0</v>
      </c>
      <c r="F282" s="911">
        <f t="shared" si="58"/>
        <v>9.5205003474635159</v>
      </c>
      <c r="G282" s="911">
        <f t="shared" si="58"/>
        <v>2.7770177838577292</v>
      </c>
      <c r="H282" s="911">
        <f t="shared" si="58"/>
        <v>8.2479338842975203</v>
      </c>
      <c r="I282" s="911">
        <f t="shared" si="58"/>
        <v>7.5607385811467447</v>
      </c>
      <c r="J282" s="911">
        <f t="shared" si="58"/>
        <v>1.2103071317022385</v>
      </c>
      <c r="K282" s="911">
        <f t="shared" si="58"/>
        <v>9.5665811234673512</v>
      </c>
      <c r="L282" s="911">
        <f t="shared" si="58"/>
        <v>0</v>
      </c>
      <c r="M282" s="911">
        <f t="shared" si="58"/>
        <v>0</v>
      </c>
      <c r="N282" s="925">
        <f>SUM(B282:M282)/12</f>
        <v>4.2494259693015257</v>
      </c>
    </row>
    <row r="283" spans="1:14" ht="13.5" thickBot="1">
      <c r="A283" s="926" t="s">
        <v>957</v>
      </c>
      <c r="B283" s="917">
        <f t="shared" ref="B283:M283" si="59">SUM(B272*100/B277)</f>
        <v>0</v>
      </c>
      <c r="C283" s="917">
        <f t="shared" si="59"/>
        <v>0.8382909680908599</v>
      </c>
      <c r="D283" s="917">
        <f t="shared" si="59"/>
        <v>0</v>
      </c>
      <c r="E283" s="917">
        <f t="shared" si="59"/>
        <v>0</v>
      </c>
      <c r="F283" s="917">
        <f t="shared" si="59"/>
        <v>0</v>
      </c>
      <c r="G283" s="917">
        <f t="shared" si="59"/>
        <v>0</v>
      </c>
      <c r="H283" s="917">
        <f t="shared" si="59"/>
        <v>0.51239669421487599</v>
      </c>
      <c r="I283" s="917">
        <f t="shared" si="59"/>
        <v>0</v>
      </c>
      <c r="J283" s="917">
        <f t="shared" si="59"/>
        <v>0</v>
      </c>
      <c r="K283" s="917">
        <f t="shared" si="59"/>
        <v>0.4419731964642144</v>
      </c>
      <c r="L283" s="917">
        <f t="shared" si="59"/>
        <v>0</v>
      </c>
      <c r="M283" s="917">
        <f t="shared" si="59"/>
        <v>0</v>
      </c>
      <c r="N283" s="927">
        <f>SUM(B283:M283)/12</f>
        <v>0.14938840489749586</v>
      </c>
    </row>
    <row r="284" spans="1:14" ht="13.5" thickBot="1">
      <c r="A284" s="928" t="s">
        <v>958</v>
      </c>
      <c r="B284" s="929">
        <f t="shared" ref="B284:M284" si="60">SUM(B282:B282)</f>
        <v>8.0264791063301608</v>
      </c>
      <c r="C284" s="929">
        <f t="shared" si="60"/>
        <v>1.25743645213629</v>
      </c>
      <c r="D284" s="929">
        <f t="shared" si="60"/>
        <v>2.8261172212167618</v>
      </c>
      <c r="E284" s="929">
        <f t="shared" si="60"/>
        <v>0</v>
      </c>
      <c r="F284" s="929">
        <f t="shared" si="60"/>
        <v>9.5205003474635159</v>
      </c>
      <c r="G284" s="929">
        <f t="shared" si="60"/>
        <v>2.7770177838577292</v>
      </c>
      <c r="H284" s="929">
        <f t="shared" si="60"/>
        <v>8.2479338842975203</v>
      </c>
      <c r="I284" s="929">
        <f t="shared" si="60"/>
        <v>7.5607385811467447</v>
      </c>
      <c r="J284" s="929">
        <f t="shared" si="60"/>
        <v>1.2103071317022385</v>
      </c>
      <c r="K284" s="929">
        <f t="shared" si="60"/>
        <v>9.5665811234673512</v>
      </c>
      <c r="L284" s="929">
        <f t="shared" si="60"/>
        <v>0</v>
      </c>
      <c r="M284" s="929">
        <f t="shared" si="60"/>
        <v>0</v>
      </c>
      <c r="N284" s="930">
        <f>SUM(N282:N283)</f>
        <v>4.3988143741990218</v>
      </c>
    </row>
    <row r="285" spans="1:14">
      <c r="A285" s="922" t="s">
        <v>959</v>
      </c>
      <c r="B285" s="923"/>
      <c r="C285" s="923"/>
      <c r="D285" s="931">
        <f>SUM(B284:D284)/4</f>
        <v>3.0275081949208031</v>
      </c>
      <c r="E285" s="923"/>
      <c r="F285" s="923"/>
      <c r="G285" s="931">
        <f>SUM(E284,F284,G284)/4</f>
        <v>3.0743795328303114</v>
      </c>
      <c r="H285" s="923"/>
      <c r="I285" s="923"/>
      <c r="J285" s="931">
        <f>SUM(H284,I284,J284)/3</f>
        <v>5.6729931990488334</v>
      </c>
      <c r="K285" s="923"/>
      <c r="L285" s="923"/>
      <c r="M285" s="931">
        <f>SUM(K284,L284,M284)/3</f>
        <v>3.1888603744891171</v>
      </c>
      <c r="N285" s="932">
        <f>SUM(D285:M285)/4</f>
        <v>3.7409353253222664</v>
      </c>
    </row>
    <row r="286" spans="1:14">
      <c r="A286" s="922" t="s">
        <v>960</v>
      </c>
      <c r="B286" s="923"/>
      <c r="C286" s="923"/>
      <c r="D286" s="933"/>
      <c r="E286" s="923"/>
      <c r="F286" s="923"/>
      <c r="G286" s="933"/>
      <c r="H286" s="923"/>
      <c r="I286" s="923"/>
      <c r="J286" s="933"/>
      <c r="K286" s="923"/>
      <c r="L286" s="923"/>
      <c r="M286" s="933"/>
      <c r="N286" s="925">
        <f>SUM(D286:G286,J286,M286)/4</f>
        <v>0</v>
      </c>
    </row>
    <row r="287" spans="1:14">
      <c r="A287" s="922"/>
      <c r="B287" s="923"/>
      <c r="C287" s="923"/>
      <c r="D287" s="923"/>
      <c r="E287" s="923"/>
      <c r="F287" s="923"/>
      <c r="G287" s="923"/>
      <c r="H287" s="923"/>
      <c r="I287" s="923"/>
      <c r="J287" s="923"/>
      <c r="K287" s="923"/>
      <c r="L287" s="923"/>
      <c r="M287" s="923"/>
      <c r="N287" s="923"/>
    </row>
    <row r="288" spans="1:14">
      <c r="A288" s="910" t="s">
        <v>961</v>
      </c>
      <c r="B288" s="911">
        <f t="shared" ref="B288:M288" si="61">B275*100/B277</f>
        <v>0.33098882912701694</v>
      </c>
      <c r="C288" s="911">
        <f t="shared" si="61"/>
        <v>1.25743645213629</v>
      </c>
      <c r="D288" s="911">
        <f t="shared" si="61"/>
        <v>0</v>
      </c>
      <c r="E288" s="911">
        <f t="shared" si="61"/>
        <v>0</v>
      </c>
      <c r="F288" s="911">
        <f t="shared" si="61"/>
        <v>0</v>
      </c>
      <c r="G288" s="911">
        <f t="shared" si="61"/>
        <v>0</v>
      </c>
      <c r="H288" s="911">
        <f t="shared" si="61"/>
        <v>0</v>
      </c>
      <c r="I288" s="911">
        <f t="shared" si="61"/>
        <v>0</v>
      </c>
      <c r="J288" s="911">
        <f t="shared" si="61"/>
        <v>0</v>
      </c>
      <c r="K288" s="911">
        <f t="shared" si="61"/>
        <v>0</v>
      </c>
      <c r="L288" s="911">
        <f t="shared" si="61"/>
        <v>0</v>
      </c>
      <c r="M288" s="911">
        <f t="shared" si="61"/>
        <v>0</v>
      </c>
      <c r="N288" s="925">
        <f>SUM(B288:M288)/12</f>
        <v>0.13236877343860889</v>
      </c>
    </row>
    <row r="289" spans="1:14">
      <c r="A289" s="910" t="s">
        <v>962</v>
      </c>
      <c r="B289" s="911">
        <f t="shared" ref="B289:M289" si="62">B273*100/B277</f>
        <v>1.1860433043718108</v>
      </c>
      <c r="C289" s="911">
        <f t="shared" si="62"/>
        <v>1.4872904272579772</v>
      </c>
      <c r="D289" s="911">
        <f t="shared" si="62"/>
        <v>0</v>
      </c>
      <c r="E289" s="911">
        <f t="shared" si="62"/>
        <v>0</v>
      </c>
      <c r="F289" s="911">
        <f t="shared" si="62"/>
        <v>0.83391243919388469</v>
      </c>
      <c r="G289" s="911">
        <f t="shared" si="62"/>
        <v>0.75239398084815323</v>
      </c>
      <c r="H289" s="911">
        <f t="shared" si="62"/>
        <v>0</v>
      </c>
      <c r="I289" s="911">
        <f t="shared" si="62"/>
        <v>0</v>
      </c>
      <c r="J289" s="911">
        <f t="shared" si="62"/>
        <v>1.0411244143675169</v>
      </c>
      <c r="K289" s="911">
        <f t="shared" si="62"/>
        <v>0</v>
      </c>
      <c r="L289" s="911">
        <f t="shared" si="62"/>
        <v>0</v>
      </c>
      <c r="M289" s="911">
        <f t="shared" si="62"/>
        <v>0</v>
      </c>
      <c r="N289" s="925">
        <f>SUM(B289:M289)/12</f>
        <v>0.44173038050327862</v>
      </c>
    </row>
    <row r="290" spans="1:14" ht="13.5" thickBot="1">
      <c r="A290" s="910" t="s">
        <v>963</v>
      </c>
      <c r="B290" s="911">
        <f t="shared" ref="B290:M290" si="63">B269*100/B277</f>
        <v>4.5097227968556064</v>
      </c>
      <c r="C290" s="911">
        <f t="shared" si="63"/>
        <v>5.9085992428339642</v>
      </c>
      <c r="D290" s="911">
        <f t="shared" si="63"/>
        <v>7.9493247946540446</v>
      </c>
      <c r="E290" s="911">
        <f t="shared" si="63"/>
        <v>17.738761919176632</v>
      </c>
      <c r="F290" s="911">
        <f t="shared" si="63"/>
        <v>5.4482279360667132</v>
      </c>
      <c r="G290" s="911">
        <f t="shared" si="63"/>
        <v>10.451436388508892</v>
      </c>
      <c r="H290" s="911">
        <f t="shared" si="63"/>
        <v>27.140495867768596</v>
      </c>
      <c r="I290" s="911">
        <f t="shared" si="63"/>
        <v>48.629737609329446</v>
      </c>
      <c r="J290" s="911">
        <f t="shared" si="63"/>
        <v>6.1816762103071321</v>
      </c>
      <c r="K290" s="911">
        <f t="shared" si="63"/>
        <v>5.1040775591673793</v>
      </c>
      <c r="L290" s="911">
        <f t="shared" si="63"/>
        <v>0</v>
      </c>
      <c r="M290" s="911">
        <f t="shared" si="63"/>
        <v>0</v>
      </c>
      <c r="N290" s="925">
        <f>SUM(B290:M290)/12</f>
        <v>11.588505027055698</v>
      </c>
    </row>
    <row r="291" spans="1:14" ht="13.5" thickBot="1">
      <c r="A291" s="934" t="s">
        <v>964</v>
      </c>
      <c r="B291" s="935">
        <f t="shared" ref="B291:M291" si="64">SUM(B266-B277)*100/B277</f>
        <v>14.908288511929388</v>
      </c>
      <c r="C291" s="935">
        <f t="shared" si="64"/>
        <v>12.655489453758788</v>
      </c>
      <c r="D291" s="935">
        <f t="shared" si="64"/>
        <v>15.99610190728108</v>
      </c>
      <c r="E291" s="935">
        <f t="shared" si="64"/>
        <v>26.108672619948539</v>
      </c>
      <c r="F291" s="935">
        <f t="shared" si="64"/>
        <v>15.802640722724114</v>
      </c>
      <c r="G291" s="935">
        <f t="shared" si="64"/>
        <v>13.980848153214774</v>
      </c>
      <c r="H291" s="935">
        <f t="shared" si="64"/>
        <v>37.719008264462808</v>
      </c>
      <c r="I291" s="935">
        <f t="shared" si="64"/>
        <v>61.943634596695823</v>
      </c>
      <c r="J291" s="935">
        <f t="shared" si="64"/>
        <v>8.4331077563768879</v>
      </c>
      <c r="K291" s="935">
        <f t="shared" si="64"/>
        <v>18.790989449672086</v>
      </c>
      <c r="L291" s="935">
        <f t="shared" si="64"/>
        <v>0</v>
      </c>
      <c r="M291" s="935">
        <f t="shared" si="64"/>
        <v>0</v>
      </c>
      <c r="N291" s="936">
        <f>SUM(B291:M291)/12</f>
        <v>18.861565119672026</v>
      </c>
    </row>
    <row r="292" spans="1:14">
      <c r="A292" s="922"/>
      <c r="B292" s="923"/>
      <c r="C292" s="923"/>
      <c r="D292" s="923"/>
      <c r="E292" s="923"/>
      <c r="F292" s="923"/>
      <c r="G292" s="923"/>
      <c r="H292" s="923"/>
      <c r="I292" s="923"/>
      <c r="J292" s="923"/>
      <c r="K292" s="923"/>
      <c r="L292" s="923"/>
      <c r="M292" s="923"/>
      <c r="N292" s="906"/>
    </row>
    <row r="293" spans="1:14">
      <c r="A293" s="937" t="s">
        <v>965</v>
      </c>
      <c r="B293" s="923"/>
      <c r="C293" s="923"/>
      <c r="D293" s="923"/>
      <c r="E293" s="923"/>
      <c r="F293" s="923"/>
      <c r="G293" s="923"/>
      <c r="H293" s="923"/>
      <c r="I293" s="923"/>
      <c r="J293" s="923"/>
      <c r="K293" s="923"/>
      <c r="L293" s="923"/>
      <c r="M293" s="923"/>
      <c r="N293" s="906"/>
    </row>
    <row r="294" spans="1:14">
      <c r="A294" s="910" t="s">
        <v>966</v>
      </c>
      <c r="B294" s="938">
        <v>13</v>
      </c>
      <c r="C294" s="938">
        <v>13</v>
      </c>
      <c r="D294" s="938">
        <v>13</v>
      </c>
      <c r="E294" s="938">
        <v>13</v>
      </c>
      <c r="F294" s="938">
        <v>13</v>
      </c>
      <c r="G294" s="938">
        <v>13</v>
      </c>
      <c r="H294" s="938">
        <v>13</v>
      </c>
      <c r="I294" s="938">
        <v>13</v>
      </c>
      <c r="J294" s="938">
        <f>I297</f>
        <v>13</v>
      </c>
      <c r="K294" s="938">
        <f>J297</f>
        <v>13</v>
      </c>
      <c r="L294" s="938">
        <f>K297</f>
        <v>13</v>
      </c>
      <c r="M294" s="938">
        <f>L297</f>
        <v>13</v>
      </c>
      <c r="N294" s="938">
        <f>M297</f>
        <v>13</v>
      </c>
    </row>
    <row r="295" spans="1:14">
      <c r="A295" s="910" t="s">
        <v>967</v>
      </c>
      <c r="B295" s="938"/>
      <c r="C295" s="938"/>
      <c r="D295" s="938"/>
      <c r="E295" s="938"/>
      <c r="F295" s="938"/>
      <c r="G295" s="938"/>
      <c r="H295" s="938"/>
      <c r="I295" s="938"/>
      <c r="J295" s="938"/>
      <c r="K295" s="938"/>
      <c r="L295" s="938"/>
      <c r="M295" s="938"/>
      <c r="N295" s="938">
        <f>SUM(B295:M295)/12</f>
        <v>0</v>
      </c>
    </row>
    <row r="296" spans="1:14">
      <c r="A296" s="910" t="s">
        <v>968</v>
      </c>
      <c r="B296" s="938"/>
      <c r="C296" s="938"/>
      <c r="D296" s="938"/>
      <c r="E296" s="938"/>
      <c r="F296" s="938"/>
      <c r="G296" s="938"/>
      <c r="H296" s="938"/>
      <c r="I296" s="938"/>
      <c r="J296" s="938"/>
      <c r="K296" s="938"/>
      <c r="L296" s="938"/>
      <c r="M296" s="938"/>
      <c r="N296" s="938">
        <f>SUM(B295:M295)/12</f>
        <v>0</v>
      </c>
    </row>
    <row r="297" spans="1:14">
      <c r="A297" s="910" t="s">
        <v>965</v>
      </c>
      <c r="B297" s="938">
        <f t="shared" ref="B297:M297" si="65">SUM(B294+B295-B296)</f>
        <v>13</v>
      </c>
      <c r="C297" s="938">
        <f t="shared" si="65"/>
        <v>13</v>
      </c>
      <c r="D297" s="938">
        <f t="shared" si="65"/>
        <v>13</v>
      </c>
      <c r="E297" s="938">
        <f t="shared" si="65"/>
        <v>13</v>
      </c>
      <c r="F297" s="938">
        <f t="shared" si="65"/>
        <v>13</v>
      </c>
      <c r="G297" s="938">
        <f t="shared" si="65"/>
        <v>13</v>
      </c>
      <c r="H297" s="938">
        <f t="shared" si="65"/>
        <v>13</v>
      </c>
      <c r="I297" s="938">
        <f t="shared" si="65"/>
        <v>13</v>
      </c>
      <c r="J297" s="938">
        <f t="shared" si="65"/>
        <v>13</v>
      </c>
      <c r="K297" s="938">
        <f t="shared" si="65"/>
        <v>13</v>
      </c>
      <c r="L297" s="938">
        <f t="shared" si="65"/>
        <v>13</v>
      </c>
      <c r="M297" s="938">
        <f t="shared" si="65"/>
        <v>13</v>
      </c>
      <c r="N297" s="938">
        <f>SUM(B296:M296)/12</f>
        <v>0</v>
      </c>
    </row>
    <row r="298" spans="1:14">
      <c r="A298" s="910" t="s">
        <v>969</v>
      </c>
      <c r="B298" s="939">
        <f t="shared" ref="B298:M298" si="66">SUM(B297*100)/B294-100</f>
        <v>0</v>
      </c>
      <c r="C298" s="939">
        <f t="shared" si="66"/>
        <v>0</v>
      </c>
      <c r="D298" s="939">
        <f t="shared" si="66"/>
        <v>0</v>
      </c>
      <c r="E298" s="939">
        <f t="shared" si="66"/>
        <v>0</v>
      </c>
      <c r="F298" s="939">
        <f t="shared" si="66"/>
        <v>0</v>
      </c>
      <c r="G298" s="939">
        <f t="shared" si="66"/>
        <v>0</v>
      </c>
      <c r="H298" s="939">
        <f t="shared" si="66"/>
        <v>0</v>
      </c>
      <c r="I298" s="939">
        <f t="shared" si="66"/>
        <v>0</v>
      </c>
      <c r="J298" s="939">
        <f t="shared" si="66"/>
        <v>0</v>
      </c>
      <c r="K298" s="939">
        <f t="shared" si="66"/>
        <v>0</v>
      </c>
      <c r="L298" s="939">
        <f t="shared" si="66"/>
        <v>0</v>
      </c>
      <c r="M298" s="939">
        <f t="shared" si="66"/>
        <v>0</v>
      </c>
      <c r="N298" s="938"/>
    </row>
    <row r="299" spans="1:14">
      <c r="A299" s="922" t="s">
        <v>970</v>
      </c>
      <c r="B299" s="940"/>
      <c r="C299" s="940"/>
      <c r="D299" s="941">
        <f>SUM(B298:D298/3)</f>
        <v>0</v>
      </c>
      <c r="E299" s="940"/>
      <c r="F299" s="940"/>
      <c r="G299" s="941">
        <f>SUM(E298:G298)/3</f>
        <v>0</v>
      </c>
      <c r="H299" s="940"/>
      <c r="I299" s="940"/>
      <c r="J299" s="941">
        <f>SUM(H298:J298)/3</f>
        <v>0</v>
      </c>
      <c r="K299" s="940"/>
      <c r="L299" s="940"/>
      <c r="M299" s="941">
        <f>SUM(K298:M298)/3</f>
        <v>0</v>
      </c>
      <c r="N299" s="940"/>
    </row>
    <row r="300" spans="1:14" ht="13.5" thickBot="1">
      <c r="A300" s="1051"/>
      <c r="B300" s="1052"/>
      <c r="C300" s="1052"/>
      <c r="D300" s="1052"/>
      <c r="E300" s="1052"/>
      <c r="F300" s="1052"/>
      <c r="G300" s="1052"/>
      <c r="H300" s="1052"/>
      <c r="I300" s="1052"/>
      <c r="J300" s="1052"/>
      <c r="K300" s="1052"/>
      <c r="L300" s="1052"/>
      <c r="M300" s="1052"/>
      <c r="N300" s="1053"/>
    </row>
    <row r="301" spans="1:14">
      <c r="A301" s="922"/>
      <c r="B301" s="923"/>
      <c r="C301" s="923"/>
      <c r="D301" s="923"/>
      <c r="E301" s="923"/>
      <c r="F301" s="923"/>
      <c r="G301" s="923"/>
      <c r="H301" s="923"/>
      <c r="I301" s="923"/>
      <c r="J301" s="923"/>
      <c r="K301" s="923"/>
      <c r="L301" s="923"/>
      <c r="M301" s="923"/>
      <c r="N301" s="906"/>
    </row>
    <row r="302" spans="1:14" ht="15.75">
      <c r="A302" s="1397" t="s">
        <v>1056</v>
      </c>
      <c r="B302" s="1397"/>
      <c r="C302" s="1397"/>
      <c r="D302" s="1397"/>
      <c r="E302" s="1397"/>
      <c r="F302" s="1397"/>
      <c r="G302" s="1397"/>
      <c r="H302" s="1397"/>
      <c r="I302" s="1397"/>
      <c r="J302" s="1397"/>
      <c r="K302" s="1397"/>
      <c r="L302" s="1397"/>
      <c r="M302" s="1397"/>
      <c r="N302" s="1397"/>
    </row>
    <row r="303" spans="1:14" ht="15.75">
      <c r="E303" s="961"/>
      <c r="M303" s="923"/>
      <c r="N303" s="906"/>
    </row>
    <row r="304" spans="1:14">
      <c r="A304" s="1055" t="s">
        <v>1023</v>
      </c>
      <c r="B304" s="1056"/>
      <c r="C304" s="1057"/>
      <c r="D304" s="971" t="s">
        <v>1024</v>
      </c>
      <c r="G304" s="978"/>
      <c r="K304" s="978"/>
      <c r="M304" s="923"/>
      <c r="N304" s="906"/>
    </row>
    <row r="305" spans="1:14">
      <c r="A305" s="1058"/>
      <c r="B305" s="1059"/>
      <c r="C305" s="1060"/>
      <c r="D305" s="969"/>
      <c r="E305" s="970"/>
      <c r="G305" s="1255"/>
      <c r="H305" s="1255"/>
      <c r="I305" s="1255"/>
      <c r="J305" s="1255"/>
      <c r="K305" s="1255"/>
      <c r="M305" s="923"/>
      <c r="N305" s="906"/>
    </row>
    <row r="306" spans="1:14" ht="13.5" thickBot="1">
      <c r="A306" s="1066"/>
      <c r="C306" s="1067"/>
      <c r="D306" s="969"/>
      <c r="E306" s="970"/>
      <c r="H306" s="1082"/>
      <c r="K306" s="970"/>
      <c r="L306" s="999"/>
      <c r="M306" s="923"/>
      <c r="N306" s="906"/>
    </row>
    <row r="307" spans="1:14" ht="13.5" thickBot="1">
      <c r="A307" s="973" t="s">
        <v>154</v>
      </c>
      <c r="B307" s="975"/>
      <c r="C307" s="1068"/>
      <c r="D307" s="1249">
        <v>6165000</v>
      </c>
      <c r="E307" s="970"/>
      <c r="H307" s="1082"/>
      <c r="K307" s="970"/>
      <c r="L307" s="999"/>
      <c r="M307" s="923"/>
      <c r="N307" s="906"/>
    </row>
    <row r="308" spans="1:14">
      <c r="A308" s="1069" t="s">
        <v>153</v>
      </c>
      <c r="B308" s="1070"/>
      <c r="C308" s="1071"/>
      <c r="D308" s="1072">
        <f>D307/12</f>
        <v>513750</v>
      </c>
      <c r="E308" s="970"/>
      <c r="K308" s="979"/>
      <c r="L308" s="999"/>
      <c r="M308" s="923"/>
      <c r="N308" s="906"/>
    </row>
    <row r="309" spans="1:14">
      <c r="C309" s="1073"/>
      <c r="E309" s="970"/>
      <c r="J309" s="1073"/>
      <c r="K309" s="979"/>
      <c r="L309" s="1278"/>
      <c r="M309" s="923"/>
      <c r="N309" s="906"/>
    </row>
    <row r="310" spans="1:14">
      <c r="A310" s="937" t="s">
        <v>986</v>
      </c>
      <c r="B310" s="923"/>
      <c r="C310" s="923"/>
      <c r="D310" s="923"/>
      <c r="E310" s="923"/>
      <c r="F310" s="923"/>
      <c r="G310" s="923"/>
      <c r="H310" s="923"/>
      <c r="I310" s="923"/>
      <c r="J310" s="923"/>
      <c r="K310" s="923"/>
      <c r="L310" s="923"/>
      <c r="M310" s="923"/>
      <c r="N310" s="906"/>
    </row>
    <row r="311" spans="1:14">
      <c r="A311" s="1007"/>
      <c r="B311" s="911" t="s">
        <v>924</v>
      </c>
      <c r="C311" s="911" t="s">
        <v>925</v>
      </c>
      <c r="D311" s="911" t="s">
        <v>926</v>
      </c>
      <c r="E311" s="911" t="s">
        <v>927</v>
      </c>
      <c r="F311" s="911" t="s">
        <v>928</v>
      </c>
      <c r="G311" s="911" t="s">
        <v>929</v>
      </c>
      <c r="H311" s="911" t="s">
        <v>918</v>
      </c>
      <c r="I311" s="911" t="s">
        <v>919</v>
      </c>
      <c r="J311" s="911" t="s">
        <v>920</v>
      </c>
      <c r="K311" s="911" t="s">
        <v>921</v>
      </c>
      <c r="L311" s="911" t="s">
        <v>922</v>
      </c>
      <c r="M311" s="911" t="s">
        <v>923</v>
      </c>
      <c r="N311" s="907"/>
    </row>
    <row r="312" spans="1:14">
      <c r="A312" s="910" t="s">
        <v>1057</v>
      </c>
      <c r="B312" s="1008">
        <f t="shared" ref="B312:M312" si="67">$D$308</f>
        <v>513750</v>
      </c>
      <c r="C312" s="1008">
        <f t="shared" si="67"/>
        <v>513750</v>
      </c>
      <c r="D312" s="1008">
        <f t="shared" si="67"/>
        <v>513750</v>
      </c>
      <c r="E312" s="1008">
        <f t="shared" si="67"/>
        <v>513750</v>
      </c>
      <c r="F312" s="1008">
        <f t="shared" si="67"/>
        <v>513750</v>
      </c>
      <c r="G312" s="1008">
        <f t="shared" si="67"/>
        <v>513750</v>
      </c>
      <c r="H312" s="1008">
        <f t="shared" si="67"/>
        <v>513750</v>
      </c>
      <c r="I312" s="1008">
        <f t="shared" si="67"/>
        <v>513750</v>
      </c>
      <c r="J312" s="1008">
        <f t="shared" si="67"/>
        <v>513750</v>
      </c>
      <c r="K312" s="1008">
        <f t="shared" si="67"/>
        <v>513750</v>
      </c>
      <c r="L312" s="1008">
        <f t="shared" si="67"/>
        <v>513750</v>
      </c>
      <c r="M312" s="1008">
        <f t="shared" si="67"/>
        <v>513750</v>
      </c>
      <c r="N312" s="1008">
        <f t="shared" ref="N312:N321" si="68">SUM(B312:M312)</f>
        <v>6165000</v>
      </c>
    </row>
    <row r="313" spans="1:14" ht="13.5" thickBot="1">
      <c r="A313" s="910"/>
      <c r="B313" s="1008">
        <v>0</v>
      </c>
      <c r="C313" s="1008">
        <v>0</v>
      </c>
      <c r="D313" s="1008"/>
      <c r="E313" s="1008"/>
      <c r="F313" s="1008"/>
      <c r="G313" s="1037"/>
      <c r="H313" s="1008"/>
      <c r="I313" s="1008"/>
      <c r="J313" s="1008"/>
      <c r="K313" s="1008"/>
      <c r="L313" s="1008"/>
      <c r="M313" s="1008"/>
      <c r="N313" s="1008">
        <f t="shared" si="68"/>
        <v>0</v>
      </c>
    </row>
    <row r="314" spans="1:14" ht="13.5" thickBot="1">
      <c r="A314" s="1012" t="s">
        <v>1057</v>
      </c>
      <c r="B314" s="1074">
        <f t="shared" ref="B314:M314" si="69">SUM(B312,B313)</f>
        <v>513750</v>
      </c>
      <c r="C314" s="1074">
        <f t="shared" si="69"/>
        <v>513750</v>
      </c>
      <c r="D314" s="1074">
        <f t="shared" si="69"/>
        <v>513750</v>
      </c>
      <c r="E314" s="1074">
        <f t="shared" si="69"/>
        <v>513750</v>
      </c>
      <c r="F314" s="1074">
        <f t="shared" si="69"/>
        <v>513750</v>
      </c>
      <c r="G314" s="1074">
        <f t="shared" si="69"/>
        <v>513750</v>
      </c>
      <c r="H314" s="1074">
        <f t="shared" si="69"/>
        <v>513750</v>
      </c>
      <c r="I314" s="1074">
        <f t="shared" si="69"/>
        <v>513750</v>
      </c>
      <c r="J314" s="1074">
        <f t="shared" si="69"/>
        <v>513750</v>
      </c>
      <c r="K314" s="1074">
        <f t="shared" si="69"/>
        <v>513750</v>
      </c>
      <c r="L314" s="1074">
        <f t="shared" si="69"/>
        <v>513750</v>
      </c>
      <c r="M314" s="1074">
        <f t="shared" si="69"/>
        <v>513750</v>
      </c>
      <c r="N314" s="1075">
        <f t="shared" si="68"/>
        <v>6165000</v>
      </c>
    </row>
    <row r="315" spans="1:14">
      <c r="A315" s="907" t="s">
        <v>1058</v>
      </c>
      <c r="B315" s="1009">
        <v>15275</v>
      </c>
      <c r="C315" s="1009">
        <v>23807</v>
      </c>
      <c r="D315" s="1009">
        <v>2400</v>
      </c>
      <c r="E315" s="1009">
        <v>0</v>
      </c>
      <c r="F315" s="1009">
        <v>0</v>
      </c>
      <c r="G315" s="1009"/>
      <c r="H315" s="1009"/>
      <c r="I315" s="1009">
        <v>920</v>
      </c>
      <c r="J315" s="1009">
        <v>1400</v>
      </c>
      <c r="K315" s="1009"/>
      <c r="L315" s="1009"/>
      <c r="M315" s="1009"/>
      <c r="N315" s="1009">
        <f t="shared" si="68"/>
        <v>43802</v>
      </c>
    </row>
    <row r="316" spans="1:14">
      <c r="A316" s="1028" t="s">
        <v>1059</v>
      </c>
      <c r="B316" s="1009">
        <v>0</v>
      </c>
      <c r="C316" s="1009">
        <v>25000</v>
      </c>
      <c r="D316" s="1009"/>
      <c r="E316" s="1009">
        <v>110000</v>
      </c>
      <c r="F316" s="1009">
        <v>20000</v>
      </c>
      <c r="G316" s="1009">
        <v>10000</v>
      </c>
      <c r="H316" s="1009"/>
      <c r="I316" s="1009">
        <v>10000</v>
      </c>
      <c r="J316" s="1009">
        <v>5000</v>
      </c>
      <c r="K316" s="1009">
        <v>10000</v>
      </c>
      <c r="L316" s="1009">
        <v>25000</v>
      </c>
      <c r="M316" s="1009">
        <v>100000</v>
      </c>
      <c r="N316" s="1009">
        <f t="shared" si="68"/>
        <v>315000</v>
      </c>
    </row>
    <row r="317" spans="1:14">
      <c r="A317" s="1028" t="s">
        <v>993</v>
      </c>
      <c r="B317" s="1009">
        <v>97775</v>
      </c>
      <c r="C317" s="1009">
        <v>31300</v>
      </c>
      <c r="D317" s="1009">
        <v>78713.5</v>
      </c>
      <c r="E317" s="1009">
        <v>100889</v>
      </c>
      <c r="F317" s="1009">
        <v>50075</v>
      </c>
      <c r="G317" s="1009">
        <v>30350</v>
      </c>
      <c r="H317" s="1009"/>
      <c r="I317" s="1009">
        <v>53475</v>
      </c>
      <c r="J317" s="1009">
        <v>42610</v>
      </c>
      <c r="K317" s="1009">
        <v>80175</v>
      </c>
      <c r="L317" s="1009">
        <v>62450</v>
      </c>
      <c r="M317" s="1009"/>
      <c r="N317" s="1009">
        <f t="shared" si="68"/>
        <v>627812.5</v>
      </c>
    </row>
    <row r="318" spans="1:14" ht="13.5" thickBot="1">
      <c r="A318" s="1038" t="s">
        <v>1057</v>
      </c>
      <c r="B318" s="1023"/>
      <c r="C318" s="1023"/>
      <c r="D318" s="1023"/>
      <c r="E318" s="1023"/>
      <c r="F318" s="1023"/>
      <c r="G318" s="1023"/>
      <c r="H318" s="1023"/>
      <c r="I318" s="1023"/>
      <c r="J318" s="1023"/>
      <c r="K318" s="1023"/>
      <c r="L318" s="1023"/>
      <c r="M318" s="1023"/>
      <c r="N318" s="1009">
        <f t="shared" si="68"/>
        <v>0</v>
      </c>
    </row>
    <row r="319" spans="1:14" ht="13.5" thickBot="1">
      <c r="A319" s="1039" t="s">
        <v>1001</v>
      </c>
      <c r="B319" s="1040">
        <f>SUM(B315:B318)</f>
        <v>113050</v>
      </c>
      <c r="C319" s="1040">
        <f t="shared" ref="C319:M319" si="70">SUM(C315:C318)</f>
        <v>80107</v>
      </c>
      <c r="D319" s="1040">
        <f t="shared" si="70"/>
        <v>81113.5</v>
      </c>
      <c r="E319" s="1040">
        <f t="shared" si="70"/>
        <v>210889</v>
      </c>
      <c r="F319" s="1040">
        <f t="shared" si="70"/>
        <v>70075</v>
      </c>
      <c r="G319" s="1040">
        <f t="shared" si="70"/>
        <v>40350</v>
      </c>
      <c r="H319" s="1040">
        <f t="shared" si="70"/>
        <v>0</v>
      </c>
      <c r="I319" s="1040">
        <f t="shared" si="70"/>
        <v>64395</v>
      </c>
      <c r="J319" s="1040">
        <f t="shared" si="70"/>
        <v>49010</v>
      </c>
      <c r="K319" s="1040">
        <f t="shared" si="70"/>
        <v>90175</v>
      </c>
      <c r="L319" s="1040">
        <f t="shared" si="70"/>
        <v>87450</v>
      </c>
      <c r="M319" s="1040">
        <f t="shared" si="70"/>
        <v>100000</v>
      </c>
      <c r="N319" s="1040">
        <f t="shared" si="68"/>
        <v>986614.5</v>
      </c>
    </row>
    <row r="320" spans="1:14">
      <c r="A320" s="907" t="s">
        <v>1002</v>
      </c>
      <c r="B320" s="1011"/>
      <c r="C320" s="1011"/>
      <c r="D320" s="1011"/>
      <c r="E320" s="1011"/>
      <c r="F320" s="1011"/>
      <c r="G320" s="1077"/>
      <c r="H320" s="1011"/>
      <c r="I320" s="1011"/>
      <c r="J320" s="1011"/>
      <c r="K320" s="1011"/>
      <c r="L320" s="1011"/>
      <c r="M320" s="1011"/>
      <c r="N320" s="1009">
        <f t="shared" si="68"/>
        <v>0</v>
      </c>
    </row>
    <row r="321" spans="1:14">
      <c r="A321" s="1042" t="s">
        <v>1003</v>
      </c>
      <c r="B321" s="1083">
        <f>SUM(B314+B319)</f>
        <v>626800</v>
      </c>
      <c r="C321" s="1083">
        <f t="shared" ref="C321:M321" si="71">SUM(C314+C319)</f>
        <v>593857</v>
      </c>
      <c r="D321" s="1083">
        <f t="shared" si="71"/>
        <v>594863.5</v>
      </c>
      <c r="E321" s="1083">
        <f t="shared" si="71"/>
        <v>724639</v>
      </c>
      <c r="F321" s="1083">
        <f t="shared" si="71"/>
        <v>583825</v>
      </c>
      <c r="G321" s="1083">
        <f t="shared" si="71"/>
        <v>554100</v>
      </c>
      <c r="H321" s="1083">
        <f t="shared" si="71"/>
        <v>513750</v>
      </c>
      <c r="I321" s="1083">
        <f t="shared" si="71"/>
        <v>578145</v>
      </c>
      <c r="J321" s="1083">
        <f t="shared" si="71"/>
        <v>562760</v>
      </c>
      <c r="K321" s="1083">
        <f t="shared" si="71"/>
        <v>603925</v>
      </c>
      <c r="L321" s="1083">
        <f t="shared" si="71"/>
        <v>601200</v>
      </c>
      <c r="M321" s="1083">
        <f t="shared" si="71"/>
        <v>613750</v>
      </c>
      <c r="N321" s="1083">
        <f t="shared" si="68"/>
        <v>7151614.5</v>
      </c>
    </row>
    <row r="322" spans="1:14">
      <c r="A322" s="1079" t="s">
        <v>1004</v>
      </c>
      <c r="B322" s="1011">
        <v>443053</v>
      </c>
      <c r="C322" s="1011">
        <v>449487</v>
      </c>
      <c r="D322" s="1011">
        <v>441041</v>
      </c>
      <c r="E322" s="1011">
        <v>559040</v>
      </c>
      <c r="F322" s="1011">
        <v>464972</v>
      </c>
      <c r="G322" s="1011">
        <v>444483</v>
      </c>
      <c r="H322" s="1011">
        <v>437858</v>
      </c>
      <c r="I322" s="1011">
        <v>367799</v>
      </c>
      <c r="J322" s="1011">
        <v>440481</v>
      </c>
      <c r="K322" s="1011">
        <v>445385</v>
      </c>
      <c r="L322" s="1011">
        <v>445000</v>
      </c>
      <c r="M322" s="1011">
        <v>445000</v>
      </c>
      <c r="N322" s="1011">
        <f>SUM(B322:M322)</f>
        <v>5383599</v>
      </c>
    </row>
    <row r="323" spans="1:14">
      <c r="A323" s="907" t="s">
        <v>1060</v>
      </c>
      <c r="B323" s="1008">
        <v>75000</v>
      </c>
      <c r="C323" s="1008">
        <v>75000</v>
      </c>
      <c r="D323" s="1008">
        <v>75000</v>
      </c>
      <c r="E323" s="1008">
        <v>75000</v>
      </c>
      <c r="F323" s="1008">
        <v>75000</v>
      </c>
      <c r="G323" s="1008">
        <v>75000</v>
      </c>
      <c r="H323" s="1008">
        <v>75000</v>
      </c>
      <c r="I323" s="1008">
        <v>75000</v>
      </c>
      <c r="J323" s="1008">
        <v>75000</v>
      </c>
      <c r="K323" s="1008">
        <v>75000</v>
      </c>
      <c r="L323" s="1008">
        <v>75000</v>
      </c>
      <c r="M323" s="1008">
        <v>75000</v>
      </c>
      <c r="N323" s="1011">
        <f>SUM(B323:M323)</f>
        <v>900000</v>
      </c>
    </row>
    <row r="324" spans="1:14">
      <c r="A324" s="907" t="s">
        <v>1061</v>
      </c>
      <c r="B324" s="1008"/>
      <c r="C324" s="1008"/>
      <c r="D324" s="1008"/>
      <c r="E324" s="1008"/>
      <c r="F324" s="1008"/>
      <c r="G324" s="1008"/>
      <c r="H324" s="1008"/>
      <c r="I324" s="1008">
        <v>400000</v>
      </c>
      <c r="J324" s="1008"/>
      <c r="K324" s="1008"/>
      <c r="L324" s="1008"/>
      <c r="M324" s="1008"/>
      <c r="N324" s="1011">
        <f>SUM(B324:M324)</f>
        <v>400000</v>
      </c>
    </row>
    <row r="325" spans="1:14">
      <c r="A325" s="1046" t="s">
        <v>1009</v>
      </c>
      <c r="B325" s="1047">
        <f t="shared" ref="B325:M325" si="72">SUM(B321-B322-B323)</f>
        <v>108747</v>
      </c>
      <c r="C325" s="1047">
        <f t="shared" si="72"/>
        <v>69370</v>
      </c>
      <c r="D325" s="1047">
        <f t="shared" si="72"/>
        <v>78822.5</v>
      </c>
      <c r="E325" s="1047">
        <f t="shared" si="72"/>
        <v>90599</v>
      </c>
      <c r="F325" s="1047">
        <f t="shared" si="72"/>
        <v>43853</v>
      </c>
      <c r="G325" s="1047">
        <f t="shared" si="72"/>
        <v>34617</v>
      </c>
      <c r="H325" s="1047">
        <f t="shared" si="72"/>
        <v>892</v>
      </c>
      <c r="I325" s="1047">
        <f>SUM(I321-I322-I323-I324)</f>
        <v>-264654</v>
      </c>
      <c r="J325" s="1047">
        <f t="shared" si="72"/>
        <v>47279</v>
      </c>
      <c r="K325" s="1047">
        <f t="shared" si="72"/>
        <v>83540</v>
      </c>
      <c r="L325" s="1047">
        <f t="shared" si="72"/>
        <v>81200</v>
      </c>
      <c r="M325" s="1047">
        <f t="shared" si="72"/>
        <v>93750</v>
      </c>
      <c r="N325" s="1047">
        <f>SUM(N321-N322-N323-N324)</f>
        <v>468015.5</v>
      </c>
    </row>
    <row r="326" spans="1:14">
      <c r="A326" s="1084"/>
      <c r="B326" s="1085"/>
      <c r="C326" s="1085"/>
      <c r="D326" s="1085"/>
      <c r="E326" s="1085"/>
      <c r="F326" s="1085"/>
      <c r="G326" s="1085"/>
      <c r="H326" s="1085"/>
      <c r="I326" s="1085"/>
      <c r="J326" s="1085"/>
      <c r="K326" s="1085"/>
      <c r="L326" s="1085"/>
      <c r="M326" s="1085"/>
      <c r="N326" s="1085"/>
    </row>
    <row r="328" spans="1:14">
      <c r="A328" s="1286" t="s">
        <v>1062</v>
      </c>
      <c r="B328" s="905">
        <v>2405</v>
      </c>
    </row>
  </sheetData>
  <sheetProtection password="CC44" sheet="1" objects="1" scenarios="1"/>
  <mergeCells count="6">
    <mergeCell ref="A263:N263"/>
    <mergeCell ref="A1:N1"/>
    <mergeCell ref="A57:N57"/>
    <mergeCell ref="I61:M61"/>
    <mergeCell ref="A122:N122"/>
    <mergeCell ref="A180:N180"/>
  </mergeCells>
  <pageMargins left="0.19685039370078741" right="0" top="0.19685039370078741" bottom="0.19685039370078741" header="0.51181102362204722" footer="0.51181102362204722"/>
  <pageSetup paperSize="9" scale="80" orientation="landscape" horizontalDpi="4294967293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23">
    <tabColor indexed="39"/>
  </sheetPr>
  <dimension ref="A1:Q312"/>
  <sheetViews>
    <sheetView topLeftCell="A82" zoomScale="75" workbookViewId="0">
      <selection activeCell="N107" sqref="N107"/>
    </sheetView>
  </sheetViews>
  <sheetFormatPr defaultColWidth="9.140625" defaultRowHeight="12.75"/>
  <cols>
    <col min="1" max="1" width="23.85546875" style="905" customWidth="1"/>
    <col min="2" max="2" width="11.140625" style="905" customWidth="1"/>
    <col min="3" max="5" width="11.7109375" style="905" customWidth="1"/>
    <col min="6" max="6" width="12.28515625" style="905" customWidth="1"/>
    <col min="7" max="7" width="11.140625" style="905" bestFit="1" customWidth="1"/>
    <col min="8" max="8" width="12.28515625" style="905" customWidth="1"/>
    <col min="9" max="9" width="13" style="905" customWidth="1"/>
    <col min="10" max="10" width="12.5703125" style="905" customWidth="1"/>
    <col min="11" max="11" width="12.140625" style="905" customWidth="1"/>
    <col min="12" max="12" width="11.140625" style="905" customWidth="1"/>
    <col min="13" max="13" width="10.7109375" style="905" customWidth="1"/>
    <col min="14" max="14" width="12" style="905" customWidth="1"/>
    <col min="15" max="16384" width="9.140625" style="905"/>
  </cols>
  <sheetData>
    <row r="1" spans="1:14" ht="20.25">
      <c r="A1" s="1698" t="s">
        <v>1145</v>
      </c>
      <c r="B1" s="1698"/>
      <c r="C1" s="1698"/>
      <c r="D1" s="1698"/>
      <c r="E1" s="1698"/>
      <c r="F1" s="1698"/>
      <c r="G1" s="1698"/>
      <c r="H1" s="1698"/>
      <c r="I1" s="1698"/>
      <c r="J1" s="1698"/>
      <c r="K1" s="1698"/>
      <c r="L1" s="1698"/>
      <c r="M1" s="1698"/>
      <c r="N1" s="1698"/>
    </row>
    <row r="2" spans="1:14">
      <c r="A2" s="906"/>
      <c r="B2" s="906"/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6"/>
    </row>
    <row r="3" spans="1:14">
      <c r="A3" s="907"/>
      <c r="B3" s="908" t="s">
        <v>924</v>
      </c>
      <c r="C3" s="908" t="s">
        <v>925</v>
      </c>
      <c r="D3" s="909" t="s">
        <v>926</v>
      </c>
      <c r="E3" s="908" t="s">
        <v>927</v>
      </c>
      <c r="F3" s="908" t="s">
        <v>928</v>
      </c>
      <c r="G3" s="909" t="s">
        <v>929</v>
      </c>
      <c r="H3" s="908" t="s">
        <v>918</v>
      </c>
      <c r="I3" s="908" t="s">
        <v>919</v>
      </c>
      <c r="J3" s="908" t="s">
        <v>920</v>
      </c>
      <c r="K3" s="908" t="s">
        <v>921</v>
      </c>
      <c r="L3" s="908" t="s">
        <v>922</v>
      </c>
      <c r="M3" s="908" t="s">
        <v>923</v>
      </c>
      <c r="N3" s="907" t="s">
        <v>137</v>
      </c>
    </row>
    <row r="4" spans="1:14">
      <c r="A4" s="910" t="s">
        <v>183</v>
      </c>
      <c r="B4" s="911">
        <v>6575</v>
      </c>
      <c r="C4" s="911">
        <v>6575</v>
      </c>
      <c r="D4" s="911">
        <v>6575</v>
      </c>
      <c r="E4" s="911">
        <v>6575</v>
      </c>
      <c r="F4" s="911">
        <v>6575</v>
      </c>
      <c r="G4" s="911">
        <v>6575</v>
      </c>
      <c r="H4" s="911">
        <v>6575</v>
      </c>
      <c r="I4" s="911">
        <v>6575</v>
      </c>
      <c r="J4" s="911">
        <v>6575</v>
      </c>
      <c r="K4" s="911">
        <v>6575</v>
      </c>
      <c r="L4" s="911">
        <v>6575</v>
      </c>
      <c r="M4" s="911">
        <v>6575</v>
      </c>
      <c r="N4" s="911">
        <f t="shared" ref="N4:N16" si="0">SUM(B4:M4)</f>
        <v>78900</v>
      </c>
    </row>
    <row r="5" spans="1:14">
      <c r="A5" s="910" t="s">
        <v>942</v>
      </c>
      <c r="B5" s="911">
        <v>174.5</v>
      </c>
      <c r="C5" s="911">
        <v>102</v>
      </c>
      <c r="D5" s="911">
        <v>56.75</v>
      </c>
      <c r="E5" s="911">
        <v>27.75</v>
      </c>
      <c r="F5" s="911">
        <v>12</v>
      </c>
      <c r="G5" s="912"/>
      <c r="H5" s="911">
        <v>244.25</v>
      </c>
      <c r="I5" s="911">
        <v>46.25</v>
      </c>
      <c r="J5" s="913">
        <v>160.5</v>
      </c>
      <c r="K5" s="911"/>
      <c r="L5" s="911">
        <v>35</v>
      </c>
      <c r="M5" s="911"/>
      <c r="N5" s="911">
        <f t="shared" si="0"/>
        <v>859</v>
      </c>
    </row>
    <row r="6" spans="1:14">
      <c r="A6" s="910" t="s">
        <v>943</v>
      </c>
      <c r="B6" s="911"/>
      <c r="C6" s="911"/>
      <c r="D6" s="911"/>
      <c r="E6" s="911"/>
      <c r="F6" s="911"/>
      <c r="G6" s="912"/>
      <c r="H6" s="911"/>
      <c r="I6" s="911"/>
      <c r="J6" s="911"/>
      <c r="K6" s="911"/>
      <c r="L6" s="911"/>
      <c r="M6" s="907"/>
      <c r="N6" s="911">
        <f t="shared" si="0"/>
        <v>0</v>
      </c>
    </row>
    <row r="7" spans="1:14">
      <c r="A7" s="910" t="s">
        <v>944</v>
      </c>
      <c r="B7" s="911">
        <v>10</v>
      </c>
      <c r="C7" s="911">
        <v>7.75</v>
      </c>
      <c r="D7" s="911">
        <v>13</v>
      </c>
      <c r="E7" s="911">
        <v>14.5</v>
      </c>
      <c r="F7" s="911">
        <v>12</v>
      </c>
      <c r="G7" s="912">
        <v>10.5</v>
      </c>
      <c r="H7" s="911">
        <v>8</v>
      </c>
      <c r="I7" s="911">
        <v>9</v>
      </c>
      <c r="J7" s="911">
        <v>4.5</v>
      </c>
      <c r="K7" s="911">
        <v>2</v>
      </c>
      <c r="L7" s="911">
        <v>1.5</v>
      </c>
      <c r="M7" s="907"/>
      <c r="N7" s="911">
        <f t="shared" si="0"/>
        <v>92.75</v>
      </c>
    </row>
    <row r="8" spans="1:14">
      <c r="A8" s="910" t="s">
        <v>945</v>
      </c>
      <c r="B8" s="911">
        <v>217.25</v>
      </c>
      <c r="C8" s="911">
        <v>724.5</v>
      </c>
      <c r="D8" s="911">
        <v>672.25</v>
      </c>
      <c r="E8" s="911">
        <v>831.25</v>
      </c>
      <c r="F8" s="911">
        <v>421</v>
      </c>
      <c r="G8" s="912">
        <v>977.75</v>
      </c>
      <c r="H8" s="911">
        <v>1411</v>
      </c>
      <c r="I8" s="911">
        <v>1477.25</v>
      </c>
      <c r="J8" s="911">
        <v>697.75</v>
      </c>
      <c r="K8" s="911">
        <v>711.5</v>
      </c>
      <c r="L8" s="911">
        <v>186.25</v>
      </c>
      <c r="M8" s="911"/>
      <c r="N8" s="911">
        <f t="shared" si="0"/>
        <v>8327.75</v>
      </c>
    </row>
    <row r="9" spans="1:14">
      <c r="A9" s="910" t="s">
        <v>946</v>
      </c>
      <c r="B9" s="911"/>
      <c r="C9" s="911">
        <v>8</v>
      </c>
      <c r="D9" s="911">
        <v>87.75</v>
      </c>
      <c r="E9" s="911">
        <v>188.75</v>
      </c>
      <c r="F9" s="911"/>
      <c r="G9" s="912">
        <v>6</v>
      </c>
      <c r="H9" s="911"/>
      <c r="I9" s="911"/>
      <c r="J9" s="911"/>
      <c r="K9" s="911">
        <v>21.75</v>
      </c>
      <c r="L9" s="911">
        <v>23</v>
      </c>
      <c r="M9" s="911"/>
      <c r="N9" s="911">
        <f t="shared" si="0"/>
        <v>335.25</v>
      </c>
    </row>
    <row r="10" spans="1:14">
      <c r="A10" s="910" t="s">
        <v>947</v>
      </c>
      <c r="B10" s="911">
        <v>346</v>
      </c>
      <c r="C10" s="911">
        <v>169.25</v>
      </c>
      <c r="D10" s="911">
        <v>317.25</v>
      </c>
      <c r="E10" s="911">
        <v>210.5</v>
      </c>
      <c r="F10" s="911">
        <v>42.5</v>
      </c>
      <c r="G10" s="912">
        <v>48</v>
      </c>
      <c r="H10" s="911">
        <v>183</v>
      </c>
      <c r="I10" s="911">
        <v>42.25</v>
      </c>
      <c r="J10" s="911">
        <v>286.25</v>
      </c>
      <c r="K10" s="911">
        <v>112.5</v>
      </c>
      <c r="L10" s="911">
        <v>316.75</v>
      </c>
      <c r="M10" s="911"/>
      <c r="N10" s="911">
        <f t="shared" si="0"/>
        <v>2074.25</v>
      </c>
    </row>
    <row r="11" spans="1:14">
      <c r="A11" s="910" t="s">
        <v>948</v>
      </c>
      <c r="B11" s="911"/>
      <c r="C11" s="911">
        <v>7.75</v>
      </c>
      <c r="D11" s="911">
        <v>7.5</v>
      </c>
      <c r="E11" s="911"/>
      <c r="F11" s="911"/>
      <c r="G11" s="912">
        <v>7.75</v>
      </c>
      <c r="H11" s="911"/>
      <c r="I11" s="911">
        <v>7</v>
      </c>
      <c r="J11" s="911"/>
      <c r="K11" s="911">
        <v>8.5</v>
      </c>
      <c r="L11" s="911">
        <v>7.75</v>
      </c>
      <c r="M11" s="911"/>
      <c r="N11" s="911">
        <f t="shared" si="0"/>
        <v>46.25</v>
      </c>
    </row>
    <row r="12" spans="1:14">
      <c r="A12" s="910" t="s">
        <v>949</v>
      </c>
      <c r="B12" s="911">
        <v>394</v>
      </c>
      <c r="C12" s="911">
        <v>257.25</v>
      </c>
      <c r="D12" s="911">
        <v>186.5</v>
      </c>
      <c r="E12" s="911">
        <v>231.5</v>
      </c>
      <c r="F12" s="911">
        <v>480.5</v>
      </c>
      <c r="G12" s="912">
        <v>321</v>
      </c>
      <c r="H12" s="911">
        <v>127.5</v>
      </c>
      <c r="I12" s="911">
        <v>193</v>
      </c>
      <c r="J12" s="911">
        <v>347</v>
      </c>
      <c r="K12" s="911">
        <v>316.75</v>
      </c>
      <c r="L12" s="911">
        <v>456.5</v>
      </c>
      <c r="M12" s="911"/>
      <c r="N12" s="911">
        <f t="shared" si="0"/>
        <v>3311.5</v>
      </c>
    </row>
    <row r="13" spans="1:14">
      <c r="A13" s="910" t="s">
        <v>950</v>
      </c>
      <c r="B13" s="911"/>
      <c r="C13" s="911"/>
      <c r="D13" s="911"/>
      <c r="E13" s="911"/>
      <c r="F13" s="911"/>
      <c r="G13" s="912"/>
      <c r="H13" s="911"/>
      <c r="I13" s="911"/>
      <c r="J13" s="911"/>
      <c r="K13" s="911"/>
      <c r="L13" s="911"/>
      <c r="M13" s="911"/>
      <c r="N13" s="911">
        <f t="shared" si="0"/>
        <v>0</v>
      </c>
    </row>
    <row r="14" spans="1:14">
      <c r="A14" s="910" t="s">
        <v>951</v>
      </c>
      <c r="B14" s="911">
        <v>130.5</v>
      </c>
      <c r="C14" s="911">
        <v>185.75</v>
      </c>
      <c r="D14" s="911">
        <v>196.5</v>
      </c>
      <c r="E14" s="911">
        <v>30.5</v>
      </c>
      <c r="F14" s="911">
        <v>92.75</v>
      </c>
      <c r="G14" s="912">
        <v>23.25</v>
      </c>
      <c r="H14" s="911"/>
      <c r="I14" s="911"/>
      <c r="J14" s="911">
        <v>50.75</v>
      </c>
      <c r="K14" s="911">
        <v>148</v>
      </c>
      <c r="L14" s="911">
        <v>58.5</v>
      </c>
      <c r="M14" s="911"/>
      <c r="N14" s="911">
        <f t="shared" si="0"/>
        <v>916.5</v>
      </c>
    </row>
    <row r="15" spans="1:14" ht="13.5" thickBot="1">
      <c r="A15" s="914" t="s">
        <v>952</v>
      </c>
      <c r="B15" s="915"/>
      <c r="C15" s="915">
        <v>30.5</v>
      </c>
      <c r="D15" s="915"/>
      <c r="E15" s="915">
        <v>21.5</v>
      </c>
      <c r="F15" s="915"/>
      <c r="G15" s="916"/>
      <c r="H15" s="915">
        <v>6.75</v>
      </c>
      <c r="I15" s="915"/>
      <c r="J15" s="915"/>
      <c r="K15" s="915"/>
      <c r="L15" s="915">
        <v>7.5</v>
      </c>
      <c r="M15" s="915"/>
      <c r="N15" s="917">
        <f t="shared" si="0"/>
        <v>66.25</v>
      </c>
    </row>
    <row r="16" spans="1:14" ht="13.5" thickBot="1">
      <c r="A16" s="918" t="s">
        <v>953</v>
      </c>
      <c r="B16" s="919">
        <f t="shared" ref="B16:M16" si="1">SUM(B4+B5+B6+B7-B8-B9-B10-B12-B13-B14-B15)</f>
        <v>5671.75</v>
      </c>
      <c r="C16" s="919">
        <f t="shared" si="1"/>
        <v>5309.5</v>
      </c>
      <c r="D16" s="919">
        <f t="shared" si="1"/>
        <v>5184.5</v>
      </c>
      <c r="E16" s="919">
        <f t="shared" si="1"/>
        <v>5103.25</v>
      </c>
      <c r="F16" s="919">
        <f t="shared" si="1"/>
        <v>5562.25</v>
      </c>
      <c r="G16" s="919">
        <f t="shared" si="1"/>
        <v>5209.5</v>
      </c>
      <c r="H16" s="919">
        <f t="shared" si="1"/>
        <v>5099</v>
      </c>
      <c r="I16" s="919">
        <f t="shared" si="1"/>
        <v>4917.75</v>
      </c>
      <c r="J16" s="919">
        <f t="shared" si="1"/>
        <v>5358.25</v>
      </c>
      <c r="K16" s="919">
        <f t="shared" si="1"/>
        <v>5266.5</v>
      </c>
      <c r="L16" s="919">
        <f t="shared" si="1"/>
        <v>5563</v>
      </c>
      <c r="M16" s="920">
        <f t="shared" si="1"/>
        <v>6575</v>
      </c>
      <c r="N16" s="921">
        <f t="shared" si="0"/>
        <v>64820.25</v>
      </c>
    </row>
    <row r="17" spans="1:14">
      <c r="A17" s="922"/>
      <c r="B17" s="923"/>
      <c r="C17" s="923"/>
      <c r="D17" s="923"/>
      <c r="E17" s="923"/>
      <c r="F17" s="923"/>
      <c r="G17" s="923"/>
      <c r="H17" s="923"/>
      <c r="I17" s="923"/>
      <c r="J17" s="923"/>
      <c r="K17" s="923"/>
      <c r="L17" s="923"/>
      <c r="M17" s="923"/>
      <c r="N17" s="923"/>
    </row>
    <row r="18" spans="1:14">
      <c r="A18" s="922"/>
      <c r="B18" s="923"/>
      <c r="C18" s="923"/>
      <c r="D18" s="923"/>
      <c r="E18" s="923"/>
      <c r="F18" s="923"/>
      <c r="G18" s="923"/>
      <c r="H18" s="923"/>
      <c r="I18" s="923"/>
      <c r="J18" s="923"/>
      <c r="K18" s="923"/>
      <c r="L18" s="923"/>
      <c r="M18" s="923"/>
      <c r="N18" s="924" t="s">
        <v>954</v>
      </c>
    </row>
    <row r="19" spans="1:14">
      <c r="A19" s="910" t="s">
        <v>955</v>
      </c>
      <c r="B19" s="911">
        <f t="shared" ref="B19:M19" si="2">SUM(B5*100/B16)</f>
        <v>3.0766518270375105</v>
      </c>
      <c r="C19" s="911">
        <f t="shared" si="2"/>
        <v>1.9210848479141163</v>
      </c>
      <c r="D19" s="911">
        <f t="shared" si="2"/>
        <v>1.0946089304658115</v>
      </c>
      <c r="E19" s="911">
        <f t="shared" si="2"/>
        <v>0.54377112624308044</v>
      </c>
      <c r="F19" s="911">
        <f t="shared" si="2"/>
        <v>0.2157400332599218</v>
      </c>
      <c r="G19" s="911">
        <f t="shared" si="2"/>
        <v>0</v>
      </c>
      <c r="H19" s="911">
        <f t="shared" si="2"/>
        <v>4.7901549323396742</v>
      </c>
      <c r="I19" s="911">
        <f t="shared" si="2"/>
        <v>0.9404707437344314</v>
      </c>
      <c r="J19" s="911">
        <f t="shared" si="2"/>
        <v>2.9953809546027155</v>
      </c>
      <c r="K19" s="911">
        <f t="shared" si="2"/>
        <v>0</v>
      </c>
      <c r="L19" s="911">
        <f t="shared" si="2"/>
        <v>0.62915692971418302</v>
      </c>
      <c r="M19" s="911">
        <f t="shared" si="2"/>
        <v>0</v>
      </c>
      <c r="N19" s="925">
        <f>SUM(B19:M19)/12</f>
        <v>1.3505850271092872</v>
      </c>
    </row>
    <row r="20" spans="1:14">
      <c r="A20" s="922"/>
      <c r="B20" s="923"/>
      <c r="C20" s="923"/>
      <c r="D20" s="923"/>
      <c r="E20" s="923"/>
      <c r="F20" s="923"/>
      <c r="G20" s="923"/>
      <c r="H20" s="923"/>
      <c r="I20" s="923"/>
      <c r="J20" s="923"/>
      <c r="K20" s="923"/>
      <c r="L20" s="923"/>
      <c r="M20" s="923"/>
      <c r="N20" s="906"/>
    </row>
    <row r="21" spans="1:14">
      <c r="A21" s="910" t="s">
        <v>956</v>
      </c>
      <c r="B21" s="911">
        <f t="shared" ref="B21:M21" si="3">SUM(B10*100/B16)</f>
        <v>6.1004099263895624</v>
      </c>
      <c r="C21" s="911">
        <f t="shared" si="3"/>
        <v>3.1876824559751391</v>
      </c>
      <c r="D21" s="911">
        <f t="shared" si="3"/>
        <v>6.1192014659079952</v>
      </c>
      <c r="E21" s="911">
        <f t="shared" si="3"/>
        <v>4.1248224170871506</v>
      </c>
      <c r="F21" s="911">
        <f t="shared" si="3"/>
        <v>0.76407928446222306</v>
      </c>
      <c r="G21" s="911">
        <f t="shared" si="3"/>
        <v>0.92139360783184565</v>
      </c>
      <c r="H21" s="911">
        <f t="shared" si="3"/>
        <v>3.5889390076485586</v>
      </c>
      <c r="I21" s="911">
        <f t="shared" si="3"/>
        <v>0.85913273346550756</v>
      </c>
      <c r="J21" s="911">
        <f t="shared" si="3"/>
        <v>5.3422292726169927</v>
      </c>
      <c r="K21" s="911">
        <f t="shared" si="3"/>
        <v>2.1361435488464826</v>
      </c>
      <c r="L21" s="911">
        <f t="shared" si="3"/>
        <v>5.6938702139133559</v>
      </c>
      <c r="M21" s="911">
        <f t="shared" si="3"/>
        <v>0</v>
      </c>
      <c r="N21" s="925">
        <f>SUM(B21:M21)/12</f>
        <v>3.2364919945120678</v>
      </c>
    </row>
    <row r="22" spans="1:14" ht="13.5" thickBot="1">
      <c r="A22" s="926" t="s">
        <v>957</v>
      </c>
      <c r="B22" s="917">
        <f t="shared" ref="B22:M22" si="4">SUM(B11*100/B16)</f>
        <v>0</v>
      </c>
      <c r="C22" s="917">
        <f t="shared" si="4"/>
        <v>0.14596478011112157</v>
      </c>
      <c r="D22" s="917">
        <f t="shared" si="4"/>
        <v>0.14466197318931431</v>
      </c>
      <c r="E22" s="917">
        <f t="shared" si="4"/>
        <v>0</v>
      </c>
      <c r="F22" s="917">
        <f t="shared" si="4"/>
        <v>0</v>
      </c>
      <c r="G22" s="917">
        <f t="shared" si="4"/>
        <v>0.14876667626451676</v>
      </c>
      <c r="H22" s="917">
        <f t="shared" si="4"/>
        <v>0</v>
      </c>
      <c r="I22" s="917">
        <f t="shared" si="4"/>
        <v>0.14234151797061664</v>
      </c>
      <c r="J22" s="917">
        <f t="shared" si="4"/>
        <v>0</v>
      </c>
      <c r="K22" s="917">
        <f t="shared" si="4"/>
        <v>0.16139751257951201</v>
      </c>
      <c r="L22" s="917">
        <f t="shared" si="4"/>
        <v>0.13931332015099765</v>
      </c>
      <c r="M22" s="917">
        <f t="shared" si="4"/>
        <v>0</v>
      </c>
      <c r="N22" s="927">
        <f>SUM(B22:M22)/12</f>
        <v>7.3537148355506579E-2</v>
      </c>
    </row>
    <row r="23" spans="1:14" ht="13.5" thickBot="1">
      <c r="A23" s="928" t="s">
        <v>958</v>
      </c>
      <c r="B23" s="929">
        <f t="shared" ref="B23:M23" si="5">SUM(B21:B21)</f>
        <v>6.1004099263895624</v>
      </c>
      <c r="C23" s="929">
        <f t="shared" si="5"/>
        <v>3.1876824559751391</v>
      </c>
      <c r="D23" s="929">
        <f t="shared" si="5"/>
        <v>6.1192014659079952</v>
      </c>
      <c r="E23" s="929">
        <f t="shared" si="5"/>
        <v>4.1248224170871506</v>
      </c>
      <c r="F23" s="929">
        <f t="shared" si="5"/>
        <v>0.76407928446222306</v>
      </c>
      <c r="G23" s="929">
        <f t="shared" si="5"/>
        <v>0.92139360783184565</v>
      </c>
      <c r="H23" s="929">
        <f t="shared" si="5"/>
        <v>3.5889390076485586</v>
      </c>
      <c r="I23" s="929">
        <f t="shared" si="5"/>
        <v>0.85913273346550756</v>
      </c>
      <c r="J23" s="929">
        <f t="shared" si="5"/>
        <v>5.3422292726169927</v>
      </c>
      <c r="K23" s="929">
        <f t="shared" si="5"/>
        <v>2.1361435488464826</v>
      </c>
      <c r="L23" s="929">
        <f t="shared" si="5"/>
        <v>5.6938702139133559</v>
      </c>
      <c r="M23" s="929">
        <f t="shared" si="5"/>
        <v>0</v>
      </c>
      <c r="N23" s="930">
        <f>SUM(N21:N22)</f>
        <v>3.3100291428675743</v>
      </c>
    </row>
    <row r="24" spans="1:14">
      <c r="A24" s="922" t="s">
        <v>959</v>
      </c>
      <c r="B24" s="923"/>
      <c r="C24" s="923"/>
      <c r="D24" s="931">
        <f>SUM(B23:D23)/3</f>
        <v>5.1357646160908992</v>
      </c>
      <c r="E24" s="923"/>
      <c r="F24" s="923"/>
      <c r="G24" s="931">
        <f>SUM(E23,F23,G23)/3</f>
        <v>1.9367651031270732</v>
      </c>
      <c r="H24" s="923"/>
      <c r="I24" s="923"/>
      <c r="J24" s="931">
        <f>SUM(H23,I23,J23)/3</f>
        <v>3.263433671243686</v>
      </c>
      <c r="K24" s="923"/>
      <c r="L24" s="923"/>
      <c r="M24" s="931">
        <f>SUM(K23,L23,M23)/3</f>
        <v>2.6100045875866127</v>
      </c>
      <c r="N24" s="932">
        <f>SUM(D24:M24)/4</f>
        <v>3.2364919945120678</v>
      </c>
    </row>
    <row r="25" spans="1:14">
      <c r="A25" s="922" t="s">
        <v>960</v>
      </c>
      <c r="B25" s="923"/>
      <c r="C25" s="923"/>
      <c r="D25" s="933"/>
      <c r="E25" s="923"/>
      <c r="F25" s="923"/>
      <c r="G25" s="933"/>
      <c r="H25" s="923"/>
      <c r="I25" s="923"/>
      <c r="J25" s="933"/>
      <c r="K25" s="923"/>
      <c r="L25" s="923"/>
      <c r="M25" s="933"/>
      <c r="N25" s="925">
        <f>SUM(D25:G25,J25,M25)/4</f>
        <v>0</v>
      </c>
    </row>
    <row r="26" spans="1:14">
      <c r="A26" s="922"/>
      <c r="B26" s="923"/>
      <c r="C26" s="923"/>
      <c r="D26" s="923"/>
      <c r="E26" s="923"/>
      <c r="F26" s="923"/>
      <c r="G26" s="923"/>
      <c r="H26" s="923"/>
      <c r="I26" s="923"/>
      <c r="J26" s="923"/>
      <c r="K26" s="923"/>
      <c r="L26" s="923"/>
      <c r="M26" s="923"/>
      <c r="N26" s="923"/>
    </row>
    <row r="27" spans="1:14">
      <c r="A27" s="910" t="s">
        <v>961</v>
      </c>
      <c r="B27" s="911">
        <f t="shared" ref="B27:M27" si="6">B14*100/B16</f>
        <v>2.3008771543174507</v>
      </c>
      <c r="C27" s="911">
        <f t="shared" si="6"/>
        <v>3.4984461813730108</v>
      </c>
      <c r="D27" s="911">
        <f t="shared" si="6"/>
        <v>3.7901436975600347</v>
      </c>
      <c r="E27" s="911">
        <f t="shared" si="6"/>
        <v>0.59765835496987219</v>
      </c>
      <c r="F27" s="911">
        <f t="shared" si="6"/>
        <v>1.6674906737381456</v>
      </c>
      <c r="G27" s="911">
        <f t="shared" si="6"/>
        <v>0.44630002879355024</v>
      </c>
      <c r="H27" s="911">
        <f t="shared" si="6"/>
        <v>0</v>
      </c>
      <c r="I27" s="911">
        <f t="shared" si="6"/>
        <v>0</v>
      </c>
      <c r="J27" s="911">
        <f t="shared" si="6"/>
        <v>0.94713759156441002</v>
      </c>
      <c r="K27" s="911">
        <f t="shared" si="6"/>
        <v>2.8102155131491502</v>
      </c>
      <c r="L27" s="911">
        <f t="shared" si="6"/>
        <v>1.0515908682365631</v>
      </c>
      <c r="M27" s="911">
        <f t="shared" si="6"/>
        <v>0</v>
      </c>
      <c r="N27" s="925">
        <f>SUM(B27:M27)/12</f>
        <v>1.4258216719751822</v>
      </c>
    </row>
    <row r="28" spans="1:14">
      <c r="A28" s="910" t="s">
        <v>962</v>
      </c>
      <c r="B28" s="911">
        <f t="shared" ref="B28:M28" si="7">B12*100/B16</f>
        <v>6.9467095693569005</v>
      </c>
      <c r="C28" s="911">
        <f t="shared" si="7"/>
        <v>4.8450889914304547</v>
      </c>
      <c r="D28" s="911">
        <f t="shared" si="7"/>
        <v>3.5972610666409488</v>
      </c>
      <c r="E28" s="911">
        <f t="shared" si="7"/>
        <v>4.5363248910008327</v>
      </c>
      <c r="F28" s="911">
        <f t="shared" si="7"/>
        <v>8.6385904984493678</v>
      </c>
      <c r="G28" s="911">
        <f t="shared" si="7"/>
        <v>6.1618197523754681</v>
      </c>
      <c r="H28" s="911">
        <f t="shared" si="7"/>
        <v>2.5004902922141596</v>
      </c>
      <c r="I28" s="911">
        <f t="shared" si="7"/>
        <v>3.9245589954755733</v>
      </c>
      <c r="J28" s="911">
        <f t="shared" si="7"/>
        <v>6.4759949610413852</v>
      </c>
      <c r="K28" s="911">
        <f t="shared" si="7"/>
        <v>6.0144308364188737</v>
      </c>
      <c r="L28" s="911">
        <f t="shared" si="7"/>
        <v>8.2060039547007015</v>
      </c>
      <c r="M28" s="911">
        <f t="shared" si="7"/>
        <v>0</v>
      </c>
      <c r="N28" s="925">
        <f>SUM(B28:M28)/12</f>
        <v>5.1539394840920556</v>
      </c>
    </row>
    <row r="29" spans="1:14" ht="13.5" thickBot="1">
      <c r="A29" s="910" t="s">
        <v>963</v>
      </c>
      <c r="B29" s="911">
        <f t="shared" ref="B29:M29" si="8">B8*100/B16</f>
        <v>3.8303874465552958</v>
      </c>
      <c r="C29" s="911">
        <f t="shared" si="8"/>
        <v>13.645352669742914</v>
      </c>
      <c r="D29" s="911">
        <f t="shared" si="8"/>
        <v>12.966534863535539</v>
      </c>
      <c r="E29" s="911">
        <f t="shared" si="8"/>
        <v>16.288639592416597</v>
      </c>
      <c r="F29" s="911">
        <f t="shared" si="8"/>
        <v>7.5688795002022564</v>
      </c>
      <c r="G29" s="911">
        <f t="shared" si="8"/>
        <v>18.768595834533066</v>
      </c>
      <c r="H29" s="911">
        <f t="shared" si="8"/>
        <v>27.672092567170033</v>
      </c>
      <c r="I29" s="911">
        <f t="shared" si="8"/>
        <v>30.039143917441919</v>
      </c>
      <c r="J29" s="911">
        <f t="shared" si="8"/>
        <v>13.021975458405263</v>
      </c>
      <c r="K29" s="911">
        <f t="shared" si="8"/>
        <v>13.509921200037976</v>
      </c>
      <c r="L29" s="911">
        <f t="shared" si="8"/>
        <v>3.3480136616933311</v>
      </c>
      <c r="M29" s="911">
        <f t="shared" si="8"/>
        <v>0</v>
      </c>
      <c r="N29" s="925">
        <f>SUM(B29:M29)/12</f>
        <v>13.388294725977849</v>
      </c>
    </row>
    <row r="30" spans="1:14" ht="13.5" thickBot="1">
      <c r="A30" s="934" t="s">
        <v>964</v>
      </c>
      <c r="B30" s="935">
        <f t="shared" ref="B30:M30" si="9">SUM(B4-B16)*100/B16</f>
        <v>15.925419843963503</v>
      </c>
      <c r="C30" s="935">
        <f t="shared" si="9"/>
        <v>23.834636029757981</v>
      </c>
      <c r="D30" s="935">
        <f t="shared" si="9"/>
        <v>26.820329829298871</v>
      </c>
      <c r="E30" s="935">
        <f t="shared" si="9"/>
        <v>28.839465046783911</v>
      </c>
      <c r="F30" s="935">
        <f t="shared" si="9"/>
        <v>18.207559890332149</v>
      </c>
      <c r="G30" s="935">
        <f t="shared" si="9"/>
        <v>26.211728572799693</v>
      </c>
      <c r="H30" s="935">
        <f t="shared" si="9"/>
        <v>28.946852323985095</v>
      </c>
      <c r="I30" s="935">
        <f t="shared" si="9"/>
        <v>33.699354379543493</v>
      </c>
      <c r="J30" s="935">
        <f t="shared" si="9"/>
        <v>22.707973685438343</v>
      </c>
      <c r="K30" s="935">
        <f t="shared" si="9"/>
        <v>24.845722965916643</v>
      </c>
      <c r="L30" s="935">
        <f t="shared" si="9"/>
        <v>18.191623224878661</v>
      </c>
      <c r="M30" s="935">
        <f t="shared" si="9"/>
        <v>0</v>
      </c>
      <c r="N30" s="936">
        <f>SUM(B30:M30)/12</f>
        <v>22.352555482724863</v>
      </c>
    </row>
    <row r="31" spans="1:14">
      <c r="A31" s="922"/>
      <c r="B31" s="923"/>
      <c r="C31" s="923"/>
      <c r="D31" s="923"/>
      <c r="E31" s="923"/>
      <c r="F31" s="923"/>
      <c r="G31" s="923"/>
      <c r="H31" s="923"/>
      <c r="I31" s="923"/>
      <c r="J31" s="923"/>
      <c r="K31" s="923"/>
      <c r="L31" s="923"/>
      <c r="M31" s="923"/>
      <c r="N31" s="906"/>
    </row>
    <row r="32" spans="1:14">
      <c r="A32" s="937" t="s">
        <v>965</v>
      </c>
      <c r="B32" s="923"/>
      <c r="C32" s="923"/>
      <c r="D32" s="923"/>
      <c r="E32" s="923"/>
      <c r="F32" s="923"/>
      <c r="G32" s="923"/>
      <c r="H32" s="923"/>
      <c r="I32" s="923"/>
      <c r="J32" s="923"/>
      <c r="K32" s="923"/>
      <c r="L32" s="923"/>
      <c r="M32" s="923"/>
      <c r="N32" s="906"/>
    </row>
    <row r="33" spans="1:14">
      <c r="A33" s="910" t="s">
        <v>966</v>
      </c>
      <c r="B33" s="938">
        <v>47</v>
      </c>
      <c r="C33" s="938">
        <f t="shared" ref="C33:N33" si="10">B36</f>
        <v>45</v>
      </c>
      <c r="D33" s="938">
        <f t="shared" si="10"/>
        <v>47</v>
      </c>
      <c r="E33" s="938">
        <f t="shared" si="10"/>
        <v>44</v>
      </c>
      <c r="F33" s="938">
        <f t="shared" si="10"/>
        <v>44</v>
      </c>
      <c r="G33" s="938">
        <f t="shared" si="10"/>
        <v>44</v>
      </c>
      <c r="H33" s="938">
        <f t="shared" si="10"/>
        <v>46</v>
      </c>
      <c r="I33" s="938">
        <f t="shared" si="10"/>
        <v>45</v>
      </c>
      <c r="J33" s="938">
        <f t="shared" si="10"/>
        <v>43</v>
      </c>
      <c r="K33" s="938">
        <f t="shared" si="10"/>
        <v>43</v>
      </c>
      <c r="L33" s="938">
        <f t="shared" si="10"/>
        <v>43</v>
      </c>
      <c r="M33" s="938">
        <f t="shared" si="10"/>
        <v>43</v>
      </c>
      <c r="N33" s="938">
        <f t="shared" si="10"/>
        <v>43</v>
      </c>
    </row>
    <row r="34" spans="1:14">
      <c r="A34" s="910" t="s">
        <v>967</v>
      </c>
      <c r="B34" s="938">
        <v>1</v>
      </c>
      <c r="C34" s="938">
        <v>2</v>
      </c>
      <c r="D34" s="938"/>
      <c r="E34" s="938"/>
      <c r="F34" s="938"/>
      <c r="G34" s="938">
        <v>2</v>
      </c>
      <c r="H34" s="938">
        <v>1</v>
      </c>
      <c r="I34" s="938"/>
      <c r="J34" s="938"/>
      <c r="K34" s="938"/>
      <c r="L34" s="938"/>
      <c r="M34" s="938"/>
      <c r="N34" s="938"/>
    </row>
    <row r="35" spans="1:14">
      <c r="A35" s="910" t="s">
        <v>968</v>
      </c>
      <c r="B35" s="938">
        <v>3</v>
      </c>
      <c r="C35" s="938"/>
      <c r="D35" s="938">
        <v>3</v>
      </c>
      <c r="E35" s="938"/>
      <c r="F35" s="938"/>
      <c r="G35" s="938"/>
      <c r="H35" s="938">
        <v>2</v>
      </c>
      <c r="I35" s="938">
        <v>2</v>
      </c>
      <c r="J35" s="938"/>
      <c r="K35" s="938"/>
      <c r="L35" s="938"/>
      <c r="M35" s="938"/>
      <c r="N35" s="938"/>
    </row>
    <row r="36" spans="1:14">
      <c r="A36" s="910" t="s">
        <v>965</v>
      </c>
      <c r="B36" s="938">
        <f t="shared" ref="B36:M36" si="11">SUM(B33+B34-B35)</f>
        <v>45</v>
      </c>
      <c r="C36" s="938">
        <f t="shared" si="11"/>
        <v>47</v>
      </c>
      <c r="D36" s="938">
        <f t="shared" si="11"/>
        <v>44</v>
      </c>
      <c r="E36" s="938">
        <f t="shared" si="11"/>
        <v>44</v>
      </c>
      <c r="F36" s="938">
        <f t="shared" si="11"/>
        <v>44</v>
      </c>
      <c r="G36" s="938">
        <f t="shared" si="11"/>
        <v>46</v>
      </c>
      <c r="H36" s="938">
        <f t="shared" si="11"/>
        <v>45</v>
      </c>
      <c r="I36" s="938">
        <f t="shared" si="11"/>
        <v>43</v>
      </c>
      <c r="J36" s="938">
        <f t="shared" si="11"/>
        <v>43</v>
      </c>
      <c r="K36" s="938">
        <f t="shared" si="11"/>
        <v>43</v>
      </c>
      <c r="L36" s="938">
        <f t="shared" si="11"/>
        <v>43</v>
      </c>
      <c r="M36" s="938">
        <f t="shared" si="11"/>
        <v>43</v>
      </c>
      <c r="N36" s="938">
        <f>SUM(B36:M36)/12</f>
        <v>44.166666666666664</v>
      </c>
    </row>
    <row r="37" spans="1:14">
      <c r="A37" s="910" t="s">
        <v>969</v>
      </c>
      <c r="B37" s="939">
        <f t="shared" ref="B37:M37" si="12">SUM(B36*100)/B33-100</f>
        <v>-4.2553191489361666</v>
      </c>
      <c r="C37" s="939">
        <f t="shared" si="12"/>
        <v>4.4444444444444429</v>
      </c>
      <c r="D37" s="939">
        <f t="shared" si="12"/>
        <v>-6.3829787234042499</v>
      </c>
      <c r="E37" s="939">
        <f t="shared" si="12"/>
        <v>0</v>
      </c>
      <c r="F37" s="939">
        <f t="shared" si="12"/>
        <v>0</v>
      </c>
      <c r="G37" s="939">
        <f t="shared" si="12"/>
        <v>4.5454545454545467</v>
      </c>
      <c r="H37" s="939">
        <f t="shared" si="12"/>
        <v>-2.1739130434782652</v>
      </c>
      <c r="I37" s="939">
        <f t="shared" si="12"/>
        <v>-4.4444444444444429</v>
      </c>
      <c r="J37" s="939">
        <f t="shared" si="12"/>
        <v>0</v>
      </c>
      <c r="K37" s="939">
        <f t="shared" si="12"/>
        <v>0</v>
      </c>
      <c r="L37" s="939">
        <f t="shared" si="12"/>
        <v>0</v>
      </c>
      <c r="M37" s="939">
        <f t="shared" si="12"/>
        <v>0</v>
      </c>
      <c r="N37" s="938"/>
    </row>
    <row r="38" spans="1:14">
      <c r="A38" s="922" t="s">
        <v>970</v>
      </c>
      <c r="B38" s="940"/>
      <c r="C38" s="940"/>
      <c r="D38" s="941">
        <f>SUM(B37:D37/3)</f>
        <v>-2.1276595744680833</v>
      </c>
      <c r="E38" s="940"/>
      <c r="F38" s="940"/>
      <c r="G38" s="941">
        <f>SUM(E37:G37)/3</f>
        <v>1.5151515151515156</v>
      </c>
      <c r="H38" s="940"/>
      <c r="I38" s="940"/>
      <c r="J38" s="941">
        <f>SUM(H37:J37)/3</f>
        <v>-2.2061191626409027</v>
      </c>
      <c r="K38" s="940"/>
      <c r="L38" s="940"/>
      <c r="M38" s="941">
        <f>SUM(K37:M37)/3</f>
        <v>0</v>
      </c>
      <c r="N38" s="940"/>
    </row>
    <row r="39" spans="1:14">
      <c r="A39" s="922"/>
      <c r="B39" s="923"/>
      <c r="C39" s="923"/>
      <c r="D39" s="923"/>
      <c r="E39" s="923"/>
      <c r="F39" s="923"/>
      <c r="G39" s="923"/>
      <c r="H39" s="923"/>
      <c r="I39" s="923"/>
      <c r="J39" s="923"/>
      <c r="K39" s="923"/>
      <c r="L39" s="923"/>
      <c r="M39" s="923"/>
      <c r="N39" s="906"/>
    </row>
    <row r="40" spans="1:14" ht="16.5" thickBot="1">
      <c r="E40" s="942" t="s">
        <v>971</v>
      </c>
      <c r="F40" s="943"/>
      <c r="G40" s="944">
        <v>2011</v>
      </c>
    </row>
    <row r="41" spans="1:14">
      <c r="A41" s="945" t="s">
        <v>972</v>
      </c>
      <c r="B41" s="946" t="s">
        <v>924</v>
      </c>
      <c r="C41" s="946" t="s">
        <v>925</v>
      </c>
      <c r="D41" s="946" t="s">
        <v>926</v>
      </c>
      <c r="E41" s="946" t="s">
        <v>927</v>
      </c>
      <c r="F41" s="946" t="s">
        <v>928</v>
      </c>
      <c r="G41" s="946" t="s">
        <v>929</v>
      </c>
      <c r="H41" s="946" t="s">
        <v>918</v>
      </c>
      <c r="I41" s="946" t="s">
        <v>919</v>
      </c>
      <c r="J41" s="946" t="s">
        <v>920</v>
      </c>
      <c r="K41" s="946" t="s">
        <v>921</v>
      </c>
      <c r="L41" s="946" t="s">
        <v>922</v>
      </c>
      <c r="M41" s="946" t="s">
        <v>923</v>
      </c>
      <c r="N41" s="947" t="s">
        <v>137</v>
      </c>
    </row>
    <row r="42" spans="1:14">
      <c r="A42" s="948" t="s">
        <v>973</v>
      </c>
      <c r="B42" s="949">
        <v>43</v>
      </c>
      <c r="C42" s="949">
        <v>40</v>
      </c>
      <c r="D42" s="949">
        <v>64</v>
      </c>
      <c r="E42" s="949">
        <v>29</v>
      </c>
      <c r="F42" s="949">
        <v>41</v>
      </c>
      <c r="G42" s="949">
        <v>29</v>
      </c>
      <c r="H42" s="949">
        <v>37</v>
      </c>
      <c r="I42" s="949">
        <v>52</v>
      </c>
      <c r="J42" s="949">
        <v>44</v>
      </c>
      <c r="K42" s="949">
        <v>48</v>
      </c>
      <c r="L42" s="949">
        <v>45</v>
      </c>
      <c r="M42" s="949">
        <v>30</v>
      </c>
      <c r="N42" s="950">
        <f>SUM(B42:M42)</f>
        <v>502</v>
      </c>
    </row>
    <row r="43" spans="1:14">
      <c r="A43" s="948" t="s">
        <v>974</v>
      </c>
      <c r="B43" s="949">
        <v>1091</v>
      </c>
      <c r="C43" s="949">
        <v>1388</v>
      </c>
      <c r="D43" s="949">
        <v>1816</v>
      </c>
      <c r="E43" s="949">
        <v>1049</v>
      </c>
      <c r="F43" s="949">
        <v>1411</v>
      </c>
      <c r="G43" s="949">
        <v>1406</v>
      </c>
      <c r="H43" s="949">
        <v>1509</v>
      </c>
      <c r="I43" s="949">
        <v>1777</v>
      </c>
      <c r="J43" s="949">
        <v>2493</v>
      </c>
      <c r="K43" s="949">
        <v>2393</v>
      </c>
      <c r="L43" s="949">
        <v>2425</v>
      </c>
      <c r="M43" s="949">
        <v>1846</v>
      </c>
      <c r="N43" s="950">
        <f>SUM(B43:M43)</f>
        <v>20604</v>
      </c>
    </row>
    <row r="44" spans="1:14">
      <c r="A44" s="948" t="s">
        <v>975</v>
      </c>
      <c r="B44" s="949">
        <v>121</v>
      </c>
      <c r="C44" s="949">
        <v>111</v>
      </c>
      <c r="D44" s="949">
        <v>302</v>
      </c>
      <c r="E44" s="949">
        <v>616</v>
      </c>
      <c r="F44" s="949">
        <v>1341</v>
      </c>
      <c r="G44" s="949">
        <v>2147</v>
      </c>
      <c r="H44" s="949">
        <v>1890</v>
      </c>
      <c r="I44" s="949">
        <v>2468</v>
      </c>
      <c r="J44" s="949">
        <v>1412</v>
      </c>
      <c r="K44" s="949">
        <v>854</v>
      </c>
      <c r="L44" s="949">
        <v>372</v>
      </c>
      <c r="M44" s="949">
        <v>170</v>
      </c>
      <c r="N44" s="950">
        <f>SUM(B44:M44)</f>
        <v>11804</v>
      </c>
    </row>
    <row r="45" spans="1:14">
      <c r="A45" s="948" t="s">
        <v>976</v>
      </c>
      <c r="B45" s="949">
        <v>756</v>
      </c>
      <c r="C45" s="949">
        <v>552</v>
      </c>
      <c r="D45" s="949">
        <v>902</v>
      </c>
      <c r="E45" s="949">
        <v>571</v>
      </c>
      <c r="F45" s="949">
        <v>763</v>
      </c>
      <c r="G45" s="949">
        <v>803</v>
      </c>
      <c r="H45" s="949">
        <v>675</v>
      </c>
      <c r="I45" s="949">
        <v>840</v>
      </c>
      <c r="J45" s="949">
        <v>917</v>
      </c>
      <c r="K45" s="949">
        <v>845</v>
      </c>
      <c r="L45" s="949">
        <v>918</v>
      </c>
      <c r="M45" s="949">
        <v>628</v>
      </c>
      <c r="N45" s="950">
        <f>SUM(B45:M45)</f>
        <v>9170</v>
      </c>
    </row>
    <row r="46" spans="1:14" ht="13.5" thickBot="1">
      <c r="A46" s="951" t="s">
        <v>977</v>
      </c>
      <c r="B46" s="952"/>
      <c r="C46" s="952">
        <v>4</v>
      </c>
      <c r="D46" s="952">
        <v>3</v>
      </c>
      <c r="E46" s="952">
        <v>1</v>
      </c>
      <c r="F46" s="952">
        <v>4</v>
      </c>
      <c r="G46" s="952">
        <v>1</v>
      </c>
      <c r="H46" s="952">
        <v>2</v>
      </c>
      <c r="I46" s="952">
        <v>1</v>
      </c>
      <c r="J46" s="952">
        <v>2</v>
      </c>
      <c r="K46" s="952">
        <v>2</v>
      </c>
      <c r="L46" s="952">
        <v>2</v>
      </c>
      <c r="M46" s="952">
        <v>9</v>
      </c>
      <c r="N46" s="953">
        <f>SUM(B46:M46)</f>
        <v>31</v>
      </c>
    </row>
    <row r="48" spans="1:14" ht="16.5" thickBot="1">
      <c r="E48" s="942" t="s">
        <v>978</v>
      </c>
      <c r="F48" s="943"/>
      <c r="G48" s="944">
        <v>2011</v>
      </c>
    </row>
    <row r="49" spans="1:17">
      <c r="A49" s="945" t="s">
        <v>979</v>
      </c>
      <c r="B49" s="946" t="s">
        <v>924</v>
      </c>
      <c r="C49" s="946" t="s">
        <v>925</v>
      </c>
      <c r="D49" s="946" t="s">
        <v>926</v>
      </c>
      <c r="E49" s="946" t="s">
        <v>927</v>
      </c>
      <c r="F49" s="946" t="s">
        <v>928</v>
      </c>
      <c r="G49" s="946" t="s">
        <v>929</v>
      </c>
      <c r="H49" s="946" t="s">
        <v>918</v>
      </c>
      <c r="I49" s="946" t="s">
        <v>919</v>
      </c>
      <c r="J49" s="946" t="s">
        <v>920</v>
      </c>
      <c r="K49" s="946" t="s">
        <v>921</v>
      </c>
      <c r="L49" s="946" t="s">
        <v>922</v>
      </c>
      <c r="M49" s="946" t="s">
        <v>923</v>
      </c>
      <c r="N49" s="947" t="s">
        <v>137</v>
      </c>
    </row>
    <row r="50" spans="1:17">
      <c r="A50" s="1246" t="s">
        <v>980</v>
      </c>
      <c r="B50" s="954"/>
      <c r="C50" s="954"/>
      <c r="D50" s="954"/>
      <c r="E50" s="954"/>
      <c r="F50" s="954"/>
      <c r="G50" s="954"/>
      <c r="H50" s="954"/>
      <c r="I50" s="954"/>
      <c r="J50" s="954"/>
      <c r="K50" s="954"/>
      <c r="L50" s="954"/>
      <c r="M50" s="954"/>
      <c r="N50" s="955">
        <f>SUM(B50:M50)</f>
        <v>0</v>
      </c>
    </row>
    <row r="51" spans="1:17">
      <c r="A51" s="948" t="s">
        <v>981</v>
      </c>
      <c r="B51" s="956">
        <v>20</v>
      </c>
      <c r="C51" s="956">
        <v>24</v>
      </c>
      <c r="D51" s="956">
        <v>17</v>
      </c>
      <c r="E51" s="956">
        <v>21</v>
      </c>
      <c r="F51" s="956">
        <v>23</v>
      </c>
      <c r="G51" s="956">
        <v>16</v>
      </c>
      <c r="H51" s="956">
        <v>24</v>
      </c>
      <c r="I51" s="956">
        <v>24</v>
      </c>
      <c r="J51" s="956">
        <v>16</v>
      </c>
      <c r="K51" s="956">
        <v>13</v>
      </c>
      <c r="L51" s="956">
        <v>15</v>
      </c>
      <c r="M51" s="956"/>
      <c r="N51" s="955">
        <f>SUM(B51:M51)</f>
        <v>213</v>
      </c>
    </row>
    <row r="52" spans="1:17">
      <c r="A52" s="948" t="s">
        <v>982</v>
      </c>
      <c r="B52" s="956">
        <v>53</v>
      </c>
      <c r="C52" s="956">
        <v>41</v>
      </c>
      <c r="D52" s="956">
        <v>24</v>
      </c>
      <c r="E52" s="956">
        <v>38</v>
      </c>
      <c r="F52" s="956">
        <v>38</v>
      </c>
      <c r="G52" s="956">
        <v>48</v>
      </c>
      <c r="H52" s="956">
        <v>68</v>
      </c>
      <c r="I52" s="956">
        <v>25</v>
      </c>
      <c r="J52" s="956">
        <v>14</v>
      </c>
      <c r="K52" s="956">
        <v>20</v>
      </c>
      <c r="L52" s="956">
        <v>24</v>
      </c>
      <c r="M52" s="956"/>
      <c r="N52" s="955">
        <f>SUM(B52:M52)</f>
        <v>393</v>
      </c>
    </row>
    <row r="53" spans="1:17">
      <c r="A53" s="948" t="s">
        <v>983</v>
      </c>
      <c r="B53" s="957">
        <v>2</v>
      </c>
      <c r="C53" s="957">
        <v>4</v>
      </c>
      <c r="D53" s="957">
        <v>4</v>
      </c>
      <c r="E53" s="957">
        <v>10</v>
      </c>
      <c r="F53" s="957">
        <v>2</v>
      </c>
      <c r="G53" s="957">
        <v>2</v>
      </c>
      <c r="H53" s="957">
        <v>4</v>
      </c>
      <c r="I53" s="957">
        <v>2</v>
      </c>
      <c r="J53" s="957">
        <v>2</v>
      </c>
      <c r="K53" s="957">
        <v>2</v>
      </c>
      <c r="L53" s="957">
        <v>2</v>
      </c>
      <c r="M53" s="957"/>
      <c r="N53" s="955">
        <f>SUM(B53:M53)</f>
        <v>36</v>
      </c>
    </row>
    <row r="54" spans="1:17" ht="13.5" thickBot="1">
      <c r="A54" s="951" t="s">
        <v>984</v>
      </c>
      <c r="B54" s="958">
        <v>83</v>
      </c>
      <c r="C54" s="958">
        <v>59</v>
      </c>
      <c r="D54" s="958">
        <v>46</v>
      </c>
      <c r="E54" s="958">
        <v>54</v>
      </c>
      <c r="F54" s="958">
        <v>50</v>
      </c>
      <c r="G54" s="958">
        <v>59</v>
      </c>
      <c r="H54" s="958">
        <v>61</v>
      </c>
      <c r="I54" s="958">
        <v>54</v>
      </c>
      <c r="J54" s="958">
        <v>34</v>
      </c>
      <c r="K54" s="958">
        <v>35</v>
      </c>
      <c r="L54" s="958">
        <v>45</v>
      </c>
      <c r="M54" s="958"/>
      <c r="N54" s="959">
        <f>SUM(B54:M54)</f>
        <v>580</v>
      </c>
    </row>
    <row r="55" spans="1:17" ht="13.5" thickBot="1">
      <c r="A55" s="960"/>
      <c r="B55" s="960"/>
      <c r="C55" s="960"/>
      <c r="D55" s="960"/>
      <c r="E55" s="960"/>
      <c r="F55" s="960"/>
      <c r="G55" s="960"/>
      <c r="H55" s="960"/>
      <c r="I55" s="960"/>
      <c r="J55" s="960"/>
      <c r="K55" s="960"/>
      <c r="L55" s="960"/>
      <c r="M55" s="960"/>
      <c r="N55" s="960"/>
    </row>
    <row r="56" spans="1:17" ht="18">
      <c r="A56" s="1700" t="s">
        <v>1146</v>
      </c>
      <c r="B56" s="1700"/>
      <c r="C56" s="1700"/>
      <c r="D56" s="1700"/>
      <c r="E56" s="1700"/>
      <c r="F56" s="1700"/>
      <c r="G56" s="1700"/>
      <c r="H56" s="1700"/>
      <c r="I56" s="1700"/>
      <c r="J56" s="1700"/>
      <c r="K56" s="1700"/>
      <c r="L56" s="1700"/>
      <c r="M56" s="1700"/>
      <c r="N56" s="1700"/>
    </row>
    <row r="57" spans="1:17" ht="15.75">
      <c r="E57" s="961"/>
      <c r="M57" s="923"/>
      <c r="N57" s="906"/>
    </row>
    <row r="58" spans="1:17">
      <c r="A58" s="962" t="s">
        <v>1065</v>
      </c>
      <c r="B58" s="963"/>
      <c r="C58" s="964"/>
      <c r="D58" s="971" t="s">
        <v>1024</v>
      </c>
      <c r="I58" s="965"/>
      <c r="J58" s="966" t="s">
        <v>1066</v>
      </c>
      <c r="K58" s="963"/>
      <c r="L58" s="963"/>
      <c r="M58" s="963"/>
      <c r="N58" s="967"/>
      <c r="P58" s="923"/>
      <c r="Q58" s="906"/>
    </row>
    <row r="59" spans="1:17">
      <c r="A59" s="965">
        <v>722</v>
      </c>
      <c r="B59" s="965" t="s">
        <v>1067</v>
      </c>
      <c r="C59" s="968"/>
      <c r="D59" s="969">
        <v>9593648</v>
      </c>
      <c r="E59" s="970"/>
      <c r="F59" s="970"/>
      <c r="G59" s="970"/>
      <c r="H59" s="970"/>
      <c r="I59" s="971" t="s">
        <v>1068</v>
      </c>
      <c r="J59" s="949" t="s">
        <v>1069</v>
      </c>
      <c r="K59" s="949" t="s">
        <v>1070</v>
      </c>
      <c r="L59" s="1171" t="s">
        <v>1027</v>
      </c>
      <c r="M59" s="1248"/>
      <c r="N59" s="949" t="s">
        <v>1029</v>
      </c>
      <c r="P59" s="923"/>
      <c r="Q59" s="906"/>
    </row>
    <row r="60" spans="1:17" ht="13.5" thickBot="1">
      <c r="A60" s="965"/>
      <c r="B60" s="965"/>
      <c r="C60" s="968"/>
      <c r="D60" s="969"/>
      <c r="E60" s="970"/>
      <c r="F60" s="970"/>
      <c r="G60" s="970"/>
      <c r="H60" s="970"/>
      <c r="I60" s="1703" t="s">
        <v>1071</v>
      </c>
      <c r="J60" s="1704"/>
      <c r="K60" s="1704"/>
      <c r="L60" s="1704"/>
      <c r="M60" s="1705"/>
      <c r="N60" s="972">
        <f>F89</f>
        <v>2850284</v>
      </c>
      <c r="O60" s="970"/>
      <c r="P60" s="923"/>
      <c r="Q60" s="906"/>
    </row>
    <row r="61" spans="1:17" ht="13.5" thickBot="1">
      <c r="A61" s="973" t="s">
        <v>154</v>
      </c>
      <c r="B61" s="974"/>
      <c r="C61" s="975"/>
      <c r="D61" s="1249">
        <f>SUM(D59:D60)</f>
        <v>9593648</v>
      </c>
      <c r="E61" s="979"/>
      <c r="F61" s="979"/>
      <c r="G61" s="979"/>
      <c r="H61" s="970"/>
      <c r="I61" s="1251">
        <v>11820</v>
      </c>
      <c r="J61" s="1252">
        <v>147</v>
      </c>
      <c r="K61" s="1253">
        <v>40664</v>
      </c>
      <c r="L61" s="965" t="s">
        <v>1072</v>
      </c>
      <c r="M61" s="1250"/>
      <c r="N61" s="976">
        <v>47144</v>
      </c>
      <c r="O61" s="977" t="s">
        <v>1147</v>
      </c>
      <c r="P61" s="923"/>
      <c r="Q61" s="906"/>
    </row>
    <row r="62" spans="1:17">
      <c r="A62" s="905" t="s">
        <v>153</v>
      </c>
      <c r="B62" s="978"/>
      <c r="C62" s="978"/>
      <c r="D62" s="979">
        <f>D61/12</f>
        <v>799470.66666666663</v>
      </c>
      <c r="E62" s="980"/>
      <c r="F62" s="980"/>
      <c r="G62" s="980"/>
      <c r="H62" s="970"/>
      <c r="I62" s="949">
        <v>62300</v>
      </c>
      <c r="J62" s="1252">
        <v>150</v>
      </c>
      <c r="K62" s="1253">
        <v>40544</v>
      </c>
      <c r="L62" s="965" t="s">
        <v>1073</v>
      </c>
      <c r="M62" s="968"/>
      <c r="N62" s="976">
        <v>61903</v>
      </c>
      <c r="O62" s="999"/>
      <c r="P62" s="923"/>
      <c r="Q62" s="906"/>
    </row>
    <row r="63" spans="1:17">
      <c r="B63" s="978"/>
      <c r="C63" s="978"/>
      <c r="H63" s="970"/>
      <c r="I63" s="949">
        <v>62011</v>
      </c>
      <c r="J63" s="981" t="s">
        <v>1074</v>
      </c>
      <c r="K63" s="982">
        <v>38048</v>
      </c>
      <c r="L63" s="965" t="s">
        <v>1075</v>
      </c>
      <c r="M63" s="968"/>
      <c r="N63" s="976">
        <v>19599</v>
      </c>
      <c r="O63" s="999"/>
      <c r="P63" s="923"/>
      <c r="Q63" s="906"/>
    </row>
    <row r="64" spans="1:17">
      <c r="B64" s="978"/>
      <c r="C64" s="978"/>
      <c r="H64" s="970"/>
      <c r="I64" s="949" t="s">
        <v>1076</v>
      </c>
      <c r="J64" s="981" t="s">
        <v>1077</v>
      </c>
      <c r="K64" s="982">
        <v>38047</v>
      </c>
      <c r="L64" s="965" t="s">
        <v>1078</v>
      </c>
      <c r="M64" s="968"/>
      <c r="N64" s="976">
        <v>19599</v>
      </c>
      <c r="O64" s="999"/>
      <c r="P64" s="923"/>
      <c r="Q64" s="906"/>
    </row>
    <row r="65" spans="1:17">
      <c r="A65" s="965"/>
      <c r="B65" s="966" t="s">
        <v>1066</v>
      </c>
      <c r="C65" s="963"/>
      <c r="D65" s="963"/>
      <c r="E65" s="963"/>
      <c r="F65" s="967"/>
      <c r="G65" s="978"/>
      <c r="H65" s="970" t="s">
        <v>1079</v>
      </c>
      <c r="I65" s="1251"/>
      <c r="J65" s="1252"/>
      <c r="K65" s="1253"/>
      <c r="L65" s="1252"/>
      <c r="M65" s="1250"/>
      <c r="N65" s="1254"/>
      <c r="O65" s="970"/>
      <c r="P65" s="923"/>
      <c r="Q65" s="906"/>
    </row>
    <row r="66" spans="1:17">
      <c r="A66" s="971" t="s">
        <v>1068</v>
      </c>
      <c r="B66" s="949" t="s">
        <v>1069</v>
      </c>
      <c r="C66" s="949" t="s">
        <v>1070</v>
      </c>
      <c r="D66" s="1171" t="s">
        <v>1027</v>
      </c>
      <c r="E66" s="949"/>
      <c r="F66" s="949" t="s">
        <v>1029</v>
      </c>
      <c r="G66" s="1255"/>
      <c r="H66" s="1256" t="s">
        <v>1080</v>
      </c>
      <c r="I66" s="983">
        <v>31400</v>
      </c>
      <c r="J66" s="984">
        <v>758</v>
      </c>
      <c r="K66" s="985">
        <v>37500</v>
      </c>
      <c r="L66" s="984" t="s">
        <v>1081</v>
      </c>
      <c r="M66" s="986"/>
      <c r="N66" s="987">
        <v>39412</v>
      </c>
      <c r="O66" s="996"/>
      <c r="P66" s="923"/>
      <c r="Q66" s="906"/>
    </row>
    <row r="67" spans="1:17">
      <c r="A67" s="949">
        <v>31139</v>
      </c>
      <c r="B67" s="1689">
        <v>111</v>
      </c>
      <c r="C67" s="1253">
        <v>40634</v>
      </c>
      <c r="D67" s="965" t="s">
        <v>1082</v>
      </c>
      <c r="E67" s="1257"/>
      <c r="F67" s="1258">
        <v>43110</v>
      </c>
      <c r="G67" s="977" t="s">
        <v>1148</v>
      </c>
      <c r="H67" s="1256" t="s">
        <v>1083</v>
      </c>
      <c r="I67" s="983">
        <v>51302</v>
      </c>
      <c r="J67" s="1690">
        <v>114</v>
      </c>
      <c r="K67" s="1691">
        <v>40544</v>
      </c>
      <c r="L67" s="984" t="s">
        <v>1084</v>
      </c>
      <c r="M67" s="986"/>
      <c r="N67" s="987">
        <v>16500</v>
      </c>
      <c r="O67" s="999"/>
      <c r="P67" s="923"/>
      <c r="Q67" s="906"/>
    </row>
    <row r="68" spans="1:17">
      <c r="A68" s="1259" t="s">
        <v>1085</v>
      </c>
      <c r="B68" s="965">
        <v>112</v>
      </c>
      <c r="C68" s="982">
        <v>37956</v>
      </c>
      <c r="D68" s="965" t="s">
        <v>1086</v>
      </c>
      <c r="E68" s="968"/>
      <c r="F68" s="976">
        <v>116310</v>
      </c>
      <c r="G68" s="970"/>
      <c r="H68" s="1256" t="s">
        <v>1087</v>
      </c>
      <c r="I68" s="983">
        <v>53204</v>
      </c>
      <c r="J68" s="1690">
        <v>114</v>
      </c>
      <c r="K68" s="1691">
        <v>40544</v>
      </c>
      <c r="L68" s="984" t="s">
        <v>1088</v>
      </c>
      <c r="M68" s="986"/>
      <c r="N68" s="987">
        <v>35100</v>
      </c>
      <c r="O68" s="999"/>
      <c r="P68" s="923"/>
      <c r="Q68" s="906"/>
    </row>
    <row r="69" spans="1:17">
      <c r="A69" s="1259" t="s">
        <v>1089</v>
      </c>
      <c r="B69" s="988">
        <v>113</v>
      </c>
      <c r="C69" s="989">
        <v>38012</v>
      </c>
      <c r="D69" s="988" t="s">
        <v>1090</v>
      </c>
      <c r="E69" s="990"/>
      <c r="F69" s="991">
        <v>146191</v>
      </c>
      <c r="G69" s="970"/>
      <c r="I69" s="949">
        <v>62300</v>
      </c>
      <c r="J69" s="1252">
        <v>149</v>
      </c>
      <c r="K69" s="1253">
        <v>40544</v>
      </c>
      <c r="L69" s="965" t="s">
        <v>1091</v>
      </c>
      <c r="M69" s="968"/>
      <c r="N69" s="991">
        <v>49158</v>
      </c>
      <c r="O69" s="970"/>
      <c r="P69" s="923"/>
      <c r="Q69" s="906"/>
    </row>
    <row r="70" spans="1:17">
      <c r="A70" s="949">
        <v>64796</v>
      </c>
      <c r="B70" s="997">
        <v>115</v>
      </c>
      <c r="C70" s="998">
        <v>40603</v>
      </c>
      <c r="D70" s="965" t="s">
        <v>1149</v>
      </c>
      <c r="E70" s="968"/>
      <c r="F70" s="969">
        <v>23945</v>
      </c>
      <c r="G70" s="977" t="s">
        <v>1150</v>
      </c>
      <c r="H70" s="970"/>
      <c r="I70" s="949">
        <v>62300</v>
      </c>
      <c r="J70" s="1252">
        <v>148</v>
      </c>
      <c r="K70" s="1253">
        <v>40544</v>
      </c>
      <c r="L70" s="965" t="s">
        <v>1093</v>
      </c>
      <c r="M70" s="968"/>
      <c r="N70" s="991">
        <v>56406</v>
      </c>
      <c r="O70" s="970"/>
      <c r="P70" s="923"/>
      <c r="Q70" s="906"/>
    </row>
    <row r="71" spans="1:17">
      <c r="A71" s="949">
        <v>23140</v>
      </c>
      <c r="B71" s="988">
        <v>116</v>
      </c>
      <c r="C71" s="989">
        <v>38412</v>
      </c>
      <c r="D71" s="988" t="s">
        <v>1094</v>
      </c>
      <c r="E71" s="990"/>
      <c r="F71" s="991">
        <v>60404</v>
      </c>
      <c r="G71" s="970"/>
      <c r="H71" s="970"/>
      <c r="I71" s="949">
        <v>49500</v>
      </c>
      <c r="J71" s="988">
        <v>900</v>
      </c>
      <c r="K71" s="989">
        <v>38353</v>
      </c>
      <c r="L71" s="988" t="s">
        <v>1095</v>
      </c>
      <c r="M71" s="990"/>
      <c r="N71" s="991">
        <v>4100</v>
      </c>
      <c r="O71" s="970"/>
      <c r="P71" s="923"/>
      <c r="Q71" s="906"/>
    </row>
    <row r="72" spans="1:17">
      <c r="A72" s="949">
        <v>54100</v>
      </c>
      <c r="B72" s="965">
        <v>119</v>
      </c>
      <c r="C72" s="982">
        <v>38808</v>
      </c>
      <c r="D72" s="965" t="s">
        <v>1096</v>
      </c>
      <c r="E72" s="968"/>
      <c r="F72" s="976">
        <v>1631561</v>
      </c>
      <c r="G72" s="970"/>
      <c r="H72" s="970"/>
      <c r="I72" s="949">
        <v>82500</v>
      </c>
      <c r="J72" s="965">
        <v>740</v>
      </c>
      <c r="K72" s="982">
        <v>37834</v>
      </c>
      <c r="L72" s="965" t="s">
        <v>1097</v>
      </c>
      <c r="M72" s="968"/>
      <c r="N72" s="976">
        <v>93177</v>
      </c>
      <c r="O72" s="970"/>
      <c r="P72" s="923"/>
      <c r="Q72" s="906"/>
    </row>
    <row r="73" spans="1:17">
      <c r="A73" s="949">
        <v>62005</v>
      </c>
      <c r="B73" s="965">
        <v>121</v>
      </c>
      <c r="C73" s="982">
        <v>39264</v>
      </c>
      <c r="D73" s="965" t="s">
        <v>1098</v>
      </c>
      <c r="E73" s="968"/>
      <c r="F73" s="976">
        <v>98317</v>
      </c>
      <c r="G73" s="970"/>
      <c r="H73" s="970"/>
      <c r="I73" s="949">
        <v>62006</v>
      </c>
      <c r="J73" s="981" t="s">
        <v>1099</v>
      </c>
      <c r="K73" s="982">
        <v>39173</v>
      </c>
      <c r="L73" s="965" t="s">
        <v>1100</v>
      </c>
      <c r="M73" s="968"/>
      <c r="N73" s="976">
        <v>30683</v>
      </c>
      <c r="O73" s="1262" t="s">
        <v>1151</v>
      </c>
      <c r="P73" s="923"/>
      <c r="Q73" s="906"/>
    </row>
    <row r="74" spans="1:17">
      <c r="A74" s="949">
        <v>38350</v>
      </c>
      <c r="B74" s="965">
        <v>122</v>
      </c>
      <c r="C74" s="982">
        <v>39264</v>
      </c>
      <c r="D74" s="965" t="s">
        <v>1101</v>
      </c>
      <c r="E74" s="968"/>
      <c r="F74" s="976">
        <v>18528</v>
      </c>
      <c r="G74" s="970"/>
      <c r="H74" s="970"/>
      <c r="I74" s="949">
        <v>38050</v>
      </c>
      <c r="J74" s="992" t="s">
        <v>1102</v>
      </c>
      <c r="K74" s="989">
        <v>39448</v>
      </c>
      <c r="L74" s="965" t="s">
        <v>1152</v>
      </c>
      <c r="M74" s="993"/>
      <c r="N74" s="991">
        <v>30090</v>
      </c>
      <c r="O74" s="970"/>
      <c r="P74" s="923"/>
      <c r="Q74" s="906"/>
    </row>
    <row r="75" spans="1:17">
      <c r="A75" s="949">
        <v>60111</v>
      </c>
      <c r="B75" s="992">
        <v>128</v>
      </c>
      <c r="C75" s="989">
        <v>39815</v>
      </c>
      <c r="D75" s="965" t="s">
        <v>1104</v>
      </c>
      <c r="E75" s="1257"/>
      <c r="F75" s="969">
        <v>175591</v>
      </c>
      <c r="G75" s="970"/>
      <c r="H75" s="994"/>
      <c r="I75" s="949">
        <v>28100</v>
      </c>
      <c r="J75" s="988">
        <v>728</v>
      </c>
      <c r="K75" s="989">
        <v>38846</v>
      </c>
      <c r="L75" s="965" t="s">
        <v>1105</v>
      </c>
      <c r="M75" s="990"/>
      <c r="N75" s="990">
        <v>72450</v>
      </c>
      <c r="O75" s="970"/>
      <c r="P75" s="923"/>
      <c r="Q75" s="906"/>
    </row>
    <row r="76" spans="1:17">
      <c r="A76" s="949">
        <v>37105</v>
      </c>
      <c r="B76" s="992">
        <v>129</v>
      </c>
      <c r="C76" s="989">
        <v>39904</v>
      </c>
      <c r="D76" s="965" t="s">
        <v>1106</v>
      </c>
      <c r="E76" s="1257"/>
      <c r="F76" s="969">
        <v>18893</v>
      </c>
      <c r="G76" s="970"/>
      <c r="H76" s="970"/>
      <c r="I76" s="1251">
        <v>38400</v>
      </c>
      <c r="J76" s="1252">
        <v>138</v>
      </c>
      <c r="K76" s="1253">
        <v>40544</v>
      </c>
      <c r="L76" s="965" t="s">
        <v>1107</v>
      </c>
      <c r="M76" s="1250"/>
      <c r="N76" s="969">
        <v>28743</v>
      </c>
      <c r="O76" s="970"/>
      <c r="P76" s="923"/>
      <c r="Q76" s="906"/>
    </row>
    <row r="77" spans="1:17">
      <c r="A77" s="949">
        <v>69725</v>
      </c>
      <c r="B77" s="992">
        <v>130</v>
      </c>
      <c r="C77" s="989">
        <v>39918</v>
      </c>
      <c r="D77" s="965" t="s">
        <v>1108</v>
      </c>
      <c r="E77" s="1257"/>
      <c r="F77" s="969">
        <v>29264</v>
      </c>
      <c r="G77" s="970"/>
      <c r="H77" s="970"/>
      <c r="I77" s="1251">
        <v>37100</v>
      </c>
      <c r="J77" s="997">
        <v>139</v>
      </c>
      <c r="K77" s="1253">
        <v>40544</v>
      </c>
      <c r="L77" s="965" t="s">
        <v>1109</v>
      </c>
      <c r="M77" s="990"/>
      <c r="N77" s="991">
        <v>9581</v>
      </c>
      <c r="O77" s="970"/>
      <c r="P77" s="923"/>
      <c r="Q77" s="906"/>
    </row>
    <row r="78" spans="1:17">
      <c r="A78" s="949">
        <v>19020</v>
      </c>
      <c r="B78" s="992">
        <v>131</v>
      </c>
      <c r="C78" s="989">
        <v>40238</v>
      </c>
      <c r="D78" s="995" t="s">
        <v>1110</v>
      </c>
      <c r="F78" s="969">
        <v>206336</v>
      </c>
      <c r="G78" s="970"/>
      <c r="H78" s="970"/>
      <c r="I78" s="949"/>
      <c r="J78" s="988"/>
      <c r="K78" s="989"/>
      <c r="L78" s="988"/>
      <c r="M78" s="990"/>
      <c r="N78" s="991"/>
      <c r="O78" s="970"/>
      <c r="P78" s="923"/>
      <c r="Q78" s="906"/>
    </row>
    <row r="79" spans="1:17">
      <c r="A79" s="949">
        <v>54100</v>
      </c>
      <c r="B79" s="992">
        <v>133</v>
      </c>
      <c r="C79" s="989">
        <v>40040</v>
      </c>
      <c r="D79" s="965" t="s">
        <v>1111</v>
      </c>
      <c r="E79" s="1257"/>
      <c r="F79" s="1264"/>
      <c r="G79" s="970" t="s">
        <v>1153</v>
      </c>
      <c r="H79" s="970"/>
      <c r="I79" s="949"/>
      <c r="J79" s="988"/>
      <c r="K79" s="989"/>
      <c r="L79" s="988"/>
      <c r="M79" s="990"/>
      <c r="N79" s="991"/>
      <c r="O79" s="970"/>
      <c r="P79" s="923"/>
      <c r="Q79" s="906"/>
    </row>
    <row r="80" spans="1:17">
      <c r="A80" s="949">
        <v>50005</v>
      </c>
      <c r="B80" s="965">
        <v>132</v>
      </c>
      <c r="C80" s="982">
        <v>40057</v>
      </c>
      <c r="D80" s="965" t="s">
        <v>1113</v>
      </c>
      <c r="E80" s="969"/>
      <c r="F80" s="976">
        <v>178857</v>
      </c>
      <c r="G80" s="970"/>
      <c r="H80" s="970"/>
      <c r="I80" s="949">
        <v>20100</v>
      </c>
      <c r="J80" s="1252" t="s">
        <v>1067</v>
      </c>
      <c r="K80" s="982">
        <v>40179</v>
      </c>
      <c r="L80" s="965" t="s">
        <v>1038</v>
      </c>
      <c r="M80" s="968"/>
      <c r="N80" s="991">
        <v>536360</v>
      </c>
      <c r="O80" s="996" t="s">
        <v>1154</v>
      </c>
      <c r="P80" s="923"/>
      <c r="Q80" s="906"/>
    </row>
    <row r="81" spans="1:17">
      <c r="A81" s="1266"/>
      <c r="B81" s="997">
        <v>140</v>
      </c>
      <c r="C81" s="998">
        <v>40575</v>
      </c>
      <c r="D81" s="969" t="s">
        <v>1114</v>
      </c>
      <c r="F81" s="991"/>
      <c r="G81" s="999" t="s">
        <v>1155</v>
      </c>
      <c r="H81" s="970"/>
      <c r="I81" s="949">
        <v>80005</v>
      </c>
      <c r="J81" s="1252" t="s">
        <v>1067</v>
      </c>
      <c r="K81" s="982">
        <v>40179</v>
      </c>
      <c r="L81" s="965" t="s">
        <v>1116</v>
      </c>
      <c r="M81" s="968"/>
      <c r="N81" s="991">
        <v>496511</v>
      </c>
      <c r="O81" s="996" t="s">
        <v>1154</v>
      </c>
      <c r="P81" s="923"/>
      <c r="Q81" s="906"/>
    </row>
    <row r="82" spans="1:17">
      <c r="A82" s="949">
        <v>62400</v>
      </c>
      <c r="B82" s="997">
        <v>141</v>
      </c>
      <c r="C82" s="998">
        <v>40544</v>
      </c>
      <c r="D82" s="988" t="s">
        <v>1117</v>
      </c>
      <c r="E82" s="990"/>
      <c r="F82" s="991">
        <v>17957</v>
      </c>
      <c r="G82" s="977" t="s">
        <v>1118</v>
      </c>
      <c r="H82" s="970"/>
      <c r="I82" s="949">
        <v>39630</v>
      </c>
      <c r="J82" s="1252" t="s">
        <v>1067</v>
      </c>
      <c r="K82" s="982">
        <v>40179</v>
      </c>
      <c r="L82" s="965" t="s">
        <v>1119</v>
      </c>
      <c r="M82" s="968"/>
      <c r="N82" s="991">
        <v>567857</v>
      </c>
      <c r="O82" s="996" t="s">
        <v>1154</v>
      </c>
      <c r="P82" s="923"/>
      <c r="Q82" s="906"/>
    </row>
    <row r="83" spans="1:17">
      <c r="A83" s="949">
        <v>60109</v>
      </c>
      <c r="B83" s="1692">
        <v>142</v>
      </c>
      <c r="C83" s="1253">
        <v>40544</v>
      </c>
      <c r="D83" s="965" t="s">
        <v>1120</v>
      </c>
      <c r="E83" s="968"/>
      <c r="F83" s="976">
        <v>53279</v>
      </c>
      <c r="G83" s="977" t="s">
        <v>1121</v>
      </c>
      <c r="H83" s="970"/>
      <c r="I83" s="949">
        <v>49500</v>
      </c>
      <c r="J83" s="1252" t="s">
        <v>1067</v>
      </c>
      <c r="K83" s="982">
        <v>40179</v>
      </c>
      <c r="L83" s="965" t="s">
        <v>1122</v>
      </c>
      <c r="M83" s="968"/>
      <c r="N83" s="991">
        <v>532376</v>
      </c>
      <c r="O83" s="996" t="s">
        <v>1154</v>
      </c>
      <c r="P83" s="923"/>
      <c r="Q83" s="906"/>
    </row>
    <row r="84" spans="1:17">
      <c r="A84" s="949">
        <v>67004</v>
      </c>
      <c r="B84" s="1692">
        <v>143</v>
      </c>
      <c r="C84" s="1253">
        <v>40544</v>
      </c>
      <c r="D84" s="965" t="s">
        <v>1123</v>
      </c>
      <c r="E84" s="968"/>
      <c r="F84" s="976">
        <v>1635</v>
      </c>
      <c r="G84" s="977" t="s">
        <v>1124</v>
      </c>
      <c r="H84" s="970"/>
      <c r="I84" s="949">
        <v>60111</v>
      </c>
      <c r="J84" s="1252" t="s">
        <v>1067</v>
      </c>
      <c r="K84" s="982">
        <v>40179</v>
      </c>
      <c r="L84" s="965" t="s">
        <v>1125</v>
      </c>
      <c r="M84" s="968"/>
      <c r="N84" s="991">
        <v>703724</v>
      </c>
      <c r="O84" s="996" t="s">
        <v>1154</v>
      </c>
      <c r="P84" s="923"/>
      <c r="Q84" s="906"/>
    </row>
    <row r="85" spans="1:17">
      <c r="A85" s="1000">
        <v>62300</v>
      </c>
      <c r="B85" s="1692">
        <v>144</v>
      </c>
      <c r="C85" s="1693">
        <v>40544</v>
      </c>
      <c r="D85" s="965" t="s">
        <v>1126</v>
      </c>
      <c r="E85" s="968"/>
      <c r="F85" s="976">
        <v>3664</v>
      </c>
      <c r="G85" s="977" t="s">
        <v>1127</v>
      </c>
      <c r="H85" s="1267"/>
      <c r="I85" s="949">
        <v>11023</v>
      </c>
      <c r="J85" s="1252" t="s">
        <v>1067</v>
      </c>
      <c r="K85" s="982">
        <v>40179</v>
      </c>
      <c r="L85" s="988" t="s">
        <v>1128</v>
      </c>
      <c r="M85" s="990"/>
      <c r="N85" s="991">
        <v>4041309</v>
      </c>
      <c r="O85" s="996" t="s">
        <v>1156</v>
      </c>
      <c r="P85" s="923"/>
      <c r="Q85" s="906"/>
    </row>
    <row r="86" spans="1:17">
      <c r="A86" s="949">
        <v>33410</v>
      </c>
      <c r="B86" s="1692">
        <v>145</v>
      </c>
      <c r="C86" s="1253">
        <v>40544</v>
      </c>
      <c r="D86" s="965" t="s">
        <v>1129</v>
      </c>
      <c r="E86" s="968"/>
      <c r="F86" s="971">
        <v>15865</v>
      </c>
      <c r="G86" s="1001" t="s">
        <v>1130</v>
      </c>
      <c r="H86" s="970"/>
      <c r="I86" s="949">
        <v>11023</v>
      </c>
      <c r="J86" s="1252" t="s">
        <v>1067</v>
      </c>
      <c r="K86" s="982">
        <v>40179</v>
      </c>
      <c r="L86" s="965" t="s">
        <v>1131</v>
      </c>
      <c r="M86" s="968"/>
      <c r="N86" s="991">
        <v>1065731</v>
      </c>
      <c r="O86" s="996" t="s">
        <v>1156</v>
      </c>
      <c r="P86" s="923"/>
      <c r="Q86" s="906"/>
    </row>
    <row r="87" spans="1:17" ht="13.5" thickBot="1">
      <c r="A87" s="949">
        <v>39851</v>
      </c>
      <c r="B87" s="1692">
        <v>146</v>
      </c>
      <c r="C87" s="1253">
        <v>40544</v>
      </c>
      <c r="D87" s="965" t="s">
        <v>1132</v>
      </c>
      <c r="E87" s="968"/>
      <c r="F87" s="971">
        <v>10577</v>
      </c>
      <c r="G87" s="1001" t="s">
        <v>1133</v>
      </c>
      <c r="H87" s="1267"/>
      <c r="I87" s="949" t="s">
        <v>1134</v>
      </c>
      <c r="J87" s="1252" t="s">
        <v>1067</v>
      </c>
      <c r="K87" s="982">
        <v>40179</v>
      </c>
      <c r="L87" s="988" t="s">
        <v>1076</v>
      </c>
      <c r="M87" s="990"/>
      <c r="N87" s="991">
        <v>1649780</v>
      </c>
      <c r="O87" s="996" t="s">
        <v>1154</v>
      </c>
      <c r="P87" s="923"/>
      <c r="Q87" s="906"/>
    </row>
    <row r="88" spans="1:17" ht="13.5" thickBot="1">
      <c r="A88" s="949"/>
      <c r="B88" s="1689"/>
      <c r="C88" s="1253"/>
      <c r="D88" s="965"/>
      <c r="E88" s="1257"/>
      <c r="F88" s="1258"/>
      <c r="G88" s="977"/>
      <c r="H88" s="1267"/>
      <c r="J88" s="973" t="s">
        <v>154</v>
      </c>
      <c r="K88" s="975"/>
      <c r="L88" s="974"/>
      <c r="M88" s="975"/>
      <c r="N88" s="1249">
        <f>SUM(N60:N87)</f>
        <v>13057577</v>
      </c>
      <c r="O88" s="999"/>
      <c r="P88" s="923"/>
      <c r="Q88" s="906"/>
    </row>
    <row r="89" spans="1:17" ht="13.5" thickBot="1">
      <c r="B89" s="973" t="s">
        <v>1136</v>
      </c>
      <c r="C89" s="975"/>
      <c r="D89" s="974"/>
      <c r="E89" s="975"/>
      <c r="F89" s="1002">
        <f>SUM(F66:F88)</f>
        <v>2850284</v>
      </c>
      <c r="G89" s="970"/>
      <c r="H89" s="1267"/>
      <c r="J89" s="1003" t="s">
        <v>153</v>
      </c>
      <c r="K89" s="1003"/>
      <c r="L89" s="1003"/>
      <c r="M89" s="1004"/>
      <c r="N89" s="1269">
        <f>N88/12</f>
        <v>1088131.4166666667</v>
      </c>
      <c r="O89" s="999"/>
      <c r="P89" s="923"/>
      <c r="Q89" s="906"/>
    </row>
    <row r="90" spans="1:17">
      <c r="C90" s="970"/>
      <c r="D90" s="970"/>
      <c r="E90" s="970"/>
      <c r="F90" s="970"/>
      <c r="G90" s="970"/>
      <c r="H90" s="970"/>
      <c r="L90" s="979"/>
      <c r="M90" s="1005"/>
      <c r="N90" s="1005"/>
      <c r="O90" s="999"/>
      <c r="P90" s="923"/>
      <c r="Q90" s="906"/>
    </row>
    <row r="91" spans="1:17">
      <c r="C91" s="970"/>
      <c r="D91" s="970"/>
      <c r="E91" s="970"/>
      <c r="F91" s="970"/>
      <c r="G91" s="970"/>
      <c r="H91" s="970"/>
      <c r="L91" s="979"/>
      <c r="M91" s="1005"/>
      <c r="N91" s="1005"/>
      <c r="O91" s="970"/>
      <c r="P91" s="923"/>
      <c r="Q91" s="906"/>
    </row>
    <row r="92" spans="1:17">
      <c r="C92" s="970"/>
      <c r="D92" s="970"/>
      <c r="E92" s="970"/>
      <c r="F92" s="970"/>
      <c r="G92" s="970"/>
      <c r="H92" s="970"/>
      <c r="L92" s="979"/>
      <c r="M92" s="1005"/>
      <c r="N92" s="1005"/>
      <c r="O92" s="1006"/>
      <c r="P92" s="923"/>
      <c r="Q92" s="906"/>
    </row>
    <row r="93" spans="1:17">
      <c r="C93" s="970"/>
      <c r="D93" s="970"/>
      <c r="E93" s="970"/>
      <c r="F93" s="970"/>
      <c r="G93" s="970"/>
      <c r="L93" s="979"/>
      <c r="M93" s="1005"/>
      <c r="N93" s="1005"/>
      <c r="O93" s="1006"/>
      <c r="P93" s="923"/>
      <c r="Q93" s="906"/>
    </row>
    <row r="94" spans="1:17">
      <c r="C94" s="970"/>
      <c r="D94" s="970"/>
      <c r="E94" s="970"/>
      <c r="F94" s="970"/>
      <c r="G94" s="970"/>
      <c r="L94" s="979"/>
      <c r="M94" s="1005"/>
      <c r="N94" s="1005"/>
      <c r="O94" s="999"/>
      <c r="P94" s="923"/>
      <c r="Q94" s="906"/>
    </row>
    <row r="95" spans="1:17">
      <c r="C95" s="970"/>
      <c r="D95" s="970"/>
      <c r="E95" s="970"/>
      <c r="F95" s="970"/>
      <c r="G95" s="970"/>
      <c r="L95" s="979"/>
      <c r="M95" s="1005"/>
      <c r="N95" s="1005"/>
      <c r="O95" s="970"/>
      <c r="P95" s="923"/>
      <c r="Q95" s="906"/>
    </row>
    <row r="96" spans="1:17">
      <c r="C96" s="970"/>
      <c r="D96" s="970"/>
      <c r="L96" s="979"/>
      <c r="M96" s="1005"/>
      <c r="N96" s="1005"/>
    </row>
    <row r="97" spans="1:14">
      <c r="A97" s="1007" t="s">
        <v>986</v>
      </c>
      <c r="B97" s="911" t="s">
        <v>924</v>
      </c>
      <c r="C97" s="911" t="s">
        <v>925</v>
      </c>
      <c r="D97" s="911" t="s">
        <v>926</v>
      </c>
      <c r="E97" s="911" t="s">
        <v>927</v>
      </c>
      <c r="F97" s="911" t="s">
        <v>928</v>
      </c>
      <c r="G97" s="911" t="s">
        <v>929</v>
      </c>
      <c r="H97" s="911" t="s">
        <v>918</v>
      </c>
      <c r="I97" s="911" t="s">
        <v>919</v>
      </c>
      <c r="J97" s="911" t="s">
        <v>920</v>
      </c>
      <c r="K97" s="911" t="s">
        <v>921</v>
      </c>
      <c r="L97" s="911" t="s">
        <v>922</v>
      </c>
      <c r="M97" s="911" t="s">
        <v>923</v>
      </c>
      <c r="N97" s="907"/>
    </row>
    <row r="98" spans="1:14">
      <c r="A98" s="910" t="s">
        <v>987</v>
      </c>
      <c r="B98" s="1008"/>
      <c r="C98" s="1008"/>
      <c r="D98" s="1008"/>
      <c r="E98" s="1008"/>
      <c r="F98" s="1008"/>
      <c r="G98" s="1008"/>
      <c r="H98" s="1008"/>
      <c r="I98" s="1008"/>
      <c r="J98" s="1008"/>
      <c r="K98" s="1008"/>
      <c r="L98" s="1008"/>
      <c r="M98" s="1008"/>
      <c r="N98" s="1009">
        <f>SUM(B98:M98)</f>
        <v>0</v>
      </c>
    </row>
    <row r="99" spans="1:14" ht="13.5" thickBot="1">
      <c r="A99" s="926" t="s">
        <v>988</v>
      </c>
      <c r="B99" s="1010">
        <f>N89</f>
        <v>1088131.4166666667</v>
      </c>
      <c r="C99" s="1010">
        <f>N89</f>
        <v>1088131.4166666667</v>
      </c>
      <c r="D99" s="1010">
        <f>N89</f>
        <v>1088131.4166666667</v>
      </c>
      <c r="E99" s="1010">
        <f>N89</f>
        <v>1088131.4166666667</v>
      </c>
      <c r="F99" s="1010">
        <f>N89</f>
        <v>1088131.4166666667</v>
      </c>
      <c r="G99" s="1010">
        <f>N89</f>
        <v>1088131.4166666667</v>
      </c>
      <c r="H99" s="1010">
        <f>N89</f>
        <v>1088131.4166666667</v>
      </c>
      <c r="I99" s="1010">
        <f>N89</f>
        <v>1088131.4166666667</v>
      </c>
      <c r="J99" s="1010">
        <f>N89</f>
        <v>1088131.4166666667</v>
      </c>
      <c r="K99" s="1010">
        <f>N89</f>
        <v>1088131.4166666667</v>
      </c>
      <c r="L99" s="1010">
        <f>N89</f>
        <v>1088131.4166666667</v>
      </c>
      <c r="M99" s="1010">
        <f>N89</f>
        <v>1088131.4166666667</v>
      </c>
      <c r="N99" s="1011">
        <f>SUM(B99:M99)</f>
        <v>13057576.999999998</v>
      </c>
    </row>
    <row r="100" spans="1:14" ht="13.5" thickBot="1">
      <c r="A100" s="1012" t="s">
        <v>989</v>
      </c>
      <c r="B100" s="1013">
        <f t="shared" ref="B100:N100" si="13">SUM(B98:B99)</f>
        <v>1088131.4166666667</v>
      </c>
      <c r="C100" s="1013">
        <f t="shared" si="13"/>
        <v>1088131.4166666667</v>
      </c>
      <c r="D100" s="1013">
        <f t="shared" si="13"/>
        <v>1088131.4166666667</v>
      </c>
      <c r="E100" s="1013">
        <f t="shared" si="13"/>
        <v>1088131.4166666667</v>
      </c>
      <c r="F100" s="1013">
        <f t="shared" si="13"/>
        <v>1088131.4166666667</v>
      </c>
      <c r="G100" s="1013">
        <f t="shared" si="13"/>
        <v>1088131.4166666667</v>
      </c>
      <c r="H100" s="1013">
        <f t="shared" si="13"/>
        <v>1088131.4166666667</v>
      </c>
      <c r="I100" s="1013">
        <f t="shared" si="13"/>
        <v>1088131.4166666667</v>
      </c>
      <c r="J100" s="1013">
        <f t="shared" si="13"/>
        <v>1088131.4166666667</v>
      </c>
      <c r="K100" s="1013">
        <f t="shared" si="13"/>
        <v>1088131.4166666667</v>
      </c>
      <c r="L100" s="1013">
        <f t="shared" si="13"/>
        <v>1088131.4166666667</v>
      </c>
      <c r="M100" s="1013">
        <f t="shared" si="13"/>
        <v>1088131.4166666667</v>
      </c>
      <c r="N100" s="1014">
        <f t="shared" si="13"/>
        <v>13057576.999999998</v>
      </c>
    </row>
    <row r="101" spans="1:14">
      <c r="A101" s="1015" t="s">
        <v>990</v>
      </c>
      <c r="B101" s="1016">
        <v>3550</v>
      </c>
      <c r="C101" s="1016">
        <v>2712</v>
      </c>
      <c r="D101" s="1016">
        <v>5950</v>
      </c>
      <c r="E101" s="1016">
        <v>5075</v>
      </c>
      <c r="F101" s="1016">
        <v>4175</v>
      </c>
      <c r="G101" s="1017">
        <v>3675</v>
      </c>
      <c r="H101" s="1016">
        <v>2800</v>
      </c>
      <c r="I101" s="1016">
        <v>3150</v>
      </c>
      <c r="J101" s="1016">
        <v>1575</v>
      </c>
      <c r="K101" s="1016">
        <v>700</v>
      </c>
      <c r="L101" s="1016">
        <v>525</v>
      </c>
      <c r="M101" s="1016"/>
      <c r="N101" s="1016">
        <f t="shared" ref="N101:N106" si="14">SUM(B101:M101)</f>
        <v>33887</v>
      </c>
    </row>
    <row r="102" spans="1:14">
      <c r="A102" s="907" t="s">
        <v>991</v>
      </c>
      <c r="B102" s="1009">
        <v>156690</v>
      </c>
      <c r="C102" s="1009">
        <v>158800</v>
      </c>
      <c r="D102" s="1009">
        <v>159275</v>
      </c>
      <c r="E102" s="1009">
        <v>245300</v>
      </c>
      <c r="F102" s="1009">
        <v>180595</v>
      </c>
      <c r="G102" s="1018">
        <v>218637</v>
      </c>
      <c r="H102" s="1009">
        <v>271600</v>
      </c>
      <c r="I102" s="1009">
        <v>169675</v>
      </c>
      <c r="J102" s="1009">
        <v>227225</v>
      </c>
      <c r="K102" s="1009">
        <v>183575</v>
      </c>
      <c r="L102" s="1009">
        <v>171250</v>
      </c>
      <c r="M102" s="1009">
        <v>350</v>
      </c>
      <c r="N102" s="1016">
        <f t="shared" si="14"/>
        <v>2142972</v>
      </c>
    </row>
    <row r="103" spans="1:14">
      <c r="A103" s="907" t="s">
        <v>992</v>
      </c>
      <c r="B103" s="1009">
        <v>45036</v>
      </c>
      <c r="C103" s="1009">
        <v>26304</v>
      </c>
      <c r="D103" s="1009">
        <v>50239</v>
      </c>
      <c r="E103" s="1009">
        <v>37697</v>
      </c>
      <c r="F103" s="1009">
        <v>26092</v>
      </c>
      <c r="G103" s="1018">
        <v>25392</v>
      </c>
      <c r="H103" s="1009">
        <v>26642</v>
      </c>
      <c r="I103" s="1009">
        <v>27442</v>
      </c>
      <c r="J103" s="1009">
        <v>25392</v>
      </c>
      <c r="K103" s="1009">
        <v>26092</v>
      </c>
      <c r="L103" s="1009">
        <v>26092</v>
      </c>
      <c r="M103" s="1009"/>
      <c r="N103" s="1016">
        <f t="shared" si="14"/>
        <v>342420</v>
      </c>
    </row>
    <row r="104" spans="1:14">
      <c r="A104" s="907" t="s">
        <v>993</v>
      </c>
      <c r="B104" s="1009">
        <v>147667.5</v>
      </c>
      <c r="C104" s="1008">
        <v>180556.25</v>
      </c>
      <c r="D104" s="1008">
        <v>74900</v>
      </c>
      <c r="E104" s="1019">
        <v>39225</v>
      </c>
      <c r="F104" s="1008">
        <v>99688.25</v>
      </c>
      <c r="G104" s="1008">
        <v>12662.5</v>
      </c>
      <c r="H104" s="1008">
        <v>18587.5</v>
      </c>
      <c r="I104" s="1008">
        <v>209287.5</v>
      </c>
      <c r="J104" s="1008">
        <v>55000</v>
      </c>
      <c r="K104" s="1008">
        <v>189900</v>
      </c>
      <c r="L104" s="1008">
        <v>47887.5</v>
      </c>
      <c r="M104" s="1008"/>
      <c r="N104" s="1016">
        <f t="shared" si="14"/>
        <v>1075362</v>
      </c>
    </row>
    <row r="105" spans="1:14">
      <c r="A105" s="907" t="s">
        <v>994</v>
      </c>
      <c r="B105" s="1009">
        <v>1775</v>
      </c>
      <c r="C105" s="1008">
        <v>325</v>
      </c>
      <c r="D105" s="1008">
        <v>775</v>
      </c>
      <c r="E105" s="1008"/>
      <c r="F105" s="1008">
        <v>550</v>
      </c>
      <c r="G105" s="1008">
        <v>600</v>
      </c>
      <c r="H105" s="1008">
        <v>100</v>
      </c>
      <c r="I105" s="1008">
        <v>1775</v>
      </c>
      <c r="J105" s="1008">
        <v>425</v>
      </c>
      <c r="K105" s="1008">
        <v>350</v>
      </c>
      <c r="L105" s="1008">
        <v>4450</v>
      </c>
      <c r="M105" s="1008">
        <v>3600</v>
      </c>
      <c r="N105" s="1016">
        <f t="shared" si="14"/>
        <v>14725</v>
      </c>
    </row>
    <row r="106" spans="1:14">
      <c r="A106" s="907" t="s">
        <v>1137</v>
      </c>
      <c r="B106" s="1009">
        <v>10</v>
      </c>
      <c r="C106" s="1008">
        <v>9</v>
      </c>
      <c r="D106" s="1008">
        <v>21</v>
      </c>
      <c r="E106" s="1008">
        <v>13</v>
      </c>
      <c r="F106" s="1008">
        <v>25</v>
      </c>
      <c r="G106" s="1008">
        <v>19</v>
      </c>
      <c r="H106" s="1008"/>
      <c r="I106" s="1008">
        <v>11</v>
      </c>
      <c r="J106" s="1008">
        <v>27</v>
      </c>
      <c r="K106" s="1008">
        <v>21</v>
      </c>
      <c r="L106" s="1008">
        <v>40</v>
      </c>
      <c r="M106" s="1008">
        <v>6</v>
      </c>
      <c r="N106" s="1016">
        <f t="shared" si="14"/>
        <v>202</v>
      </c>
    </row>
    <row r="107" spans="1:14">
      <c r="A107" s="907" t="s">
        <v>996</v>
      </c>
      <c r="B107" s="1009">
        <v>7250</v>
      </c>
      <c r="C107" s="1008">
        <v>14140</v>
      </c>
      <c r="D107" s="1008">
        <v>25860</v>
      </c>
      <c r="E107" s="1008">
        <v>26660</v>
      </c>
      <c r="F107" s="1008">
        <v>54570</v>
      </c>
      <c r="G107" s="1008">
        <v>33300</v>
      </c>
      <c r="H107" s="1008"/>
      <c r="I107" s="1008">
        <v>25635</v>
      </c>
      <c r="J107" s="1008">
        <v>58110</v>
      </c>
      <c r="K107" s="1008">
        <v>31965</v>
      </c>
      <c r="L107" s="1008">
        <v>58720</v>
      </c>
      <c r="M107" s="1008">
        <v>24960</v>
      </c>
      <c r="N107" s="1009">
        <f>SUM(B107:M107)</f>
        <v>361170</v>
      </c>
    </row>
    <row r="108" spans="1:14">
      <c r="A108" s="907" t="s">
        <v>1000</v>
      </c>
      <c r="B108" s="1009"/>
      <c r="C108" s="1008"/>
      <c r="D108" s="1008"/>
      <c r="E108" s="1008"/>
      <c r="F108" s="1008"/>
      <c r="G108" s="1008"/>
      <c r="H108" s="1008"/>
      <c r="I108" s="1008"/>
      <c r="J108" s="1008">
        <v>89125</v>
      </c>
      <c r="K108" s="1008"/>
      <c r="L108" s="1008"/>
      <c r="M108" s="1008"/>
      <c r="N108" s="1009">
        <f>SUM(B108:M108)</f>
        <v>89125</v>
      </c>
    </row>
    <row r="109" spans="1:14" ht="13.5" thickBot="1">
      <c r="A109" s="1020" t="s">
        <v>1001</v>
      </c>
      <c r="B109" s="1021">
        <f t="shared" ref="B109:N109" si="15">SUM(B101:B108)</f>
        <v>361978.5</v>
      </c>
      <c r="C109" s="1021">
        <f t="shared" si="15"/>
        <v>382846.25</v>
      </c>
      <c r="D109" s="1021">
        <f t="shared" si="15"/>
        <v>317020</v>
      </c>
      <c r="E109" s="1021">
        <f t="shared" si="15"/>
        <v>353970</v>
      </c>
      <c r="F109" s="1021">
        <f t="shared" si="15"/>
        <v>365695.25</v>
      </c>
      <c r="G109" s="1021">
        <f t="shared" si="15"/>
        <v>294285.5</v>
      </c>
      <c r="H109" s="1021">
        <f t="shared" si="15"/>
        <v>319729.5</v>
      </c>
      <c r="I109" s="1021">
        <f t="shared" si="15"/>
        <v>436975.5</v>
      </c>
      <c r="J109" s="1021">
        <f t="shared" si="15"/>
        <v>456879</v>
      </c>
      <c r="K109" s="1021">
        <f t="shared" si="15"/>
        <v>432603</v>
      </c>
      <c r="L109" s="1021">
        <f t="shared" si="15"/>
        <v>308964.5</v>
      </c>
      <c r="M109" s="1021">
        <f t="shared" si="15"/>
        <v>28916</v>
      </c>
      <c r="N109" s="1021">
        <f t="shared" si="15"/>
        <v>4059863</v>
      </c>
    </row>
    <row r="110" spans="1:14">
      <c r="A110" s="1015" t="s">
        <v>1002</v>
      </c>
      <c r="B110" s="1022" t="s">
        <v>1157</v>
      </c>
      <c r="C110" s="1023">
        <v>19150</v>
      </c>
      <c r="D110" s="1023"/>
      <c r="E110" s="1023">
        <v>6498</v>
      </c>
      <c r="F110" s="1023">
        <v>50883.34</v>
      </c>
      <c r="G110" s="1023"/>
      <c r="H110" s="1023"/>
      <c r="I110" s="1023"/>
      <c r="J110" s="1023"/>
      <c r="K110" s="1023">
        <v>24248.2</v>
      </c>
      <c r="L110" s="1023"/>
      <c r="M110" s="1023">
        <v>23746</v>
      </c>
      <c r="N110" s="1016">
        <f>SUM(B110:M110)</f>
        <v>124525.54</v>
      </c>
    </row>
    <row r="111" spans="1:14">
      <c r="A111" s="1024" t="s">
        <v>1003</v>
      </c>
      <c r="B111" s="1025">
        <f t="shared" ref="B111:N111" si="16">SUM(B100,B109,B110)</f>
        <v>1450109.9166666667</v>
      </c>
      <c r="C111" s="1025">
        <f t="shared" si="16"/>
        <v>1490127.6666666667</v>
      </c>
      <c r="D111" s="1025">
        <f t="shared" si="16"/>
        <v>1405151.4166666667</v>
      </c>
      <c r="E111" s="1025">
        <f t="shared" si="16"/>
        <v>1448599.4166666667</v>
      </c>
      <c r="F111" s="1025">
        <f t="shared" si="16"/>
        <v>1504710.0066666668</v>
      </c>
      <c r="G111" s="1025">
        <f t="shared" si="16"/>
        <v>1382416.9166666667</v>
      </c>
      <c r="H111" s="1025">
        <f t="shared" si="16"/>
        <v>1407860.9166666667</v>
      </c>
      <c r="I111" s="1025">
        <f t="shared" si="16"/>
        <v>1525106.9166666667</v>
      </c>
      <c r="J111" s="1025">
        <f t="shared" si="16"/>
        <v>1545010.4166666667</v>
      </c>
      <c r="K111" s="1025">
        <f t="shared" si="16"/>
        <v>1544982.6166666667</v>
      </c>
      <c r="L111" s="1025">
        <f t="shared" si="16"/>
        <v>1397095.9166666667</v>
      </c>
      <c r="M111" s="1025">
        <f t="shared" si="16"/>
        <v>1140793.4166666667</v>
      </c>
      <c r="N111" s="1025">
        <f t="shared" si="16"/>
        <v>17241965.539999999</v>
      </c>
    </row>
    <row r="112" spans="1:14">
      <c r="A112" s="1026" t="s">
        <v>1004</v>
      </c>
      <c r="B112" s="1010">
        <v>1356361.31</v>
      </c>
      <c r="C112" s="1010">
        <v>1459863</v>
      </c>
      <c r="D112" s="1010">
        <v>1240208</v>
      </c>
      <c r="E112" s="1010">
        <v>1541509</v>
      </c>
      <c r="F112" s="1010">
        <v>1501129</v>
      </c>
      <c r="G112" s="1010">
        <v>1318965</v>
      </c>
      <c r="H112" s="1010">
        <v>1333191</v>
      </c>
      <c r="I112" s="1010">
        <v>1213285</v>
      </c>
      <c r="J112" s="1010">
        <v>1404274</v>
      </c>
      <c r="K112" s="1010">
        <v>1302418</v>
      </c>
      <c r="L112" s="1010">
        <v>1370012</v>
      </c>
      <c r="M112" s="1010"/>
      <c r="N112" s="1027">
        <f>SUM(B112:M112)</f>
        <v>15041215.310000001</v>
      </c>
    </row>
    <row r="113" spans="1:14" ht="13.5" thickBot="1">
      <c r="A113" s="1028" t="s">
        <v>1060</v>
      </c>
      <c r="B113" s="1010">
        <v>10000</v>
      </c>
      <c r="C113" s="1010">
        <v>10000</v>
      </c>
      <c r="D113" s="1010">
        <v>10000</v>
      </c>
      <c r="E113" s="1010">
        <v>10000</v>
      </c>
      <c r="F113" s="1010">
        <v>10000</v>
      </c>
      <c r="G113" s="1010">
        <v>10000</v>
      </c>
      <c r="H113" s="1010">
        <v>10000</v>
      </c>
      <c r="I113" s="1010">
        <v>10000</v>
      </c>
      <c r="J113" s="1010">
        <v>10000</v>
      </c>
      <c r="K113" s="1010">
        <v>10000</v>
      </c>
      <c r="L113" s="1010">
        <v>10000</v>
      </c>
      <c r="M113" s="1010">
        <v>10000</v>
      </c>
      <c r="N113" s="1010">
        <f>SUM(B113:M113)</f>
        <v>120000</v>
      </c>
    </row>
    <row r="114" spans="1:14" ht="13.5" thickBot="1">
      <c r="A114" s="1029" t="s">
        <v>1009</v>
      </c>
      <c r="B114" s="1030">
        <f t="shared" ref="B114:N114" si="17">SUM(B111-B112-B113)</f>
        <v>83748.606666666688</v>
      </c>
      <c r="C114" s="1030">
        <f t="shared" si="17"/>
        <v>20264.666666666744</v>
      </c>
      <c r="D114" s="1030">
        <f t="shared" si="17"/>
        <v>154943.41666666674</v>
      </c>
      <c r="E114" s="1030">
        <f t="shared" si="17"/>
        <v>-102909.58333333326</v>
      </c>
      <c r="F114" s="1030">
        <f t="shared" si="17"/>
        <v>-6418.9933333331719</v>
      </c>
      <c r="G114" s="1030">
        <f t="shared" si="17"/>
        <v>53451.916666666744</v>
      </c>
      <c r="H114" s="1030">
        <f t="shared" si="17"/>
        <v>64669.916666666744</v>
      </c>
      <c r="I114" s="1030">
        <f t="shared" si="17"/>
        <v>301821.91666666674</v>
      </c>
      <c r="J114" s="1030">
        <f t="shared" si="17"/>
        <v>130736.41666666674</v>
      </c>
      <c r="K114" s="1030">
        <f t="shared" si="17"/>
        <v>232564.6166666667</v>
      </c>
      <c r="L114" s="1030">
        <f t="shared" si="17"/>
        <v>17083.916666666744</v>
      </c>
      <c r="M114" s="1030">
        <f t="shared" si="17"/>
        <v>1130793.4166666667</v>
      </c>
      <c r="N114" s="1030">
        <f t="shared" si="17"/>
        <v>2080750.2299999986</v>
      </c>
    </row>
    <row r="115" spans="1:14" ht="13.5" thickBot="1">
      <c r="A115" s="1031"/>
      <c r="B115" s="1032"/>
      <c r="C115" s="1032"/>
      <c r="D115" s="1032"/>
      <c r="E115" s="1032"/>
      <c r="F115" s="1032"/>
      <c r="G115" s="1032"/>
      <c r="H115" s="1032"/>
      <c r="I115" s="1032"/>
      <c r="J115" s="1032"/>
      <c r="K115" s="1032"/>
      <c r="L115" s="1032"/>
      <c r="M115" s="1032"/>
      <c r="N115" s="1032"/>
    </row>
    <row r="116" spans="1:14" ht="20.25">
      <c r="A116" s="1701" t="s">
        <v>1158</v>
      </c>
      <c r="B116" s="1701"/>
      <c r="C116" s="1701"/>
      <c r="D116" s="1701"/>
      <c r="E116" s="1701"/>
      <c r="F116" s="1701"/>
      <c r="G116" s="1701"/>
      <c r="H116" s="1701"/>
      <c r="I116" s="1701"/>
      <c r="J116" s="1701"/>
      <c r="K116" s="1701"/>
      <c r="L116" s="1701"/>
      <c r="M116" s="1701"/>
      <c r="N116" s="1701"/>
    </row>
    <row r="117" spans="1:14">
      <c r="A117" s="906"/>
      <c r="B117" s="906"/>
      <c r="C117" s="906"/>
      <c r="D117" s="906"/>
      <c r="E117" s="906"/>
      <c r="F117" s="906"/>
      <c r="G117" s="906"/>
      <c r="H117" s="906"/>
      <c r="I117" s="906"/>
      <c r="J117" s="906"/>
      <c r="K117" s="906"/>
      <c r="L117" s="906"/>
      <c r="M117" s="906"/>
    </row>
    <row r="118" spans="1:14">
      <c r="A118" s="907"/>
      <c r="B118" s="908" t="s">
        <v>924</v>
      </c>
      <c r="C118" s="908" t="s">
        <v>925</v>
      </c>
      <c r="D118" s="909" t="s">
        <v>926</v>
      </c>
      <c r="E118" s="908" t="s">
        <v>927</v>
      </c>
      <c r="F118" s="908" t="s">
        <v>928</v>
      </c>
      <c r="G118" s="909" t="s">
        <v>929</v>
      </c>
      <c r="H118" s="908" t="s">
        <v>918</v>
      </c>
      <c r="I118" s="908" t="s">
        <v>919</v>
      </c>
      <c r="J118" s="908" t="s">
        <v>920</v>
      </c>
      <c r="K118" s="908" t="s">
        <v>921</v>
      </c>
      <c r="L118" s="908" t="s">
        <v>922</v>
      </c>
      <c r="M118" s="908" t="s">
        <v>923</v>
      </c>
      <c r="N118" s="907" t="s">
        <v>137</v>
      </c>
    </row>
    <row r="119" spans="1:14">
      <c r="A119" s="910" t="s">
        <v>183</v>
      </c>
      <c r="B119" s="911">
        <v>2886</v>
      </c>
      <c r="C119" s="911">
        <v>2886</v>
      </c>
      <c r="D119" s="911">
        <v>2886</v>
      </c>
      <c r="E119" s="911">
        <v>2886</v>
      </c>
      <c r="F119" s="911">
        <v>2886</v>
      </c>
      <c r="G119" s="911">
        <v>2886</v>
      </c>
      <c r="H119" s="911">
        <v>2886</v>
      </c>
      <c r="I119" s="911">
        <v>2886</v>
      </c>
      <c r="J119" s="911">
        <v>2886</v>
      </c>
      <c r="K119" s="911">
        <v>2886</v>
      </c>
      <c r="L119" s="911">
        <v>2886</v>
      </c>
      <c r="M119" s="911">
        <v>2886</v>
      </c>
      <c r="N119" s="911">
        <f t="shared" ref="N119:N130" si="18">SUM(B119:M119)</f>
        <v>34632</v>
      </c>
    </row>
    <row r="120" spans="1:14">
      <c r="A120" s="910" t="s">
        <v>942</v>
      </c>
      <c r="B120" s="911"/>
      <c r="C120" s="911">
        <v>6.5</v>
      </c>
      <c r="D120" s="911"/>
      <c r="E120" s="911"/>
      <c r="F120" s="911"/>
      <c r="G120" s="912"/>
      <c r="H120" s="911"/>
      <c r="I120" s="911"/>
      <c r="J120" s="913"/>
      <c r="K120" s="911"/>
      <c r="L120" s="911"/>
      <c r="M120" s="911"/>
      <c r="N120" s="911">
        <f t="shared" si="18"/>
        <v>6.5</v>
      </c>
    </row>
    <row r="121" spans="1:14">
      <c r="A121" s="910" t="s">
        <v>1011</v>
      </c>
      <c r="B121" s="911"/>
      <c r="C121" s="911"/>
      <c r="D121" s="911"/>
      <c r="E121" s="911"/>
      <c r="F121" s="911"/>
      <c r="G121" s="912"/>
      <c r="H121" s="911"/>
      <c r="I121" s="911"/>
      <c r="J121" s="911"/>
      <c r="K121" s="911"/>
      <c r="L121" s="911"/>
      <c r="M121" s="907"/>
      <c r="N121" s="911">
        <f t="shared" si="18"/>
        <v>0</v>
      </c>
    </row>
    <row r="122" spans="1:14">
      <c r="A122" s="910" t="s">
        <v>945</v>
      </c>
      <c r="B122" s="911">
        <v>148</v>
      </c>
      <c r="C122" s="911">
        <v>185</v>
      </c>
      <c r="D122" s="911">
        <v>112.75</v>
      </c>
      <c r="E122" s="911">
        <v>226.5</v>
      </c>
      <c r="F122" s="911">
        <v>102.5</v>
      </c>
      <c r="G122" s="912">
        <v>81.75</v>
      </c>
      <c r="H122" s="911">
        <v>1529</v>
      </c>
      <c r="I122" s="911">
        <v>518.5</v>
      </c>
      <c r="J122" s="911">
        <v>37</v>
      </c>
      <c r="K122" s="911">
        <v>148</v>
      </c>
      <c r="L122" s="911">
        <v>89.5</v>
      </c>
      <c r="M122" s="911"/>
      <c r="N122" s="911">
        <f t="shared" si="18"/>
        <v>3178.5</v>
      </c>
    </row>
    <row r="123" spans="1:14">
      <c r="A123" s="910" t="s">
        <v>946</v>
      </c>
      <c r="B123" s="911"/>
      <c r="C123" s="911">
        <v>37</v>
      </c>
      <c r="D123" s="911"/>
      <c r="E123" s="911">
        <v>69</v>
      </c>
      <c r="F123" s="911"/>
      <c r="G123" s="912"/>
      <c r="H123" s="911"/>
      <c r="I123" s="911">
        <v>6</v>
      </c>
      <c r="J123" s="911"/>
      <c r="K123" s="911">
        <v>29.25</v>
      </c>
      <c r="L123" s="911">
        <v>7.75</v>
      </c>
      <c r="M123" s="911"/>
      <c r="N123" s="911">
        <f t="shared" si="18"/>
        <v>149</v>
      </c>
    </row>
    <row r="124" spans="1:14">
      <c r="A124" s="910" t="s">
        <v>947</v>
      </c>
      <c r="B124" s="911">
        <v>27.5</v>
      </c>
      <c r="C124" s="911">
        <v>68</v>
      </c>
      <c r="D124" s="911">
        <v>23.25</v>
      </c>
      <c r="E124" s="911">
        <v>44.75</v>
      </c>
      <c r="F124" s="911">
        <v>23.25</v>
      </c>
      <c r="G124" s="912">
        <v>140.25</v>
      </c>
      <c r="H124" s="911">
        <v>37</v>
      </c>
      <c r="I124" s="911">
        <v>111.5</v>
      </c>
      <c r="J124" s="911">
        <v>42.25</v>
      </c>
      <c r="K124" s="911">
        <v>58.5</v>
      </c>
      <c r="L124" s="911">
        <v>37</v>
      </c>
      <c r="M124" s="911"/>
      <c r="N124" s="911">
        <f t="shared" si="18"/>
        <v>613.25</v>
      </c>
    </row>
    <row r="125" spans="1:14">
      <c r="A125" s="910" t="s">
        <v>948</v>
      </c>
      <c r="B125" s="911">
        <v>7.75</v>
      </c>
      <c r="C125" s="911"/>
      <c r="D125" s="911">
        <v>7.75</v>
      </c>
      <c r="E125" s="911"/>
      <c r="F125" s="911"/>
      <c r="G125" s="912"/>
      <c r="H125" s="911">
        <v>6</v>
      </c>
      <c r="I125" s="911"/>
      <c r="J125" s="911"/>
      <c r="K125" s="911"/>
      <c r="L125" s="911"/>
      <c r="M125" s="911"/>
      <c r="N125" s="911">
        <f t="shared" si="18"/>
        <v>21.5</v>
      </c>
    </row>
    <row r="126" spans="1:14">
      <c r="A126" s="910" t="s">
        <v>949</v>
      </c>
      <c r="B126" s="911">
        <v>42</v>
      </c>
      <c r="C126" s="911">
        <v>146.25</v>
      </c>
      <c r="D126" s="911">
        <v>12</v>
      </c>
      <c r="E126" s="911">
        <v>49</v>
      </c>
      <c r="F126" s="911">
        <v>52.5</v>
      </c>
      <c r="G126" s="912">
        <v>104.75</v>
      </c>
      <c r="H126" s="911">
        <v>49</v>
      </c>
      <c r="I126" s="911">
        <v>44</v>
      </c>
      <c r="J126" s="911">
        <v>137.5</v>
      </c>
      <c r="K126" s="911">
        <v>171</v>
      </c>
      <c r="L126" s="911">
        <v>64.5</v>
      </c>
      <c r="M126" s="911"/>
      <c r="N126" s="911">
        <f t="shared" si="18"/>
        <v>872.5</v>
      </c>
    </row>
    <row r="127" spans="1:14">
      <c r="A127" s="910" t="s">
        <v>950</v>
      </c>
      <c r="B127" s="911"/>
      <c r="C127" s="911"/>
      <c r="D127" s="911"/>
      <c r="E127" s="911"/>
      <c r="F127" s="911"/>
      <c r="G127" s="912"/>
      <c r="H127" s="911"/>
      <c r="I127" s="911"/>
      <c r="J127" s="911"/>
      <c r="K127" s="911"/>
      <c r="L127" s="911"/>
      <c r="M127" s="911"/>
      <c r="N127" s="911">
        <f t="shared" si="18"/>
        <v>0</v>
      </c>
    </row>
    <row r="128" spans="1:14">
      <c r="A128" s="910" t="s">
        <v>951</v>
      </c>
      <c r="B128" s="911">
        <v>130</v>
      </c>
      <c r="C128" s="911">
        <v>187.5</v>
      </c>
      <c r="D128" s="911">
        <v>210.75</v>
      </c>
      <c r="E128" s="911">
        <v>47.5</v>
      </c>
      <c r="F128" s="911">
        <v>31.5</v>
      </c>
      <c r="G128" s="912">
        <v>6</v>
      </c>
      <c r="H128" s="911"/>
      <c r="I128" s="911"/>
      <c r="J128" s="911">
        <v>23.25</v>
      </c>
      <c r="K128" s="911">
        <v>40.25</v>
      </c>
      <c r="L128" s="911">
        <v>124</v>
      </c>
      <c r="M128" s="911"/>
      <c r="N128" s="911">
        <f t="shared" si="18"/>
        <v>800.75</v>
      </c>
    </row>
    <row r="129" spans="1:14" ht="13.5" thickBot="1">
      <c r="A129" s="914" t="s">
        <v>952</v>
      </c>
      <c r="B129" s="915">
        <v>13.75</v>
      </c>
      <c r="C129" s="915">
        <v>23.25</v>
      </c>
      <c r="D129" s="915">
        <v>7.75</v>
      </c>
      <c r="E129" s="915">
        <v>6</v>
      </c>
      <c r="F129" s="915"/>
      <c r="G129" s="916">
        <v>6</v>
      </c>
      <c r="H129" s="915"/>
      <c r="I129" s="915"/>
      <c r="J129" s="915"/>
      <c r="K129" s="915">
        <v>7.75</v>
      </c>
      <c r="L129" s="915"/>
      <c r="M129" s="915"/>
      <c r="N129" s="917">
        <f t="shared" si="18"/>
        <v>64.5</v>
      </c>
    </row>
    <row r="130" spans="1:14" ht="13.5" thickBot="1">
      <c r="A130" s="918" t="s">
        <v>953</v>
      </c>
      <c r="B130" s="919">
        <f t="shared" ref="B130:M130" si="19">SUM(B119+B120+B121-B122-B123-B124-B126-B127-B128-B129)</f>
        <v>2524.75</v>
      </c>
      <c r="C130" s="919">
        <f t="shared" si="19"/>
        <v>2245.5</v>
      </c>
      <c r="D130" s="919">
        <f t="shared" si="19"/>
        <v>2519.5</v>
      </c>
      <c r="E130" s="919">
        <f t="shared" si="19"/>
        <v>2443.25</v>
      </c>
      <c r="F130" s="919">
        <f t="shared" si="19"/>
        <v>2676.25</v>
      </c>
      <c r="G130" s="1033">
        <f t="shared" si="19"/>
        <v>2547.25</v>
      </c>
      <c r="H130" s="919">
        <f t="shared" si="19"/>
        <v>1271</v>
      </c>
      <c r="I130" s="919">
        <f t="shared" si="19"/>
        <v>2206</v>
      </c>
      <c r="J130" s="919">
        <f t="shared" si="19"/>
        <v>2646</v>
      </c>
      <c r="K130" s="919">
        <f t="shared" si="19"/>
        <v>2431.25</v>
      </c>
      <c r="L130" s="919">
        <f t="shared" si="19"/>
        <v>2563.25</v>
      </c>
      <c r="M130" s="920">
        <f t="shared" si="19"/>
        <v>2886</v>
      </c>
      <c r="N130" s="921">
        <f t="shared" si="18"/>
        <v>28960</v>
      </c>
    </row>
    <row r="131" spans="1:14">
      <c r="A131" s="922"/>
      <c r="B131" s="923"/>
      <c r="C131" s="923"/>
      <c r="D131" s="923"/>
      <c r="E131" s="923"/>
      <c r="F131" s="923"/>
      <c r="G131" s="923"/>
      <c r="H131" s="923"/>
      <c r="I131" s="923"/>
      <c r="J131" s="923"/>
      <c r="K131" s="923"/>
      <c r="L131" s="923"/>
      <c r="M131" s="923"/>
      <c r="N131" s="923"/>
    </row>
    <row r="132" spans="1:14">
      <c r="A132" s="922"/>
      <c r="B132" s="923"/>
      <c r="C132" s="923"/>
      <c r="D132" s="923"/>
      <c r="E132" s="923"/>
      <c r="F132" s="923"/>
      <c r="G132" s="923"/>
      <c r="H132" s="923"/>
      <c r="I132" s="923"/>
      <c r="J132" s="923"/>
      <c r="K132" s="923"/>
      <c r="L132" s="923"/>
      <c r="M132" s="923"/>
      <c r="N132" s="924" t="s">
        <v>954</v>
      </c>
    </row>
    <row r="133" spans="1:14">
      <c r="A133" s="910" t="s">
        <v>955</v>
      </c>
      <c r="B133" s="911">
        <f t="shared" ref="B133:M133" si="20">SUM(B120*100/B130)</f>
        <v>0</v>
      </c>
      <c r="C133" s="911">
        <f t="shared" si="20"/>
        <v>0.28946782453796482</v>
      </c>
      <c r="D133" s="911">
        <f t="shared" si="20"/>
        <v>0</v>
      </c>
      <c r="E133" s="911">
        <f t="shared" si="20"/>
        <v>0</v>
      </c>
      <c r="F133" s="911">
        <f t="shared" si="20"/>
        <v>0</v>
      </c>
      <c r="G133" s="911">
        <f t="shared" si="20"/>
        <v>0</v>
      </c>
      <c r="H133" s="911">
        <f t="shared" si="20"/>
        <v>0</v>
      </c>
      <c r="I133" s="911">
        <f t="shared" si="20"/>
        <v>0</v>
      </c>
      <c r="J133" s="911">
        <f t="shared" si="20"/>
        <v>0</v>
      </c>
      <c r="K133" s="911">
        <f t="shared" si="20"/>
        <v>0</v>
      </c>
      <c r="L133" s="911">
        <f t="shared" si="20"/>
        <v>0</v>
      </c>
      <c r="M133" s="911">
        <f t="shared" si="20"/>
        <v>0</v>
      </c>
      <c r="N133" s="925">
        <f>SUM(B133:M133)/12</f>
        <v>2.412231871149707E-2</v>
      </c>
    </row>
    <row r="134" spans="1:14">
      <c r="A134" s="922"/>
      <c r="B134" s="923"/>
      <c r="C134" s="923"/>
      <c r="D134" s="923"/>
      <c r="E134" s="923"/>
      <c r="F134" s="923"/>
      <c r="G134" s="923"/>
      <c r="H134" s="923"/>
      <c r="I134" s="923"/>
      <c r="J134" s="923"/>
      <c r="K134" s="923"/>
      <c r="L134" s="923"/>
      <c r="M134" s="923"/>
      <c r="N134" s="906"/>
    </row>
    <row r="135" spans="1:14">
      <c r="A135" s="910" t="s">
        <v>956</v>
      </c>
      <c r="B135" s="911">
        <f t="shared" ref="B135:M135" si="21">SUM(B124*100/B130)</f>
        <v>1.0892167541340727</v>
      </c>
      <c r="C135" s="911">
        <f t="shared" si="21"/>
        <v>3.0282787797817856</v>
      </c>
      <c r="D135" s="911">
        <f t="shared" si="21"/>
        <v>0.92280214328239729</v>
      </c>
      <c r="E135" s="911">
        <f t="shared" si="21"/>
        <v>1.8315767932057709</v>
      </c>
      <c r="F135" s="911">
        <f t="shared" si="21"/>
        <v>0.86875291919663711</v>
      </c>
      <c r="G135" s="911">
        <f t="shared" si="21"/>
        <v>5.5059377760329768</v>
      </c>
      <c r="H135" s="911">
        <f t="shared" si="21"/>
        <v>2.9110936270653029</v>
      </c>
      <c r="I135" s="911">
        <f t="shared" si="21"/>
        <v>5.0543970988213962</v>
      </c>
      <c r="J135" s="911">
        <f t="shared" si="21"/>
        <v>1.5967498110355254</v>
      </c>
      <c r="K135" s="911">
        <f t="shared" si="21"/>
        <v>2.4061696658097684</v>
      </c>
      <c r="L135" s="911">
        <f t="shared" si="21"/>
        <v>1.4434799570857311</v>
      </c>
      <c r="M135" s="911">
        <f t="shared" si="21"/>
        <v>0</v>
      </c>
      <c r="N135" s="925">
        <f>SUM(B135:M135)/12</f>
        <v>2.2215379437876139</v>
      </c>
    </row>
    <row r="136" spans="1:14" ht="13.5" thickBot="1">
      <c r="A136" s="926" t="s">
        <v>957</v>
      </c>
      <c r="B136" s="917">
        <f t="shared" ref="B136:M136" si="22">SUM(B125*100/B130)</f>
        <v>0.30696108525596594</v>
      </c>
      <c r="C136" s="917">
        <f t="shared" si="22"/>
        <v>0</v>
      </c>
      <c r="D136" s="917">
        <f t="shared" si="22"/>
        <v>0.30760071442746578</v>
      </c>
      <c r="E136" s="917">
        <f t="shared" si="22"/>
        <v>0</v>
      </c>
      <c r="F136" s="917">
        <f t="shared" si="22"/>
        <v>0</v>
      </c>
      <c r="G136" s="917">
        <f t="shared" si="22"/>
        <v>0</v>
      </c>
      <c r="H136" s="917">
        <f t="shared" si="22"/>
        <v>0.47206923682140045</v>
      </c>
      <c r="I136" s="917">
        <f t="shared" si="22"/>
        <v>0</v>
      </c>
      <c r="J136" s="917">
        <f t="shared" si="22"/>
        <v>0</v>
      </c>
      <c r="K136" s="917">
        <f t="shared" si="22"/>
        <v>0</v>
      </c>
      <c r="L136" s="917">
        <f t="shared" si="22"/>
        <v>0</v>
      </c>
      <c r="M136" s="917">
        <f t="shared" si="22"/>
        <v>0</v>
      </c>
      <c r="N136" s="927">
        <f>SUM(B136:M136)/12</f>
        <v>9.0552586375402686E-2</v>
      </c>
    </row>
    <row r="137" spans="1:14" ht="13.5" thickBot="1">
      <c r="A137" s="928" t="s">
        <v>958</v>
      </c>
      <c r="B137" s="929">
        <f t="shared" ref="B137:M137" si="23">SUM(B135:B135)</f>
        <v>1.0892167541340727</v>
      </c>
      <c r="C137" s="929">
        <f t="shared" si="23"/>
        <v>3.0282787797817856</v>
      </c>
      <c r="D137" s="929">
        <f t="shared" si="23"/>
        <v>0.92280214328239729</v>
      </c>
      <c r="E137" s="929">
        <f t="shared" si="23"/>
        <v>1.8315767932057709</v>
      </c>
      <c r="F137" s="929">
        <f t="shared" si="23"/>
        <v>0.86875291919663711</v>
      </c>
      <c r="G137" s="929">
        <f t="shared" si="23"/>
        <v>5.5059377760329768</v>
      </c>
      <c r="H137" s="929">
        <f t="shared" si="23"/>
        <v>2.9110936270653029</v>
      </c>
      <c r="I137" s="929">
        <f t="shared" si="23"/>
        <v>5.0543970988213962</v>
      </c>
      <c r="J137" s="929">
        <f t="shared" si="23"/>
        <v>1.5967498110355254</v>
      </c>
      <c r="K137" s="929">
        <f t="shared" si="23"/>
        <v>2.4061696658097684</v>
      </c>
      <c r="L137" s="929">
        <f t="shared" si="23"/>
        <v>1.4434799570857311</v>
      </c>
      <c r="M137" s="929">
        <f t="shared" si="23"/>
        <v>0</v>
      </c>
      <c r="N137" s="930">
        <f>SUM(N135:N136)</f>
        <v>2.3120905301630166</v>
      </c>
    </row>
    <row r="138" spans="1:14">
      <c r="A138" s="922" t="s">
        <v>959</v>
      </c>
      <c r="B138" s="923"/>
      <c r="C138" s="923"/>
      <c r="D138" s="931">
        <f>SUM(B137:D137)/3</f>
        <v>1.6800992257327518</v>
      </c>
      <c r="E138" s="923"/>
      <c r="F138" s="923"/>
      <c r="G138" s="931">
        <f>SUM(E137,F137,G137)/3</f>
        <v>2.7354224961451283</v>
      </c>
      <c r="H138" s="923"/>
      <c r="I138" s="923"/>
      <c r="J138" s="931">
        <f>SUM(H137,I137,J137)/3</f>
        <v>3.1874135123074083</v>
      </c>
      <c r="K138" s="923"/>
      <c r="L138" s="923"/>
      <c r="M138" s="931">
        <f>SUM(K137,L137,M137)/3</f>
        <v>1.2832165409651666</v>
      </c>
      <c r="N138" s="932">
        <f>SUM(D138:M138)/4</f>
        <v>2.2215379437876139</v>
      </c>
    </row>
    <row r="139" spans="1:14">
      <c r="A139" s="922" t="s">
        <v>960</v>
      </c>
      <c r="B139" s="923"/>
      <c r="C139" s="923"/>
      <c r="D139" s="933"/>
      <c r="E139" s="923"/>
      <c r="F139" s="923"/>
      <c r="G139" s="933"/>
      <c r="H139" s="923"/>
      <c r="I139" s="923"/>
      <c r="J139" s="933"/>
      <c r="K139" s="923"/>
      <c r="L139" s="923"/>
      <c r="M139" s="933"/>
      <c r="N139" s="925">
        <f>SUM(D139:G139,J139,M139)/4</f>
        <v>0</v>
      </c>
    </row>
    <row r="140" spans="1:14">
      <c r="A140" s="922"/>
      <c r="B140" s="923"/>
      <c r="C140" s="923"/>
      <c r="D140" s="923"/>
      <c r="E140" s="923"/>
      <c r="F140" s="923"/>
      <c r="G140" s="923"/>
      <c r="H140" s="923"/>
      <c r="I140" s="923"/>
      <c r="J140" s="923"/>
      <c r="K140" s="923"/>
      <c r="L140" s="923"/>
      <c r="M140" s="923"/>
      <c r="N140" s="923"/>
    </row>
    <row r="141" spans="1:14">
      <c r="A141" s="910" t="s">
        <v>961</v>
      </c>
      <c r="B141" s="911">
        <f t="shared" ref="B141:M141" si="24">B128*100/B130</f>
        <v>5.1490246559065254</v>
      </c>
      <c r="C141" s="911">
        <f t="shared" si="24"/>
        <v>8.3500334001336007</v>
      </c>
      <c r="D141" s="911">
        <f t="shared" si="24"/>
        <v>8.3647549116888271</v>
      </c>
      <c r="E141" s="911">
        <f t="shared" si="24"/>
        <v>1.9441317916709302</v>
      </c>
      <c r="F141" s="911">
        <f t="shared" si="24"/>
        <v>1.1770200840728631</v>
      </c>
      <c r="G141" s="911">
        <f t="shared" si="24"/>
        <v>0.23554814015114339</v>
      </c>
      <c r="H141" s="911">
        <f t="shared" si="24"/>
        <v>0</v>
      </c>
      <c r="I141" s="911">
        <f t="shared" si="24"/>
        <v>0</v>
      </c>
      <c r="J141" s="911">
        <f t="shared" si="24"/>
        <v>0.87868480725623588</v>
      </c>
      <c r="K141" s="911">
        <f t="shared" si="24"/>
        <v>1.6555269922879177</v>
      </c>
      <c r="L141" s="911">
        <f t="shared" si="24"/>
        <v>4.8376085048278554</v>
      </c>
      <c r="M141" s="911">
        <f t="shared" si="24"/>
        <v>0</v>
      </c>
      <c r="N141" s="925">
        <f>SUM(B141:M141)/12</f>
        <v>2.7160277739996581</v>
      </c>
    </row>
    <row r="142" spans="1:14">
      <c r="A142" s="910" t="s">
        <v>962</v>
      </c>
      <c r="B142" s="911">
        <f t="shared" ref="B142:M142" si="25">B126*100/B130</f>
        <v>1.6635310426774927</v>
      </c>
      <c r="C142" s="911">
        <f t="shared" si="25"/>
        <v>6.513026052104208</v>
      </c>
      <c r="D142" s="911">
        <f t="shared" si="25"/>
        <v>0.47628497717801149</v>
      </c>
      <c r="E142" s="911">
        <f t="shared" si="25"/>
        <v>2.0055254271973806</v>
      </c>
      <c r="F142" s="911">
        <f t="shared" si="25"/>
        <v>1.9617001401214387</v>
      </c>
      <c r="G142" s="911">
        <f t="shared" si="25"/>
        <v>4.1122779468053787</v>
      </c>
      <c r="H142" s="911">
        <f t="shared" si="25"/>
        <v>3.8552321007081041</v>
      </c>
      <c r="I142" s="911">
        <f t="shared" si="25"/>
        <v>1.9945602901178603</v>
      </c>
      <c r="J142" s="911">
        <f t="shared" si="25"/>
        <v>5.1965230536659108</v>
      </c>
      <c r="K142" s="911">
        <f t="shared" si="25"/>
        <v>7.033419023136247</v>
      </c>
      <c r="L142" s="911">
        <f t="shared" si="25"/>
        <v>2.5163366819467474</v>
      </c>
      <c r="M142" s="911">
        <f t="shared" si="25"/>
        <v>0</v>
      </c>
      <c r="N142" s="925">
        <f>SUM(B142:M142)/12</f>
        <v>3.1107013946382316</v>
      </c>
    </row>
    <row r="143" spans="1:14" ht="13.5" thickBot="1">
      <c r="A143" s="910" t="s">
        <v>963</v>
      </c>
      <c r="B143" s="911">
        <f t="shared" ref="B143:M143" si="26">B122*100/B130</f>
        <v>5.8619665313397364</v>
      </c>
      <c r="C143" s="911">
        <f t="shared" si="26"/>
        <v>8.2386996214651518</v>
      </c>
      <c r="D143" s="911">
        <f t="shared" si="26"/>
        <v>4.4750942647350662</v>
      </c>
      <c r="E143" s="911">
        <f t="shared" si="26"/>
        <v>9.2704389644940139</v>
      </c>
      <c r="F143" s="911">
        <f t="shared" si="26"/>
        <v>3.829985987856142</v>
      </c>
      <c r="G143" s="911">
        <f t="shared" si="26"/>
        <v>3.2093434095593287</v>
      </c>
      <c r="H143" s="911">
        <f t="shared" si="26"/>
        <v>120.29897718332022</v>
      </c>
      <c r="I143" s="911">
        <f t="shared" si="26"/>
        <v>23.504079782411605</v>
      </c>
      <c r="J143" s="911">
        <f t="shared" si="26"/>
        <v>1.398337112622827</v>
      </c>
      <c r="K143" s="911">
        <f t="shared" si="26"/>
        <v>6.0874035989717221</v>
      </c>
      <c r="L143" s="911">
        <f t="shared" si="26"/>
        <v>3.4916609772749441</v>
      </c>
      <c r="M143" s="911">
        <f t="shared" si="26"/>
        <v>0</v>
      </c>
      <c r="N143" s="925">
        <f>SUM(B143:M143)/12</f>
        <v>15.805498952837562</v>
      </c>
    </row>
    <row r="144" spans="1:14" ht="13.5" thickBot="1">
      <c r="A144" s="934" t="s">
        <v>964</v>
      </c>
      <c r="B144" s="935">
        <f t="shared" ref="B144:M144" si="27">SUM(B119-B130)*100/B130</f>
        <v>14.308347361124865</v>
      </c>
      <c r="C144" s="935">
        <f t="shared" si="27"/>
        <v>28.523714094856381</v>
      </c>
      <c r="D144" s="935">
        <f t="shared" si="27"/>
        <v>14.546537011311768</v>
      </c>
      <c r="E144" s="935">
        <f t="shared" si="27"/>
        <v>18.121354752890618</v>
      </c>
      <c r="F144" s="935">
        <f t="shared" si="27"/>
        <v>7.8374591312470807</v>
      </c>
      <c r="G144" s="935">
        <f t="shared" si="27"/>
        <v>13.29865541269997</v>
      </c>
      <c r="H144" s="935">
        <f t="shared" si="27"/>
        <v>127.06530291109362</v>
      </c>
      <c r="I144" s="935">
        <f t="shared" si="27"/>
        <v>30.825022665457841</v>
      </c>
      <c r="J144" s="935">
        <f t="shared" si="27"/>
        <v>9.0702947845804989</v>
      </c>
      <c r="K144" s="935">
        <f t="shared" si="27"/>
        <v>18.704370179948587</v>
      </c>
      <c r="L144" s="935">
        <f t="shared" si="27"/>
        <v>12.591436652687019</v>
      </c>
      <c r="M144" s="935">
        <f t="shared" si="27"/>
        <v>0</v>
      </c>
      <c r="N144" s="936">
        <f>SUM(B144:M144)/12</f>
        <v>24.574374579824859</v>
      </c>
    </row>
    <row r="145" spans="1:14">
      <c r="A145" s="922"/>
      <c r="B145" s="923"/>
      <c r="C145" s="923"/>
      <c r="D145" s="923"/>
      <c r="E145" s="923"/>
      <c r="F145" s="923"/>
      <c r="G145" s="923"/>
      <c r="H145" s="923"/>
      <c r="I145" s="923"/>
      <c r="J145" s="923"/>
      <c r="K145" s="923"/>
      <c r="L145" s="923"/>
      <c r="M145" s="923"/>
      <c r="N145" s="906"/>
    </row>
    <row r="146" spans="1:14">
      <c r="A146" s="937" t="s">
        <v>965</v>
      </c>
      <c r="B146" s="923"/>
      <c r="C146" s="923"/>
      <c r="D146" s="923"/>
      <c r="E146" s="923"/>
      <c r="F146" s="923"/>
      <c r="G146" s="923"/>
      <c r="H146" s="923"/>
      <c r="I146" s="923"/>
      <c r="J146" s="923"/>
      <c r="K146" s="923"/>
      <c r="L146" s="923"/>
      <c r="M146" s="923"/>
      <c r="N146" s="906"/>
    </row>
    <row r="147" spans="1:14">
      <c r="A147" s="910" t="s">
        <v>966</v>
      </c>
      <c r="B147" s="938">
        <v>18</v>
      </c>
      <c r="C147" s="938">
        <f t="shared" ref="C147:N147" si="28">B150</f>
        <v>18</v>
      </c>
      <c r="D147" s="938">
        <f t="shared" si="28"/>
        <v>18</v>
      </c>
      <c r="E147" s="938">
        <f t="shared" si="28"/>
        <v>18</v>
      </c>
      <c r="F147" s="938">
        <f t="shared" si="28"/>
        <v>18</v>
      </c>
      <c r="G147" s="938">
        <f t="shared" si="28"/>
        <v>18</v>
      </c>
      <c r="H147" s="938">
        <f t="shared" si="28"/>
        <v>18</v>
      </c>
      <c r="I147" s="938">
        <f t="shared" si="28"/>
        <v>18</v>
      </c>
      <c r="J147" s="938">
        <f t="shared" si="28"/>
        <v>18</v>
      </c>
      <c r="K147" s="938">
        <f t="shared" si="28"/>
        <v>18</v>
      </c>
      <c r="L147" s="938">
        <f t="shared" si="28"/>
        <v>18</v>
      </c>
      <c r="M147" s="938">
        <f t="shared" si="28"/>
        <v>18</v>
      </c>
      <c r="N147" s="938">
        <f t="shared" si="28"/>
        <v>18</v>
      </c>
    </row>
    <row r="148" spans="1:14">
      <c r="A148" s="910" t="s">
        <v>967</v>
      </c>
      <c r="B148" s="938"/>
      <c r="C148" s="938"/>
      <c r="D148" s="938"/>
      <c r="E148" s="938"/>
      <c r="F148" s="938"/>
      <c r="G148" s="938"/>
      <c r="H148" s="938"/>
      <c r="I148" s="938"/>
      <c r="J148" s="938"/>
      <c r="K148" s="938"/>
      <c r="L148" s="938"/>
      <c r="M148" s="938"/>
      <c r="N148" s="938">
        <f>SUM(B148:M148)/12</f>
        <v>0</v>
      </c>
    </row>
    <row r="149" spans="1:14">
      <c r="A149" s="910" t="s">
        <v>968</v>
      </c>
      <c r="B149" s="938"/>
      <c r="C149" s="938"/>
      <c r="D149" s="938"/>
      <c r="E149" s="938"/>
      <c r="F149" s="938"/>
      <c r="G149" s="938"/>
      <c r="H149" s="938"/>
      <c r="I149" s="938"/>
      <c r="J149" s="938"/>
      <c r="K149" s="938"/>
      <c r="L149" s="938"/>
      <c r="M149" s="938"/>
      <c r="N149" s="938">
        <f>SUM(B148:M148)/12</f>
        <v>0</v>
      </c>
    </row>
    <row r="150" spans="1:14">
      <c r="A150" s="910" t="s">
        <v>965</v>
      </c>
      <c r="B150" s="938">
        <f t="shared" ref="B150:M150" si="29">SUM(B147+B148-B149)</f>
        <v>18</v>
      </c>
      <c r="C150" s="938">
        <f t="shared" si="29"/>
        <v>18</v>
      </c>
      <c r="D150" s="938">
        <f t="shared" si="29"/>
        <v>18</v>
      </c>
      <c r="E150" s="938">
        <f t="shared" si="29"/>
        <v>18</v>
      </c>
      <c r="F150" s="938">
        <f t="shared" si="29"/>
        <v>18</v>
      </c>
      <c r="G150" s="938">
        <f t="shared" si="29"/>
        <v>18</v>
      </c>
      <c r="H150" s="938">
        <f t="shared" si="29"/>
        <v>18</v>
      </c>
      <c r="I150" s="938">
        <f t="shared" si="29"/>
        <v>18</v>
      </c>
      <c r="J150" s="938">
        <f t="shared" si="29"/>
        <v>18</v>
      </c>
      <c r="K150" s="938">
        <f t="shared" si="29"/>
        <v>18</v>
      </c>
      <c r="L150" s="938">
        <f t="shared" si="29"/>
        <v>18</v>
      </c>
      <c r="M150" s="938">
        <f t="shared" si="29"/>
        <v>18</v>
      </c>
      <c r="N150" s="938">
        <f>SUM(B149:M149)/12</f>
        <v>0</v>
      </c>
    </row>
    <row r="151" spans="1:14">
      <c r="A151" s="910" t="s">
        <v>969</v>
      </c>
      <c r="B151" s="939">
        <f t="shared" ref="B151:M151" si="30">SUM(B150*100)/B147-100</f>
        <v>0</v>
      </c>
      <c r="C151" s="939">
        <f t="shared" si="30"/>
        <v>0</v>
      </c>
      <c r="D151" s="939">
        <f t="shared" si="30"/>
        <v>0</v>
      </c>
      <c r="E151" s="939">
        <f t="shared" si="30"/>
        <v>0</v>
      </c>
      <c r="F151" s="939">
        <f t="shared" si="30"/>
        <v>0</v>
      </c>
      <c r="G151" s="939">
        <f t="shared" si="30"/>
        <v>0</v>
      </c>
      <c r="H151" s="939">
        <f t="shared" si="30"/>
        <v>0</v>
      </c>
      <c r="I151" s="939">
        <f t="shared" si="30"/>
        <v>0</v>
      </c>
      <c r="J151" s="939">
        <f t="shared" si="30"/>
        <v>0</v>
      </c>
      <c r="K151" s="939">
        <f t="shared" si="30"/>
        <v>0</v>
      </c>
      <c r="L151" s="939">
        <f t="shared" si="30"/>
        <v>0</v>
      </c>
      <c r="M151" s="939">
        <f t="shared" si="30"/>
        <v>0</v>
      </c>
      <c r="N151" s="938"/>
    </row>
    <row r="152" spans="1:14">
      <c r="A152" s="922" t="s">
        <v>970</v>
      </c>
      <c r="B152" s="940"/>
      <c r="C152" s="940"/>
      <c r="D152" s="941">
        <f>SUM(B151:D151/3)</f>
        <v>0</v>
      </c>
      <c r="E152" s="940"/>
      <c r="F152" s="940"/>
      <c r="G152" s="941">
        <f>SUM(E151:G151)/3</f>
        <v>0</v>
      </c>
      <c r="H152" s="940"/>
      <c r="I152" s="940"/>
      <c r="J152" s="941">
        <f>SUM(H151:J151)/3</f>
        <v>0</v>
      </c>
      <c r="K152" s="940"/>
      <c r="L152" s="940"/>
      <c r="M152" s="941">
        <f>SUM(K151:M151)/3</f>
        <v>0</v>
      </c>
      <c r="N152" s="940"/>
    </row>
    <row r="153" spans="1:14">
      <c r="A153" s="922"/>
      <c r="B153" s="923"/>
      <c r="C153" s="923"/>
      <c r="D153" s="923"/>
      <c r="E153" s="923"/>
      <c r="F153" s="923"/>
      <c r="G153" s="923"/>
      <c r="H153" s="923"/>
      <c r="I153" s="923"/>
      <c r="J153" s="923"/>
      <c r="K153" s="923"/>
      <c r="L153" s="923"/>
      <c r="M153" s="923"/>
      <c r="N153" s="906"/>
    </row>
    <row r="154" spans="1:14" ht="15.75">
      <c r="A154" s="937"/>
      <c r="B154" s="1005"/>
      <c r="C154" s="1005"/>
      <c r="D154" s="1005"/>
      <c r="E154" s="1005"/>
      <c r="F154" s="1005"/>
      <c r="G154" s="1034"/>
      <c r="H154" s="1005"/>
      <c r="I154" s="1005"/>
      <c r="J154" s="1005"/>
      <c r="K154" s="1005"/>
      <c r="L154" s="1005"/>
      <c r="M154" s="1005"/>
      <c r="N154" s="906"/>
    </row>
    <row r="155" spans="1:14">
      <c r="A155" s="1007" t="s">
        <v>986</v>
      </c>
      <c r="B155" s="911" t="s">
        <v>924</v>
      </c>
      <c r="C155" s="911" t="s">
        <v>925</v>
      </c>
      <c r="D155" s="911" t="s">
        <v>926</v>
      </c>
      <c r="E155" s="911" t="s">
        <v>927</v>
      </c>
      <c r="F155" s="911" t="s">
        <v>928</v>
      </c>
      <c r="G155" s="911" t="s">
        <v>929</v>
      </c>
      <c r="H155" s="911" t="s">
        <v>918</v>
      </c>
      <c r="I155" s="911" t="s">
        <v>919</v>
      </c>
      <c r="J155" s="911" t="s">
        <v>920</v>
      </c>
      <c r="K155" s="911" t="s">
        <v>921</v>
      </c>
      <c r="L155" s="911" t="s">
        <v>922</v>
      </c>
      <c r="M155" s="911" t="s">
        <v>923</v>
      </c>
      <c r="N155" s="907" t="s">
        <v>137</v>
      </c>
    </row>
    <row r="156" spans="1:14">
      <c r="A156" s="910" t="s">
        <v>1014</v>
      </c>
      <c r="B156" s="1008">
        <v>81500</v>
      </c>
      <c r="C156" s="1008">
        <v>81500</v>
      </c>
      <c r="D156" s="1008">
        <v>81500</v>
      </c>
      <c r="E156" s="1008">
        <v>81500</v>
      </c>
      <c r="F156" s="1008">
        <v>81500</v>
      </c>
      <c r="G156" s="1008">
        <v>81500</v>
      </c>
      <c r="H156" s="1008">
        <v>81500</v>
      </c>
      <c r="I156" s="1008">
        <v>81500</v>
      </c>
      <c r="J156" s="1008">
        <v>81500</v>
      </c>
      <c r="K156" s="1008">
        <v>81500</v>
      </c>
      <c r="L156" s="1008">
        <v>81500</v>
      </c>
      <c r="M156" s="1008">
        <v>81500</v>
      </c>
      <c r="N156" s="1008">
        <f>SUM(B156:M156)</f>
        <v>978000</v>
      </c>
    </row>
    <row r="157" spans="1:14">
      <c r="A157" s="910" t="s">
        <v>1159</v>
      </c>
      <c r="B157" s="1008">
        <v>0</v>
      </c>
      <c r="C157" s="1008">
        <v>0</v>
      </c>
      <c r="D157" s="1008">
        <v>0</v>
      </c>
      <c r="E157" s="1008">
        <v>0</v>
      </c>
      <c r="F157" s="1008">
        <v>0</v>
      </c>
      <c r="G157" s="1008">
        <v>0</v>
      </c>
      <c r="H157" s="1008">
        <v>0</v>
      </c>
      <c r="I157" s="1008">
        <v>0</v>
      </c>
      <c r="J157" s="1008">
        <v>0</v>
      </c>
      <c r="K157" s="1008">
        <v>0</v>
      </c>
      <c r="L157" s="1008">
        <v>0</v>
      </c>
      <c r="M157" s="1008">
        <v>0</v>
      </c>
      <c r="N157" s="1008">
        <f>SUM(B157:M157)</f>
        <v>0</v>
      </c>
    </row>
    <row r="158" spans="1:14" ht="13.5" thickBot="1">
      <c r="A158" s="1035" t="s">
        <v>1018</v>
      </c>
      <c r="B158" s="1036">
        <v>87000</v>
      </c>
      <c r="C158" s="1036">
        <v>87000</v>
      </c>
      <c r="D158" s="1036">
        <v>87000</v>
      </c>
      <c r="E158" s="1036">
        <v>87000</v>
      </c>
      <c r="F158" s="1036">
        <v>87000</v>
      </c>
      <c r="G158" s="1036">
        <v>87000</v>
      </c>
      <c r="H158" s="1036">
        <v>87000</v>
      </c>
      <c r="I158" s="1036">
        <v>87000</v>
      </c>
      <c r="J158" s="1036">
        <v>87000</v>
      </c>
      <c r="K158" s="1036">
        <v>87000</v>
      </c>
      <c r="L158" s="1036">
        <v>87000</v>
      </c>
      <c r="M158" s="1036">
        <v>87000</v>
      </c>
      <c r="N158" s="1008">
        <f>SUM(B158:M158)</f>
        <v>1044000</v>
      </c>
    </row>
    <row r="159" spans="1:14" ht="13.5" thickBot="1">
      <c r="A159" s="1012" t="s">
        <v>1015</v>
      </c>
      <c r="B159" s="1013">
        <f t="shared" ref="B159:N159" si="31">SUM(B156:B158)</f>
        <v>168500</v>
      </c>
      <c r="C159" s="1013">
        <f t="shared" si="31"/>
        <v>168500</v>
      </c>
      <c r="D159" s="1013">
        <f t="shared" si="31"/>
        <v>168500</v>
      </c>
      <c r="E159" s="1013">
        <f t="shared" si="31"/>
        <v>168500</v>
      </c>
      <c r="F159" s="1013">
        <f t="shared" si="31"/>
        <v>168500</v>
      </c>
      <c r="G159" s="1013">
        <f t="shared" si="31"/>
        <v>168500</v>
      </c>
      <c r="H159" s="1013">
        <f t="shared" si="31"/>
        <v>168500</v>
      </c>
      <c r="I159" s="1013">
        <f t="shared" si="31"/>
        <v>168500</v>
      </c>
      <c r="J159" s="1013">
        <f t="shared" si="31"/>
        <v>168500</v>
      </c>
      <c r="K159" s="1013">
        <f t="shared" si="31"/>
        <v>168500</v>
      </c>
      <c r="L159" s="1013">
        <f t="shared" si="31"/>
        <v>168500</v>
      </c>
      <c r="M159" s="1013">
        <f t="shared" si="31"/>
        <v>168500</v>
      </c>
      <c r="N159" s="1013">
        <f t="shared" si="31"/>
        <v>2022000</v>
      </c>
    </row>
    <row r="160" spans="1:14">
      <c r="A160" s="907" t="s">
        <v>1016</v>
      </c>
      <c r="B160" s="1008">
        <v>14495</v>
      </c>
      <c r="C160" s="1008">
        <v>9312</v>
      </c>
      <c r="D160" s="1008">
        <v>8101</v>
      </c>
      <c r="E160" s="1008">
        <v>7537</v>
      </c>
      <c r="F160" s="1008">
        <v>4775</v>
      </c>
      <c r="G160" s="1037">
        <v>4875</v>
      </c>
      <c r="H160" s="1008"/>
      <c r="I160" s="1008">
        <v>11075</v>
      </c>
      <c r="J160" s="1008">
        <v>15550</v>
      </c>
      <c r="K160" s="1008">
        <v>8700</v>
      </c>
      <c r="L160" s="1008">
        <v>11812</v>
      </c>
      <c r="M160" s="1008">
        <v>6250</v>
      </c>
      <c r="N160" s="1008">
        <f>SUM(B160:M160)</f>
        <v>102482</v>
      </c>
    </row>
    <row r="161" spans="1:15">
      <c r="A161" s="907" t="s">
        <v>1137</v>
      </c>
      <c r="B161" s="1008"/>
      <c r="C161" s="1008"/>
      <c r="D161" s="1008"/>
      <c r="E161" s="1008"/>
      <c r="F161" s="1008"/>
      <c r="G161" s="1037"/>
      <c r="H161" s="1008"/>
      <c r="I161" s="1008"/>
      <c r="J161" s="1008"/>
      <c r="K161" s="1008"/>
      <c r="L161" s="1008"/>
      <c r="M161" s="1008"/>
      <c r="N161" s="1008">
        <f>SUM(B161:M161)</f>
        <v>0</v>
      </c>
    </row>
    <row r="162" spans="1:15">
      <c r="A162" s="907" t="s">
        <v>1139</v>
      </c>
      <c r="B162" s="1008">
        <v>920</v>
      </c>
      <c r="C162" s="1008">
        <v>8340</v>
      </c>
      <c r="D162" s="1008"/>
      <c r="E162" s="1008">
        <v>6980</v>
      </c>
      <c r="F162" s="1008">
        <v>6380</v>
      </c>
      <c r="G162" s="1037">
        <v>4620</v>
      </c>
      <c r="H162" s="1008">
        <v>2370</v>
      </c>
      <c r="I162" s="1008">
        <v>5840</v>
      </c>
      <c r="J162" s="1008">
        <v>6920</v>
      </c>
      <c r="K162" s="1008">
        <v>10010</v>
      </c>
      <c r="L162" s="1008">
        <v>7350</v>
      </c>
      <c r="M162" s="1008"/>
      <c r="N162" s="1008">
        <f>SUM(B162:M162)</f>
        <v>59730</v>
      </c>
    </row>
    <row r="163" spans="1:15">
      <c r="A163" s="907" t="s">
        <v>993</v>
      </c>
      <c r="B163" s="1008">
        <v>170625</v>
      </c>
      <c r="C163" s="1008">
        <v>63780</v>
      </c>
      <c r="D163" s="1008">
        <v>170078.38</v>
      </c>
      <c r="E163" s="1008">
        <v>70987.5</v>
      </c>
      <c r="F163" s="1008">
        <v>258475</v>
      </c>
      <c r="G163" s="1008">
        <v>67114.63</v>
      </c>
      <c r="H163" s="1008">
        <v>34300</v>
      </c>
      <c r="I163" s="1008">
        <v>127060.63</v>
      </c>
      <c r="J163" s="1008">
        <v>135309.63</v>
      </c>
      <c r="K163" s="1008">
        <v>209023.26</v>
      </c>
      <c r="L163" s="1008">
        <v>154475</v>
      </c>
      <c r="M163" s="1010"/>
      <c r="N163" s="1008">
        <f>SUM(B163:M163)</f>
        <v>1461229.03</v>
      </c>
    </row>
    <row r="164" spans="1:15" ht="13.5" thickBot="1">
      <c r="A164" s="1038" t="s">
        <v>1019</v>
      </c>
      <c r="B164" s="1036">
        <v>14183.75</v>
      </c>
      <c r="C164" s="1036">
        <v>40815.5</v>
      </c>
      <c r="D164" s="1036">
        <v>36826.25</v>
      </c>
      <c r="E164" s="1036">
        <v>12117.5</v>
      </c>
      <c r="F164" s="1036">
        <v>41857</v>
      </c>
      <c r="G164" s="1036">
        <v>14393.5</v>
      </c>
      <c r="H164" s="1036">
        <v>7770</v>
      </c>
      <c r="I164" s="1036">
        <v>23860</v>
      </c>
      <c r="J164" s="1036">
        <v>19108</v>
      </c>
      <c r="K164" s="1036">
        <v>37921.5</v>
      </c>
      <c r="L164" s="1036">
        <v>12583</v>
      </c>
      <c r="M164" s="1008"/>
      <c r="N164" s="1008">
        <f>SUM(B164:M164)</f>
        <v>261436</v>
      </c>
    </row>
    <row r="165" spans="1:15" ht="13.5" thickBot="1">
      <c r="A165" s="1039" t="s">
        <v>1001</v>
      </c>
      <c r="B165" s="1040">
        <f t="shared" ref="B165:N165" si="32">SUM(B160:B164)</f>
        <v>200223.75</v>
      </c>
      <c r="C165" s="1040">
        <f t="shared" si="32"/>
        <v>122247.5</v>
      </c>
      <c r="D165" s="1040">
        <f t="shared" si="32"/>
        <v>215005.63</v>
      </c>
      <c r="E165" s="1040">
        <f t="shared" si="32"/>
        <v>97622</v>
      </c>
      <c r="F165" s="1040">
        <f t="shared" si="32"/>
        <v>311487</v>
      </c>
      <c r="G165" s="1040">
        <f t="shared" si="32"/>
        <v>91003.13</v>
      </c>
      <c r="H165" s="1040">
        <f t="shared" si="32"/>
        <v>44440</v>
      </c>
      <c r="I165" s="1040">
        <f t="shared" si="32"/>
        <v>167835.63</v>
      </c>
      <c r="J165" s="1040">
        <f t="shared" si="32"/>
        <v>176887.63</v>
      </c>
      <c r="K165" s="1040">
        <f t="shared" si="32"/>
        <v>265654.76</v>
      </c>
      <c r="L165" s="1040">
        <f t="shared" si="32"/>
        <v>186220</v>
      </c>
      <c r="M165" s="1041">
        <f t="shared" si="32"/>
        <v>6250</v>
      </c>
      <c r="N165" s="1040">
        <f t="shared" si="32"/>
        <v>1884877.03</v>
      </c>
    </row>
    <row r="166" spans="1:15">
      <c r="A166" s="907" t="s">
        <v>1002</v>
      </c>
      <c r="B166" s="1010">
        <v>0</v>
      </c>
      <c r="C166" s="1010">
        <v>0</v>
      </c>
      <c r="D166" s="1010">
        <v>0</v>
      </c>
      <c r="E166" s="1010">
        <v>0</v>
      </c>
      <c r="F166" s="1010">
        <v>0</v>
      </c>
      <c r="G166" s="1010">
        <v>3770</v>
      </c>
      <c r="H166" s="1010">
        <v>0</v>
      </c>
      <c r="I166" s="1010">
        <v>0</v>
      </c>
      <c r="J166" s="1010">
        <v>0</v>
      </c>
      <c r="K166" s="1010">
        <v>0</v>
      </c>
      <c r="L166" s="1010">
        <v>0</v>
      </c>
      <c r="M166" s="1036">
        <v>0</v>
      </c>
      <c r="N166" s="1010">
        <f>SUM(B166:M166)</f>
        <v>3770</v>
      </c>
      <c r="O166" s="970"/>
    </row>
    <row r="167" spans="1:15">
      <c r="A167" s="1042" t="s">
        <v>1003</v>
      </c>
      <c r="B167" s="1043">
        <f t="shared" ref="B167:N167" si="33">SUM(B159,B165,B166)</f>
        <v>368723.75</v>
      </c>
      <c r="C167" s="1043">
        <f t="shared" si="33"/>
        <v>290747.5</v>
      </c>
      <c r="D167" s="1043">
        <f t="shared" si="33"/>
        <v>383505.63</v>
      </c>
      <c r="E167" s="1043">
        <f t="shared" si="33"/>
        <v>266122</v>
      </c>
      <c r="F167" s="1043">
        <f t="shared" si="33"/>
        <v>479987</v>
      </c>
      <c r="G167" s="1043">
        <f t="shared" si="33"/>
        <v>263273.13</v>
      </c>
      <c r="H167" s="1043">
        <f t="shared" si="33"/>
        <v>212940</v>
      </c>
      <c r="I167" s="1043">
        <f t="shared" si="33"/>
        <v>336335.63</v>
      </c>
      <c r="J167" s="1043">
        <f t="shared" si="33"/>
        <v>345387.63</v>
      </c>
      <c r="K167" s="1043">
        <f t="shared" si="33"/>
        <v>434154.76</v>
      </c>
      <c r="L167" s="1043">
        <f t="shared" si="33"/>
        <v>354720</v>
      </c>
      <c r="M167" s="1043">
        <f t="shared" si="33"/>
        <v>174750</v>
      </c>
      <c r="N167" s="1043">
        <f t="shared" si="33"/>
        <v>3910647.0300000003</v>
      </c>
    </row>
    <row r="168" spans="1:15">
      <c r="A168" s="1015" t="s">
        <v>1004</v>
      </c>
      <c r="B168" s="1044">
        <v>624553.92000000004</v>
      </c>
      <c r="C168" s="1044">
        <v>526378</v>
      </c>
      <c r="D168" s="1044">
        <v>527314</v>
      </c>
      <c r="E168" s="1044">
        <v>555869</v>
      </c>
      <c r="F168" s="1044">
        <v>435878</v>
      </c>
      <c r="G168" s="1044">
        <v>316460</v>
      </c>
      <c r="H168" s="1044">
        <v>516198</v>
      </c>
      <c r="I168" s="1044">
        <v>681669</v>
      </c>
      <c r="J168" s="1044">
        <v>539618</v>
      </c>
      <c r="K168" s="1044">
        <v>369562</v>
      </c>
      <c r="L168" s="1044">
        <v>548986</v>
      </c>
      <c r="M168" s="1044"/>
      <c r="N168" s="1045">
        <f>SUM(B168:M168)</f>
        <v>5642485.9199999999</v>
      </c>
    </row>
    <row r="169" spans="1:15">
      <c r="A169" s="1046" t="s">
        <v>1009</v>
      </c>
      <c r="B169" s="1047">
        <f t="shared" ref="B169:N169" si="34">SUM(B167-B168)</f>
        <v>-255830.17000000004</v>
      </c>
      <c r="C169" s="1047">
        <f t="shared" si="34"/>
        <v>-235630.5</v>
      </c>
      <c r="D169" s="1047">
        <f t="shared" si="34"/>
        <v>-143808.37</v>
      </c>
      <c r="E169" s="1047">
        <f t="shared" si="34"/>
        <v>-289747</v>
      </c>
      <c r="F169" s="1047">
        <f t="shared" si="34"/>
        <v>44109</v>
      </c>
      <c r="G169" s="1047">
        <f t="shared" si="34"/>
        <v>-53186.869999999995</v>
      </c>
      <c r="H169" s="1047">
        <f t="shared" si="34"/>
        <v>-303258</v>
      </c>
      <c r="I169" s="1047">
        <f t="shared" si="34"/>
        <v>-345333.37</v>
      </c>
      <c r="J169" s="1047">
        <f t="shared" si="34"/>
        <v>-194230.37</v>
      </c>
      <c r="K169" s="1047">
        <f t="shared" si="34"/>
        <v>64592.760000000009</v>
      </c>
      <c r="L169" s="1047">
        <f t="shared" si="34"/>
        <v>-194266</v>
      </c>
      <c r="M169" s="1047">
        <f t="shared" si="34"/>
        <v>174750</v>
      </c>
      <c r="N169" s="1047">
        <f t="shared" si="34"/>
        <v>-1731838.8899999997</v>
      </c>
    </row>
    <row r="170" spans="1:15" ht="13.5" thickBot="1">
      <c r="A170" s="1048">
        <v>206552</v>
      </c>
      <c r="B170" s="1048"/>
      <c r="C170" s="1048"/>
      <c r="D170" s="1048"/>
      <c r="E170" s="1048"/>
      <c r="F170" s="1048"/>
      <c r="G170" s="1048"/>
      <c r="H170" s="1048"/>
      <c r="I170" s="1048"/>
      <c r="J170" s="1048"/>
      <c r="K170" s="1048"/>
      <c r="L170" s="1048"/>
      <c r="M170" s="1048"/>
      <c r="N170" s="1048"/>
    </row>
    <row r="171" spans="1:15" ht="13.5" thickBot="1"/>
    <row r="172" spans="1:15" ht="20.25">
      <c r="A172" s="1702" t="s">
        <v>1160</v>
      </c>
      <c r="B172" s="1702"/>
      <c r="C172" s="1702"/>
      <c r="D172" s="1702"/>
      <c r="E172" s="1702"/>
      <c r="F172" s="1702"/>
      <c r="G172" s="1702"/>
      <c r="H172" s="1702"/>
      <c r="I172" s="1702"/>
      <c r="J172" s="1702"/>
      <c r="K172" s="1702"/>
      <c r="L172" s="1702"/>
      <c r="M172" s="1702"/>
      <c r="N172" s="1702"/>
    </row>
    <row r="173" spans="1:15">
      <c r="A173" s="906"/>
      <c r="B173" s="906"/>
      <c r="C173" s="906"/>
      <c r="D173" s="906"/>
      <c r="E173" s="906"/>
      <c r="F173" s="906"/>
      <c r="G173" s="906"/>
      <c r="H173" s="906"/>
      <c r="I173" s="906"/>
      <c r="J173" s="906"/>
      <c r="K173" s="906"/>
      <c r="L173" s="906"/>
      <c r="M173" s="906"/>
    </row>
    <row r="174" spans="1:15">
      <c r="A174" s="907"/>
      <c r="B174" s="908" t="s">
        <v>924</v>
      </c>
      <c r="C174" s="908" t="s">
        <v>925</v>
      </c>
      <c r="D174" s="909" t="s">
        <v>926</v>
      </c>
      <c r="E174" s="908" t="s">
        <v>927</v>
      </c>
      <c r="F174" s="908" t="s">
        <v>928</v>
      </c>
      <c r="G174" s="909" t="s">
        <v>929</v>
      </c>
      <c r="H174" s="908" t="s">
        <v>918</v>
      </c>
      <c r="I174" s="908" t="s">
        <v>919</v>
      </c>
      <c r="J174" s="908" t="s">
        <v>920</v>
      </c>
      <c r="K174" s="908" t="s">
        <v>921</v>
      </c>
      <c r="L174" s="908" t="s">
        <v>922</v>
      </c>
      <c r="M174" s="908" t="s">
        <v>923</v>
      </c>
      <c r="N174" s="907" t="s">
        <v>137</v>
      </c>
    </row>
    <row r="175" spans="1:15">
      <c r="A175" s="910" t="s">
        <v>183</v>
      </c>
      <c r="B175" s="911">
        <v>1924</v>
      </c>
      <c r="C175" s="911">
        <v>1924</v>
      </c>
      <c r="D175" s="911">
        <v>1924</v>
      </c>
      <c r="E175" s="911">
        <v>1924</v>
      </c>
      <c r="F175" s="911">
        <v>1924</v>
      </c>
      <c r="G175" s="911">
        <v>1924</v>
      </c>
      <c r="H175" s="911">
        <v>1924</v>
      </c>
      <c r="I175" s="911">
        <v>1924</v>
      </c>
      <c r="J175" s="911">
        <v>1924</v>
      </c>
      <c r="K175" s="911">
        <v>1924</v>
      </c>
      <c r="L175" s="911">
        <v>1924</v>
      </c>
      <c r="M175" s="911">
        <v>1924</v>
      </c>
      <c r="N175" s="911">
        <f t="shared" ref="N175:N186" si="35">SUM(B175:M175)</f>
        <v>23088</v>
      </c>
    </row>
    <row r="176" spans="1:15">
      <c r="A176" s="910" t="s">
        <v>942</v>
      </c>
      <c r="B176" s="911"/>
      <c r="C176" s="911">
        <v>6.75</v>
      </c>
      <c r="D176" s="911"/>
      <c r="E176" s="911"/>
      <c r="F176" s="911"/>
      <c r="G176" s="912"/>
      <c r="H176" s="911"/>
      <c r="I176" s="911"/>
      <c r="J176" s="913">
        <v>9.5</v>
      </c>
      <c r="K176" s="911"/>
      <c r="L176" s="911"/>
      <c r="M176" s="911"/>
      <c r="N176" s="911">
        <f t="shared" si="35"/>
        <v>16.25</v>
      </c>
    </row>
    <row r="177" spans="1:14">
      <c r="A177" s="910" t="s">
        <v>943</v>
      </c>
      <c r="B177" s="911"/>
      <c r="C177" s="911"/>
      <c r="D177" s="911"/>
      <c r="E177" s="911"/>
      <c r="F177" s="911"/>
      <c r="G177" s="912"/>
      <c r="H177" s="911"/>
      <c r="I177" s="911"/>
      <c r="J177" s="911"/>
      <c r="K177" s="911"/>
      <c r="L177" s="911"/>
      <c r="M177" s="907"/>
      <c r="N177" s="911">
        <f t="shared" si="35"/>
        <v>0</v>
      </c>
    </row>
    <row r="178" spans="1:14">
      <c r="A178" s="910" t="s">
        <v>945</v>
      </c>
      <c r="B178" s="911">
        <v>229</v>
      </c>
      <c r="C178" s="911">
        <v>74</v>
      </c>
      <c r="D178" s="911">
        <v>86.5</v>
      </c>
      <c r="E178" s="911">
        <v>133.5</v>
      </c>
      <c r="F178" s="911">
        <v>7.75</v>
      </c>
      <c r="G178" s="912">
        <v>68</v>
      </c>
      <c r="H178" s="911">
        <v>594</v>
      </c>
      <c r="I178" s="911">
        <v>414.75</v>
      </c>
      <c r="J178" s="911">
        <v>100</v>
      </c>
      <c r="K178" s="911">
        <v>148.25</v>
      </c>
      <c r="L178" s="911"/>
      <c r="M178" s="911"/>
      <c r="N178" s="911">
        <f t="shared" si="35"/>
        <v>1855.75</v>
      </c>
    </row>
    <row r="179" spans="1:14">
      <c r="A179" s="910" t="s">
        <v>946</v>
      </c>
      <c r="B179" s="911"/>
      <c r="C179" s="911"/>
      <c r="D179" s="911">
        <v>47.25</v>
      </c>
      <c r="E179" s="911">
        <v>171.75</v>
      </c>
      <c r="F179" s="911">
        <v>28.5</v>
      </c>
      <c r="G179" s="912"/>
      <c r="H179" s="911"/>
      <c r="I179" s="911"/>
      <c r="J179" s="911"/>
      <c r="K179" s="911"/>
      <c r="L179" s="911"/>
      <c r="M179" s="911"/>
      <c r="N179" s="911">
        <f t="shared" si="35"/>
        <v>247.5</v>
      </c>
    </row>
    <row r="180" spans="1:14">
      <c r="A180" s="910" t="s">
        <v>947</v>
      </c>
      <c r="B180" s="911">
        <v>212.5</v>
      </c>
      <c r="C180" s="911">
        <v>51.5</v>
      </c>
      <c r="D180" s="911">
        <v>45.25</v>
      </c>
      <c r="E180" s="911">
        <v>30</v>
      </c>
      <c r="F180" s="911">
        <v>7.75</v>
      </c>
      <c r="G180" s="912"/>
      <c r="H180" s="911"/>
      <c r="I180" s="911">
        <v>31</v>
      </c>
      <c r="J180" s="911">
        <v>96</v>
      </c>
      <c r="K180" s="911">
        <v>60.25</v>
      </c>
      <c r="L180" s="911">
        <v>125.25</v>
      </c>
      <c r="M180" s="911"/>
      <c r="N180" s="911">
        <f t="shared" si="35"/>
        <v>659.5</v>
      </c>
    </row>
    <row r="181" spans="1:14">
      <c r="A181" s="910" t="s">
        <v>948</v>
      </c>
      <c r="B181" s="911"/>
      <c r="C181" s="911">
        <v>7.75</v>
      </c>
      <c r="D181" s="911">
        <v>7.5</v>
      </c>
      <c r="E181" s="911"/>
      <c r="F181" s="911"/>
      <c r="G181" s="912">
        <v>8</v>
      </c>
      <c r="H181" s="911">
        <v>7.5</v>
      </c>
      <c r="I181" s="911"/>
      <c r="J181" s="911"/>
      <c r="K181" s="911">
        <v>15.5</v>
      </c>
      <c r="L181" s="911"/>
      <c r="M181" s="911"/>
      <c r="N181" s="911">
        <f t="shared" si="35"/>
        <v>46.25</v>
      </c>
    </row>
    <row r="182" spans="1:14">
      <c r="A182" s="910" t="s">
        <v>949</v>
      </c>
      <c r="B182" s="911">
        <v>15.5</v>
      </c>
      <c r="C182" s="911">
        <v>13.75</v>
      </c>
      <c r="D182" s="911"/>
      <c r="E182" s="911">
        <v>15</v>
      </c>
      <c r="F182" s="911"/>
      <c r="G182" s="912">
        <v>14</v>
      </c>
      <c r="H182" s="911">
        <v>37</v>
      </c>
      <c r="I182" s="911">
        <v>58.5</v>
      </c>
      <c r="J182" s="911">
        <v>23.25</v>
      </c>
      <c r="K182" s="911">
        <v>46.75</v>
      </c>
      <c r="L182" s="911">
        <v>36.25</v>
      </c>
      <c r="M182" s="911"/>
      <c r="N182" s="911">
        <f t="shared" si="35"/>
        <v>260</v>
      </c>
    </row>
    <row r="183" spans="1:14">
      <c r="A183" s="910" t="s">
        <v>950</v>
      </c>
      <c r="B183" s="911"/>
      <c r="C183" s="911"/>
      <c r="D183" s="911"/>
      <c r="E183" s="911"/>
      <c r="F183" s="911"/>
      <c r="G183" s="912"/>
      <c r="H183" s="911"/>
      <c r="I183" s="911"/>
      <c r="J183" s="911"/>
      <c r="K183" s="911"/>
      <c r="L183" s="911"/>
      <c r="M183" s="911"/>
      <c r="N183" s="911">
        <f t="shared" si="35"/>
        <v>0</v>
      </c>
    </row>
    <row r="184" spans="1:14">
      <c r="A184" s="910" t="s">
        <v>951</v>
      </c>
      <c r="B184" s="911">
        <v>46</v>
      </c>
      <c r="C184" s="911">
        <v>67.5</v>
      </c>
      <c r="D184" s="911">
        <v>46.5</v>
      </c>
      <c r="E184" s="911"/>
      <c r="F184" s="911">
        <v>30.25</v>
      </c>
      <c r="G184" s="912"/>
      <c r="H184" s="911"/>
      <c r="I184" s="911"/>
      <c r="J184" s="911"/>
      <c r="K184" s="911">
        <v>11.5</v>
      </c>
      <c r="L184" s="911"/>
      <c r="M184" s="911"/>
      <c r="N184" s="911">
        <f t="shared" si="35"/>
        <v>201.75</v>
      </c>
    </row>
    <row r="185" spans="1:14" ht="13.5" thickBot="1">
      <c r="A185" s="914" t="s">
        <v>952</v>
      </c>
      <c r="B185" s="915"/>
      <c r="C185" s="915"/>
      <c r="D185" s="915"/>
      <c r="E185" s="915"/>
      <c r="F185" s="915"/>
      <c r="G185" s="916"/>
      <c r="H185" s="915"/>
      <c r="I185" s="915"/>
      <c r="J185" s="915">
        <v>6</v>
      </c>
      <c r="K185" s="915">
        <v>7.75</v>
      </c>
      <c r="L185" s="915"/>
      <c r="M185" s="915"/>
      <c r="N185" s="917">
        <f t="shared" si="35"/>
        <v>13.75</v>
      </c>
    </row>
    <row r="186" spans="1:14" ht="13.5" thickBot="1">
      <c r="A186" s="918" t="s">
        <v>953</v>
      </c>
      <c r="B186" s="919">
        <f t="shared" ref="B186:M186" si="36">SUM(B175+B176+B177-B178-B179-B180-B182-B183-B184-B185)</f>
        <v>1421</v>
      </c>
      <c r="C186" s="919">
        <f t="shared" si="36"/>
        <v>1724</v>
      </c>
      <c r="D186" s="919">
        <f t="shared" si="36"/>
        <v>1698.5</v>
      </c>
      <c r="E186" s="919">
        <f t="shared" si="36"/>
        <v>1573.75</v>
      </c>
      <c r="F186" s="919">
        <f t="shared" si="36"/>
        <v>1849.75</v>
      </c>
      <c r="G186" s="1033">
        <f t="shared" si="36"/>
        <v>1842</v>
      </c>
      <c r="H186" s="919">
        <f t="shared" si="36"/>
        <v>1293</v>
      </c>
      <c r="I186" s="919">
        <f t="shared" si="36"/>
        <v>1419.75</v>
      </c>
      <c r="J186" s="919">
        <f t="shared" si="36"/>
        <v>1708.25</v>
      </c>
      <c r="K186" s="919">
        <f t="shared" si="36"/>
        <v>1649.5</v>
      </c>
      <c r="L186" s="919">
        <f t="shared" si="36"/>
        <v>1762.5</v>
      </c>
      <c r="M186" s="920">
        <f t="shared" si="36"/>
        <v>1924</v>
      </c>
      <c r="N186" s="921">
        <f t="shared" si="35"/>
        <v>19866</v>
      </c>
    </row>
    <row r="187" spans="1:14">
      <c r="A187" s="922"/>
      <c r="B187" s="923"/>
      <c r="C187" s="923"/>
      <c r="D187" s="923"/>
      <c r="E187" s="923"/>
      <c r="F187" s="923"/>
      <c r="G187" s="923"/>
      <c r="H187" s="923"/>
      <c r="I187" s="923"/>
      <c r="J187" s="923"/>
      <c r="K187" s="923"/>
      <c r="L187" s="923"/>
      <c r="M187" s="923"/>
      <c r="N187" s="923"/>
    </row>
    <row r="188" spans="1:14">
      <c r="A188" s="922"/>
      <c r="B188" s="923"/>
      <c r="C188" s="923"/>
      <c r="D188" s="923"/>
      <c r="E188" s="923"/>
      <c r="F188" s="923"/>
      <c r="G188" s="923"/>
      <c r="H188" s="923"/>
      <c r="I188" s="923"/>
      <c r="J188" s="923"/>
      <c r="K188" s="923"/>
      <c r="L188" s="923"/>
      <c r="M188" s="923"/>
      <c r="N188" s="924" t="s">
        <v>954</v>
      </c>
    </row>
    <row r="189" spans="1:14">
      <c r="A189" s="910" t="s">
        <v>955</v>
      </c>
      <c r="B189" s="911">
        <f t="shared" ref="B189:M189" si="37">SUM(B176*100/B186)</f>
        <v>0</v>
      </c>
      <c r="C189" s="911">
        <f t="shared" si="37"/>
        <v>0.39153132250580047</v>
      </c>
      <c r="D189" s="911">
        <f t="shared" si="37"/>
        <v>0</v>
      </c>
      <c r="E189" s="911">
        <f t="shared" si="37"/>
        <v>0</v>
      </c>
      <c r="F189" s="911">
        <f t="shared" si="37"/>
        <v>0</v>
      </c>
      <c r="G189" s="911">
        <f t="shared" si="37"/>
        <v>0</v>
      </c>
      <c r="H189" s="911">
        <f t="shared" si="37"/>
        <v>0</v>
      </c>
      <c r="I189" s="911">
        <f t="shared" si="37"/>
        <v>0</v>
      </c>
      <c r="J189" s="911">
        <f t="shared" si="37"/>
        <v>0.55612468900921996</v>
      </c>
      <c r="K189" s="911">
        <f t="shared" si="37"/>
        <v>0</v>
      </c>
      <c r="L189" s="911">
        <f t="shared" si="37"/>
        <v>0</v>
      </c>
      <c r="M189" s="911">
        <f t="shared" si="37"/>
        <v>0</v>
      </c>
      <c r="N189" s="925">
        <f>SUM(B189:M189)/12</f>
        <v>7.8971334292918374E-2</v>
      </c>
    </row>
    <row r="190" spans="1:14">
      <c r="A190" s="922"/>
      <c r="B190" s="923"/>
      <c r="C190" s="923"/>
      <c r="D190" s="923"/>
      <c r="E190" s="923"/>
      <c r="F190" s="923"/>
      <c r="G190" s="923"/>
      <c r="H190" s="923"/>
      <c r="I190" s="923"/>
      <c r="J190" s="923"/>
      <c r="K190" s="923"/>
      <c r="L190" s="923"/>
      <c r="M190" s="923"/>
      <c r="N190" s="906"/>
    </row>
    <row r="191" spans="1:14">
      <c r="A191" s="910" t="s">
        <v>956</v>
      </c>
      <c r="B191" s="911">
        <f t="shared" ref="B191:M191" si="38">SUM(B180*100/B186)</f>
        <v>14.954257565095004</v>
      </c>
      <c r="C191" s="911">
        <f t="shared" si="38"/>
        <v>2.9872389791183296</v>
      </c>
      <c r="D191" s="911">
        <f t="shared" si="38"/>
        <v>2.6641153959375918</v>
      </c>
      <c r="E191" s="911">
        <f t="shared" si="38"/>
        <v>1.9062748212867355</v>
      </c>
      <c r="F191" s="911">
        <f t="shared" si="38"/>
        <v>0.41897553723476144</v>
      </c>
      <c r="G191" s="911">
        <f t="shared" si="38"/>
        <v>0</v>
      </c>
      <c r="H191" s="911">
        <f t="shared" si="38"/>
        <v>0</v>
      </c>
      <c r="I191" s="911">
        <f t="shared" si="38"/>
        <v>2.1834830075717555</v>
      </c>
      <c r="J191" s="911">
        <f t="shared" si="38"/>
        <v>5.6197863310405385</v>
      </c>
      <c r="K191" s="911">
        <f t="shared" si="38"/>
        <v>3.6526220066686874</v>
      </c>
      <c r="L191" s="911">
        <f t="shared" si="38"/>
        <v>7.1063829787234045</v>
      </c>
      <c r="M191" s="911">
        <f t="shared" si="38"/>
        <v>0</v>
      </c>
      <c r="N191" s="925">
        <f>SUM(B191:M191)/12</f>
        <v>3.4577613852230673</v>
      </c>
    </row>
    <row r="192" spans="1:14" ht="13.5" thickBot="1">
      <c r="A192" s="926" t="s">
        <v>957</v>
      </c>
      <c r="B192" s="917">
        <f t="shared" ref="B192:M192" si="39">SUM(B181*100/B186)</f>
        <v>0</v>
      </c>
      <c r="C192" s="917">
        <f t="shared" si="39"/>
        <v>0.44953596287703018</v>
      </c>
      <c r="D192" s="917">
        <f t="shared" si="39"/>
        <v>0.44156608772446276</v>
      </c>
      <c r="E192" s="917">
        <f t="shared" si="39"/>
        <v>0</v>
      </c>
      <c r="F192" s="917">
        <f t="shared" si="39"/>
        <v>0</v>
      </c>
      <c r="G192" s="917">
        <f t="shared" si="39"/>
        <v>0.43431053203040176</v>
      </c>
      <c r="H192" s="917">
        <f t="shared" si="39"/>
        <v>0.58004640371229699</v>
      </c>
      <c r="I192" s="917">
        <f t="shared" si="39"/>
        <v>0</v>
      </c>
      <c r="J192" s="917">
        <f t="shared" si="39"/>
        <v>0</v>
      </c>
      <c r="K192" s="917">
        <f t="shared" si="39"/>
        <v>0.93967869051227648</v>
      </c>
      <c r="L192" s="917">
        <f t="shared" si="39"/>
        <v>0</v>
      </c>
      <c r="M192" s="917">
        <f t="shared" si="39"/>
        <v>0</v>
      </c>
      <c r="N192" s="925">
        <f>SUM(B192:M192)/12</f>
        <v>0.23709480640470568</v>
      </c>
    </row>
    <row r="193" spans="1:14" ht="13.5" thickBot="1">
      <c r="A193" s="928" t="s">
        <v>958</v>
      </c>
      <c r="B193" s="929">
        <f t="shared" ref="B193:M193" si="40">SUM(B191:B191)</f>
        <v>14.954257565095004</v>
      </c>
      <c r="C193" s="929">
        <f t="shared" si="40"/>
        <v>2.9872389791183296</v>
      </c>
      <c r="D193" s="929">
        <f t="shared" si="40"/>
        <v>2.6641153959375918</v>
      </c>
      <c r="E193" s="929">
        <f t="shared" si="40"/>
        <v>1.9062748212867355</v>
      </c>
      <c r="F193" s="929">
        <f t="shared" si="40"/>
        <v>0.41897553723476144</v>
      </c>
      <c r="G193" s="929">
        <f t="shared" si="40"/>
        <v>0</v>
      </c>
      <c r="H193" s="929">
        <f t="shared" si="40"/>
        <v>0</v>
      </c>
      <c r="I193" s="929">
        <f t="shared" si="40"/>
        <v>2.1834830075717555</v>
      </c>
      <c r="J193" s="929">
        <f t="shared" si="40"/>
        <v>5.6197863310405385</v>
      </c>
      <c r="K193" s="929">
        <f t="shared" si="40"/>
        <v>3.6526220066686874</v>
      </c>
      <c r="L193" s="929">
        <f t="shared" si="40"/>
        <v>7.1063829787234045</v>
      </c>
      <c r="M193" s="929">
        <f t="shared" si="40"/>
        <v>0</v>
      </c>
      <c r="N193" s="930">
        <f>SUM(N191:N192)</f>
        <v>3.6948561916277729</v>
      </c>
    </row>
    <row r="194" spans="1:14">
      <c r="A194" s="922" t="s">
        <v>959</v>
      </c>
      <c r="B194" s="923"/>
      <c r="C194" s="923"/>
      <c r="D194" s="931">
        <f>SUM(B193:D193)/3</f>
        <v>6.8685373133836416</v>
      </c>
      <c r="E194" s="923"/>
      <c r="F194" s="923"/>
      <c r="G194" s="931">
        <f>SUM(E193,F193,G193)/3</f>
        <v>0.77508345284049895</v>
      </c>
      <c r="H194" s="923"/>
      <c r="I194" s="923"/>
      <c r="J194" s="931">
        <f>SUM(H193,I193,J193)/3</f>
        <v>2.6010897795374315</v>
      </c>
      <c r="K194" s="923"/>
      <c r="L194" s="923"/>
      <c r="M194" s="931">
        <f>SUM(K193,L193,M193)/3</f>
        <v>3.5863349951306973</v>
      </c>
      <c r="N194" s="932">
        <f>SUM(D194:M194)/4</f>
        <v>3.4577613852230673</v>
      </c>
    </row>
    <row r="195" spans="1:14">
      <c r="A195" s="922" t="s">
        <v>960</v>
      </c>
      <c r="B195" s="923"/>
      <c r="C195" s="923"/>
      <c r="D195" s="933"/>
      <c r="E195" s="923"/>
      <c r="F195" s="923"/>
      <c r="G195" s="933"/>
      <c r="H195" s="923"/>
      <c r="I195" s="923"/>
      <c r="J195" s="933"/>
      <c r="K195" s="923"/>
      <c r="L195" s="923"/>
      <c r="M195" s="933"/>
      <c r="N195" s="925">
        <f>SUM(D195:G195,J195,M195)/4</f>
        <v>0</v>
      </c>
    </row>
    <row r="196" spans="1:14">
      <c r="A196" s="922"/>
      <c r="B196" s="923"/>
      <c r="C196" s="923"/>
      <c r="D196" s="923"/>
      <c r="E196" s="923"/>
      <c r="F196" s="923"/>
      <c r="G196" s="923"/>
      <c r="H196" s="923"/>
      <c r="I196" s="923"/>
      <c r="J196" s="923"/>
      <c r="K196" s="923"/>
      <c r="L196" s="923"/>
      <c r="M196" s="923"/>
      <c r="N196" s="923"/>
    </row>
    <row r="197" spans="1:14">
      <c r="A197" s="910" t="s">
        <v>961</v>
      </c>
      <c r="B197" s="911">
        <f t="shared" ref="B197:M197" si="41">B184*100/B186</f>
        <v>3.2371569317382125</v>
      </c>
      <c r="C197" s="911">
        <f t="shared" si="41"/>
        <v>3.9153132250580045</v>
      </c>
      <c r="D197" s="911">
        <f t="shared" si="41"/>
        <v>2.7377097438916693</v>
      </c>
      <c r="E197" s="911">
        <f t="shared" si="41"/>
        <v>0</v>
      </c>
      <c r="F197" s="911">
        <f t="shared" si="41"/>
        <v>1.6353561292066496</v>
      </c>
      <c r="G197" s="911">
        <f t="shared" si="41"/>
        <v>0</v>
      </c>
      <c r="H197" s="911">
        <f t="shared" si="41"/>
        <v>0</v>
      </c>
      <c r="I197" s="911">
        <f t="shared" si="41"/>
        <v>0</v>
      </c>
      <c r="J197" s="911">
        <f t="shared" si="41"/>
        <v>0</v>
      </c>
      <c r="K197" s="911">
        <f t="shared" si="41"/>
        <v>0.69718096392846318</v>
      </c>
      <c r="L197" s="911">
        <f t="shared" si="41"/>
        <v>0</v>
      </c>
      <c r="M197" s="911">
        <f t="shared" si="41"/>
        <v>0</v>
      </c>
      <c r="N197" s="925">
        <f>SUM(B197:M197)/12</f>
        <v>1.0185597494852499</v>
      </c>
    </row>
    <row r="198" spans="1:14">
      <c r="A198" s="910" t="s">
        <v>962</v>
      </c>
      <c r="B198" s="911">
        <f t="shared" ref="B198:M198" si="42">B182*100/B186</f>
        <v>1.0907811400422238</v>
      </c>
      <c r="C198" s="911">
        <f t="shared" si="42"/>
        <v>0.79756380510440839</v>
      </c>
      <c r="D198" s="911">
        <f t="shared" si="42"/>
        <v>0</v>
      </c>
      <c r="E198" s="911">
        <f t="shared" si="42"/>
        <v>0.95313741064336777</v>
      </c>
      <c r="F198" s="911">
        <f t="shared" si="42"/>
        <v>0</v>
      </c>
      <c r="G198" s="911">
        <f t="shared" si="42"/>
        <v>0.76004343105320304</v>
      </c>
      <c r="H198" s="911">
        <f t="shared" si="42"/>
        <v>2.8615622583139984</v>
      </c>
      <c r="I198" s="911">
        <f t="shared" si="42"/>
        <v>4.1204437400950873</v>
      </c>
      <c r="J198" s="911">
        <f t="shared" si="42"/>
        <v>1.3610420020488805</v>
      </c>
      <c r="K198" s="911">
        <f t="shared" si="42"/>
        <v>2.8341921794483178</v>
      </c>
      <c r="L198" s="911">
        <f t="shared" si="42"/>
        <v>2.0567375886524824</v>
      </c>
      <c r="M198" s="911">
        <f t="shared" si="42"/>
        <v>0</v>
      </c>
      <c r="N198" s="925">
        <f>SUM(B198:M198)/12</f>
        <v>1.4029586296168308</v>
      </c>
    </row>
    <row r="199" spans="1:14" ht="13.5" thickBot="1">
      <c r="A199" s="910" t="s">
        <v>963</v>
      </c>
      <c r="B199" s="911">
        <f t="shared" ref="B199:M199" si="43">B178*100/B186</f>
        <v>16.115411681914146</v>
      </c>
      <c r="C199" s="911">
        <f t="shared" si="43"/>
        <v>4.2923433874709973</v>
      </c>
      <c r="D199" s="911">
        <f t="shared" si="43"/>
        <v>5.092728878422137</v>
      </c>
      <c r="E199" s="911">
        <f t="shared" si="43"/>
        <v>8.4829229547259732</v>
      </c>
      <c r="F199" s="911">
        <f t="shared" si="43"/>
        <v>0.41897553723476144</v>
      </c>
      <c r="G199" s="911">
        <f t="shared" si="43"/>
        <v>3.6916395222584146</v>
      </c>
      <c r="H199" s="911">
        <f t="shared" si="43"/>
        <v>45.939675174013921</v>
      </c>
      <c r="I199" s="911">
        <f t="shared" si="43"/>
        <v>29.212889593238245</v>
      </c>
      <c r="J199" s="911">
        <f t="shared" si="43"/>
        <v>5.8539440948338948</v>
      </c>
      <c r="K199" s="911">
        <f t="shared" si="43"/>
        <v>8.9875719915125796</v>
      </c>
      <c r="L199" s="911">
        <f t="shared" si="43"/>
        <v>0</v>
      </c>
      <c r="M199" s="911">
        <f t="shared" si="43"/>
        <v>0</v>
      </c>
      <c r="N199" s="927">
        <f>SUM(B199:M199)/12</f>
        <v>10.674008567968755</v>
      </c>
    </row>
    <row r="200" spans="1:14" ht="13.5" thickBot="1">
      <c r="A200" s="934" t="s">
        <v>964</v>
      </c>
      <c r="B200" s="935">
        <f t="shared" ref="B200:M200" si="44">SUM(B175-B186)*100/B186</f>
        <v>35.397607318789582</v>
      </c>
      <c r="C200" s="935">
        <f t="shared" si="44"/>
        <v>11.600928074245939</v>
      </c>
      <c r="D200" s="935">
        <f t="shared" si="44"/>
        <v>13.276420370915513</v>
      </c>
      <c r="E200" s="935">
        <f t="shared" si="44"/>
        <v>22.255758538522638</v>
      </c>
      <c r="F200" s="935">
        <f t="shared" si="44"/>
        <v>4.0140559535072304</v>
      </c>
      <c r="G200" s="935">
        <f t="shared" si="44"/>
        <v>4.451682953311618</v>
      </c>
      <c r="H200" s="935">
        <f t="shared" si="44"/>
        <v>48.801237432327916</v>
      </c>
      <c r="I200" s="935">
        <f t="shared" si="44"/>
        <v>35.516816340905088</v>
      </c>
      <c r="J200" s="935">
        <f t="shared" si="44"/>
        <v>12.629884384604127</v>
      </c>
      <c r="K200" s="935">
        <f t="shared" si="44"/>
        <v>16.641406486814187</v>
      </c>
      <c r="L200" s="935">
        <f t="shared" si="44"/>
        <v>9.163120567375886</v>
      </c>
      <c r="M200" s="1049">
        <f t="shared" si="44"/>
        <v>0</v>
      </c>
      <c r="N200" s="1050">
        <f>SUM(B200:M200)/12</f>
        <v>17.812409868443314</v>
      </c>
    </row>
    <row r="201" spans="1:14">
      <c r="A201" s="922"/>
      <c r="B201" s="923"/>
      <c r="C201" s="923"/>
      <c r="D201" s="923"/>
      <c r="E201" s="923"/>
      <c r="F201" s="923"/>
      <c r="G201" s="923"/>
      <c r="H201" s="923"/>
      <c r="I201" s="923"/>
      <c r="J201" s="923"/>
      <c r="K201" s="923"/>
      <c r="L201" s="923"/>
      <c r="M201" s="923"/>
      <c r="N201" s="906"/>
    </row>
    <row r="202" spans="1:14">
      <c r="A202" s="937" t="s">
        <v>965</v>
      </c>
      <c r="B202" s="923"/>
      <c r="C202" s="923"/>
      <c r="D202" s="923"/>
      <c r="E202" s="923"/>
      <c r="F202" s="923"/>
      <c r="G202" s="923"/>
      <c r="H202" s="923"/>
      <c r="I202" s="923"/>
      <c r="J202" s="923"/>
      <c r="K202" s="923"/>
      <c r="L202" s="923"/>
      <c r="M202" s="923"/>
      <c r="N202" s="906"/>
    </row>
    <row r="203" spans="1:14">
      <c r="A203" s="910" t="s">
        <v>966</v>
      </c>
      <c r="B203" s="938">
        <v>12</v>
      </c>
      <c r="C203" s="938">
        <f t="shared" ref="C203:N203" si="45">B206</f>
        <v>13</v>
      </c>
      <c r="D203" s="938">
        <f t="shared" si="45"/>
        <v>13</v>
      </c>
      <c r="E203" s="938">
        <f t="shared" si="45"/>
        <v>13</v>
      </c>
      <c r="F203" s="938">
        <f t="shared" si="45"/>
        <v>13</v>
      </c>
      <c r="G203" s="938">
        <f t="shared" si="45"/>
        <v>13</v>
      </c>
      <c r="H203" s="938">
        <f t="shared" si="45"/>
        <v>13</v>
      </c>
      <c r="I203" s="938">
        <f t="shared" si="45"/>
        <v>13</v>
      </c>
      <c r="J203" s="938">
        <f t="shared" si="45"/>
        <v>13</v>
      </c>
      <c r="K203" s="938">
        <f t="shared" si="45"/>
        <v>13</v>
      </c>
      <c r="L203" s="938">
        <f t="shared" si="45"/>
        <v>13</v>
      </c>
      <c r="M203" s="938">
        <f t="shared" si="45"/>
        <v>13</v>
      </c>
      <c r="N203" s="938">
        <f t="shared" si="45"/>
        <v>13</v>
      </c>
    </row>
    <row r="204" spans="1:14">
      <c r="A204" s="910" t="s">
        <v>967</v>
      </c>
      <c r="B204" s="938">
        <v>1</v>
      </c>
      <c r="C204" s="938"/>
      <c r="D204" s="938"/>
      <c r="E204" s="938"/>
      <c r="F204" s="938"/>
      <c r="G204" s="938"/>
      <c r="H204" s="938"/>
      <c r="I204" s="938"/>
      <c r="J204" s="938"/>
      <c r="K204" s="938"/>
      <c r="L204" s="938"/>
      <c r="M204" s="938"/>
      <c r="N204" s="938">
        <f>SUM(B204:M204)/12</f>
        <v>8.3333333333333329E-2</v>
      </c>
    </row>
    <row r="205" spans="1:14">
      <c r="A205" s="910" t="s">
        <v>968</v>
      </c>
      <c r="B205" s="938"/>
      <c r="C205" s="938"/>
      <c r="D205" s="938"/>
      <c r="E205" s="938"/>
      <c r="F205" s="938"/>
      <c r="G205" s="938"/>
      <c r="H205" s="938"/>
      <c r="I205" s="938"/>
      <c r="J205" s="938"/>
      <c r="K205" s="938"/>
      <c r="L205" s="938"/>
      <c r="M205" s="938"/>
      <c r="N205" s="938">
        <f>SUM(B204:M204)/12</f>
        <v>8.3333333333333329E-2</v>
      </c>
    </row>
    <row r="206" spans="1:14">
      <c r="A206" s="910" t="s">
        <v>965</v>
      </c>
      <c r="B206" s="938">
        <f t="shared" ref="B206:M206" si="46">SUM(B203+B204-B205)</f>
        <v>13</v>
      </c>
      <c r="C206" s="938">
        <f t="shared" si="46"/>
        <v>13</v>
      </c>
      <c r="D206" s="938">
        <f t="shared" si="46"/>
        <v>13</v>
      </c>
      <c r="E206" s="938">
        <f t="shared" si="46"/>
        <v>13</v>
      </c>
      <c r="F206" s="938">
        <f t="shared" si="46"/>
        <v>13</v>
      </c>
      <c r="G206" s="938">
        <f t="shared" si="46"/>
        <v>13</v>
      </c>
      <c r="H206" s="938">
        <f t="shared" si="46"/>
        <v>13</v>
      </c>
      <c r="I206" s="938">
        <f t="shared" si="46"/>
        <v>13</v>
      </c>
      <c r="J206" s="938">
        <f t="shared" si="46"/>
        <v>13</v>
      </c>
      <c r="K206" s="938">
        <f t="shared" si="46"/>
        <v>13</v>
      </c>
      <c r="L206" s="938">
        <f t="shared" si="46"/>
        <v>13</v>
      </c>
      <c r="M206" s="938">
        <f t="shared" si="46"/>
        <v>13</v>
      </c>
      <c r="N206" s="938">
        <f>SUM(B205:M205)/12</f>
        <v>0</v>
      </c>
    </row>
    <row r="207" spans="1:14">
      <c r="A207" s="910" t="s">
        <v>969</v>
      </c>
      <c r="B207" s="939">
        <f t="shared" ref="B207:M207" si="47">SUM(B206*100)/B203-100</f>
        <v>8.3333333333333286</v>
      </c>
      <c r="C207" s="939">
        <f t="shared" si="47"/>
        <v>0</v>
      </c>
      <c r="D207" s="939">
        <f t="shared" si="47"/>
        <v>0</v>
      </c>
      <c r="E207" s="939">
        <f t="shared" si="47"/>
        <v>0</v>
      </c>
      <c r="F207" s="939">
        <f t="shared" si="47"/>
        <v>0</v>
      </c>
      <c r="G207" s="939">
        <f t="shared" si="47"/>
        <v>0</v>
      </c>
      <c r="H207" s="939">
        <f t="shared" si="47"/>
        <v>0</v>
      </c>
      <c r="I207" s="939">
        <f t="shared" si="47"/>
        <v>0</v>
      </c>
      <c r="J207" s="939">
        <f t="shared" si="47"/>
        <v>0</v>
      </c>
      <c r="K207" s="939">
        <f t="shared" si="47"/>
        <v>0</v>
      </c>
      <c r="L207" s="939">
        <f t="shared" si="47"/>
        <v>0</v>
      </c>
      <c r="M207" s="939">
        <f t="shared" si="47"/>
        <v>0</v>
      </c>
      <c r="N207" s="938"/>
    </row>
    <row r="208" spans="1:14">
      <c r="A208" s="922" t="s">
        <v>970</v>
      </c>
      <c r="B208" s="940"/>
      <c r="C208" s="940"/>
      <c r="D208" s="941">
        <f>SUM(B207:D207/3)</f>
        <v>0</v>
      </c>
      <c r="E208" s="940"/>
      <c r="F208" s="940"/>
      <c r="G208" s="941">
        <f>SUM(E207:G207)/3</f>
        <v>0</v>
      </c>
      <c r="H208" s="940"/>
      <c r="I208" s="940"/>
      <c r="J208" s="941">
        <f>SUM(H207:J207)/3</f>
        <v>0</v>
      </c>
      <c r="K208" s="940"/>
      <c r="L208" s="940"/>
      <c r="M208" s="941">
        <f>SUM(K207:M207)/3</f>
        <v>0</v>
      </c>
      <c r="N208" s="940"/>
    </row>
    <row r="209" spans="1:14" ht="13.5" thickBot="1">
      <c r="A209" s="1051"/>
      <c r="B209" s="1052"/>
      <c r="C209" s="1052"/>
      <c r="D209" s="1052"/>
      <c r="E209" s="1052"/>
      <c r="F209" s="1052"/>
      <c r="G209" s="1052"/>
      <c r="H209" s="1052"/>
      <c r="I209" s="1052"/>
      <c r="J209" s="1052"/>
      <c r="K209" s="1052"/>
      <c r="L209" s="1052"/>
      <c r="M209" s="1052"/>
      <c r="N209" s="1053"/>
    </row>
    <row r="210" spans="1:14" ht="15.75">
      <c r="A210" s="1054" t="s">
        <v>1022</v>
      </c>
      <c r="B210" s="1054"/>
      <c r="C210" s="1054"/>
      <c r="D210" s="1054"/>
      <c r="E210" s="1054"/>
      <c r="F210" s="1054"/>
      <c r="G210" s="1054"/>
      <c r="H210" s="1054"/>
      <c r="I210" s="1054"/>
      <c r="J210" s="1054"/>
      <c r="K210" s="1054"/>
      <c r="L210" s="1054"/>
      <c r="M210" s="1054"/>
      <c r="N210" s="1054"/>
    </row>
    <row r="211" spans="1:14" ht="15.75">
      <c r="E211" s="961"/>
      <c r="M211" s="923"/>
      <c r="N211" s="906"/>
    </row>
    <row r="212" spans="1:14">
      <c r="A212" s="1055" t="s">
        <v>1023</v>
      </c>
      <c r="B212" s="1056"/>
      <c r="C212" s="1057"/>
      <c r="D212" s="971" t="s">
        <v>1024</v>
      </c>
      <c r="I212" s="962" t="s">
        <v>1025</v>
      </c>
      <c r="J212" s="1056"/>
      <c r="K212" s="1056"/>
      <c r="L212" s="1056"/>
      <c r="M212" s="967"/>
      <c r="N212" s="906"/>
    </row>
    <row r="213" spans="1:14">
      <c r="A213" s="1058" t="s">
        <v>1161</v>
      </c>
      <c r="B213" s="1059"/>
      <c r="C213" s="1060"/>
      <c r="D213" s="969">
        <v>270553</v>
      </c>
      <c r="E213" s="970"/>
      <c r="I213" s="1171"/>
      <c r="J213" s="1171" t="s">
        <v>1027</v>
      </c>
      <c r="K213" s="1271"/>
      <c r="L213" s="949" t="s">
        <v>1028</v>
      </c>
      <c r="M213" s="1248" t="s">
        <v>1029</v>
      </c>
      <c r="N213" s="906"/>
    </row>
    <row r="214" spans="1:14">
      <c r="A214" s="1058" t="s">
        <v>1030</v>
      </c>
      <c r="B214" s="1059"/>
      <c r="C214" s="968"/>
      <c r="D214" s="969">
        <v>374793</v>
      </c>
      <c r="E214" s="970"/>
      <c r="I214" s="965" t="s">
        <v>1031</v>
      </c>
      <c r="J214" s="982"/>
      <c r="K214" s="968"/>
      <c r="L214" s="971"/>
      <c r="M214" s="990">
        <v>409854</v>
      </c>
      <c r="N214" s="906"/>
    </row>
    <row r="215" spans="1:14">
      <c r="A215" s="1058" t="s">
        <v>1032</v>
      </c>
      <c r="B215" s="1059"/>
      <c r="C215" s="968"/>
      <c r="D215" s="969">
        <v>324584</v>
      </c>
      <c r="E215" s="970"/>
      <c r="I215" s="965"/>
      <c r="J215" s="982"/>
      <c r="K215" s="968"/>
      <c r="L215" s="971"/>
      <c r="M215" s="969"/>
      <c r="N215" s="906"/>
    </row>
    <row r="216" spans="1:14" ht="13.5" thickBot="1">
      <c r="A216" s="1058" t="s">
        <v>1033</v>
      </c>
      <c r="B216" s="963"/>
      <c r="C216" s="968" t="s">
        <v>1034</v>
      </c>
      <c r="D216" s="969">
        <v>0</v>
      </c>
      <c r="E216" s="970"/>
      <c r="I216" s="988" t="s">
        <v>1035</v>
      </c>
      <c r="J216" s="989" t="s">
        <v>1162</v>
      </c>
      <c r="K216" s="993"/>
      <c r="L216" s="991"/>
      <c r="M216" s="1274">
        <v>3371151</v>
      </c>
      <c r="N216" s="906"/>
    </row>
    <row r="217" spans="1:14" ht="13.5" thickBot="1">
      <c r="A217" s="1058" t="s">
        <v>1142</v>
      </c>
      <c r="B217" s="963"/>
      <c r="C217" s="968"/>
      <c r="D217" s="969">
        <v>387378</v>
      </c>
      <c r="E217" s="970"/>
      <c r="I217" s="1061" t="s">
        <v>154</v>
      </c>
      <c r="J217" s="1062"/>
      <c r="K217" s="1063"/>
      <c r="L217" s="1064"/>
      <c r="M217" s="1249">
        <f>SUM(M214:M216)</f>
        <v>3781005</v>
      </c>
      <c r="N217" s="906"/>
    </row>
    <row r="218" spans="1:14">
      <c r="A218" s="1058" t="s">
        <v>1037</v>
      </c>
      <c r="B218" s="963"/>
      <c r="C218" s="968"/>
      <c r="D218" s="969">
        <v>366442</v>
      </c>
      <c r="E218" s="970"/>
      <c r="I218" s="965" t="s">
        <v>153</v>
      </c>
      <c r="J218" s="963"/>
      <c r="K218" s="963"/>
      <c r="L218" s="1065"/>
      <c r="M218" s="1072">
        <f>M217/12</f>
        <v>315083.75</v>
      </c>
      <c r="N218" s="906"/>
    </row>
    <row r="219" spans="1:14">
      <c r="A219" s="965" t="s">
        <v>1038</v>
      </c>
      <c r="B219" s="963"/>
      <c r="C219" s="968"/>
      <c r="D219" s="969">
        <v>298900</v>
      </c>
      <c r="E219" s="970"/>
      <c r="G219" s="923"/>
      <c r="H219" s="923"/>
      <c r="I219" s="923"/>
      <c r="J219" s="923"/>
      <c r="K219" s="923"/>
      <c r="L219" s="999"/>
      <c r="M219" s="923"/>
      <c r="N219" s="906"/>
    </row>
    <row r="220" spans="1:14" ht="13.5" thickBot="1">
      <c r="A220" s="1066" t="s">
        <v>1040</v>
      </c>
      <c r="C220" s="1067"/>
      <c r="D220" s="969">
        <v>26460</v>
      </c>
      <c r="E220" s="970"/>
      <c r="G220" s="923"/>
      <c r="H220" s="923"/>
      <c r="I220" s="923"/>
      <c r="J220" s="923"/>
      <c r="K220" s="923"/>
      <c r="L220" s="999"/>
      <c r="M220" s="923"/>
      <c r="N220" s="906"/>
    </row>
    <row r="221" spans="1:14" ht="13.5" thickBot="1">
      <c r="A221" s="973" t="s">
        <v>154</v>
      </c>
      <c r="B221" s="975"/>
      <c r="C221" s="1068"/>
      <c r="D221" s="1249">
        <f>SUM(D213:D220)</f>
        <v>2049110</v>
      </c>
      <c r="E221" s="970"/>
      <c r="G221" s="923"/>
      <c r="H221" s="923"/>
      <c r="I221" s="923"/>
      <c r="J221" s="923"/>
      <c r="K221" s="923"/>
      <c r="L221" s="1278"/>
      <c r="M221" s="923"/>
      <c r="N221" s="906"/>
    </row>
    <row r="222" spans="1:14">
      <c r="A222" s="1069" t="s">
        <v>153</v>
      </c>
      <c r="B222" s="1070"/>
      <c r="C222" s="1071"/>
      <c r="D222" s="1072">
        <f>D221/12</f>
        <v>170759.16666666666</v>
      </c>
      <c r="E222" s="970"/>
      <c r="G222" s="923"/>
      <c r="H222" s="923"/>
      <c r="I222" s="923"/>
      <c r="J222" s="923"/>
      <c r="K222" s="923"/>
      <c r="L222" s="1278"/>
      <c r="M222" s="923"/>
      <c r="N222" s="906"/>
    </row>
    <row r="223" spans="1:14">
      <c r="C223" s="1073"/>
      <c r="E223" s="970"/>
      <c r="G223" s="923"/>
      <c r="H223" s="923"/>
      <c r="I223" s="923"/>
      <c r="J223" s="923"/>
      <c r="K223" s="923"/>
      <c r="L223" s="1278"/>
      <c r="M223" s="923"/>
      <c r="N223" s="906"/>
    </row>
    <row r="224" spans="1:14">
      <c r="C224" s="1073"/>
      <c r="E224" s="970"/>
      <c r="G224" s="923"/>
      <c r="H224" s="923"/>
      <c r="I224" s="923"/>
      <c r="J224" s="923"/>
      <c r="K224" s="923"/>
      <c r="L224" s="1278"/>
      <c r="M224" s="923"/>
      <c r="N224" s="906"/>
    </row>
    <row r="225" spans="1:14">
      <c r="C225" s="1073"/>
      <c r="E225" s="970"/>
      <c r="G225" s="923"/>
      <c r="H225" s="923"/>
      <c r="I225" s="923"/>
      <c r="J225" s="923"/>
      <c r="K225" s="923"/>
      <c r="L225" s="1278"/>
      <c r="M225" s="923"/>
      <c r="N225" s="906"/>
    </row>
    <row r="226" spans="1:14">
      <c r="C226" s="1073"/>
      <c r="E226" s="970"/>
      <c r="G226" s="923"/>
      <c r="H226" s="923"/>
      <c r="I226" s="923"/>
      <c r="J226" s="923"/>
      <c r="K226" s="923"/>
      <c r="L226" s="1278"/>
      <c r="M226" s="923"/>
      <c r="N226" s="906"/>
    </row>
    <row r="227" spans="1:14">
      <c r="A227" s="937" t="s">
        <v>986</v>
      </c>
      <c r="B227" s="923"/>
      <c r="C227" s="923"/>
      <c r="D227" s="923"/>
      <c r="E227" s="923"/>
      <c r="F227" s="923"/>
      <c r="G227" s="923"/>
      <c r="H227" s="923"/>
      <c r="I227" s="923"/>
      <c r="J227" s="923"/>
      <c r="K227" s="923"/>
      <c r="L227" s="923"/>
      <c r="M227" s="923"/>
      <c r="N227" s="906"/>
    </row>
    <row r="228" spans="1:14">
      <c r="A228" s="1007"/>
      <c r="B228" s="911" t="s">
        <v>924</v>
      </c>
      <c r="C228" s="911" t="s">
        <v>925</v>
      </c>
      <c r="D228" s="911" t="s">
        <v>926</v>
      </c>
      <c r="E228" s="911" t="s">
        <v>927</v>
      </c>
      <c r="F228" s="911" t="s">
        <v>928</v>
      </c>
      <c r="G228" s="911" t="s">
        <v>929</v>
      </c>
      <c r="H228" s="911" t="s">
        <v>918</v>
      </c>
      <c r="I228" s="911" t="s">
        <v>919</v>
      </c>
      <c r="J228" s="911" t="s">
        <v>920</v>
      </c>
      <c r="K228" s="911" t="s">
        <v>921</v>
      </c>
      <c r="L228" s="911" t="s">
        <v>922</v>
      </c>
      <c r="M228" s="911" t="s">
        <v>923</v>
      </c>
      <c r="N228" s="907"/>
    </row>
    <row r="229" spans="1:14">
      <c r="A229" s="910" t="s">
        <v>987</v>
      </c>
      <c r="B229" s="1008">
        <f t="shared" ref="B229:M229" si="48">$D$222</f>
        <v>170759.16666666666</v>
      </c>
      <c r="C229" s="1008">
        <f t="shared" si="48"/>
        <v>170759.16666666666</v>
      </c>
      <c r="D229" s="1008">
        <f t="shared" si="48"/>
        <v>170759.16666666666</v>
      </c>
      <c r="E229" s="1008">
        <f t="shared" si="48"/>
        <v>170759.16666666666</v>
      </c>
      <c r="F229" s="1008">
        <f t="shared" si="48"/>
        <v>170759.16666666666</v>
      </c>
      <c r="G229" s="1008">
        <f t="shared" si="48"/>
        <v>170759.16666666666</v>
      </c>
      <c r="H229" s="1008">
        <f t="shared" si="48"/>
        <v>170759.16666666666</v>
      </c>
      <c r="I229" s="1008">
        <f t="shared" si="48"/>
        <v>170759.16666666666</v>
      </c>
      <c r="J229" s="1008">
        <f t="shared" si="48"/>
        <v>170759.16666666666</v>
      </c>
      <c r="K229" s="1008">
        <f t="shared" si="48"/>
        <v>170759.16666666666</v>
      </c>
      <c r="L229" s="1008">
        <f t="shared" si="48"/>
        <v>170759.16666666666</v>
      </c>
      <c r="M229" s="1008">
        <f t="shared" si="48"/>
        <v>170759.16666666666</v>
      </c>
      <c r="N229" s="1011">
        <f>SUM(B229:M229)</f>
        <v>2049110.0000000002</v>
      </c>
    </row>
    <row r="230" spans="1:14" ht="13.5" thickBot="1">
      <c r="A230" s="926" t="s">
        <v>988</v>
      </c>
      <c r="B230" s="1010">
        <f t="shared" ref="B230:M230" si="49">$M$218</f>
        <v>315083.75</v>
      </c>
      <c r="C230" s="1010">
        <f t="shared" si="49"/>
        <v>315083.75</v>
      </c>
      <c r="D230" s="1010">
        <f t="shared" si="49"/>
        <v>315083.75</v>
      </c>
      <c r="E230" s="1010">
        <f t="shared" si="49"/>
        <v>315083.75</v>
      </c>
      <c r="F230" s="1010">
        <f t="shared" si="49"/>
        <v>315083.75</v>
      </c>
      <c r="G230" s="1010">
        <f t="shared" si="49"/>
        <v>315083.75</v>
      </c>
      <c r="H230" s="1010">
        <f t="shared" si="49"/>
        <v>315083.75</v>
      </c>
      <c r="I230" s="1010">
        <f t="shared" si="49"/>
        <v>315083.75</v>
      </c>
      <c r="J230" s="1010">
        <f t="shared" si="49"/>
        <v>315083.75</v>
      </c>
      <c r="K230" s="1010">
        <f t="shared" si="49"/>
        <v>315083.75</v>
      </c>
      <c r="L230" s="1010">
        <f t="shared" si="49"/>
        <v>315083.75</v>
      </c>
      <c r="M230" s="1010">
        <f t="shared" si="49"/>
        <v>315083.75</v>
      </c>
      <c r="N230" s="1011">
        <f>SUM(B230:M230)</f>
        <v>3781005</v>
      </c>
    </row>
    <row r="231" spans="1:14" ht="13.5" thickBot="1">
      <c r="A231" s="1012" t="s">
        <v>1041</v>
      </c>
      <c r="B231" s="1074">
        <f t="shared" ref="B231:M231" si="50">SUM(B229,B230)</f>
        <v>485842.91666666663</v>
      </c>
      <c r="C231" s="1074">
        <f t="shared" si="50"/>
        <v>485842.91666666663</v>
      </c>
      <c r="D231" s="1074">
        <f t="shared" si="50"/>
        <v>485842.91666666663</v>
      </c>
      <c r="E231" s="1074">
        <f t="shared" si="50"/>
        <v>485842.91666666663</v>
      </c>
      <c r="F231" s="1074">
        <f t="shared" si="50"/>
        <v>485842.91666666663</v>
      </c>
      <c r="G231" s="1074">
        <f t="shared" si="50"/>
        <v>485842.91666666663</v>
      </c>
      <c r="H231" s="1074">
        <f t="shared" si="50"/>
        <v>485842.91666666663</v>
      </c>
      <c r="I231" s="1074">
        <f t="shared" si="50"/>
        <v>485842.91666666663</v>
      </c>
      <c r="J231" s="1074">
        <f t="shared" si="50"/>
        <v>485842.91666666663</v>
      </c>
      <c r="K231" s="1074">
        <f t="shared" si="50"/>
        <v>485842.91666666663</v>
      </c>
      <c r="L231" s="1074">
        <f t="shared" si="50"/>
        <v>485842.91666666663</v>
      </c>
      <c r="M231" s="1074">
        <f t="shared" si="50"/>
        <v>485842.91666666663</v>
      </c>
      <c r="N231" s="1075">
        <f>SUM(B229:M230)</f>
        <v>5830115</v>
      </c>
    </row>
    <row r="232" spans="1:14">
      <c r="A232" s="1015" t="s">
        <v>1163</v>
      </c>
      <c r="B232" s="1016">
        <v>307674</v>
      </c>
      <c r="C232" s="1016">
        <v>266870</v>
      </c>
      <c r="D232" s="1016">
        <v>311446</v>
      </c>
      <c r="E232" s="1016">
        <v>236620</v>
      </c>
      <c r="F232" s="1016">
        <v>258896</v>
      </c>
      <c r="G232" s="1017">
        <v>267473</v>
      </c>
      <c r="H232" s="1016">
        <v>216929</v>
      </c>
      <c r="I232" s="1016">
        <v>241634</v>
      </c>
      <c r="J232" s="1016">
        <v>261942</v>
      </c>
      <c r="K232" s="1016">
        <v>211285</v>
      </c>
      <c r="L232" s="1016">
        <v>251087</v>
      </c>
      <c r="M232" s="1016"/>
      <c r="N232" s="1023">
        <f t="shared" ref="N232:N239" si="51">SUM(B232:M232)</f>
        <v>2831856</v>
      </c>
    </row>
    <row r="233" spans="1:14">
      <c r="A233" s="907" t="s">
        <v>1044</v>
      </c>
      <c r="B233" s="1009"/>
      <c r="C233" s="1009">
        <v>7800</v>
      </c>
      <c r="D233" s="1009">
        <v>1050</v>
      </c>
      <c r="E233" s="1009"/>
      <c r="F233" s="1009"/>
      <c r="G233" s="1018">
        <v>4725</v>
      </c>
      <c r="H233" s="1009">
        <v>175</v>
      </c>
      <c r="I233" s="1009">
        <v>1050</v>
      </c>
      <c r="J233" s="1009">
        <v>28318</v>
      </c>
      <c r="K233" s="1009">
        <v>700</v>
      </c>
      <c r="L233" s="1009">
        <v>2056</v>
      </c>
      <c r="M233" s="1009">
        <v>6614</v>
      </c>
      <c r="N233" s="1023">
        <f t="shared" si="51"/>
        <v>52488</v>
      </c>
    </row>
    <row r="234" spans="1:14" ht="13.5" thickBot="1">
      <c r="A234" s="1028" t="s">
        <v>993</v>
      </c>
      <c r="B234" s="1009">
        <v>3675</v>
      </c>
      <c r="C234" s="1009"/>
      <c r="D234" s="1009">
        <v>4025</v>
      </c>
      <c r="E234" s="1009">
        <v>3300</v>
      </c>
      <c r="F234" s="1009">
        <v>17700</v>
      </c>
      <c r="G234" s="1018"/>
      <c r="H234" s="1009"/>
      <c r="I234" s="1009">
        <v>37500</v>
      </c>
      <c r="J234" s="1009">
        <v>14400</v>
      </c>
      <c r="K234" s="1009">
        <v>23550</v>
      </c>
      <c r="L234" s="1009">
        <v>4050</v>
      </c>
      <c r="M234" s="1009"/>
      <c r="N234" s="1023">
        <f t="shared" si="51"/>
        <v>108200</v>
      </c>
    </row>
    <row r="235" spans="1:14" ht="13.5" thickBot="1">
      <c r="A235" s="1039" t="s">
        <v>1001</v>
      </c>
      <c r="B235" s="1040">
        <f t="shared" ref="B235:M235" si="52">SUM(B232:B234)</f>
        <v>311349</v>
      </c>
      <c r="C235" s="1040">
        <f t="shared" si="52"/>
        <v>274670</v>
      </c>
      <c r="D235" s="1040">
        <f t="shared" si="52"/>
        <v>316521</v>
      </c>
      <c r="E235" s="1040">
        <f t="shared" si="52"/>
        <v>239920</v>
      </c>
      <c r="F235" s="1040">
        <f t="shared" si="52"/>
        <v>276596</v>
      </c>
      <c r="G235" s="1040">
        <f t="shared" si="52"/>
        <v>272198</v>
      </c>
      <c r="H235" s="1040">
        <f t="shared" si="52"/>
        <v>217104</v>
      </c>
      <c r="I235" s="1040">
        <f t="shared" si="52"/>
        <v>280184</v>
      </c>
      <c r="J235" s="1040">
        <f t="shared" si="52"/>
        <v>304660</v>
      </c>
      <c r="K235" s="1040">
        <f t="shared" si="52"/>
        <v>235535</v>
      </c>
      <c r="L235" s="1040">
        <f t="shared" si="52"/>
        <v>257193</v>
      </c>
      <c r="M235" s="1040">
        <f t="shared" si="52"/>
        <v>6614</v>
      </c>
      <c r="N235" s="1076">
        <f t="shared" si="51"/>
        <v>2992544</v>
      </c>
    </row>
    <row r="236" spans="1:14">
      <c r="A236" s="907" t="s">
        <v>1002</v>
      </c>
      <c r="B236" s="1011"/>
      <c r="C236" s="1011"/>
      <c r="D236" s="1011"/>
      <c r="E236" s="1011"/>
      <c r="F236" s="1011"/>
      <c r="G236" s="1077"/>
      <c r="H236" s="1011"/>
      <c r="I236" s="1011"/>
      <c r="J236" s="1011"/>
      <c r="K236" s="1011"/>
      <c r="L236" s="1011"/>
      <c r="M236" s="1011"/>
      <c r="N236" s="1011">
        <f t="shared" si="51"/>
        <v>0</v>
      </c>
    </row>
    <row r="237" spans="1:14">
      <c r="A237" s="1042" t="s">
        <v>1003</v>
      </c>
      <c r="B237" s="1078">
        <f t="shared" ref="B237:M237" si="53">SUM(B231,B235,B236)</f>
        <v>797191.91666666663</v>
      </c>
      <c r="C237" s="1078">
        <f t="shared" si="53"/>
        <v>760512.91666666663</v>
      </c>
      <c r="D237" s="1078">
        <f t="shared" si="53"/>
        <v>802363.91666666663</v>
      </c>
      <c r="E237" s="1078">
        <f t="shared" si="53"/>
        <v>725762.91666666663</v>
      </c>
      <c r="F237" s="1078">
        <f t="shared" si="53"/>
        <v>762438.91666666663</v>
      </c>
      <c r="G237" s="1078">
        <f t="shared" si="53"/>
        <v>758040.91666666663</v>
      </c>
      <c r="H237" s="1078">
        <f t="shared" si="53"/>
        <v>702946.91666666663</v>
      </c>
      <c r="I237" s="1078">
        <f t="shared" si="53"/>
        <v>766026.91666666663</v>
      </c>
      <c r="J237" s="1078">
        <f t="shared" si="53"/>
        <v>790502.91666666663</v>
      </c>
      <c r="K237" s="1078">
        <f t="shared" si="53"/>
        <v>721377.91666666663</v>
      </c>
      <c r="L237" s="1078">
        <f t="shared" si="53"/>
        <v>743035.91666666663</v>
      </c>
      <c r="M237" s="1078">
        <f t="shared" si="53"/>
        <v>492456.91666666663</v>
      </c>
      <c r="N237" s="1078">
        <f t="shared" si="51"/>
        <v>8822659.0000000019</v>
      </c>
    </row>
    <row r="238" spans="1:14">
      <c r="A238" s="1079" t="s">
        <v>1046</v>
      </c>
      <c r="B238" s="1010">
        <v>325033.24</v>
      </c>
      <c r="C238" s="1010">
        <v>327566</v>
      </c>
      <c r="D238" s="1010">
        <v>315208</v>
      </c>
      <c r="E238" s="1010">
        <v>379949</v>
      </c>
      <c r="F238" s="1010">
        <v>597447</v>
      </c>
      <c r="G238" s="1010">
        <v>338174</v>
      </c>
      <c r="H238" s="1010">
        <v>334921</v>
      </c>
      <c r="I238" s="1010">
        <v>122704</v>
      </c>
      <c r="J238" s="1010">
        <v>301089</v>
      </c>
      <c r="K238" s="1010">
        <v>331354</v>
      </c>
      <c r="L238" s="1010">
        <v>325117</v>
      </c>
      <c r="M238" s="1010"/>
      <c r="N238" s="1010">
        <f t="shared" si="51"/>
        <v>3698562.24</v>
      </c>
    </row>
    <row r="239" spans="1:14">
      <c r="A239" s="907" t="s">
        <v>1164</v>
      </c>
      <c r="B239" s="1008">
        <v>301161</v>
      </c>
      <c r="C239" s="1008">
        <v>284279</v>
      </c>
      <c r="D239" s="1008">
        <v>260659</v>
      </c>
      <c r="E239" s="1008">
        <v>234317</v>
      </c>
      <c r="F239" s="1008">
        <v>323528</v>
      </c>
      <c r="G239" s="1008">
        <v>364649</v>
      </c>
      <c r="H239" s="1008">
        <v>294059</v>
      </c>
      <c r="I239" s="1008">
        <v>297029</v>
      </c>
      <c r="J239" s="1008">
        <v>399667</v>
      </c>
      <c r="K239" s="1008">
        <v>323508</v>
      </c>
      <c r="L239" s="1008">
        <v>254239</v>
      </c>
      <c r="M239" s="1008">
        <v>254239</v>
      </c>
      <c r="N239" s="1010">
        <f t="shared" si="51"/>
        <v>3591334</v>
      </c>
    </row>
    <row r="240" spans="1:14">
      <c r="A240" s="1046" t="s">
        <v>1009</v>
      </c>
      <c r="B240" s="1047">
        <f t="shared" ref="B240:N240" si="54">SUM(B237-B238-B239)</f>
        <v>170997.67666666664</v>
      </c>
      <c r="C240" s="1047">
        <f t="shared" si="54"/>
        <v>148667.91666666663</v>
      </c>
      <c r="D240" s="1047">
        <f t="shared" si="54"/>
        <v>226496.91666666663</v>
      </c>
      <c r="E240" s="1047">
        <f t="shared" si="54"/>
        <v>111496.91666666663</v>
      </c>
      <c r="F240" s="1047">
        <f t="shared" si="54"/>
        <v>-158536.08333333337</v>
      </c>
      <c r="G240" s="1047">
        <f t="shared" si="54"/>
        <v>55217.916666666628</v>
      </c>
      <c r="H240" s="1047">
        <f t="shared" si="54"/>
        <v>73966.916666666628</v>
      </c>
      <c r="I240" s="1047">
        <f t="shared" si="54"/>
        <v>346293.91666666663</v>
      </c>
      <c r="J240" s="1047">
        <f t="shared" si="54"/>
        <v>89746.916666666628</v>
      </c>
      <c r="K240" s="1047">
        <f t="shared" si="54"/>
        <v>66515.916666666628</v>
      </c>
      <c r="L240" s="1047">
        <f t="shared" si="54"/>
        <v>163679.91666666663</v>
      </c>
      <c r="M240" s="1047">
        <f t="shared" si="54"/>
        <v>238217.91666666663</v>
      </c>
      <c r="N240" s="1047">
        <f t="shared" si="54"/>
        <v>1532762.7600000016</v>
      </c>
    </row>
    <row r="241" spans="1:14" ht="13.5" thickBot="1">
      <c r="A241" s="1080"/>
      <c r="B241" s="1081"/>
      <c r="C241" s="1081"/>
      <c r="D241" s="1081"/>
      <c r="E241" s="1081"/>
      <c r="F241" s="1081"/>
      <c r="G241" s="1081"/>
      <c r="H241" s="1081"/>
      <c r="I241" s="1081"/>
      <c r="J241" s="1081"/>
      <c r="K241" s="1081"/>
      <c r="L241" s="1081"/>
      <c r="M241" s="1081"/>
      <c r="N241" s="1081"/>
    </row>
    <row r="242" spans="1:14" ht="13.5" thickBot="1">
      <c r="A242" s="960"/>
      <c r="B242" s="960"/>
      <c r="C242" s="960"/>
      <c r="D242" s="960"/>
      <c r="E242" s="960"/>
      <c r="F242" s="960"/>
      <c r="G242" s="960"/>
      <c r="H242" s="960"/>
      <c r="I242" s="960"/>
      <c r="J242" s="960"/>
      <c r="K242" s="960"/>
      <c r="L242" s="960"/>
      <c r="M242" s="960"/>
      <c r="N242" s="960"/>
    </row>
    <row r="243" spans="1:14" ht="20.25">
      <c r="A243" s="1697" t="s">
        <v>1165</v>
      </c>
      <c r="B243" s="1697"/>
      <c r="C243" s="1697"/>
      <c r="D243" s="1697"/>
      <c r="E243" s="1697"/>
      <c r="F243" s="1697"/>
      <c r="G243" s="1697"/>
      <c r="H243" s="1697"/>
      <c r="I243" s="1697"/>
      <c r="J243" s="1697"/>
      <c r="K243" s="1697"/>
      <c r="L243" s="1697"/>
      <c r="M243" s="1697"/>
      <c r="N243" s="1697"/>
    </row>
    <row r="244" spans="1:14">
      <c r="A244" s="906"/>
      <c r="B244" s="906"/>
      <c r="C244" s="906"/>
      <c r="D244" s="906"/>
      <c r="E244" s="906"/>
      <c r="F244" s="906"/>
      <c r="G244" s="906"/>
      <c r="H244" s="906"/>
      <c r="I244" s="906"/>
      <c r="J244" s="906"/>
      <c r="K244" s="906"/>
      <c r="L244" s="906"/>
      <c r="M244" s="906"/>
    </row>
    <row r="245" spans="1:14">
      <c r="A245" s="907"/>
      <c r="B245" s="908" t="s">
        <v>924</v>
      </c>
      <c r="C245" s="908" t="s">
        <v>925</v>
      </c>
      <c r="D245" s="909" t="s">
        <v>926</v>
      </c>
      <c r="E245" s="908" t="s">
        <v>927</v>
      </c>
      <c r="F245" s="908" t="s">
        <v>928</v>
      </c>
      <c r="G245" s="909" t="s">
        <v>929</v>
      </c>
      <c r="H245" s="908" t="s">
        <v>918</v>
      </c>
      <c r="I245" s="908" t="s">
        <v>919</v>
      </c>
      <c r="J245" s="908" t="s">
        <v>920</v>
      </c>
      <c r="K245" s="908" t="s">
        <v>921</v>
      </c>
      <c r="L245" s="908" t="s">
        <v>922</v>
      </c>
      <c r="M245" s="908" t="s">
        <v>923</v>
      </c>
      <c r="N245" s="907" t="s">
        <v>137</v>
      </c>
    </row>
    <row r="246" spans="1:14">
      <c r="A246" s="910" t="s">
        <v>183</v>
      </c>
      <c r="B246" s="911">
        <v>2566</v>
      </c>
      <c r="C246" s="911">
        <v>2566</v>
      </c>
      <c r="D246" s="911">
        <v>2566</v>
      </c>
      <c r="E246" s="911">
        <v>2566</v>
      </c>
      <c r="F246" s="911">
        <v>2566</v>
      </c>
      <c r="G246" s="911">
        <v>2566</v>
      </c>
      <c r="H246" s="911">
        <v>2566</v>
      </c>
      <c r="I246" s="911">
        <v>2566</v>
      </c>
      <c r="J246" s="911">
        <v>2566</v>
      </c>
      <c r="K246" s="911">
        <v>2566</v>
      </c>
      <c r="L246" s="911">
        <v>2566</v>
      </c>
      <c r="M246" s="911">
        <v>2566</v>
      </c>
      <c r="N246" s="911">
        <f t="shared" ref="N246:N257" si="55">SUM(B246:M246)</f>
        <v>30792</v>
      </c>
    </row>
    <row r="247" spans="1:14">
      <c r="A247" s="910" t="s">
        <v>942</v>
      </c>
      <c r="B247" s="911"/>
      <c r="C247" s="911"/>
      <c r="D247" s="911"/>
      <c r="E247" s="911"/>
      <c r="F247" s="911"/>
      <c r="G247" s="912"/>
      <c r="H247" s="911"/>
      <c r="I247" s="911"/>
      <c r="J247" s="913"/>
      <c r="K247" s="911"/>
      <c r="L247" s="911"/>
      <c r="M247" s="911"/>
      <c r="N247" s="911">
        <f t="shared" si="55"/>
        <v>0</v>
      </c>
    </row>
    <row r="248" spans="1:14">
      <c r="A248" s="910" t="s">
        <v>943</v>
      </c>
      <c r="B248" s="911"/>
      <c r="C248" s="911"/>
      <c r="D248" s="911"/>
      <c r="E248" s="911"/>
      <c r="F248" s="911"/>
      <c r="G248" s="912"/>
      <c r="H248" s="911"/>
      <c r="I248" s="911"/>
      <c r="J248" s="911"/>
      <c r="K248" s="911"/>
      <c r="L248" s="911"/>
      <c r="M248" s="907"/>
      <c r="N248" s="911">
        <f t="shared" si="55"/>
        <v>0</v>
      </c>
    </row>
    <row r="249" spans="1:14">
      <c r="A249" s="910" t="s">
        <v>945</v>
      </c>
      <c r="B249" s="911">
        <v>37</v>
      </c>
      <c r="C249" s="911">
        <v>6</v>
      </c>
      <c r="D249" s="911">
        <v>43</v>
      </c>
      <c r="E249" s="911">
        <v>382</v>
      </c>
      <c r="F249" s="911">
        <v>137.75</v>
      </c>
      <c r="G249" s="912">
        <v>172</v>
      </c>
      <c r="H249" s="911">
        <v>524</v>
      </c>
      <c r="I249" s="911">
        <v>531.75</v>
      </c>
      <c r="J249" s="911">
        <v>154</v>
      </c>
      <c r="K249" s="911">
        <v>50.75</v>
      </c>
      <c r="L249" s="911">
        <v>37</v>
      </c>
      <c r="M249" s="911"/>
      <c r="N249" s="911">
        <f t="shared" si="55"/>
        <v>2075.25</v>
      </c>
    </row>
    <row r="250" spans="1:14">
      <c r="A250" s="910" t="s">
        <v>946</v>
      </c>
      <c r="B250" s="911">
        <v>7.75</v>
      </c>
      <c r="C250" s="911">
        <v>31</v>
      </c>
      <c r="D250" s="911">
        <v>7.75</v>
      </c>
      <c r="E250" s="911">
        <v>117</v>
      </c>
      <c r="F250" s="911"/>
      <c r="G250" s="912"/>
      <c r="H250" s="911"/>
      <c r="I250" s="911">
        <v>6</v>
      </c>
      <c r="J250" s="911"/>
      <c r="K250" s="911">
        <v>6</v>
      </c>
      <c r="L250" s="911"/>
      <c r="M250" s="911"/>
      <c r="N250" s="911">
        <f t="shared" si="55"/>
        <v>175.5</v>
      </c>
    </row>
    <row r="251" spans="1:14">
      <c r="A251" s="910" t="s">
        <v>947</v>
      </c>
      <c r="B251" s="911">
        <v>231.5</v>
      </c>
      <c r="C251" s="911">
        <v>237.5</v>
      </c>
      <c r="D251" s="911">
        <v>111</v>
      </c>
      <c r="E251" s="911">
        <v>80</v>
      </c>
      <c r="F251" s="911">
        <v>81.75</v>
      </c>
      <c r="G251" s="912"/>
      <c r="H251" s="911">
        <v>7.75</v>
      </c>
      <c r="I251" s="911">
        <v>15.5</v>
      </c>
      <c r="J251" s="911">
        <v>243.5</v>
      </c>
      <c r="K251" s="911">
        <v>132.5</v>
      </c>
      <c r="L251" s="911">
        <v>81.75</v>
      </c>
      <c r="M251" s="911"/>
      <c r="N251" s="911">
        <f t="shared" si="55"/>
        <v>1222.75</v>
      </c>
    </row>
    <row r="252" spans="1:14">
      <c r="A252" s="910" t="s">
        <v>948</v>
      </c>
      <c r="B252" s="911"/>
      <c r="C252" s="911"/>
      <c r="D252" s="911"/>
      <c r="E252" s="911"/>
      <c r="F252" s="911"/>
      <c r="G252" s="912"/>
      <c r="H252" s="911"/>
      <c r="I252" s="911"/>
      <c r="J252" s="911"/>
      <c r="K252" s="911"/>
      <c r="L252" s="911"/>
      <c r="M252" s="911"/>
      <c r="N252" s="911">
        <f t="shared" si="55"/>
        <v>0</v>
      </c>
    </row>
    <row r="253" spans="1:14">
      <c r="A253" s="910" t="s">
        <v>949</v>
      </c>
      <c r="B253" s="911"/>
      <c r="C253" s="911"/>
      <c r="D253" s="911"/>
      <c r="E253" s="911"/>
      <c r="F253" s="911"/>
      <c r="G253" s="912">
        <v>12</v>
      </c>
      <c r="H253" s="911"/>
      <c r="I253" s="911">
        <v>43</v>
      </c>
      <c r="J253" s="911"/>
      <c r="K253" s="911"/>
      <c r="L253" s="911">
        <v>6</v>
      </c>
      <c r="M253" s="911"/>
      <c r="N253" s="911">
        <f t="shared" si="55"/>
        <v>61</v>
      </c>
    </row>
    <row r="254" spans="1:14">
      <c r="A254" s="910" t="s">
        <v>950</v>
      </c>
      <c r="B254" s="911"/>
      <c r="C254" s="911"/>
      <c r="D254" s="911"/>
      <c r="E254" s="911"/>
      <c r="F254" s="911"/>
      <c r="G254" s="912"/>
      <c r="H254" s="911"/>
      <c r="I254" s="911"/>
      <c r="J254" s="911"/>
      <c r="K254" s="911"/>
      <c r="L254" s="911"/>
      <c r="M254" s="911"/>
      <c r="N254" s="911">
        <f t="shared" si="55"/>
        <v>0</v>
      </c>
    </row>
    <row r="255" spans="1:14">
      <c r="A255" s="910" t="s">
        <v>951</v>
      </c>
      <c r="B255" s="911">
        <v>62</v>
      </c>
      <c r="C255" s="911">
        <v>93</v>
      </c>
      <c r="D255" s="911">
        <v>139.5</v>
      </c>
      <c r="E255" s="911"/>
      <c r="F255" s="911">
        <v>46.5</v>
      </c>
      <c r="G255" s="912"/>
      <c r="H255" s="911"/>
      <c r="I255" s="911"/>
      <c r="J255" s="911"/>
      <c r="K255" s="911"/>
      <c r="L255" s="911"/>
      <c r="M255" s="911"/>
      <c r="N255" s="911">
        <f t="shared" si="55"/>
        <v>341</v>
      </c>
    </row>
    <row r="256" spans="1:14" ht="13.5" thickBot="1">
      <c r="A256" s="914" t="s">
        <v>952</v>
      </c>
      <c r="B256" s="915"/>
      <c r="C256" s="915"/>
      <c r="D256" s="915"/>
      <c r="E256" s="915">
        <v>38.75</v>
      </c>
      <c r="F256" s="915"/>
      <c r="G256" s="916">
        <v>13.75</v>
      </c>
      <c r="H256" s="915"/>
      <c r="I256" s="915"/>
      <c r="J256" s="915"/>
      <c r="K256" s="915"/>
      <c r="L256" s="915">
        <v>7.75</v>
      </c>
      <c r="M256" s="915"/>
      <c r="N256" s="917">
        <f t="shared" si="55"/>
        <v>60.25</v>
      </c>
    </row>
    <row r="257" spans="1:14" ht="13.5" thickBot="1">
      <c r="A257" s="918" t="s">
        <v>953</v>
      </c>
      <c r="B257" s="919">
        <f t="shared" ref="B257:M257" si="56">SUM(B246+B247+B248-B249-B250-B251-B253-B254-B255-B256)</f>
        <v>2227.75</v>
      </c>
      <c r="C257" s="919">
        <f t="shared" si="56"/>
        <v>2198.5</v>
      </c>
      <c r="D257" s="919">
        <f t="shared" si="56"/>
        <v>2264.75</v>
      </c>
      <c r="E257" s="919">
        <f t="shared" si="56"/>
        <v>1948.25</v>
      </c>
      <c r="F257" s="919">
        <f t="shared" si="56"/>
        <v>2300</v>
      </c>
      <c r="G257" s="1033">
        <f t="shared" si="56"/>
        <v>2368.25</v>
      </c>
      <c r="H257" s="919">
        <f t="shared" si="56"/>
        <v>2034.25</v>
      </c>
      <c r="I257" s="919">
        <f t="shared" si="56"/>
        <v>1969.75</v>
      </c>
      <c r="J257" s="919">
        <f t="shared" si="56"/>
        <v>2168.5</v>
      </c>
      <c r="K257" s="919">
        <f t="shared" si="56"/>
        <v>2376.75</v>
      </c>
      <c r="L257" s="919">
        <f t="shared" si="56"/>
        <v>2433.5</v>
      </c>
      <c r="M257" s="920">
        <f t="shared" si="56"/>
        <v>2566</v>
      </c>
      <c r="N257" s="921">
        <f t="shared" si="55"/>
        <v>26856.25</v>
      </c>
    </row>
    <row r="258" spans="1:14">
      <c r="A258" s="922"/>
      <c r="B258" s="923"/>
      <c r="C258" s="923"/>
      <c r="D258" s="923"/>
      <c r="E258" s="923"/>
      <c r="F258" s="923"/>
      <c r="G258" s="923"/>
      <c r="H258" s="923"/>
      <c r="I258" s="923"/>
      <c r="J258" s="923"/>
      <c r="K258" s="923"/>
      <c r="L258" s="923"/>
      <c r="M258" s="923"/>
      <c r="N258" s="923"/>
    </row>
    <row r="259" spans="1:14">
      <c r="A259" s="922"/>
      <c r="B259" s="923"/>
      <c r="C259" s="923"/>
      <c r="D259" s="923"/>
      <c r="E259" s="923"/>
      <c r="F259" s="923"/>
      <c r="G259" s="923"/>
      <c r="H259" s="923"/>
      <c r="I259" s="923"/>
      <c r="J259" s="923"/>
      <c r="K259" s="923"/>
      <c r="L259" s="923"/>
      <c r="M259" s="923"/>
      <c r="N259" s="924" t="s">
        <v>954</v>
      </c>
    </row>
    <row r="260" spans="1:14">
      <c r="A260" s="910" t="s">
        <v>955</v>
      </c>
      <c r="B260" s="911">
        <f t="shared" ref="B260:M260" si="57">SUM(B247*100/B257)</f>
        <v>0</v>
      </c>
      <c r="C260" s="911">
        <f t="shared" si="57"/>
        <v>0</v>
      </c>
      <c r="D260" s="911">
        <f t="shared" si="57"/>
        <v>0</v>
      </c>
      <c r="E260" s="911">
        <f t="shared" si="57"/>
        <v>0</v>
      </c>
      <c r="F260" s="911">
        <f t="shared" si="57"/>
        <v>0</v>
      </c>
      <c r="G260" s="911">
        <f t="shared" si="57"/>
        <v>0</v>
      </c>
      <c r="H260" s="911">
        <f t="shared" si="57"/>
        <v>0</v>
      </c>
      <c r="I260" s="911">
        <f t="shared" si="57"/>
        <v>0</v>
      </c>
      <c r="J260" s="911">
        <f t="shared" si="57"/>
        <v>0</v>
      </c>
      <c r="K260" s="911">
        <f t="shared" si="57"/>
        <v>0</v>
      </c>
      <c r="L260" s="911">
        <f t="shared" si="57"/>
        <v>0</v>
      </c>
      <c r="M260" s="911">
        <f t="shared" si="57"/>
        <v>0</v>
      </c>
      <c r="N260" s="925">
        <f>SUM(B260:M260)/12</f>
        <v>0</v>
      </c>
    </row>
    <row r="261" spans="1:14">
      <c r="A261" s="922"/>
      <c r="B261" s="923"/>
      <c r="C261" s="923"/>
      <c r="D261" s="923"/>
      <c r="E261" s="923"/>
      <c r="F261" s="923"/>
      <c r="G261" s="923"/>
      <c r="H261" s="923"/>
      <c r="I261" s="923"/>
      <c r="J261" s="923"/>
      <c r="K261" s="923"/>
      <c r="L261" s="923"/>
      <c r="M261" s="923"/>
      <c r="N261" s="906"/>
    </row>
    <row r="262" spans="1:14">
      <c r="A262" s="910" t="s">
        <v>956</v>
      </c>
      <c r="B262" s="911">
        <f t="shared" ref="B262:M262" si="58">SUM(B251*100/B257)</f>
        <v>10.391650768712827</v>
      </c>
      <c r="C262" s="911">
        <f t="shared" si="58"/>
        <v>10.802820104616783</v>
      </c>
      <c r="D262" s="911">
        <f t="shared" si="58"/>
        <v>4.9012032233138312</v>
      </c>
      <c r="E262" s="911">
        <f t="shared" si="58"/>
        <v>4.1062491979982036</v>
      </c>
      <c r="F262" s="911">
        <f t="shared" si="58"/>
        <v>3.5543478260869565</v>
      </c>
      <c r="G262" s="911">
        <f t="shared" si="58"/>
        <v>0</v>
      </c>
      <c r="H262" s="911">
        <f t="shared" si="58"/>
        <v>0.38097578960304779</v>
      </c>
      <c r="I262" s="911">
        <f t="shared" si="58"/>
        <v>0.78690189110293185</v>
      </c>
      <c r="J262" s="911">
        <f t="shared" si="58"/>
        <v>11.228960110675581</v>
      </c>
      <c r="K262" s="911">
        <f t="shared" si="58"/>
        <v>5.5748395918796678</v>
      </c>
      <c r="L262" s="911">
        <f t="shared" si="58"/>
        <v>3.3593589480172592</v>
      </c>
      <c r="M262" s="911">
        <f t="shared" si="58"/>
        <v>0</v>
      </c>
      <c r="N262" s="925">
        <f>SUM(B262:M262)/12</f>
        <v>4.5906089543339235</v>
      </c>
    </row>
    <row r="263" spans="1:14" ht="13.5" thickBot="1">
      <c r="A263" s="926" t="s">
        <v>957</v>
      </c>
      <c r="B263" s="917">
        <f t="shared" ref="B263:M263" si="59">SUM(B252*100/B257)</f>
        <v>0</v>
      </c>
      <c r="C263" s="917">
        <f t="shared" si="59"/>
        <v>0</v>
      </c>
      <c r="D263" s="917">
        <f t="shared" si="59"/>
        <v>0</v>
      </c>
      <c r="E263" s="917">
        <f t="shared" si="59"/>
        <v>0</v>
      </c>
      <c r="F263" s="917">
        <f t="shared" si="59"/>
        <v>0</v>
      </c>
      <c r="G263" s="917">
        <f t="shared" si="59"/>
        <v>0</v>
      </c>
      <c r="H263" s="917">
        <f t="shared" si="59"/>
        <v>0</v>
      </c>
      <c r="I263" s="917">
        <f t="shared" si="59"/>
        <v>0</v>
      </c>
      <c r="J263" s="917">
        <f t="shared" si="59"/>
        <v>0</v>
      </c>
      <c r="K263" s="917">
        <f t="shared" si="59"/>
        <v>0</v>
      </c>
      <c r="L263" s="917">
        <f t="shared" si="59"/>
        <v>0</v>
      </c>
      <c r="M263" s="917">
        <f t="shared" si="59"/>
        <v>0</v>
      </c>
      <c r="N263" s="927">
        <f>SUM(B263:M263)/12</f>
        <v>0</v>
      </c>
    </row>
    <row r="264" spans="1:14" ht="13.5" thickBot="1">
      <c r="A264" s="928" t="s">
        <v>958</v>
      </c>
      <c r="B264" s="929">
        <f t="shared" ref="B264:M264" si="60">SUM(B262:B262)</f>
        <v>10.391650768712827</v>
      </c>
      <c r="C264" s="929">
        <f t="shared" si="60"/>
        <v>10.802820104616783</v>
      </c>
      <c r="D264" s="929">
        <f t="shared" si="60"/>
        <v>4.9012032233138312</v>
      </c>
      <c r="E264" s="929">
        <f t="shared" si="60"/>
        <v>4.1062491979982036</v>
      </c>
      <c r="F264" s="929">
        <f t="shared" si="60"/>
        <v>3.5543478260869565</v>
      </c>
      <c r="G264" s="929">
        <f t="shared" si="60"/>
        <v>0</v>
      </c>
      <c r="H264" s="929">
        <f t="shared" si="60"/>
        <v>0.38097578960304779</v>
      </c>
      <c r="I264" s="929">
        <f t="shared" si="60"/>
        <v>0.78690189110293185</v>
      </c>
      <c r="J264" s="929">
        <f t="shared" si="60"/>
        <v>11.228960110675581</v>
      </c>
      <c r="K264" s="929">
        <f t="shared" si="60"/>
        <v>5.5748395918796678</v>
      </c>
      <c r="L264" s="929">
        <f t="shared" si="60"/>
        <v>3.3593589480172592</v>
      </c>
      <c r="M264" s="929">
        <f t="shared" si="60"/>
        <v>0</v>
      </c>
      <c r="N264" s="930">
        <f>SUM(N262:N263)</f>
        <v>4.5906089543339235</v>
      </c>
    </row>
    <row r="265" spans="1:14">
      <c r="A265" s="922" t="s">
        <v>959</v>
      </c>
      <c r="B265" s="923"/>
      <c r="C265" s="923"/>
      <c r="D265" s="931">
        <f>SUM(B264:D264)/4</f>
        <v>6.5239185241608606</v>
      </c>
      <c r="E265" s="923"/>
      <c r="F265" s="923"/>
      <c r="G265" s="931">
        <f>SUM(E264,F264,G264)/4</f>
        <v>1.9151492560212899</v>
      </c>
      <c r="H265" s="923"/>
      <c r="I265" s="923"/>
      <c r="J265" s="931">
        <f>SUM(H264,I264,J264)/3</f>
        <v>4.1322792637938539</v>
      </c>
      <c r="K265" s="923"/>
      <c r="L265" s="923"/>
      <c r="M265" s="931">
        <f>SUM(K264,L264,M264)/3</f>
        <v>2.9780661799656425</v>
      </c>
      <c r="N265" s="932">
        <f>SUM(D265:M265)/4</f>
        <v>3.8873533059854117</v>
      </c>
    </row>
    <row r="266" spans="1:14">
      <c r="A266" s="922" t="s">
        <v>960</v>
      </c>
      <c r="B266" s="923"/>
      <c r="C266" s="923"/>
      <c r="D266" s="933"/>
      <c r="E266" s="923"/>
      <c r="F266" s="923"/>
      <c r="G266" s="933"/>
      <c r="H266" s="923"/>
      <c r="I266" s="923"/>
      <c r="J266" s="933"/>
      <c r="K266" s="923"/>
      <c r="L266" s="923"/>
      <c r="M266" s="933"/>
      <c r="N266" s="925">
        <f>SUM(D266:G266,J266,M266)/4</f>
        <v>0</v>
      </c>
    </row>
    <row r="267" spans="1:14">
      <c r="A267" s="922"/>
      <c r="B267" s="923"/>
      <c r="C267" s="923"/>
      <c r="D267" s="923"/>
      <c r="E267" s="923"/>
      <c r="F267" s="923"/>
      <c r="G267" s="923"/>
      <c r="H267" s="923"/>
      <c r="I267" s="923"/>
      <c r="J267" s="923"/>
      <c r="K267" s="923"/>
      <c r="L267" s="923"/>
      <c r="M267" s="923"/>
      <c r="N267" s="923"/>
    </row>
    <row r="268" spans="1:14">
      <c r="A268" s="910" t="s">
        <v>961</v>
      </c>
      <c r="B268" s="911">
        <f t="shared" ref="B268:M268" si="61">B255*100/B257</f>
        <v>2.7830770957243858</v>
      </c>
      <c r="C268" s="911">
        <f t="shared" si="61"/>
        <v>4.2301569251762565</v>
      </c>
      <c r="D268" s="911">
        <f t="shared" si="61"/>
        <v>6.1596202671376528</v>
      </c>
      <c r="E268" s="911">
        <f t="shared" si="61"/>
        <v>0</v>
      </c>
      <c r="F268" s="911">
        <f t="shared" si="61"/>
        <v>2.0217391304347827</v>
      </c>
      <c r="G268" s="911">
        <f t="shared" si="61"/>
        <v>0</v>
      </c>
      <c r="H268" s="911">
        <f t="shared" si="61"/>
        <v>0</v>
      </c>
      <c r="I268" s="911">
        <f t="shared" si="61"/>
        <v>0</v>
      </c>
      <c r="J268" s="911">
        <f t="shared" si="61"/>
        <v>0</v>
      </c>
      <c r="K268" s="911">
        <f t="shared" si="61"/>
        <v>0</v>
      </c>
      <c r="L268" s="911">
        <f t="shared" si="61"/>
        <v>0</v>
      </c>
      <c r="M268" s="911">
        <f t="shared" si="61"/>
        <v>0</v>
      </c>
      <c r="N268" s="925">
        <f>SUM(B268:M268)/12</f>
        <v>1.2662161182060898</v>
      </c>
    </row>
    <row r="269" spans="1:14">
      <c r="A269" s="910" t="s">
        <v>962</v>
      </c>
      <c r="B269" s="911">
        <f t="shared" ref="B269:M269" si="62">B253*100/B257</f>
        <v>0</v>
      </c>
      <c r="C269" s="911">
        <f t="shared" si="62"/>
        <v>0</v>
      </c>
      <c r="D269" s="911">
        <f t="shared" si="62"/>
        <v>0</v>
      </c>
      <c r="E269" s="911">
        <f t="shared" si="62"/>
        <v>0</v>
      </c>
      <c r="F269" s="911">
        <f t="shared" si="62"/>
        <v>0</v>
      </c>
      <c r="G269" s="911">
        <f t="shared" si="62"/>
        <v>0.50670326190224846</v>
      </c>
      <c r="H269" s="911">
        <f t="shared" si="62"/>
        <v>0</v>
      </c>
      <c r="I269" s="911">
        <f t="shared" si="62"/>
        <v>2.1830181495113594</v>
      </c>
      <c r="J269" s="911">
        <f t="shared" si="62"/>
        <v>0</v>
      </c>
      <c r="K269" s="911">
        <f t="shared" si="62"/>
        <v>0</v>
      </c>
      <c r="L269" s="911">
        <f t="shared" si="62"/>
        <v>0.24655845490034928</v>
      </c>
      <c r="M269" s="911">
        <f t="shared" si="62"/>
        <v>0</v>
      </c>
      <c r="N269" s="925">
        <f>SUM(B269:M269)/12</f>
        <v>0.24468998885949642</v>
      </c>
    </row>
    <row r="270" spans="1:14" ht="13.5" thickBot="1">
      <c r="A270" s="910" t="s">
        <v>963</v>
      </c>
      <c r="B270" s="911">
        <f t="shared" ref="B270:M270" si="63">B249*100/B257</f>
        <v>1.6608685893839075</v>
      </c>
      <c r="C270" s="911">
        <f t="shared" si="63"/>
        <v>0.2729133500113714</v>
      </c>
      <c r="D270" s="911">
        <f t="shared" si="63"/>
        <v>1.898664311734187</v>
      </c>
      <c r="E270" s="911">
        <f t="shared" si="63"/>
        <v>19.607339920441422</v>
      </c>
      <c r="F270" s="911">
        <f t="shared" si="63"/>
        <v>5.9891304347826084</v>
      </c>
      <c r="G270" s="911">
        <f t="shared" si="63"/>
        <v>7.2627467539322286</v>
      </c>
      <c r="H270" s="911">
        <f t="shared" si="63"/>
        <v>25.75887919380607</v>
      </c>
      <c r="I270" s="911">
        <f t="shared" si="63"/>
        <v>26.995811651224773</v>
      </c>
      <c r="J270" s="911">
        <f t="shared" si="63"/>
        <v>7.1016831911459537</v>
      </c>
      <c r="K270" s="911">
        <f t="shared" si="63"/>
        <v>2.1352687493425897</v>
      </c>
      <c r="L270" s="911">
        <f t="shared" si="63"/>
        <v>1.5204438052188207</v>
      </c>
      <c r="M270" s="911">
        <f t="shared" si="63"/>
        <v>0</v>
      </c>
      <c r="N270" s="925">
        <f>SUM(B270:M270)/12</f>
        <v>8.3503124959186596</v>
      </c>
    </row>
    <row r="271" spans="1:14" ht="13.5" thickBot="1">
      <c r="A271" s="934" t="s">
        <v>964</v>
      </c>
      <c r="B271" s="935">
        <f t="shared" ref="B271:M271" si="64">SUM(B246-B257)*100/B257</f>
        <v>15.183481090786668</v>
      </c>
      <c r="C271" s="935">
        <f t="shared" si="64"/>
        <v>16.715942688196499</v>
      </c>
      <c r="D271" s="935">
        <f t="shared" si="64"/>
        <v>13.301688928137764</v>
      </c>
      <c r="E271" s="935">
        <f t="shared" si="64"/>
        <v>31.707943025792378</v>
      </c>
      <c r="F271" s="935">
        <f t="shared" si="64"/>
        <v>11.565217391304348</v>
      </c>
      <c r="G271" s="935">
        <f t="shared" si="64"/>
        <v>8.3500475034308028</v>
      </c>
      <c r="H271" s="935">
        <f t="shared" si="64"/>
        <v>26.139854983409119</v>
      </c>
      <c r="I271" s="935">
        <f t="shared" si="64"/>
        <v>30.270338875491813</v>
      </c>
      <c r="J271" s="935">
        <f t="shared" si="64"/>
        <v>18.330643301821535</v>
      </c>
      <c r="K271" s="935">
        <f t="shared" si="64"/>
        <v>7.9625539076469973</v>
      </c>
      <c r="L271" s="935">
        <f t="shared" si="64"/>
        <v>5.4448325457160465</v>
      </c>
      <c r="M271" s="935">
        <f t="shared" si="64"/>
        <v>0</v>
      </c>
      <c r="N271" s="936">
        <f>SUM(B271:M271)/12</f>
        <v>15.414378686811164</v>
      </c>
    </row>
    <row r="272" spans="1:14">
      <c r="A272" s="922"/>
      <c r="B272" s="923"/>
      <c r="C272" s="923"/>
      <c r="D272" s="923"/>
      <c r="E272" s="923"/>
      <c r="F272" s="923"/>
      <c r="G272" s="923"/>
      <c r="H272" s="923"/>
      <c r="I272" s="923"/>
      <c r="J272" s="923"/>
      <c r="K272" s="923"/>
      <c r="L272" s="923"/>
      <c r="M272" s="923"/>
      <c r="N272" s="906"/>
    </row>
    <row r="273" spans="1:14">
      <c r="A273" s="937" t="s">
        <v>965</v>
      </c>
      <c r="B273" s="923"/>
      <c r="C273" s="923"/>
      <c r="D273" s="923"/>
      <c r="E273" s="923"/>
      <c r="F273" s="923"/>
      <c r="G273" s="923"/>
      <c r="H273" s="923"/>
      <c r="I273" s="923"/>
      <c r="J273" s="923"/>
      <c r="K273" s="923"/>
      <c r="L273" s="923"/>
      <c r="M273" s="923"/>
      <c r="N273" s="906"/>
    </row>
    <row r="274" spans="1:14">
      <c r="A274" s="910" t="s">
        <v>966</v>
      </c>
      <c r="B274" s="938">
        <v>15</v>
      </c>
      <c r="C274" s="938">
        <v>15</v>
      </c>
      <c r="D274" s="938">
        <v>15</v>
      </c>
      <c r="E274" s="938">
        <v>15</v>
      </c>
      <c r="F274" s="938">
        <v>16</v>
      </c>
      <c r="G274" s="938">
        <v>16</v>
      </c>
      <c r="H274" s="938">
        <v>16</v>
      </c>
      <c r="I274" s="938">
        <v>16</v>
      </c>
      <c r="J274" s="938">
        <f>I277</f>
        <v>16</v>
      </c>
      <c r="K274" s="938">
        <f>J277</f>
        <v>16</v>
      </c>
      <c r="L274" s="938">
        <f>K277</f>
        <v>16</v>
      </c>
      <c r="M274" s="938">
        <f>L277</f>
        <v>16</v>
      </c>
      <c r="N274" s="938">
        <f>M277</f>
        <v>16</v>
      </c>
    </row>
    <row r="275" spans="1:14">
      <c r="A275" s="910" t="s">
        <v>967</v>
      </c>
      <c r="B275" s="938"/>
      <c r="C275" s="938"/>
      <c r="D275" s="938"/>
      <c r="E275" s="938">
        <v>1</v>
      </c>
      <c r="F275" s="938"/>
      <c r="G275" s="938"/>
      <c r="H275" s="938"/>
      <c r="I275" s="938"/>
      <c r="J275" s="938"/>
      <c r="K275" s="938"/>
      <c r="L275" s="938"/>
      <c r="M275" s="938"/>
      <c r="N275" s="938">
        <f>SUM(B275:M275)/12</f>
        <v>8.3333333333333329E-2</v>
      </c>
    </row>
    <row r="276" spans="1:14">
      <c r="A276" s="910" t="s">
        <v>968</v>
      </c>
      <c r="B276" s="938"/>
      <c r="C276" s="938"/>
      <c r="D276" s="938"/>
      <c r="E276" s="938"/>
      <c r="F276" s="938"/>
      <c r="G276" s="938"/>
      <c r="H276" s="938"/>
      <c r="I276" s="938"/>
      <c r="J276" s="938"/>
      <c r="K276" s="938"/>
      <c r="L276" s="938"/>
      <c r="M276" s="938"/>
      <c r="N276" s="938">
        <f>SUM(B275:M275)/12</f>
        <v>8.3333333333333329E-2</v>
      </c>
    </row>
    <row r="277" spans="1:14">
      <c r="A277" s="910" t="s">
        <v>965</v>
      </c>
      <c r="B277" s="938">
        <f t="shared" ref="B277:M277" si="65">SUM(B274+B275-B276)</f>
        <v>15</v>
      </c>
      <c r="C277" s="938">
        <f t="shared" si="65"/>
        <v>15</v>
      </c>
      <c r="D277" s="938">
        <f t="shared" si="65"/>
        <v>15</v>
      </c>
      <c r="E277" s="938">
        <f t="shared" si="65"/>
        <v>16</v>
      </c>
      <c r="F277" s="938">
        <f t="shared" si="65"/>
        <v>16</v>
      </c>
      <c r="G277" s="938">
        <f t="shared" si="65"/>
        <v>16</v>
      </c>
      <c r="H277" s="938">
        <f t="shared" si="65"/>
        <v>16</v>
      </c>
      <c r="I277" s="938">
        <f t="shared" si="65"/>
        <v>16</v>
      </c>
      <c r="J277" s="938">
        <f t="shared" si="65"/>
        <v>16</v>
      </c>
      <c r="K277" s="938">
        <f t="shared" si="65"/>
        <v>16</v>
      </c>
      <c r="L277" s="938">
        <f t="shared" si="65"/>
        <v>16</v>
      </c>
      <c r="M277" s="938">
        <f t="shared" si="65"/>
        <v>16</v>
      </c>
      <c r="N277" s="938">
        <f>SUM(B276:M276)/12</f>
        <v>0</v>
      </c>
    </row>
    <row r="278" spans="1:14">
      <c r="A278" s="910" t="s">
        <v>969</v>
      </c>
      <c r="B278" s="939">
        <f t="shared" ref="B278:M278" si="66">SUM(B277*100)/B274-100</f>
        <v>0</v>
      </c>
      <c r="C278" s="939">
        <f t="shared" si="66"/>
        <v>0</v>
      </c>
      <c r="D278" s="939">
        <f t="shared" si="66"/>
        <v>0</v>
      </c>
      <c r="E278" s="939">
        <f t="shared" si="66"/>
        <v>6.6666666666666714</v>
      </c>
      <c r="F278" s="939">
        <f t="shared" si="66"/>
        <v>0</v>
      </c>
      <c r="G278" s="939">
        <f t="shared" si="66"/>
        <v>0</v>
      </c>
      <c r="H278" s="939">
        <f t="shared" si="66"/>
        <v>0</v>
      </c>
      <c r="I278" s="939">
        <f t="shared" si="66"/>
        <v>0</v>
      </c>
      <c r="J278" s="939">
        <f t="shared" si="66"/>
        <v>0</v>
      </c>
      <c r="K278" s="939">
        <f t="shared" si="66"/>
        <v>0</v>
      </c>
      <c r="L278" s="939">
        <f t="shared" si="66"/>
        <v>0</v>
      </c>
      <c r="M278" s="939">
        <f t="shared" si="66"/>
        <v>0</v>
      </c>
      <c r="N278" s="938"/>
    </row>
    <row r="279" spans="1:14">
      <c r="A279" s="922" t="s">
        <v>970</v>
      </c>
      <c r="B279" s="940"/>
      <c r="C279" s="940"/>
      <c r="D279" s="941">
        <f>SUM(B278:D278/3)</f>
        <v>0</v>
      </c>
      <c r="E279" s="940"/>
      <c r="F279" s="940"/>
      <c r="G279" s="941">
        <f>SUM(E278:G278)/3</f>
        <v>2.2222222222222237</v>
      </c>
      <c r="H279" s="940"/>
      <c r="I279" s="940"/>
      <c r="J279" s="941">
        <f>SUM(H278:J278)/3</f>
        <v>0</v>
      </c>
      <c r="K279" s="940"/>
      <c r="L279" s="940"/>
      <c r="M279" s="941">
        <f>SUM(K278:M278)/3</f>
        <v>0</v>
      </c>
      <c r="N279" s="940"/>
    </row>
    <row r="280" spans="1:14" ht="13.5" thickBot="1">
      <c r="A280" s="1051"/>
      <c r="B280" s="1052"/>
      <c r="C280" s="1052"/>
      <c r="D280" s="1052"/>
      <c r="E280" s="1052"/>
      <c r="F280" s="1052"/>
      <c r="G280" s="1052"/>
      <c r="H280" s="1052"/>
      <c r="I280" s="1052"/>
      <c r="J280" s="1052"/>
      <c r="K280" s="1052"/>
      <c r="L280" s="1052"/>
      <c r="M280" s="1052"/>
      <c r="N280" s="1053"/>
    </row>
    <row r="281" spans="1:14">
      <c r="A281" s="922"/>
      <c r="B281" s="923"/>
      <c r="C281" s="923"/>
      <c r="D281" s="923"/>
      <c r="E281" s="923"/>
      <c r="F281" s="923"/>
      <c r="G281" s="923"/>
      <c r="H281" s="923"/>
      <c r="I281" s="923"/>
      <c r="J281" s="923"/>
      <c r="K281" s="923"/>
      <c r="L281" s="923"/>
      <c r="M281" s="923"/>
      <c r="N281" s="906"/>
    </row>
    <row r="282" spans="1:14" ht="15.75">
      <c r="A282" s="1397" t="s">
        <v>1056</v>
      </c>
      <c r="B282" s="1397"/>
      <c r="C282" s="1397"/>
      <c r="D282" s="1397"/>
      <c r="E282" s="1397"/>
      <c r="F282" s="1397"/>
      <c r="G282" s="1397"/>
      <c r="H282" s="1397"/>
      <c r="I282" s="1397"/>
      <c r="J282" s="1397"/>
      <c r="K282" s="1397"/>
      <c r="L282" s="1397"/>
      <c r="M282" s="1397"/>
      <c r="N282" s="1397"/>
    </row>
    <row r="283" spans="1:14" ht="15.75">
      <c r="E283" s="961"/>
      <c r="M283" s="923"/>
      <c r="N283" s="906"/>
    </row>
    <row r="284" spans="1:14">
      <c r="A284" s="1055" t="s">
        <v>1023</v>
      </c>
      <c r="B284" s="1056"/>
      <c r="C284" s="1057"/>
      <c r="D284" s="971" t="s">
        <v>1024</v>
      </c>
      <c r="G284" s="978"/>
      <c r="K284" s="978"/>
      <c r="M284" s="923"/>
      <c r="N284" s="906"/>
    </row>
    <row r="285" spans="1:14">
      <c r="A285" s="1058"/>
      <c r="B285" s="1059"/>
      <c r="C285" s="1060"/>
      <c r="D285" s="969"/>
      <c r="E285" s="970"/>
      <c r="G285" s="1255"/>
      <c r="H285" s="1255"/>
      <c r="I285" s="1255"/>
      <c r="J285" s="1255"/>
      <c r="K285" s="1255"/>
      <c r="M285" s="923"/>
      <c r="N285" s="906"/>
    </row>
    <row r="286" spans="1:14" ht="13.5" thickBot="1">
      <c r="A286" s="1066"/>
      <c r="C286" s="1067"/>
      <c r="D286" s="969"/>
      <c r="E286" s="970"/>
      <c r="H286" s="1082"/>
      <c r="K286" s="970"/>
      <c r="L286" s="999"/>
      <c r="M286" s="923"/>
      <c r="N286" s="906"/>
    </row>
    <row r="287" spans="1:14" ht="13.5" thickBot="1">
      <c r="A287" s="973" t="s">
        <v>154</v>
      </c>
      <c r="B287" s="975"/>
      <c r="C287" s="1068"/>
      <c r="D287" s="1249">
        <f>SUM(D285:D286)</f>
        <v>0</v>
      </c>
      <c r="E287" s="970"/>
      <c r="H287" s="1082"/>
      <c r="K287" s="970"/>
      <c r="L287" s="999"/>
      <c r="M287" s="923"/>
      <c r="N287" s="906"/>
    </row>
    <row r="288" spans="1:14">
      <c r="A288" s="1069" t="s">
        <v>153</v>
      </c>
      <c r="B288" s="1070"/>
      <c r="C288" s="1071"/>
      <c r="D288" s="1072">
        <f>D287/12</f>
        <v>0</v>
      </c>
      <c r="E288" s="970"/>
      <c r="K288" s="979"/>
      <c r="L288" s="999"/>
      <c r="M288" s="923"/>
      <c r="N288" s="906"/>
    </row>
    <row r="289" spans="1:14">
      <c r="C289" s="1073"/>
      <c r="E289" s="970"/>
      <c r="J289" s="1073"/>
      <c r="K289" s="979"/>
      <c r="L289" s="1278"/>
      <c r="M289" s="923"/>
      <c r="N289" s="906"/>
    </row>
    <row r="290" spans="1:14">
      <c r="A290" s="937" t="s">
        <v>986</v>
      </c>
      <c r="B290" s="923"/>
      <c r="C290" s="923"/>
      <c r="D290" s="923"/>
      <c r="E290" s="923"/>
      <c r="F290" s="923"/>
      <c r="G290" s="923"/>
      <c r="H290" s="923"/>
      <c r="I290" s="923"/>
      <c r="J290" s="923"/>
      <c r="K290" s="923"/>
      <c r="L290" s="923"/>
      <c r="M290" s="923"/>
      <c r="N290" s="906"/>
    </row>
    <row r="291" spans="1:14">
      <c r="A291" s="1007"/>
      <c r="B291" s="911" t="s">
        <v>924</v>
      </c>
      <c r="C291" s="911" t="s">
        <v>925</v>
      </c>
      <c r="D291" s="911" t="s">
        <v>926</v>
      </c>
      <c r="E291" s="911" t="s">
        <v>927</v>
      </c>
      <c r="F291" s="911" t="s">
        <v>928</v>
      </c>
      <c r="G291" s="911" t="s">
        <v>929</v>
      </c>
      <c r="H291" s="911" t="s">
        <v>918</v>
      </c>
      <c r="I291" s="911" t="s">
        <v>919</v>
      </c>
      <c r="J291" s="911" t="s">
        <v>920</v>
      </c>
      <c r="K291" s="911" t="s">
        <v>921</v>
      </c>
      <c r="L291" s="911" t="s">
        <v>922</v>
      </c>
      <c r="M291" s="911" t="s">
        <v>923</v>
      </c>
      <c r="N291" s="907"/>
    </row>
    <row r="292" spans="1:14">
      <c r="A292" s="910" t="s">
        <v>987</v>
      </c>
      <c r="B292" s="1008">
        <f t="shared" ref="B292:M292" si="67">$D$288</f>
        <v>0</v>
      </c>
      <c r="C292" s="1008">
        <f t="shared" si="67"/>
        <v>0</v>
      </c>
      <c r="D292" s="1008">
        <f t="shared" si="67"/>
        <v>0</v>
      </c>
      <c r="E292" s="1008">
        <f t="shared" si="67"/>
        <v>0</v>
      </c>
      <c r="F292" s="1008">
        <f t="shared" si="67"/>
        <v>0</v>
      </c>
      <c r="G292" s="1008">
        <f t="shared" si="67"/>
        <v>0</v>
      </c>
      <c r="H292" s="1008">
        <f t="shared" si="67"/>
        <v>0</v>
      </c>
      <c r="I292" s="1008">
        <f t="shared" si="67"/>
        <v>0</v>
      </c>
      <c r="J292" s="1008">
        <f t="shared" si="67"/>
        <v>0</v>
      </c>
      <c r="K292" s="1008">
        <f t="shared" si="67"/>
        <v>0</v>
      </c>
      <c r="L292" s="1008">
        <f t="shared" si="67"/>
        <v>0</v>
      </c>
      <c r="M292" s="1008">
        <f t="shared" si="67"/>
        <v>0</v>
      </c>
      <c r="N292" s="1008">
        <f t="shared" ref="N292:N298" si="68">SUM(B292:M292)</f>
        <v>0</v>
      </c>
    </row>
    <row r="293" spans="1:14" ht="13.5" thickBot="1">
      <c r="A293" s="910" t="s">
        <v>1057</v>
      </c>
      <c r="B293" s="1008">
        <v>0</v>
      </c>
      <c r="C293" s="1008">
        <v>0</v>
      </c>
      <c r="D293" s="1008"/>
      <c r="E293" s="1008"/>
      <c r="F293" s="1008"/>
      <c r="G293" s="1037"/>
      <c r="H293" s="1008"/>
      <c r="I293" s="1008"/>
      <c r="J293" s="1008"/>
      <c r="K293" s="1008"/>
      <c r="L293" s="1008"/>
      <c r="M293" s="1008"/>
      <c r="N293" s="1008">
        <f t="shared" si="68"/>
        <v>0</v>
      </c>
    </row>
    <row r="294" spans="1:14" ht="13.5" thickBot="1">
      <c r="A294" s="1012" t="s">
        <v>1041</v>
      </c>
      <c r="B294" s="1074">
        <f t="shared" ref="B294:M294" si="69">SUM(B292,B293)</f>
        <v>0</v>
      </c>
      <c r="C294" s="1074">
        <f t="shared" si="69"/>
        <v>0</v>
      </c>
      <c r="D294" s="1074">
        <f t="shared" si="69"/>
        <v>0</v>
      </c>
      <c r="E294" s="1074">
        <f t="shared" si="69"/>
        <v>0</v>
      </c>
      <c r="F294" s="1074">
        <f t="shared" si="69"/>
        <v>0</v>
      </c>
      <c r="G294" s="1074">
        <f t="shared" si="69"/>
        <v>0</v>
      </c>
      <c r="H294" s="1074">
        <f t="shared" si="69"/>
        <v>0</v>
      </c>
      <c r="I294" s="1074">
        <f t="shared" si="69"/>
        <v>0</v>
      </c>
      <c r="J294" s="1074">
        <f t="shared" si="69"/>
        <v>0</v>
      </c>
      <c r="K294" s="1074">
        <f t="shared" si="69"/>
        <v>0</v>
      </c>
      <c r="L294" s="1074">
        <f t="shared" si="69"/>
        <v>0</v>
      </c>
      <c r="M294" s="1074">
        <f t="shared" si="69"/>
        <v>0</v>
      </c>
      <c r="N294" s="1075">
        <f t="shared" si="68"/>
        <v>0</v>
      </c>
    </row>
    <row r="295" spans="1:14">
      <c r="A295" s="907" t="s">
        <v>1058</v>
      </c>
      <c r="B295" s="1009">
        <v>0</v>
      </c>
      <c r="C295" s="1009">
        <v>0</v>
      </c>
      <c r="D295" s="1009">
        <v>0</v>
      </c>
      <c r="E295" s="1009">
        <v>0</v>
      </c>
      <c r="F295" s="1009">
        <v>0</v>
      </c>
      <c r="G295" s="1009"/>
      <c r="H295" s="1009"/>
      <c r="I295" s="1009"/>
      <c r="J295" s="1009"/>
      <c r="K295" s="1009"/>
      <c r="L295" s="1009"/>
      <c r="M295" s="1009"/>
      <c r="N295" s="1009">
        <f t="shared" si="68"/>
        <v>0</v>
      </c>
    </row>
    <row r="296" spans="1:14">
      <c r="A296" s="1028" t="s">
        <v>1059</v>
      </c>
      <c r="B296" s="1009"/>
      <c r="C296" s="1009">
        <v>10000</v>
      </c>
      <c r="D296" s="1009">
        <v>10000</v>
      </c>
      <c r="E296" s="1009"/>
      <c r="F296" s="1009"/>
      <c r="G296" s="1009"/>
      <c r="H296" s="1009"/>
      <c r="I296" s="1009"/>
      <c r="J296" s="1009"/>
      <c r="K296" s="1009"/>
      <c r="L296" s="1009"/>
      <c r="M296" s="1009"/>
      <c r="N296" s="1009">
        <f t="shared" si="68"/>
        <v>20000</v>
      </c>
    </row>
    <row r="297" spans="1:14">
      <c r="A297" s="1028" t="s">
        <v>993</v>
      </c>
      <c r="B297" s="1009">
        <v>78225</v>
      </c>
      <c r="C297" s="1009">
        <v>87587.5</v>
      </c>
      <c r="D297" s="1009">
        <v>66325</v>
      </c>
      <c r="E297" s="1009">
        <v>15000</v>
      </c>
      <c r="F297" s="1009">
        <v>60800</v>
      </c>
      <c r="G297" s="1009">
        <v>19750</v>
      </c>
      <c r="H297" s="1009">
        <v>7550</v>
      </c>
      <c r="I297" s="1009">
        <v>58037.5</v>
      </c>
      <c r="J297" s="1009">
        <v>55725</v>
      </c>
      <c r="K297" s="1009">
        <v>109600</v>
      </c>
      <c r="L297" s="1009">
        <v>53950</v>
      </c>
      <c r="M297" s="1009"/>
      <c r="N297" s="1009">
        <f t="shared" si="68"/>
        <v>612550</v>
      </c>
    </row>
    <row r="298" spans="1:14" ht="13.5" thickBot="1">
      <c r="A298" s="1038" t="s">
        <v>1057</v>
      </c>
      <c r="B298" s="1023"/>
      <c r="C298" s="1023"/>
      <c r="D298" s="1023"/>
      <c r="E298" s="1023"/>
      <c r="F298" s="1023"/>
      <c r="G298" s="1023"/>
      <c r="H298" s="1023"/>
      <c r="I298" s="1023"/>
      <c r="J298" s="1023"/>
      <c r="K298" s="1023"/>
      <c r="L298" s="1023"/>
      <c r="M298" s="1023"/>
      <c r="N298" s="1009">
        <f t="shared" si="68"/>
        <v>0</v>
      </c>
    </row>
    <row r="299" spans="1:14" ht="13.5" thickBot="1">
      <c r="A299" s="1039" t="s">
        <v>1001</v>
      </c>
      <c r="B299" s="1040">
        <f t="shared" ref="B299:N299" si="70">SUM(B295:B298)</f>
        <v>78225</v>
      </c>
      <c r="C299" s="1040">
        <f t="shared" si="70"/>
        <v>97587.5</v>
      </c>
      <c r="D299" s="1040">
        <f t="shared" si="70"/>
        <v>76325</v>
      </c>
      <c r="E299" s="1040">
        <f t="shared" si="70"/>
        <v>15000</v>
      </c>
      <c r="F299" s="1040">
        <f t="shared" si="70"/>
        <v>60800</v>
      </c>
      <c r="G299" s="1040">
        <f t="shared" si="70"/>
        <v>19750</v>
      </c>
      <c r="H299" s="1040">
        <f t="shared" si="70"/>
        <v>7550</v>
      </c>
      <c r="I299" s="1040">
        <f t="shared" si="70"/>
        <v>58037.5</v>
      </c>
      <c r="J299" s="1040">
        <f t="shared" si="70"/>
        <v>55725</v>
      </c>
      <c r="K299" s="1040">
        <f t="shared" si="70"/>
        <v>109600</v>
      </c>
      <c r="L299" s="1040">
        <f t="shared" si="70"/>
        <v>53950</v>
      </c>
      <c r="M299" s="1040">
        <f t="shared" si="70"/>
        <v>0</v>
      </c>
      <c r="N299" s="1040">
        <f t="shared" si="70"/>
        <v>632550</v>
      </c>
    </row>
    <row r="300" spans="1:14">
      <c r="A300" s="907" t="s">
        <v>1002</v>
      </c>
      <c r="B300" s="1011"/>
      <c r="C300" s="1011"/>
      <c r="D300" s="1011"/>
      <c r="E300" s="1011"/>
      <c r="F300" s="1011"/>
      <c r="G300" s="1077"/>
      <c r="H300" s="1011"/>
      <c r="I300" s="1011"/>
      <c r="J300" s="1011"/>
      <c r="K300" s="1011"/>
      <c r="L300" s="1011"/>
      <c r="M300" s="1011"/>
      <c r="N300" s="1011">
        <f>SUM(B300:M300)</f>
        <v>0</v>
      </c>
    </row>
    <row r="301" spans="1:14">
      <c r="A301" s="1042" t="s">
        <v>1003</v>
      </c>
      <c r="B301" s="1083">
        <f t="shared" ref="B301:N301" si="71">SUM(B294,B299,B300)</f>
        <v>78225</v>
      </c>
      <c r="C301" s="1083">
        <f t="shared" si="71"/>
        <v>97587.5</v>
      </c>
      <c r="D301" s="1083">
        <f t="shared" si="71"/>
        <v>76325</v>
      </c>
      <c r="E301" s="1083">
        <f t="shared" si="71"/>
        <v>15000</v>
      </c>
      <c r="F301" s="1083">
        <f t="shared" si="71"/>
        <v>60800</v>
      </c>
      <c r="G301" s="1083">
        <f t="shared" si="71"/>
        <v>19750</v>
      </c>
      <c r="H301" s="1083">
        <f t="shared" si="71"/>
        <v>7550</v>
      </c>
      <c r="I301" s="1083">
        <f t="shared" si="71"/>
        <v>58037.5</v>
      </c>
      <c r="J301" s="1083">
        <f t="shared" si="71"/>
        <v>55725</v>
      </c>
      <c r="K301" s="1083">
        <f t="shared" si="71"/>
        <v>109600</v>
      </c>
      <c r="L301" s="1083">
        <f t="shared" si="71"/>
        <v>53950</v>
      </c>
      <c r="M301" s="1083">
        <f t="shared" si="71"/>
        <v>0</v>
      </c>
      <c r="N301" s="1083">
        <f t="shared" si="71"/>
        <v>632550</v>
      </c>
    </row>
    <row r="302" spans="1:14">
      <c r="A302" s="1079" t="s">
        <v>1004</v>
      </c>
      <c r="B302" s="1011">
        <v>470429.24</v>
      </c>
      <c r="C302" s="1011">
        <v>448031</v>
      </c>
      <c r="D302" s="1011">
        <v>494316</v>
      </c>
      <c r="E302" s="1011">
        <v>609265</v>
      </c>
      <c r="F302" s="1011">
        <v>482089</v>
      </c>
      <c r="G302" s="1011">
        <v>476124</v>
      </c>
      <c r="H302" s="1011">
        <v>431742</v>
      </c>
      <c r="I302" s="1011">
        <v>438577</v>
      </c>
      <c r="J302" s="1011">
        <v>441760</v>
      </c>
      <c r="K302" s="1011">
        <v>445627</v>
      </c>
      <c r="L302" s="1011">
        <v>438584</v>
      </c>
      <c r="M302" s="1011"/>
      <c r="N302" s="1011">
        <f>SUM(B302:M302)</f>
        <v>5176544.24</v>
      </c>
    </row>
    <row r="303" spans="1:14">
      <c r="A303" s="907" t="s">
        <v>1060</v>
      </c>
      <c r="B303" s="907">
        <v>8000</v>
      </c>
      <c r="C303" s="907">
        <v>8000</v>
      </c>
      <c r="D303" s="907">
        <v>8000</v>
      </c>
      <c r="E303" s="907">
        <v>8000</v>
      </c>
      <c r="F303" s="907">
        <v>8000</v>
      </c>
      <c r="G303" s="907">
        <v>8000</v>
      </c>
      <c r="H303" s="907">
        <v>8000</v>
      </c>
      <c r="I303" s="907">
        <v>8000</v>
      </c>
      <c r="J303" s="907">
        <v>8000</v>
      </c>
      <c r="K303" s="907">
        <v>8000</v>
      </c>
      <c r="L303" s="907">
        <v>8000</v>
      </c>
      <c r="M303" s="907">
        <v>8000</v>
      </c>
      <c r="N303" s="1011">
        <f>SUM(B303:M303)</f>
        <v>96000</v>
      </c>
    </row>
    <row r="304" spans="1:14">
      <c r="A304" s="1046" t="s">
        <v>1009</v>
      </c>
      <c r="B304" s="1047">
        <f t="shared" ref="B304:N304" si="72">SUM(B301-B302-B303)</f>
        <v>-400204.24</v>
      </c>
      <c r="C304" s="1047">
        <f t="shared" si="72"/>
        <v>-358443.5</v>
      </c>
      <c r="D304" s="1047">
        <f t="shared" si="72"/>
        <v>-425991</v>
      </c>
      <c r="E304" s="1047">
        <f t="shared" si="72"/>
        <v>-602265</v>
      </c>
      <c r="F304" s="1047">
        <f t="shared" si="72"/>
        <v>-429289</v>
      </c>
      <c r="G304" s="1047">
        <f t="shared" si="72"/>
        <v>-464374</v>
      </c>
      <c r="H304" s="1047">
        <f t="shared" si="72"/>
        <v>-432192</v>
      </c>
      <c r="I304" s="1047">
        <f t="shared" si="72"/>
        <v>-388539.5</v>
      </c>
      <c r="J304" s="1047">
        <f t="shared" si="72"/>
        <v>-394035</v>
      </c>
      <c r="K304" s="1047">
        <f t="shared" si="72"/>
        <v>-344027</v>
      </c>
      <c r="L304" s="1047">
        <f t="shared" si="72"/>
        <v>-392634</v>
      </c>
      <c r="M304" s="1047">
        <f t="shared" si="72"/>
        <v>-8000</v>
      </c>
      <c r="N304" s="1047">
        <f t="shared" si="72"/>
        <v>-4639994.24</v>
      </c>
    </row>
    <row r="305" spans="1:14">
      <c r="A305" s="1084"/>
      <c r="B305" s="1085"/>
      <c r="C305" s="1085"/>
      <c r="D305" s="1085"/>
      <c r="E305" s="1085"/>
      <c r="F305" s="1085"/>
      <c r="G305" s="1085"/>
      <c r="H305" s="1085"/>
      <c r="I305" s="1085"/>
      <c r="J305" s="1085"/>
      <c r="K305" s="1085"/>
      <c r="L305" s="1085"/>
      <c r="M305" s="1085"/>
      <c r="N305" s="1085"/>
    </row>
    <row r="307" spans="1:14">
      <c r="A307" s="1079" t="s">
        <v>1166</v>
      </c>
      <c r="B307" s="911" t="s">
        <v>919</v>
      </c>
      <c r="C307" s="911" t="s">
        <v>920</v>
      </c>
      <c r="D307" s="911" t="s">
        <v>921</v>
      </c>
      <c r="E307" s="911" t="s">
        <v>922</v>
      </c>
      <c r="F307" s="911" t="s">
        <v>923</v>
      </c>
      <c r="G307" s="911" t="s">
        <v>924</v>
      </c>
      <c r="H307" s="911" t="s">
        <v>925</v>
      </c>
      <c r="I307" s="911" t="s">
        <v>926</v>
      </c>
      <c r="J307" s="911" t="s">
        <v>927</v>
      </c>
      <c r="K307" s="911" t="s">
        <v>928</v>
      </c>
      <c r="L307" s="911" t="s">
        <v>929</v>
      </c>
      <c r="M307" s="911" t="s">
        <v>918</v>
      </c>
      <c r="N307" s="1085"/>
    </row>
    <row r="308" spans="1:14">
      <c r="A308" s="971" t="s">
        <v>1167</v>
      </c>
      <c r="B308" s="971">
        <v>60</v>
      </c>
      <c r="C308" s="971"/>
      <c r="D308" s="971">
        <v>17</v>
      </c>
      <c r="E308" s="971"/>
      <c r="F308" s="971"/>
      <c r="G308" s="971"/>
      <c r="H308" s="971"/>
      <c r="I308" s="971"/>
      <c r="J308" s="971"/>
      <c r="K308" s="971"/>
      <c r="L308" s="971"/>
      <c r="M308" s="971"/>
    </row>
    <row r="309" spans="1:14">
      <c r="A309" s="971" t="s">
        <v>1062</v>
      </c>
      <c r="B309" s="971">
        <v>1616</v>
      </c>
      <c r="C309" s="971"/>
      <c r="D309" s="971">
        <v>217</v>
      </c>
      <c r="E309" s="971"/>
      <c r="F309" s="971"/>
      <c r="G309" s="971"/>
      <c r="H309" s="971"/>
      <c r="I309" s="971"/>
      <c r="J309" s="971"/>
      <c r="K309" s="971"/>
      <c r="L309" s="971"/>
      <c r="M309" s="971"/>
    </row>
    <row r="310" spans="1:14">
      <c r="A310" s="971" t="s">
        <v>1168</v>
      </c>
      <c r="B310" s="971">
        <v>11</v>
      </c>
      <c r="C310" s="971"/>
      <c r="D310" s="971"/>
      <c r="E310" s="971"/>
      <c r="F310" s="971"/>
      <c r="G310" s="971"/>
      <c r="H310" s="971"/>
      <c r="I310" s="971"/>
      <c r="J310" s="971"/>
      <c r="K310" s="971"/>
      <c r="L310" s="971"/>
      <c r="M310" s="971"/>
    </row>
    <row r="311" spans="1:14">
      <c r="A311" s="971" t="s">
        <v>1062</v>
      </c>
      <c r="B311" s="971">
        <v>520</v>
      </c>
      <c r="C311" s="971"/>
      <c r="D311" s="971"/>
      <c r="E311" s="971"/>
      <c r="F311" s="971"/>
      <c r="G311" s="971"/>
      <c r="H311" s="971"/>
      <c r="I311" s="971"/>
      <c r="J311" s="971"/>
      <c r="K311" s="971"/>
      <c r="L311" s="971"/>
      <c r="M311" s="971"/>
    </row>
    <row r="312" spans="1:14">
      <c r="A312" s="1086" t="s">
        <v>1169</v>
      </c>
      <c r="B312" s="1087"/>
      <c r="C312" s="1087"/>
      <c r="D312" s="1087"/>
      <c r="E312" s="1087"/>
      <c r="F312" s="1087"/>
      <c r="G312" s="1087"/>
      <c r="H312" s="1087"/>
      <c r="I312" s="1087"/>
      <c r="J312" s="1087"/>
      <c r="K312" s="1087"/>
      <c r="L312" s="1087"/>
      <c r="M312" s="1087"/>
    </row>
  </sheetData>
  <sheetProtection password="CC44" sheet="1" objects="1" scenarios="1"/>
  <mergeCells count="6">
    <mergeCell ref="A172:N172"/>
    <mergeCell ref="A243:N243"/>
    <mergeCell ref="A56:N56"/>
    <mergeCell ref="A1:N1"/>
    <mergeCell ref="I60:M60"/>
    <mergeCell ref="A116:N116"/>
  </mergeCells>
  <phoneticPr fontId="53" type="noConversion"/>
  <pageMargins left="0.19685039370078741" right="0" top="0.19685039370078741" bottom="0.19685039370078741" header="0.51181102362204722" footer="0.51181102362204722"/>
  <pageSetup paperSize="9" scale="80" orientation="landscape" horizontalDpi="4294967293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Ark20"/>
  <dimension ref="A1:Q310"/>
  <sheetViews>
    <sheetView topLeftCell="A10" zoomScale="67" zoomScaleNormal="67" workbookViewId="0">
      <selection activeCell="P39" sqref="P39"/>
    </sheetView>
  </sheetViews>
  <sheetFormatPr defaultRowHeight="12.75"/>
  <cols>
    <col min="1" max="1" width="23.85546875" customWidth="1"/>
    <col min="2" max="2" width="11.140625" customWidth="1"/>
    <col min="3" max="5" width="11.7109375" customWidth="1"/>
    <col min="6" max="6" width="12.28515625" customWidth="1"/>
    <col min="7" max="7" width="11.140625" customWidth="1"/>
    <col min="8" max="8" width="12.28515625" customWidth="1"/>
    <col min="9" max="9" width="13" customWidth="1"/>
    <col min="10" max="10" width="12.5703125" customWidth="1"/>
    <col min="11" max="11" width="12.140625" customWidth="1"/>
    <col min="12" max="12" width="11.140625" customWidth="1"/>
    <col min="13" max="13" width="10.7109375" customWidth="1"/>
    <col min="14" max="14" width="12" customWidth="1"/>
  </cols>
  <sheetData>
    <row r="1" spans="1:14" ht="20.25">
      <c r="A1" s="1708" t="s">
        <v>1170</v>
      </c>
      <c r="B1" s="1708"/>
      <c r="C1" s="1708"/>
      <c r="D1" s="1708"/>
      <c r="E1" s="1708"/>
      <c r="F1" s="1708"/>
      <c r="G1" s="1708"/>
      <c r="H1" s="1708"/>
      <c r="I1" s="1708"/>
      <c r="J1" s="1708"/>
      <c r="K1" s="1708"/>
      <c r="L1" s="1708"/>
      <c r="M1" s="1708"/>
      <c r="N1" s="1708"/>
    </row>
    <row r="2" spans="1:14">
      <c r="A2" s="672"/>
      <c r="B2" s="672"/>
      <c r="C2" s="672"/>
      <c r="D2" s="672"/>
      <c r="E2" s="672"/>
      <c r="F2" s="672"/>
      <c r="G2" s="672"/>
      <c r="H2" s="672"/>
      <c r="I2" s="672"/>
      <c r="J2" s="672"/>
      <c r="K2" s="672"/>
      <c r="L2" s="672"/>
      <c r="M2" s="672"/>
    </row>
    <row r="3" spans="1:14">
      <c r="A3" s="673"/>
      <c r="B3" s="607" t="s">
        <v>924</v>
      </c>
      <c r="C3" s="607" t="s">
        <v>925</v>
      </c>
      <c r="D3" s="674" t="s">
        <v>926</v>
      </c>
      <c r="E3" s="607" t="s">
        <v>927</v>
      </c>
      <c r="F3" s="607" t="s">
        <v>928</v>
      </c>
      <c r="G3" s="674" t="s">
        <v>929</v>
      </c>
      <c r="H3" s="607" t="s">
        <v>918</v>
      </c>
      <c r="I3" s="607" t="s">
        <v>919</v>
      </c>
      <c r="J3" s="607" t="s">
        <v>920</v>
      </c>
      <c r="K3" s="607" t="s">
        <v>921</v>
      </c>
      <c r="L3" s="607" t="s">
        <v>922</v>
      </c>
      <c r="M3" s="607" t="s">
        <v>923</v>
      </c>
      <c r="N3" s="673" t="s">
        <v>137</v>
      </c>
    </row>
    <row r="4" spans="1:14">
      <c r="A4" s="675" t="s">
        <v>183</v>
      </c>
      <c r="B4" s="676">
        <v>6575</v>
      </c>
      <c r="C4" s="676">
        <v>6575</v>
      </c>
      <c r="D4" s="676">
        <v>6575</v>
      </c>
      <c r="E4" s="676">
        <v>6575</v>
      </c>
      <c r="F4" s="676">
        <v>6575</v>
      </c>
      <c r="G4" s="676">
        <v>6575</v>
      </c>
      <c r="H4" s="676">
        <v>6575</v>
      </c>
      <c r="I4" s="676">
        <v>6575</v>
      </c>
      <c r="J4" s="676">
        <v>6575</v>
      </c>
      <c r="K4" s="676">
        <v>6575</v>
      </c>
      <c r="L4" s="676">
        <v>6575</v>
      </c>
      <c r="M4" s="676">
        <v>6575</v>
      </c>
      <c r="N4" s="676">
        <f t="shared" ref="N4:N16" si="0">SUM(B4:M4)</f>
        <v>78900</v>
      </c>
    </row>
    <row r="5" spans="1:14">
      <c r="A5" s="675" t="s">
        <v>942</v>
      </c>
      <c r="B5" s="676">
        <v>78.75</v>
      </c>
      <c r="C5" s="676">
        <v>163</v>
      </c>
      <c r="D5" s="676">
        <v>58</v>
      </c>
      <c r="E5" s="676"/>
      <c r="F5" s="676">
        <v>13.5</v>
      </c>
      <c r="G5" s="677"/>
      <c r="H5" s="676">
        <v>80</v>
      </c>
      <c r="I5" s="676">
        <v>194</v>
      </c>
      <c r="J5" s="678">
        <v>125.75</v>
      </c>
      <c r="K5" s="676">
        <v>18.5</v>
      </c>
      <c r="L5" s="676">
        <v>164</v>
      </c>
      <c r="M5" s="676">
        <v>128.25</v>
      </c>
      <c r="N5" s="676">
        <f t="shared" si="0"/>
        <v>1023.75</v>
      </c>
    </row>
    <row r="6" spans="1:14">
      <c r="A6" s="675" t="s">
        <v>943</v>
      </c>
      <c r="B6" s="676"/>
      <c r="C6" s="676"/>
      <c r="D6" s="676"/>
      <c r="E6" s="676"/>
      <c r="F6" s="676"/>
      <c r="G6" s="677"/>
      <c r="H6" s="676"/>
      <c r="I6" s="676"/>
      <c r="J6" s="676"/>
      <c r="K6" s="676"/>
      <c r="L6" s="676"/>
      <c r="M6" s="673"/>
      <c r="N6" s="676">
        <f t="shared" si="0"/>
        <v>0</v>
      </c>
    </row>
    <row r="7" spans="1:14">
      <c r="A7" s="675" t="s">
        <v>944</v>
      </c>
      <c r="B7" s="676">
        <v>8</v>
      </c>
      <c r="C7" s="676">
        <v>12</v>
      </c>
      <c r="D7" s="676">
        <v>17</v>
      </c>
      <c r="E7" s="676">
        <v>8</v>
      </c>
      <c r="F7" s="676">
        <v>15</v>
      </c>
      <c r="G7" s="677">
        <v>12</v>
      </c>
      <c r="H7" s="676">
        <v>3</v>
      </c>
      <c r="I7" s="676">
        <v>5</v>
      </c>
      <c r="J7" s="676">
        <v>26.75</v>
      </c>
      <c r="K7" s="676">
        <v>4.5</v>
      </c>
      <c r="L7" s="676">
        <v>8</v>
      </c>
      <c r="M7" s="673"/>
      <c r="N7" s="676">
        <f t="shared" si="0"/>
        <v>119.25</v>
      </c>
    </row>
    <row r="8" spans="1:14">
      <c r="A8" s="675" t="s">
        <v>945</v>
      </c>
      <c r="B8" s="676">
        <v>126</v>
      </c>
      <c r="C8" s="676">
        <v>598.5</v>
      </c>
      <c r="D8" s="676">
        <v>559.75</v>
      </c>
      <c r="E8" s="676">
        <v>617.75</v>
      </c>
      <c r="F8" s="676">
        <v>138.25</v>
      </c>
      <c r="G8" s="677">
        <v>887.75</v>
      </c>
      <c r="H8" s="676">
        <v>1344</v>
      </c>
      <c r="I8" s="676">
        <v>1278.5</v>
      </c>
      <c r="J8" s="676">
        <v>634.25</v>
      </c>
      <c r="K8" s="676">
        <v>491.75</v>
      </c>
      <c r="L8" s="676">
        <v>434.75</v>
      </c>
      <c r="M8" s="676">
        <v>280.25</v>
      </c>
      <c r="N8" s="676">
        <f t="shared" si="0"/>
        <v>7391.5</v>
      </c>
    </row>
    <row r="9" spans="1:14">
      <c r="A9" s="675" t="s">
        <v>946</v>
      </c>
      <c r="B9" s="676">
        <v>59.5</v>
      </c>
      <c r="C9" s="676">
        <v>70.5</v>
      </c>
      <c r="D9" s="676">
        <v>53</v>
      </c>
      <c r="E9" s="676">
        <v>90.75</v>
      </c>
      <c r="F9" s="676">
        <v>40</v>
      </c>
      <c r="G9" s="677">
        <v>0</v>
      </c>
      <c r="H9" s="676">
        <v>0</v>
      </c>
      <c r="I9" s="676">
        <v>0</v>
      </c>
      <c r="J9" s="676">
        <v>0</v>
      </c>
      <c r="K9" s="676">
        <v>0</v>
      </c>
      <c r="L9" s="676">
        <v>0</v>
      </c>
      <c r="M9" s="676">
        <v>195.75</v>
      </c>
      <c r="N9" s="676">
        <f t="shared" si="0"/>
        <v>509.5</v>
      </c>
    </row>
    <row r="10" spans="1:14">
      <c r="A10" s="675" t="s">
        <v>947</v>
      </c>
      <c r="B10" s="676">
        <v>312</v>
      </c>
      <c r="C10" s="676">
        <v>291.75</v>
      </c>
      <c r="D10" s="676">
        <v>182</v>
      </c>
      <c r="E10" s="676">
        <v>59.25</v>
      </c>
      <c r="F10" s="676">
        <v>244.5</v>
      </c>
      <c r="G10" s="677">
        <v>91.5</v>
      </c>
      <c r="H10" s="676">
        <v>32</v>
      </c>
      <c r="I10" s="676">
        <v>137</v>
      </c>
      <c r="J10" s="676">
        <v>183.75</v>
      </c>
      <c r="K10" s="676">
        <v>113.25</v>
      </c>
      <c r="L10" s="676">
        <v>270.25</v>
      </c>
      <c r="M10" s="676">
        <v>314</v>
      </c>
      <c r="N10" s="676">
        <f t="shared" si="0"/>
        <v>2231.25</v>
      </c>
    </row>
    <row r="11" spans="1:14">
      <c r="A11" s="675" t="s">
        <v>948</v>
      </c>
      <c r="B11" s="676">
        <v>0</v>
      </c>
      <c r="C11" s="676">
        <v>0</v>
      </c>
      <c r="D11" s="676">
        <v>0</v>
      </c>
      <c r="E11" s="676">
        <v>0</v>
      </c>
      <c r="F11" s="676">
        <v>0</v>
      </c>
      <c r="G11" s="677">
        <v>0</v>
      </c>
      <c r="H11" s="676">
        <v>0</v>
      </c>
      <c r="I11" s="676">
        <v>0</v>
      </c>
      <c r="J11" s="676">
        <v>0</v>
      </c>
      <c r="K11" s="676">
        <v>0</v>
      </c>
      <c r="L11" s="676">
        <v>8</v>
      </c>
      <c r="M11" s="676">
        <v>0</v>
      </c>
      <c r="N11" s="676">
        <f t="shared" si="0"/>
        <v>8</v>
      </c>
    </row>
    <row r="12" spans="1:14">
      <c r="A12" s="675" t="s">
        <v>949</v>
      </c>
      <c r="B12" s="676">
        <v>438</v>
      </c>
      <c r="C12" s="676">
        <v>156.75</v>
      </c>
      <c r="D12" s="676">
        <v>500</v>
      </c>
      <c r="E12" s="676">
        <v>336.75</v>
      </c>
      <c r="F12" s="676">
        <v>644.25</v>
      </c>
      <c r="G12" s="677">
        <v>326</v>
      </c>
      <c r="H12" s="676">
        <v>47</v>
      </c>
      <c r="I12" s="676">
        <v>203.75</v>
      </c>
      <c r="J12" s="676">
        <v>271.75</v>
      </c>
      <c r="K12" s="676">
        <v>464.75</v>
      </c>
      <c r="L12" s="676">
        <v>332.75</v>
      </c>
      <c r="M12" s="676">
        <v>460.25</v>
      </c>
      <c r="N12" s="676">
        <f t="shared" si="0"/>
        <v>4182</v>
      </c>
    </row>
    <row r="13" spans="1:14">
      <c r="A13" s="675" t="s">
        <v>950</v>
      </c>
      <c r="B13" s="676">
        <v>0</v>
      </c>
      <c r="C13" s="676">
        <v>0</v>
      </c>
      <c r="D13" s="676">
        <v>0</v>
      </c>
      <c r="E13" s="676">
        <v>0</v>
      </c>
      <c r="F13" s="676">
        <v>0</v>
      </c>
      <c r="G13" s="677">
        <v>0</v>
      </c>
      <c r="H13" s="676">
        <v>0</v>
      </c>
      <c r="I13" s="676">
        <v>0</v>
      </c>
      <c r="J13" s="676">
        <v>0</v>
      </c>
      <c r="K13" s="676">
        <v>0</v>
      </c>
      <c r="L13" s="676">
        <v>0</v>
      </c>
      <c r="M13" s="676">
        <v>0</v>
      </c>
      <c r="N13" s="676">
        <f t="shared" si="0"/>
        <v>0</v>
      </c>
    </row>
    <row r="14" spans="1:14">
      <c r="A14" s="675" t="s">
        <v>951</v>
      </c>
      <c r="B14" s="676">
        <v>144.25</v>
      </c>
      <c r="C14" s="676">
        <v>31</v>
      </c>
      <c r="D14" s="676">
        <v>104.75</v>
      </c>
      <c r="E14" s="676">
        <v>66.25</v>
      </c>
      <c r="F14" s="676">
        <v>89</v>
      </c>
      <c r="G14" s="677">
        <v>14.75</v>
      </c>
      <c r="H14" s="676">
        <v>32.5</v>
      </c>
      <c r="I14" s="676">
        <v>0</v>
      </c>
      <c r="J14" s="676">
        <v>14</v>
      </c>
      <c r="K14" s="676">
        <v>34.25</v>
      </c>
      <c r="L14" s="676">
        <v>301</v>
      </c>
      <c r="M14" s="676">
        <v>183.25</v>
      </c>
      <c r="N14" s="676">
        <f t="shared" si="0"/>
        <v>1015</v>
      </c>
    </row>
    <row r="15" spans="1:14">
      <c r="A15" s="679" t="s">
        <v>952</v>
      </c>
      <c r="B15" s="680">
        <v>0</v>
      </c>
      <c r="C15" s="680">
        <v>0</v>
      </c>
      <c r="D15" s="680">
        <v>23.25</v>
      </c>
      <c r="E15" s="680">
        <v>0</v>
      </c>
      <c r="F15" s="680">
        <v>0</v>
      </c>
      <c r="G15" s="681">
        <v>0</v>
      </c>
      <c r="H15" s="680">
        <v>0</v>
      </c>
      <c r="I15" s="680">
        <v>0</v>
      </c>
      <c r="J15" s="680">
        <v>0</v>
      </c>
      <c r="K15" s="680">
        <v>0</v>
      </c>
      <c r="L15" s="680">
        <v>0</v>
      </c>
      <c r="M15" s="680"/>
      <c r="N15" s="682">
        <f t="shared" si="0"/>
        <v>23.25</v>
      </c>
    </row>
    <row r="16" spans="1:14">
      <c r="A16" s="683" t="s">
        <v>953</v>
      </c>
      <c r="B16" s="684">
        <f t="shared" ref="B16:M16" si="1">SUM(B4+B5+B6+B7-B8-B9-B10-B12-B13-B14-B15)</f>
        <v>5582</v>
      </c>
      <c r="C16" s="684">
        <f t="shared" si="1"/>
        <v>5601.5</v>
      </c>
      <c r="D16" s="684">
        <f t="shared" si="1"/>
        <v>5227.25</v>
      </c>
      <c r="E16" s="684">
        <f t="shared" si="1"/>
        <v>5412.25</v>
      </c>
      <c r="F16" s="684">
        <f t="shared" si="1"/>
        <v>5447.5</v>
      </c>
      <c r="G16" s="684">
        <f t="shared" si="1"/>
        <v>5267</v>
      </c>
      <c r="H16" s="684">
        <f t="shared" si="1"/>
        <v>5202.5</v>
      </c>
      <c r="I16" s="684">
        <f t="shared" si="1"/>
        <v>5154.75</v>
      </c>
      <c r="J16" s="684">
        <f t="shared" si="1"/>
        <v>5623.75</v>
      </c>
      <c r="K16" s="684">
        <f t="shared" si="1"/>
        <v>5494</v>
      </c>
      <c r="L16" s="684">
        <f t="shared" si="1"/>
        <v>5408.25</v>
      </c>
      <c r="M16" s="685">
        <f t="shared" si="1"/>
        <v>5269.75</v>
      </c>
      <c r="N16" s="686">
        <f t="shared" si="0"/>
        <v>64690.5</v>
      </c>
    </row>
    <row r="17" spans="1:14">
      <c r="A17" s="687"/>
      <c r="B17" s="688"/>
      <c r="C17" s="688"/>
      <c r="D17" s="688"/>
      <c r="E17" s="688"/>
      <c r="F17" s="688"/>
      <c r="G17" s="688"/>
      <c r="H17" s="688"/>
      <c r="I17" s="688"/>
      <c r="J17" s="688"/>
      <c r="K17" s="688"/>
      <c r="L17" s="688"/>
      <c r="M17" s="688"/>
      <c r="N17" s="688"/>
    </row>
    <row r="18" spans="1:14">
      <c r="A18" s="687"/>
      <c r="B18" s="688"/>
      <c r="C18" s="688"/>
      <c r="D18" s="688"/>
      <c r="E18" s="688"/>
      <c r="F18" s="688"/>
      <c r="G18" s="688"/>
      <c r="H18" s="688"/>
      <c r="I18" s="688"/>
      <c r="J18" s="688"/>
      <c r="K18" s="688"/>
      <c r="L18" s="688"/>
      <c r="M18" s="688"/>
      <c r="N18" s="689" t="s">
        <v>954</v>
      </c>
    </row>
    <row r="19" spans="1:14">
      <c r="A19" s="675" t="s">
        <v>955</v>
      </c>
      <c r="B19" s="676">
        <f t="shared" ref="B19:M19" si="2">SUM(B5*100/B16)</f>
        <v>1.4107846649946256</v>
      </c>
      <c r="C19" s="676">
        <f t="shared" si="2"/>
        <v>2.9099348388824424</v>
      </c>
      <c r="D19" s="676">
        <f t="shared" si="2"/>
        <v>1.1095700416088765</v>
      </c>
      <c r="E19" s="676">
        <f t="shared" si="2"/>
        <v>0</v>
      </c>
      <c r="F19" s="676">
        <f t="shared" si="2"/>
        <v>0.24782010096374485</v>
      </c>
      <c r="G19" s="676">
        <f t="shared" si="2"/>
        <v>0</v>
      </c>
      <c r="H19" s="676">
        <f t="shared" si="2"/>
        <v>1.5377222489187889</v>
      </c>
      <c r="I19" s="676">
        <f t="shared" si="2"/>
        <v>3.7635190843396868</v>
      </c>
      <c r="J19" s="676">
        <f t="shared" si="2"/>
        <v>2.2360524561013557</v>
      </c>
      <c r="K19" s="676">
        <f t="shared" si="2"/>
        <v>0.33673097925009099</v>
      </c>
      <c r="L19" s="676">
        <f t="shared" si="2"/>
        <v>3.0324041972911755</v>
      </c>
      <c r="M19" s="676">
        <f t="shared" si="2"/>
        <v>2.4337017885098913</v>
      </c>
      <c r="N19" s="690">
        <f>SUM(B19:M19)/12</f>
        <v>1.5848533667383897</v>
      </c>
    </row>
    <row r="20" spans="1:14">
      <c r="A20" s="687"/>
      <c r="B20" s="688"/>
      <c r="C20" s="688"/>
      <c r="D20" s="688"/>
      <c r="E20" s="688"/>
      <c r="F20" s="688"/>
      <c r="G20" s="688"/>
      <c r="H20" s="688"/>
      <c r="I20" s="688"/>
      <c r="J20" s="688"/>
      <c r="K20" s="688"/>
      <c r="L20" s="688"/>
      <c r="M20" s="688"/>
      <c r="N20" s="672"/>
    </row>
    <row r="21" spans="1:14">
      <c r="A21" s="675" t="s">
        <v>956</v>
      </c>
      <c r="B21" s="676">
        <f t="shared" ref="B21:M21" si="3">SUM(B10*100/B16)</f>
        <v>5.5893944822644217</v>
      </c>
      <c r="C21" s="676">
        <f t="shared" si="3"/>
        <v>5.2084263143800769</v>
      </c>
      <c r="D21" s="676">
        <f t="shared" si="3"/>
        <v>3.4817542684968195</v>
      </c>
      <c r="E21" s="676">
        <f t="shared" si="3"/>
        <v>1.0947387870109473</v>
      </c>
      <c r="F21" s="676">
        <f t="shared" si="3"/>
        <v>4.4882973841211564</v>
      </c>
      <c r="G21" s="676">
        <f t="shared" si="3"/>
        <v>1.7372318207708373</v>
      </c>
      <c r="H21" s="676">
        <f t="shared" si="3"/>
        <v>0.61508889956751567</v>
      </c>
      <c r="I21" s="676">
        <f t="shared" si="3"/>
        <v>2.6577428585285414</v>
      </c>
      <c r="J21" s="676">
        <f t="shared" si="3"/>
        <v>3.2673927539453214</v>
      </c>
      <c r="K21" s="676">
        <f t="shared" si="3"/>
        <v>2.0613396432471789</v>
      </c>
      <c r="L21" s="676">
        <f t="shared" si="3"/>
        <v>4.9969953312069526</v>
      </c>
      <c r="M21" s="676">
        <f t="shared" si="3"/>
        <v>5.9585369324920539</v>
      </c>
      <c r="N21" s="690">
        <f>SUM(B21:M21)/12</f>
        <v>3.4297449563359854</v>
      </c>
    </row>
    <row r="22" spans="1:14">
      <c r="A22" s="691" t="s">
        <v>957</v>
      </c>
      <c r="B22" s="682">
        <f t="shared" ref="B22:M22" si="4">SUM(B11*100/B16)</f>
        <v>0</v>
      </c>
      <c r="C22" s="682">
        <f t="shared" si="4"/>
        <v>0</v>
      </c>
      <c r="D22" s="682">
        <f t="shared" si="4"/>
        <v>0</v>
      </c>
      <c r="E22" s="682">
        <f t="shared" si="4"/>
        <v>0</v>
      </c>
      <c r="F22" s="682">
        <f t="shared" si="4"/>
        <v>0</v>
      </c>
      <c r="G22" s="682">
        <f t="shared" si="4"/>
        <v>0</v>
      </c>
      <c r="H22" s="682">
        <f t="shared" si="4"/>
        <v>0</v>
      </c>
      <c r="I22" s="682">
        <f t="shared" si="4"/>
        <v>0</v>
      </c>
      <c r="J22" s="682">
        <f t="shared" si="4"/>
        <v>0</v>
      </c>
      <c r="K22" s="682">
        <f t="shared" si="4"/>
        <v>0</v>
      </c>
      <c r="L22" s="682">
        <f t="shared" si="4"/>
        <v>0.14792215596542319</v>
      </c>
      <c r="M22" s="682">
        <f t="shared" si="4"/>
        <v>0</v>
      </c>
      <c r="N22" s="692">
        <f>SUM(B22:M22)/12</f>
        <v>1.2326846330451932E-2</v>
      </c>
    </row>
    <row r="23" spans="1:14">
      <c r="A23" s="693" t="s">
        <v>958</v>
      </c>
      <c r="B23" s="694">
        <f t="shared" ref="B23:M23" si="5">SUM(B21:B21)</f>
        <v>5.5893944822644217</v>
      </c>
      <c r="C23" s="694">
        <f t="shared" si="5"/>
        <v>5.2084263143800769</v>
      </c>
      <c r="D23" s="694">
        <f t="shared" si="5"/>
        <v>3.4817542684968195</v>
      </c>
      <c r="E23" s="694">
        <f t="shared" si="5"/>
        <v>1.0947387870109473</v>
      </c>
      <c r="F23" s="694">
        <f t="shared" si="5"/>
        <v>4.4882973841211564</v>
      </c>
      <c r="G23" s="694">
        <f t="shared" si="5"/>
        <v>1.7372318207708373</v>
      </c>
      <c r="H23" s="694">
        <f t="shared" si="5"/>
        <v>0.61508889956751567</v>
      </c>
      <c r="I23" s="694">
        <f t="shared" si="5"/>
        <v>2.6577428585285414</v>
      </c>
      <c r="J23" s="694">
        <f t="shared" si="5"/>
        <v>3.2673927539453214</v>
      </c>
      <c r="K23" s="694">
        <f t="shared" si="5"/>
        <v>2.0613396432471789</v>
      </c>
      <c r="L23" s="694">
        <f t="shared" si="5"/>
        <v>4.9969953312069526</v>
      </c>
      <c r="M23" s="694">
        <f t="shared" si="5"/>
        <v>5.9585369324920539</v>
      </c>
      <c r="N23" s="695">
        <f>SUM(N21:N22)</f>
        <v>3.4420718026664372</v>
      </c>
    </row>
    <row r="24" spans="1:14">
      <c r="A24" s="687" t="s">
        <v>959</v>
      </c>
      <c r="B24" s="688"/>
      <c r="C24" s="688"/>
      <c r="D24" s="696">
        <f>SUM(B23:D23)/3</f>
        <v>4.7598583550471059</v>
      </c>
      <c r="E24" s="688"/>
      <c r="F24" s="688"/>
      <c r="G24" s="696">
        <f>SUM(E23,F23,G23)/3</f>
        <v>2.4400893306343137</v>
      </c>
      <c r="H24" s="688"/>
      <c r="I24" s="688"/>
      <c r="J24" s="696">
        <f>SUM(H23,I23,J23)/3</f>
        <v>2.1800748373471261</v>
      </c>
      <c r="K24" s="688"/>
      <c r="L24" s="688"/>
      <c r="M24" s="696">
        <f>SUM(K23,L23,M23)/3</f>
        <v>4.3389573023153956</v>
      </c>
      <c r="N24" s="697">
        <f>SUM(D24:M24)/4</f>
        <v>3.429744956335985</v>
      </c>
    </row>
    <row r="25" spans="1:14">
      <c r="A25" s="687" t="s">
        <v>960</v>
      </c>
      <c r="B25" s="688"/>
      <c r="C25" s="688"/>
      <c r="D25" s="698"/>
      <c r="E25" s="688"/>
      <c r="F25" s="688"/>
      <c r="G25" s="698"/>
      <c r="H25" s="688"/>
      <c r="I25" s="688"/>
      <c r="J25" s="698"/>
      <c r="K25" s="688"/>
      <c r="L25" s="688"/>
      <c r="M25" s="698"/>
      <c r="N25" s="690">
        <f>SUM(D25:G25,J25,M25)/4</f>
        <v>0</v>
      </c>
    </row>
    <row r="26" spans="1:14">
      <c r="A26" s="687"/>
      <c r="B26" s="688"/>
      <c r="C26" s="688"/>
      <c r="D26" s="688"/>
      <c r="E26" s="688"/>
      <c r="F26" s="688"/>
      <c r="G26" s="688"/>
      <c r="H26" s="688"/>
      <c r="I26" s="688"/>
      <c r="J26" s="688"/>
      <c r="K26" s="688"/>
      <c r="L26" s="688"/>
      <c r="M26" s="688"/>
      <c r="N26" s="688"/>
    </row>
    <row r="27" spans="1:14">
      <c r="A27" s="675" t="s">
        <v>961</v>
      </c>
      <c r="B27" s="676">
        <f t="shared" ref="B27:M27" si="6">B14*100/B16</f>
        <v>2.5841992117520602</v>
      </c>
      <c r="C27" s="676">
        <f t="shared" si="6"/>
        <v>0.55342319021690622</v>
      </c>
      <c r="D27" s="676">
        <f t="shared" si="6"/>
        <v>2.0039217561815486</v>
      </c>
      <c r="E27" s="676">
        <f t="shared" si="6"/>
        <v>1.2240750150122408</v>
      </c>
      <c r="F27" s="676">
        <f t="shared" si="6"/>
        <v>1.6337769619091327</v>
      </c>
      <c r="G27" s="676">
        <f t="shared" si="6"/>
        <v>0.2800455667362825</v>
      </c>
      <c r="H27" s="676">
        <f t="shared" si="6"/>
        <v>0.62469966362325802</v>
      </c>
      <c r="I27" s="676">
        <f t="shared" si="6"/>
        <v>0</v>
      </c>
      <c r="J27" s="676">
        <f t="shared" si="6"/>
        <v>0.24894420982440543</v>
      </c>
      <c r="K27" s="676">
        <f t="shared" si="6"/>
        <v>0.62340735347651988</v>
      </c>
      <c r="L27" s="676">
        <f t="shared" si="6"/>
        <v>5.5655711181990482</v>
      </c>
      <c r="M27" s="676">
        <f t="shared" si="6"/>
        <v>3.477394563309455</v>
      </c>
      <c r="N27" s="690">
        <f>SUM(B27:M27)/12</f>
        <v>1.5682882175200714</v>
      </c>
    </row>
    <row r="28" spans="1:14">
      <c r="A28" s="675" t="s">
        <v>962</v>
      </c>
      <c r="B28" s="676">
        <f t="shared" ref="B28:M28" si="7">B12*100/B16</f>
        <v>7.8466499462558223</v>
      </c>
      <c r="C28" s="676">
        <f t="shared" si="7"/>
        <v>2.7983575827903242</v>
      </c>
      <c r="D28" s="676">
        <f t="shared" si="7"/>
        <v>9.5652589793868668</v>
      </c>
      <c r="E28" s="676">
        <f t="shared" si="7"/>
        <v>6.2219963970622203</v>
      </c>
      <c r="F28" s="676">
        <f t="shared" si="7"/>
        <v>11.826525929325379</v>
      </c>
      <c r="G28" s="676">
        <f t="shared" si="7"/>
        <v>6.1894816783747864</v>
      </c>
      <c r="H28" s="676">
        <f t="shared" si="7"/>
        <v>0.90341182123978858</v>
      </c>
      <c r="I28" s="676">
        <f t="shared" si="7"/>
        <v>3.9526650177021194</v>
      </c>
      <c r="J28" s="676">
        <f t="shared" si="7"/>
        <v>4.8321849299844413</v>
      </c>
      <c r="K28" s="676">
        <f t="shared" si="7"/>
        <v>8.4592282489989081</v>
      </c>
      <c r="L28" s="676">
        <f t="shared" si="7"/>
        <v>6.1526371746868209</v>
      </c>
      <c r="M28" s="676">
        <f t="shared" si="7"/>
        <v>8.7338109018454393</v>
      </c>
      <c r="N28" s="690">
        <f>SUM(B28:M28)/12</f>
        <v>6.456850717304409</v>
      </c>
    </row>
    <row r="29" spans="1:14">
      <c r="A29" s="675" t="s">
        <v>963</v>
      </c>
      <c r="B29" s="676">
        <f t="shared" ref="B29:M29" si="8">B8*100/B16</f>
        <v>2.2572554639914011</v>
      </c>
      <c r="C29" s="676">
        <f t="shared" si="8"/>
        <v>10.684638043381238</v>
      </c>
      <c r="D29" s="676">
        <f t="shared" si="8"/>
        <v>10.708307427423598</v>
      </c>
      <c r="E29" s="676">
        <f t="shared" si="8"/>
        <v>11.413922121114139</v>
      </c>
      <c r="F29" s="676">
        <f t="shared" si="8"/>
        <v>2.5378614043139054</v>
      </c>
      <c r="G29" s="676">
        <f t="shared" si="8"/>
        <v>16.854945889500666</v>
      </c>
      <c r="H29" s="676">
        <f t="shared" si="8"/>
        <v>25.833733781835654</v>
      </c>
      <c r="I29" s="676">
        <f t="shared" si="8"/>
        <v>24.802366749114896</v>
      </c>
      <c r="J29" s="676">
        <f t="shared" si="8"/>
        <v>11.278061791509224</v>
      </c>
      <c r="K29" s="676">
        <f t="shared" si="8"/>
        <v>8.9506734619585</v>
      </c>
      <c r="L29" s="676">
        <f t="shared" si="8"/>
        <v>8.0386446632459663</v>
      </c>
      <c r="M29" s="676">
        <f t="shared" si="8"/>
        <v>5.318089093410503</v>
      </c>
      <c r="N29" s="690">
        <f>SUM(B29:M29)/12</f>
        <v>11.556541657566642</v>
      </c>
    </row>
    <row r="30" spans="1:14">
      <c r="A30" s="699" t="s">
        <v>964</v>
      </c>
      <c r="B30" s="700">
        <f t="shared" ref="B30:M30" si="9">SUM(B4-B16)*100/B16</f>
        <v>17.789322823360802</v>
      </c>
      <c r="C30" s="700">
        <f t="shared" si="9"/>
        <v>17.379273408908329</v>
      </c>
      <c r="D30" s="700">
        <f t="shared" si="9"/>
        <v>25.783155578937301</v>
      </c>
      <c r="E30" s="700">
        <f t="shared" si="9"/>
        <v>21.483671301214837</v>
      </c>
      <c r="F30" s="700">
        <f t="shared" si="9"/>
        <v>20.697567691601652</v>
      </c>
      <c r="G30" s="700">
        <f t="shared" si="9"/>
        <v>24.833871273970001</v>
      </c>
      <c r="H30" s="700">
        <f t="shared" si="9"/>
        <v>26.381547333012975</v>
      </c>
      <c r="I30" s="700">
        <f t="shared" si="9"/>
        <v>27.552257626461031</v>
      </c>
      <c r="J30" s="700">
        <f t="shared" si="9"/>
        <v>16.914869971104689</v>
      </c>
      <c r="K30" s="700">
        <f t="shared" si="9"/>
        <v>19.676010192937749</v>
      </c>
      <c r="L30" s="700">
        <f t="shared" si="9"/>
        <v>21.573521934082191</v>
      </c>
      <c r="M30" s="700">
        <f t="shared" si="9"/>
        <v>24.768727169220551</v>
      </c>
      <c r="N30" s="701">
        <f>SUM(B30:M30)/12</f>
        <v>22.069483025401009</v>
      </c>
    </row>
    <row r="31" spans="1:14">
      <c r="A31" s="687"/>
      <c r="B31" s="688"/>
      <c r="C31" s="688"/>
      <c r="D31" s="688"/>
      <c r="E31" s="688"/>
      <c r="F31" s="688"/>
      <c r="G31" s="688"/>
      <c r="H31" s="688"/>
      <c r="I31" s="688"/>
      <c r="J31" s="688"/>
      <c r="K31" s="688"/>
      <c r="L31" s="688"/>
      <c r="M31" s="688"/>
      <c r="N31" s="672"/>
    </row>
    <row r="32" spans="1:14">
      <c r="A32" s="702" t="s">
        <v>965</v>
      </c>
      <c r="B32" s="688"/>
      <c r="C32" s="688"/>
      <c r="D32" s="688"/>
      <c r="E32" s="688"/>
      <c r="F32" s="688"/>
      <c r="G32" s="688"/>
      <c r="H32" s="688"/>
      <c r="I32" s="688"/>
      <c r="J32" s="688"/>
      <c r="K32" s="688"/>
      <c r="L32" s="688"/>
      <c r="M32" s="688"/>
      <c r="N32" s="672"/>
    </row>
    <row r="33" spans="1:14">
      <c r="A33" s="675" t="s">
        <v>966</v>
      </c>
      <c r="B33" s="703">
        <v>47</v>
      </c>
      <c r="C33" s="703">
        <f t="shared" ref="C33:N33" si="10">B36</f>
        <v>45</v>
      </c>
      <c r="D33" s="703">
        <f t="shared" si="10"/>
        <v>47</v>
      </c>
      <c r="E33" s="703">
        <f t="shared" si="10"/>
        <v>44</v>
      </c>
      <c r="F33" s="703">
        <f t="shared" si="10"/>
        <v>44</v>
      </c>
      <c r="G33" s="703">
        <f t="shared" si="10"/>
        <v>44</v>
      </c>
      <c r="H33" s="703">
        <f t="shared" si="10"/>
        <v>46</v>
      </c>
      <c r="I33" s="703">
        <f t="shared" si="10"/>
        <v>45</v>
      </c>
      <c r="J33" s="703">
        <f t="shared" si="10"/>
        <v>43</v>
      </c>
      <c r="K33" s="703">
        <f t="shared" si="10"/>
        <v>43</v>
      </c>
      <c r="L33" s="703">
        <f t="shared" si="10"/>
        <v>43</v>
      </c>
      <c r="M33" s="703">
        <f t="shared" si="10"/>
        <v>43</v>
      </c>
      <c r="N33" s="703">
        <f t="shared" si="10"/>
        <v>43</v>
      </c>
    </row>
    <row r="34" spans="1:14">
      <c r="A34" s="675" t="s">
        <v>967</v>
      </c>
      <c r="B34" s="703">
        <v>1</v>
      </c>
      <c r="C34" s="703">
        <v>2</v>
      </c>
      <c r="D34" s="703"/>
      <c r="E34" s="703"/>
      <c r="F34" s="703"/>
      <c r="G34" s="703">
        <v>2</v>
      </c>
      <c r="H34" s="703">
        <v>1</v>
      </c>
      <c r="I34" s="703"/>
      <c r="J34" s="703"/>
      <c r="K34" s="703"/>
      <c r="L34" s="703"/>
      <c r="M34" s="703"/>
      <c r="N34" s="703"/>
    </row>
    <row r="35" spans="1:14">
      <c r="A35" s="675" t="s">
        <v>968</v>
      </c>
      <c r="B35" s="703">
        <v>3</v>
      </c>
      <c r="C35" s="703"/>
      <c r="D35" s="703">
        <v>3</v>
      </c>
      <c r="E35" s="703"/>
      <c r="F35" s="703"/>
      <c r="G35" s="703"/>
      <c r="H35" s="703">
        <v>2</v>
      </c>
      <c r="I35" s="703">
        <v>2</v>
      </c>
      <c r="J35" s="703"/>
      <c r="K35" s="703"/>
      <c r="L35" s="703"/>
      <c r="M35" s="703"/>
      <c r="N35" s="703"/>
    </row>
    <row r="36" spans="1:14">
      <c r="A36" s="675" t="s">
        <v>965</v>
      </c>
      <c r="B36" s="703">
        <f t="shared" ref="B36:M36" si="11">SUM(B33+B34-B35)</f>
        <v>45</v>
      </c>
      <c r="C36" s="703">
        <f t="shared" si="11"/>
        <v>47</v>
      </c>
      <c r="D36" s="703">
        <f t="shared" si="11"/>
        <v>44</v>
      </c>
      <c r="E36" s="703">
        <f t="shared" si="11"/>
        <v>44</v>
      </c>
      <c r="F36" s="703">
        <f t="shared" si="11"/>
        <v>44</v>
      </c>
      <c r="G36" s="703">
        <f t="shared" si="11"/>
        <v>46</v>
      </c>
      <c r="H36" s="703">
        <f t="shared" si="11"/>
        <v>45</v>
      </c>
      <c r="I36" s="703">
        <f t="shared" si="11"/>
        <v>43</v>
      </c>
      <c r="J36" s="703">
        <f t="shared" si="11"/>
        <v>43</v>
      </c>
      <c r="K36" s="703">
        <f t="shared" si="11"/>
        <v>43</v>
      </c>
      <c r="L36" s="703">
        <f t="shared" si="11"/>
        <v>43</v>
      </c>
      <c r="M36" s="703">
        <f t="shared" si="11"/>
        <v>43</v>
      </c>
      <c r="N36" s="703">
        <f>SUM(B36:M36)/12</f>
        <v>44.166666666666664</v>
      </c>
    </row>
    <row r="37" spans="1:14">
      <c r="A37" s="675" t="s">
        <v>969</v>
      </c>
      <c r="B37" s="704">
        <f t="shared" ref="B37:M37" si="12">SUM(B36*100)/B33-100</f>
        <v>-4.2553191489361666</v>
      </c>
      <c r="C37" s="704">
        <f t="shared" si="12"/>
        <v>4.4444444444444429</v>
      </c>
      <c r="D37" s="704">
        <f t="shared" si="12"/>
        <v>-6.3829787234042499</v>
      </c>
      <c r="E37" s="704">
        <f t="shared" si="12"/>
        <v>0</v>
      </c>
      <c r="F37" s="704">
        <f t="shared" si="12"/>
        <v>0</v>
      </c>
      <c r="G37" s="704">
        <f t="shared" si="12"/>
        <v>4.5454545454545467</v>
      </c>
      <c r="H37" s="704">
        <f t="shared" si="12"/>
        <v>-2.1739130434782652</v>
      </c>
      <c r="I37" s="704">
        <f t="shared" si="12"/>
        <v>-4.4444444444444429</v>
      </c>
      <c r="J37" s="704">
        <f t="shared" si="12"/>
        <v>0</v>
      </c>
      <c r="K37" s="704">
        <f t="shared" si="12"/>
        <v>0</v>
      </c>
      <c r="L37" s="704">
        <f t="shared" si="12"/>
        <v>0</v>
      </c>
      <c r="M37" s="704">
        <f t="shared" si="12"/>
        <v>0</v>
      </c>
      <c r="N37" s="703"/>
    </row>
    <row r="38" spans="1:14">
      <c r="A38" s="687" t="s">
        <v>970</v>
      </c>
      <c r="B38" s="705"/>
      <c r="C38" s="705"/>
      <c r="D38" s="706">
        <f>SUM(B37:D37/3)</f>
        <v>-2.1276595744680833</v>
      </c>
      <c r="E38" s="705"/>
      <c r="F38" s="705"/>
      <c r="G38" s="706">
        <f>SUM(E37:G37)/3</f>
        <v>1.5151515151515156</v>
      </c>
      <c r="H38" s="705"/>
      <c r="I38" s="705"/>
      <c r="J38" s="706">
        <f>SUM(H37:J37)/3</f>
        <v>-2.2061191626409027</v>
      </c>
      <c r="K38" s="705"/>
      <c r="L38" s="705"/>
      <c r="M38" s="706">
        <f>SUM(K37:M37)/3</f>
        <v>0</v>
      </c>
      <c r="N38" s="705"/>
    </row>
    <row r="39" spans="1:14">
      <c r="A39" s="687"/>
      <c r="B39" s="688"/>
      <c r="C39" s="688"/>
      <c r="D39" s="688"/>
      <c r="E39" s="688"/>
      <c r="F39" s="688"/>
      <c r="G39" s="688"/>
      <c r="H39" s="688"/>
      <c r="I39" s="688"/>
      <c r="J39" s="688"/>
      <c r="K39" s="688"/>
      <c r="L39" s="688"/>
      <c r="M39" s="688"/>
      <c r="N39" s="672"/>
    </row>
    <row r="40" spans="1:14" ht="15.75">
      <c r="E40" s="707" t="s">
        <v>971</v>
      </c>
      <c r="F40" s="708"/>
      <c r="G40" s="709">
        <v>2010</v>
      </c>
    </row>
    <row r="41" spans="1:14">
      <c r="A41" s="710" t="s">
        <v>972</v>
      </c>
      <c r="B41" s="711" t="s">
        <v>924</v>
      </c>
      <c r="C41" s="711" t="s">
        <v>925</v>
      </c>
      <c r="D41" s="711" t="s">
        <v>926</v>
      </c>
      <c r="E41" s="711" t="s">
        <v>927</v>
      </c>
      <c r="F41" s="711" t="s">
        <v>928</v>
      </c>
      <c r="G41" s="711" t="s">
        <v>929</v>
      </c>
      <c r="H41" s="711" t="s">
        <v>918</v>
      </c>
      <c r="I41" s="711" t="s">
        <v>919</v>
      </c>
      <c r="J41" s="711" t="s">
        <v>920</v>
      </c>
      <c r="K41" s="711" t="s">
        <v>921</v>
      </c>
      <c r="L41" s="711" t="s">
        <v>922</v>
      </c>
      <c r="M41" s="711" t="s">
        <v>923</v>
      </c>
      <c r="N41" s="712" t="s">
        <v>137</v>
      </c>
    </row>
    <row r="42" spans="1:14">
      <c r="A42" s="329" t="s">
        <v>973</v>
      </c>
      <c r="B42" s="130">
        <v>25</v>
      </c>
      <c r="C42" s="130">
        <v>45</v>
      </c>
      <c r="D42" s="130">
        <v>39</v>
      </c>
      <c r="E42" s="130">
        <v>42</v>
      </c>
      <c r="F42" s="130">
        <v>42</v>
      </c>
      <c r="G42" s="130">
        <v>67</v>
      </c>
      <c r="H42" s="130">
        <v>44</v>
      </c>
      <c r="I42" s="130">
        <v>38</v>
      </c>
      <c r="J42" s="130">
        <v>45</v>
      </c>
      <c r="K42" s="130">
        <v>68</v>
      </c>
      <c r="L42" s="130">
        <v>58</v>
      </c>
      <c r="M42" s="130">
        <v>28</v>
      </c>
      <c r="N42" s="345">
        <f>SUM(B42:M42)</f>
        <v>541</v>
      </c>
    </row>
    <row r="43" spans="1:14">
      <c r="A43" s="329" t="s">
        <v>974</v>
      </c>
      <c r="B43" s="130">
        <v>911</v>
      </c>
      <c r="C43" s="130">
        <v>923</v>
      </c>
      <c r="D43" s="130">
        <v>428</v>
      </c>
      <c r="E43" s="130">
        <v>788</v>
      </c>
      <c r="F43" s="130">
        <v>711</v>
      </c>
      <c r="G43" s="130">
        <v>1895</v>
      </c>
      <c r="H43" s="130">
        <v>1028</v>
      </c>
      <c r="I43" s="130">
        <v>907</v>
      </c>
      <c r="J43" s="130">
        <v>1109</v>
      </c>
      <c r="K43" s="130">
        <v>2496</v>
      </c>
      <c r="L43" s="130">
        <v>2238</v>
      </c>
      <c r="M43" s="130">
        <v>1144</v>
      </c>
      <c r="N43" s="345">
        <f>SUM(B43:M43)</f>
        <v>14578</v>
      </c>
    </row>
    <row r="44" spans="1:14">
      <c r="A44" s="329" t="s">
        <v>975</v>
      </c>
      <c r="B44" s="130">
        <v>37</v>
      </c>
      <c r="C44" s="130">
        <v>81</v>
      </c>
      <c r="D44" s="130">
        <v>148</v>
      </c>
      <c r="E44" s="130">
        <v>546</v>
      </c>
      <c r="F44" s="130">
        <v>821</v>
      </c>
      <c r="G44" s="130">
        <v>2832</v>
      </c>
      <c r="H44" s="130">
        <v>3984</v>
      </c>
      <c r="I44" s="130">
        <v>1989</v>
      </c>
      <c r="J44" s="130">
        <v>706</v>
      </c>
      <c r="K44" s="130">
        <v>580</v>
      </c>
      <c r="L44" s="130">
        <v>250</v>
      </c>
      <c r="M44" s="130">
        <v>41</v>
      </c>
      <c r="N44" s="345">
        <f>SUM(B44:M44)</f>
        <v>12015</v>
      </c>
    </row>
    <row r="45" spans="1:14">
      <c r="A45" s="329" t="s">
        <v>976</v>
      </c>
      <c r="B45" s="130">
        <v>278</v>
      </c>
      <c r="C45" s="130">
        <v>360</v>
      </c>
      <c r="D45" s="130">
        <v>211</v>
      </c>
      <c r="E45" s="130">
        <v>365</v>
      </c>
      <c r="F45" s="130">
        <v>364</v>
      </c>
      <c r="G45" s="130">
        <v>793</v>
      </c>
      <c r="H45" s="130">
        <v>386</v>
      </c>
      <c r="I45" s="130">
        <v>542</v>
      </c>
      <c r="J45" s="130">
        <v>525</v>
      </c>
      <c r="K45" s="130">
        <v>746</v>
      </c>
      <c r="L45" s="130">
        <v>796</v>
      </c>
      <c r="M45" s="130">
        <v>420</v>
      </c>
      <c r="N45" s="345">
        <f>SUM(B45:M45)</f>
        <v>5786</v>
      </c>
    </row>
    <row r="46" spans="1:14">
      <c r="A46" s="670" t="s">
        <v>984</v>
      </c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295">
        <f>SUM(B46:M46)</f>
        <v>0</v>
      </c>
    </row>
    <row r="48" spans="1:14" ht="15.75">
      <c r="E48" s="707" t="s">
        <v>978</v>
      </c>
      <c r="F48" s="708"/>
      <c r="G48" s="709">
        <v>2010</v>
      </c>
    </row>
    <row r="49" spans="1:17">
      <c r="A49" s="710" t="s">
        <v>979</v>
      </c>
      <c r="B49" s="711" t="s">
        <v>924</v>
      </c>
      <c r="C49" s="711" t="s">
        <v>925</v>
      </c>
      <c r="D49" s="711" t="s">
        <v>926</v>
      </c>
      <c r="E49" s="711" t="s">
        <v>927</v>
      </c>
      <c r="F49" s="711" t="s">
        <v>928</v>
      </c>
      <c r="G49" s="711" t="s">
        <v>929</v>
      </c>
      <c r="H49" s="711" t="s">
        <v>918</v>
      </c>
      <c r="I49" s="711" t="s">
        <v>919</v>
      </c>
      <c r="J49" s="711" t="s">
        <v>920</v>
      </c>
      <c r="K49" s="711" t="s">
        <v>921</v>
      </c>
      <c r="L49" s="711" t="s">
        <v>922</v>
      </c>
      <c r="M49" s="711" t="s">
        <v>923</v>
      </c>
      <c r="N49" s="712" t="s">
        <v>137</v>
      </c>
    </row>
    <row r="50" spans="1:17">
      <c r="A50" s="364" t="s">
        <v>980</v>
      </c>
      <c r="B50" s="713"/>
      <c r="C50" s="713"/>
      <c r="D50" s="713">
        <v>1</v>
      </c>
      <c r="E50" s="713"/>
      <c r="F50" s="713"/>
      <c r="G50" s="713"/>
      <c r="H50" s="713"/>
      <c r="I50" s="713"/>
      <c r="J50" s="713"/>
      <c r="K50" s="713"/>
      <c r="L50" s="713"/>
      <c r="M50" s="713"/>
      <c r="N50" s="714">
        <f>SUM(B50:M50)</f>
        <v>1</v>
      </c>
    </row>
    <row r="51" spans="1:17">
      <c r="A51" s="329" t="s">
        <v>981</v>
      </c>
      <c r="B51" s="715">
        <v>27</v>
      </c>
      <c r="C51" s="715">
        <v>19</v>
      </c>
      <c r="D51" s="715">
        <v>21</v>
      </c>
      <c r="E51" s="715">
        <v>19</v>
      </c>
      <c r="F51" s="715">
        <v>25</v>
      </c>
      <c r="G51" s="715">
        <v>18</v>
      </c>
      <c r="H51" s="715">
        <v>11</v>
      </c>
      <c r="I51" s="715">
        <v>23</v>
      </c>
      <c r="J51" s="715">
        <v>7</v>
      </c>
      <c r="K51" s="715">
        <v>18</v>
      </c>
      <c r="L51" s="715">
        <v>23</v>
      </c>
      <c r="M51" s="715">
        <v>63</v>
      </c>
      <c r="N51" s="714">
        <f>SUM(B51:M51)</f>
        <v>274</v>
      </c>
    </row>
    <row r="52" spans="1:17">
      <c r="A52" s="329" t="s">
        <v>982</v>
      </c>
      <c r="B52" s="715">
        <v>25</v>
      </c>
      <c r="C52" s="715">
        <v>29</v>
      </c>
      <c r="D52" s="715">
        <v>22</v>
      </c>
      <c r="E52" s="715">
        <v>33</v>
      </c>
      <c r="F52" s="715">
        <v>57</v>
      </c>
      <c r="G52" s="715">
        <v>39</v>
      </c>
      <c r="H52" s="715">
        <v>40</v>
      </c>
      <c r="I52" s="715">
        <v>53</v>
      </c>
      <c r="J52" s="715">
        <v>53</v>
      </c>
      <c r="K52" s="715">
        <v>51</v>
      </c>
      <c r="L52" s="715">
        <v>51</v>
      </c>
      <c r="M52" s="715">
        <v>59</v>
      </c>
      <c r="N52" s="714">
        <f>SUM(B52:M52)</f>
        <v>512</v>
      </c>
    </row>
    <row r="53" spans="1:17">
      <c r="A53" s="329" t="s">
        <v>983</v>
      </c>
      <c r="B53" s="716"/>
      <c r="C53" s="716">
        <v>2</v>
      </c>
      <c r="D53" s="716">
        <v>3</v>
      </c>
      <c r="E53" s="716">
        <v>5</v>
      </c>
      <c r="F53" s="716">
        <v>3</v>
      </c>
      <c r="G53" s="716">
        <v>4</v>
      </c>
      <c r="H53" s="716">
        <v>10</v>
      </c>
      <c r="I53" s="716">
        <v>2</v>
      </c>
      <c r="J53" s="716">
        <v>2</v>
      </c>
      <c r="K53" s="716">
        <v>3</v>
      </c>
      <c r="L53" s="716">
        <v>4</v>
      </c>
      <c r="M53" s="716">
        <v>5</v>
      </c>
      <c r="N53" s="714">
        <f>SUM(B53:M53)</f>
        <v>43</v>
      </c>
    </row>
    <row r="54" spans="1:17">
      <c r="A54" s="670" t="s">
        <v>984</v>
      </c>
      <c r="B54" s="717">
        <v>54</v>
      </c>
      <c r="C54" s="717">
        <v>48</v>
      </c>
      <c r="D54" s="717">
        <v>23</v>
      </c>
      <c r="E54" s="717">
        <v>29</v>
      </c>
      <c r="F54" s="717">
        <v>53</v>
      </c>
      <c r="G54" s="717">
        <v>60</v>
      </c>
      <c r="H54" s="717">
        <v>31</v>
      </c>
      <c r="I54" s="717">
        <v>50</v>
      </c>
      <c r="J54" s="717">
        <v>44</v>
      </c>
      <c r="K54" s="717">
        <v>54</v>
      </c>
      <c r="L54" s="717">
        <v>65</v>
      </c>
      <c r="M54" s="717">
        <v>75</v>
      </c>
      <c r="N54" s="718">
        <f>SUM(B54:M54)</f>
        <v>586</v>
      </c>
    </row>
    <row r="55" spans="1:17">
      <c r="A55" s="622"/>
      <c r="B55" s="622"/>
      <c r="C55" s="622"/>
      <c r="D55" s="622"/>
      <c r="E55" s="622"/>
      <c r="F55" s="622"/>
      <c r="G55" s="622"/>
      <c r="H55" s="622"/>
      <c r="I55" s="622"/>
      <c r="J55" s="622"/>
      <c r="K55" s="622"/>
      <c r="L55" s="622"/>
      <c r="M55" s="622"/>
      <c r="N55" s="622"/>
    </row>
    <row r="56" spans="1:17" ht="18">
      <c r="A56" s="1709" t="s">
        <v>1171</v>
      </c>
      <c r="B56" s="1709"/>
      <c r="C56" s="1709"/>
      <c r="D56" s="1709"/>
      <c r="E56" s="1709"/>
      <c r="F56" s="1709"/>
      <c r="G56" s="1709"/>
      <c r="H56" s="1709"/>
      <c r="I56" s="1709"/>
      <c r="J56" s="1709"/>
      <c r="K56" s="1709"/>
      <c r="L56" s="1709"/>
      <c r="M56" s="1709"/>
      <c r="N56" s="1709"/>
    </row>
    <row r="57" spans="1:17" ht="15.75">
      <c r="E57" s="605"/>
      <c r="M57" s="688"/>
      <c r="N57" s="672"/>
    </row>
    <row r="58" spans="1:17">
      <c r="A58" s="495" t="s">
        <v>1065</v>
      </c>
      <c r="B58" s="157"/>
      <c r="C58" s="719"/>
      <c r="D58" s="153" t="s">
        <v>1024</v>
      </c>
      <c r="I58" s="155"/>
      <c r="J58" s="581" t="s">
        <v>1066</v>
      </c>
      <c r="K58" s="157"/>
      <c r="L58" s="157"/>
      <c r="M58" s="157"/>
      <c r="N58" s="720"/>
      <c r="P58" s="688"/>
      <c r="Q58" s="672"/>
    </row>
    <row r="59" spans="1:17">
      <c r="A59" s="155">
        <v>722</v>
      </c>
      <c r="B59" s="155" t="s">
        <v>1067</v>
      </c>
      <c r="C59" s="489"/>
      <c r="D59" s="721">
        <v>9867745</v>
      </c>
      <c r="E59" s="671"/>
      <c r="F59" s="671"/>
      <c r="G59" s="671"/>
      <c r="H59" s="671"/>
      <c r="I59" s="153" t="s">
        <v>1068</v>
      </c>
      <c r="J59" s="130" t="s">
        <v>1069</v>
      </c>
      <c r="K59" s="130" t="s">
        <v>1070</v>
      </c>
      <c r="L59" s="128" t="s">
        <v>1027</v>
      </c>
      <c r="M59" s="722"/>
      <c r="N59" s="130" t="s">
        <v>1029</v>
      </c>
      <c r="P59" s="688"/>
      <c r="Q59" s="672"/>
    </row>
    <row r="60" spans="1:17">
      <c r="A60" s="155"/>
      <c r="B60" s="155"/>
      <c r="C60" s="489"/>
      <c r="D60" s="721"/>
      <c r="E60" s="671"/>
      <c r="F60" s="671"/>
      <c r="G60" s="671"/>
      <c r="H60" s="671"/>
      <c r="I60" s="1710" t="s">
        <v>1071</v>
      </c>
      <c r="J60" s="1710"/>
      <c r="K60" s="1710"/>
      <c r="L60" s="1710"/>
      <c r="M60" s="1710"/>
      <c r="N60" s="723">
        <f>F89</f>
        <v>3474196</v>
      </c>
      <c r="O60" s="671"/>
      <c r="P60" s="688"/>
      <c r="Q60" s="672"/>
    </row>
    <row r="61" spans="1:17">
      <c r="A61" s="359" t="s">
        <v>154</v>
      </c>
      <c r="B61" s="65"/>
      <c r="C61" s="724"/>
      <c r="D61" s="725">
        <f>SUM(D59:D60)</f>
        <v>9867745</v>
      </c>
      <c r="E61" s="726"/>
      <c r="F61" s="726"/>
      <c r="G61" s="726"/>
      <c r="H61" s="671"/>
      <c r="I61" s="130"/>
      <c r="J61" s="155"/>
      <c r="K61" s="727"/>
      <c r="L61" s="155"/>
      <c r="M61" s="489"/>
      <c r="N61" s="728"/>
      <c r="O61" s="729"/>
      <c r="P61" s="688"/>
      <c r="Q61" s="672"/>
    </row>
    <row r="62" spans="1:17">
      <c r="A62" t="s">
        <v>153</v>
      </c>
      <c r="B62" s="1"/>
      <c r="C62" s="1"/>
      <c r="D62" s="726">
        <f>D61/12</f>
        <v>822312.08333333337</v>
      </c>
      <c r="E62" s="730"/>
      <c r="F62" s="730"/>
      <c r="G62" s="730"/>
      <c r="H62" s="671"/>
      <c r="I62" s="130">
        <v>62011</v>
      </c>
      <c r="J62" s="155">
        <v>747</v>
      </c>
      <c r="K62" s="727">
        <v>38047</v>
      </c>
      <c r="L62" s="155" t="s">
        <v>1172</v>
      </c>
      <c r="M62" s="489"/>
      <c r="N62" s="731">
        <v>60690</v>
      </c>
      <c r="O62" s="732"/>
      <c r="P62" s="688"/>
      <c r="Q62" s="672"/>
    </row>
    <row r="63" spans="1:17">
      <c r="B63" s="1"/>
      <c r="C63" s="1"/>
      <c r="H63" s="671"/>
      <c r="I63" s="130">
        <v>62011</v>
      </c>
      <c r="J63" s="733" t="s">
        <v>1074</v>
      </c>
      <c r="K63" s="727">
        <v>38048</v>
      </c>
      <c r="L63" s="155" t="s">
        <v>1075</v>
      </c>
      <c r="M63" s="489"/>
      <c r="N63" s="731">
        <v>19215</v>
      </c>
      <c r="O63" s="732"/>
      <c r="P63" s="688"/>
      <c r="Q63" s="672"/>
    </row>
    <row r="64" spans="1:17">
      <c r="B64" s="1"/>
      <c r="C64" s="1"/>
      <c r="H64" s="671"/>
      <c r="I64" s="130" t="s">
        <v>1076</v>
      </c>
      <c r="J64" s="733" t="s">
        <v>1077</v>
      </c>
      <c r="K64" s="727">
        <v>38047</v>
      </c>
      <c r="L64" s="155" t="s">
        <v>1078</v>
      </c>
      <c r="M64" s="489"/>
      <c r="N64" s="731">
        <v>19215</v>
      </c>
      <c r="O64" s="732"/>
      <c r="P64" s="688"/>
      <c r="Q64" s="672"/>
    </row>
    <row r="65" spans="1:17">
      <c r="A65" s="155"/>
      <c r="B65" s="581" t="s">
        <v>1066</v>
      </c>
      <c r="C65" s="157"/>
      <c r="D65" s="157"/>
      <c r="E65" s="157"/>
      <c r="F65" s="720"/>
      <c r="G65" s="1"/>
      <c r="H65" s="671" t="s">
        <v>1079</v>
      </c>
      <c r="I65" s="734"/>
      <c r="J65" s="735"/>
      <c r="K65" s="736"/>
      <c r="L65" s="735"/>
      <c r="M65" s="737"/>
      <c r="N65" s="738"/>
      <c r="O65" s="671"/>
      <c r="P65" s="688"/>
      <c r="Q65" s="672"/>
    </row>
    <row r="66" spans="1:17">
      <c r="A66" s="153" t="s">
        <v>1068</v>
      </c>
      <c r="B66" s="130" t="s">
        <v>1069</v>
      </c>
      <c r="C66" s="130" t="s">
        <v>1070</v>
      </c>
      <c r="D66" s="128" t="s">
        <v>1027</v>
      </c>
      <c r="E66" s="722"/>
      <c r="F66" s="130" t="s">
        <v>1029</v>
      </c>
      <c r="G66" s="72"/>
      <c r="H66" s="739" t="s">
        <v>1080</v>
      </c>
      <c r="I66" s="668">
        <v>31400</v>
      </c>
      <c r="J66" s="740">
        <v>758</v>
      </c>
      <c r="K66" s="741">
        <v>37500</v>
      </c>
      <c r="L66" s="740" t="s">
        <v>1081</v>
      </c>
      <c r="M66" s="742"/>
      <c r="N66" s="743">
        <v>38640</v>
      </c>
      <c r="O66" s="744"/>
      <c r="P66" s="688"/>
      <c r="Q66" s="672"/>
    </row>
    <row r="67" spans="1:17">
      <c r="A67" s="745" t="s">
        <v>1085</v>
      </c>
      <c r="B67" s="155">
        <v>112</v>
      </c>
      <c r="C67" s="727">
        <v>37956</v>
      </c>
      <c r="D67" s="155" t="s">
        <v>1086</v>
      </c>
      <c r="E67" s="489"/>
      <c r="F67" s="731">
        <v>114030</v>
      </c>
      <c r="G67" s="732"/>
      <c r="H67" s="739" t="s">
        <v>1083</v>
      </c>
      <c r="I67" s="668">
        <v>51302</v>
      </c>
      <c r="J67" s="740">
        <v>759</v>
      </c>
      <c r="K67" s="741">
        <v>37501</v>
      </c>
      <c r="L67" s="740" t="s">
        <v>1084</v>
      </c>
      <c r="M67" s="742"/>
      <c r="N67" s="743">
        <v>16170</v>
      </c>
      <c r="O67" s="732"/>
      <c r="P67" s="688"/>
      <c r="Q67" s="672"/>
    </row>
    <row r="68" spans="1:17">
      <c r="A68" s="745" t="s">
        <v>1089</v>
      </c>
      <c r="B68" s="746">
        <v>113</v>
      </c>
      <c r="C68" s="747">
        <v>38012</v>
      </c>
      <c r="D68" s="746" t="s">
        <v>1090</v>
      </c>
      <c r="E68" s="748"/>
      <c r="F68" s="749">
        <v>143325</v>
      </c>
      <c r="G68" s="671"/>
      <c r="H68" s="739" t="s">
        <v>1087</v>
      </c>
      <c r="I68" s="668">
        <v>53204</v>
      </c>
      <c r="J68" s="740">
        <v>760</v>
      </c>
      <c r="K68" s="741">
        <v>37502</v>
      </c>
      <c r="L68" s="740" t="s">
        <v>1088</v>
      </c>
      <c r="M68" s="742"/>
      <c r="N68" s="743">
        <v>34335</v>
      </c>
      <c r="O68" s="732"/>
      <c r="P68" s="688"/>
      <c r="Q68" s="672"/>
    </row>
    <row r="69" spans="1:17">
      <c r="A69" s="130">
        <v>23140</v>
      </c>
      <c r="B69" s="746">
        <v>116</v>
      </c>
      <c r="C69" s="747">
        <v>38412</v>
      </c>
      <c r="D69" s="746" t="s">
        <v>1094</v>
      </c>
      <c r="E69" s="748"/>
      <c r="F69" s="749">
        <v>59220</v>
      </c>
      <c r="G69" s="671"/>
      <c r="I69" s="130">
        <v>62014</v>
      </c>
      <c r="J69" s="155">
        <v>803</v>
      </c>
      <c r="K69" s="727">
        <v>39448</v>
      </c>
      <c r="L69" s="155" t="s">
        <v>1091</v>
      </c>
      <c r="M69" s="489"/>
      <c r="N69" s="749">
        <v>48195</v>
      </c>
      <c r="O69" s="671"/>
      <c r="P69" s="688"/>
      <c r="Q69" s="672"/>
    </row>
    <row r="70" spans="1:17">
      <c r="A70" s="130" t="s">
        <v>1076</v>
      </c>
      <c r="B70" s="155">
        <v>119</v>
      </c>
      <c r="C70" s="727">
        <v>38808</v>
      </c>
      <c r="D70" s="155" t="s">
        <v>1096</v>
      </c>
      <c r="E70" s="489"/>
      <c r="F70" s="731">
        <v>1599570</v>
      </c>
      <c r="G70" s="671"/>
      <c r="H70" s="671"/>
      <c r="I70" s="130">
        <v>62014</v>
      </c>
      <c r="J70" s="155">
        <v>811</v>
      </c>
      <c r="K70" s="727">
        <v>39448</v>
      </c>
      <c r="L70" s="155" t="s">
        <v>1093</v>
      </c>
      <c r="M70" s="489"/>
      <c r="N70" s="749">
        <v>141015</v>
      </c>
      <c r="O70" s="671"/>
      <c r="P70" s="688"/>
      <c r="Q70" s="672"/>
    </row>
    <row r="71" spans="1:17">
      <c r="A71" s="130">
        <v>62005</v>
      </c>
      <c r="B71" s="155">
        <v>121</v>
      </c>
      <c r="C71" s="727">
        <v>39264</v>
      </c>
      <c r="D71" s="155" t="s">
        <v>1098</v>
      </c>
      <c r="E71" s="489"/>
      <c r="F71" s="731">
        <v>96390</v>
      </c>
      <c r="G71" s="671"/>
      <c r="H71" s="671"/>
      <c r="I71" s="130">
        <v>49500</v>
      </c>
      <c r="J71" s="746">
        <v>900</v>
      </c>
      <c r="K71" s="747">
        <v>38353</v>
      </c>
      <c r="L71" s="746" t="s">
        <v>1095</v>
      </c>
      <c r="M71" s="748"/>
      <c r="N71" s="749">
        <v>3990</v>
      </c>
      <c r="O71" s="671"/>
      <c r="P71" s="688"/>
      <c r="Q71" s="672"/>
    </row>
    <row r="72" spans="1:17">
      <c r="A72" s="130">
        <v>38350</v>
      </c>
      <c r="B72" s="155">
        <v>122</v>
      </c>
      <c r="C72" s="727">
        <v>39264</v>
      </c>
      <c r="D72" s="155" t="s">
        <v>1101</v>
      </c>
      <c r="E72" s="489"/>
      <c r="F72" s="731">
        <v>18165</v>
      </c>
      <c r="G72" s="671"/>
      <c r="H72" s="671"/>
      <c r="O72" s="671"/>
      <c r="P72" s="688"/>
      <c r="Q72" s="672"/>
    </row>
    <row r="73" spans="1:17">
      <c r="A73" s="130">
        <v>91100</v>
      </c>
      <c r="B73" s="750">
        <v>124</v>
      </c>
      <c r="C73" s="747">
        <v>39814</v>
      </c>
      <c r="D73" s="155" t="s">
        <v>1173</v>
      </c>
      <c r="E73" s="751"/>
      <c r="F73" s="749">
        <v>37710</v>
      </c>
      <c r="G73" s="671"/>
      <c r="H73" s="671"/>
      <c r="O73" s="671"/>
      <c r="P73" s="688"/>
      <c r="Q73" s="672"/>
    </row>
    <row r="74" spans="1:17">
      <c r="A74" s="130">
        <v>49500</v>
      </c>
      <c r="B74" s="750">
        <v>125</v>
      </c>
      <c r="C74" s="752">
        <v>40179</v>
      </c>
      <c r="D74" s="753" t="s">
        <v>1174</v>
      </c>
      <c r="E74" s="751"/>
      <c r="F74" s="754">
        <v>101146</v>
      </c>
      <c r="G74" s="671"/>
      <c r="H74" s="671"/>
      <c r="I74" s="130" t="s">
        <v>1175</v>
      </c>
      <c r="J74" s="755">
        <v>134</v>
      </c>
      <c r="K74" s="752">
        <v>40263</v>
      </c>
      <c r="L74" s="735" t="s">
        <v>1176</v>
      </c>
      <c r="M74" s="756"/>
      <c r="N74" s="749">
        <v>32500</v>
      </c>
      <c r="O74" s="671"/>
      <c r="P74" s="688"/>
      <c r="Q74" s="672"/>
    </row>
    <row r="75" spans="1:17">
      <c r="A75" s="130">
        <v>49500</v>
      </c>
      <c r="B75" s="750">
        <v>126</v>
      </c>
      <c r="C75" s="752">
        <v>40179</v>
      </c>
      <c r="D75" s="753" t="s">
        <v>1177</v>
      </c>
      <c r="E75" s="751"/>
      <c r="F75" s="754">
        <v>101146</v>
      </c>
      <c r="G75" s="671"/>
      <c r="H75" s="757"/>
      <c r="I75" s="758">
        <v>19020</v>
      </c>
      <c r="J75" s="759">
        <v>131</v>
      </c>
      <c r="K75" s="752">
        <v>40238</v>
      </c>
      <c r="L75" s="760" t="s">
        <v>1110</v>
      </c>
      <c r="N75" s="761">
        <v>202291</v>
      </c>
      <c r="O75" s="671"/>
      <c r="P75" s="688"/>
      <c r="Q75" s="672"/>
    </row>
    <row r="76" spans="1:17">
      <c r="A76" s="130">
        <v>60111</v>
      </c>
      <c r="B76" s="750">
        <v>128</v>
      </c>
      <c r="C76" s="747">
        <v>39815</v>
      </c>
      <c r="D76" s="155" t="s">
        <v>1104</v>
      </c>
      <c r="E76" s="762"/>
      <c r="F76" s="721">
        <v>172149</v>
      </c>
      <c r="G76" s="671"/>
      <c r="H76" s="671"/>
      <c r="I76" s="130"/>
      <c r="J76" s="746"/>
      <c r="K76" s="747"/>
      <c r="L76" s="746"/>
      <c r="M76" s="748"/>
      <c r="N76" s="749"/>
      <c r="O76" s="671"/>
      <c r="P76" s="688"/>
      <c r="Q76" s="672"/>
    </row>
    <row r="77" spans="1:17">
      <c r="A77" s="130">
        <v>37105</v>
      </c>
      <c r="B77" s="750">
        <v>129</v>
      </c>
      <c r="C77" s="747">
        <v>39904</v>
      </c>
      <c r="D77" s="155" t="s">
        <v>1106</v>
      </c>
      <c r="E77" s="762"/>
      <c r="F77" s="721">
        <v>18523</v>
      </c>
      <c r="G77" s="671"/>
      <c r="H77" s="671"/>
      <c r="I77" s="130"/>
      <c r="J77" s="746"/>
      <c r="K77" s="747"/>
      <c r="L77" s="746"/>
      <c r="M77" s="748"/>
      <c r="N77" s="749"/>
      <c r="O77" s="671"/>
      <c r="P77" s="688"/>
      <c r="Q77" s="672"/>
    </row>
    <row r="78" spans="1:17">
      <c r="A78" s="130">
        <v>69725</v>
      </c>
      <c r="B78" s="750">
        <v>130</v>
      </c>
      <c r="C78" s="747">
        <v>39918</v>
      </c>
      <c r="D78" s="155" t="s">
        <v>1108</v>
      </c>
      <c r="E78" s="762"/>
      <c r="F78" s="721">
        <v>28691</v>
      </c>
      <c r="G78" s="671"/>
      <c r="H78" s="671"/>
      <c r="I78" s="130"/>
      <c r="J78" s="746"/>
      <c r="K78" s="747"/>
      <c r="L78" s="746"/>
      <c r="M78" s="748"/>
      <c r="N78" s="749"/>
      <c r="O78" s="671"/>
      <c r="P78" s="688"/>
      <c r="Q78" s="672"/>
    </row>
    <row r="79" spans="1:17">
      <c r="A79" s="130">
        <v>54100</v>
      </c>
      <c r="B79" s="750">
        <v>133</v>
      </c>
      <c r="C79" s="747">
        <v>40040</v>
      </c>
      <c r="D79" s="155" t="s">
        <v>1111</v>
      </c>
      <c r="E79" s="762"/>
      <c r="F79" s="761"/>
      <c r="G79" s="671" t="s">
        <v>1153</v>
      </c>
      <c r="H79" s="671"/>
      <c r="I79" s="130"/>
      <c r="J79" s="746"/>
      <c r="K79" s="747"/>
      <c r="L79" s="746"/>
      <c r="M79" s="748"/>
      <c r="N79" s="749"/>
      <c r="O79" s="671"/>
      <c r="P79" s="688"/>
      <c r="Q79" s="672"/>
    </row>
    <row r="80" spans="1:17">
      <c r="A80" s="130">
        <v>50005</v>
      </c>
      <c r="B80" s="155">
        <v>132</v>
      </c>
      <c r="C80" s="727">
        <v>40057</v>
      </c>
      <c r="D80" s="155" t="s">
        <v>1113</v>
      </c>
      <c r="E80" s="721"/>
      <c r="F80" s="731">
        <v>175350</v>
      </c>
      <c r="G80" s="671"/>
      <c r="H80" s="671"/>
      <c r="I80" s="130">
        <v>20100</v>
      </c>
      <c r="J80" s="735" t="s">
        <v>1067</v>
      </c>
      <c r="K80" s="727">
        <v>40179</v>
      </c>
      <c r="L80" s="155" t="s">
        <v>1038</v>
      </c>
      <c r="M80" s="489"/>
      <c r="N80" s="749">
        <v>536360</v>
      </c>
      <c r="O80" s="671"/>
      <c r="P80" s="688"/>
      <c r="Q80" s="672"/>
    </row>
    <row r="81" spans="1:17">
      <c r="A81" s="130"/>
      <c r="B81" s="750" t="s">
        <v>1102</v>
      </c>
      <c r="C81" s="747">
        <v>39448</v>
      </c>
      <c r="D81" s="155" t="s">
        <v>1152</v>
      </c>
      <c r="E81" s="493"/>
      <c r="F81" s="749">
        <v>28665</v>
      </c>
      <c r="G81" s="671"/>
      <c r="H81" s="671"/>
      <c r="I81" s="130">
        <v>80005</v>
      </c>
      <c r="J81" s="735" t="s">
        <v>1067</v>
      </c>
      <c r="K81" s="727">
        <v>40179</v>
      </c>
      <c r="L81" s="155" t="s">
        <v>1116</v>
      </c>
      <c r="M81" s="489"/>
      <c r="N81" s="749">
        <v>496511</v>
      </c>
      <c r="O81" s="671"/>
      <c r="P81" s="688"/>
      <c r="Q81" s="672"/>
    </row>
    <row r="82" spans="1:17">
      <c r="A82" s="130">
        <v>11040</v>
      </c>
      <c r="B82" s="750" t="s">
        <v>1178</v>
      </c>
      <c r="C82" s="747">
        <v>39448</v>
      </c>
      <c r="D82" s="155" t="s">
        <v>1179</v>
      </c>
      <c r="E82" s="493"/>
      <c r="F82" s="749">
        <v>28665</v>
      </c>
      <c r="G82" s="671"/>
      <c r="H82" s="671"/>
      <c r="I82" s="130">
        <v>39630</v>
      </c>
      <c r="J82" s="735" t="s">
        <v>1067</v>
      </c>
      <c r="K82" s="727">
        <v>40179</v>
      </c>
      <c r="L82" s="155" t="s">
        <v>1119</v>
      </c>
      <c r="M82" s="489"/>
      <c r="N82" s="749">
        <v>567857</v>
      </c>
      <c r="O82" s="671"/>
      <c r="P82" s="688"/>
      <c r="Q82" s="672"/>
    </row>
    <row r="83" spans="1:17">
      <c r="A83" s="130">
        <v>28100</v>
      </c>
      <c r="B83" s="746">
        <v>728</v>
      </c>
      <c r="C83" s="747">
        <v>38846</v>
      </c>
      <c r="D83" s="155" t="s">
        <v>1105</v>
      </c>
      <c r="E83" s="748"/>
      <c r="F83" s="748">
        <v>72450</v>
      </c>
      <c r="G83" s="671"/>
      <c r="H83" s="671"/>
      <c r="I83" s="130">
        <v>49500</v>
      </c>
      <c r="J83" s="735" t="s">
        <v>1067</v>
      </c>
      <c r="K83" s="727">
        <v>40179</v>
      </c>
      <c r="L83" s="155" t="s">
        <v>1122</v>
      </c>
      <c r="M83" s="489"/>
      <c r="N83" s="749">
        <v>532376</v>
      </c>
      <c r="O83" s="671"/>
      <c r="P83" s="688"/>
      <c r="Q83" s="672"/>
    </row>
    <row r="84" spans="1:17" ht="15.75">
      <c r="A84" s="130">
        <v>11023</v>
      </c>
      <c r="B84" s="746">
        <v>732</v>
      </c>
      <c r="C84" s="752" t="s">
        <v>1180</v>
      </c>
      <c r="D84" s="735" t="s">
        <v>1181</v>
      </c>
      <c r="E84" s="489"/>
      <c r="F84" s="738">
        <v>28455</v>
      </c>
      <c r="G84" s="763"/>
      <c r="H84" s="671"/>
      <c r="I84" s="130">
        <v>60111</v>
      </c>
      <c r="J84" s="735" t="s">
        <v>1067</v>
      </c>
      <c r="K84" s="727">
        <v>40179</v>
      </c>
      <c r="L84" s="155" t="s">
        <v>1125</v>
      </c>
      <c r="M84" s="489"/>
      <c r="N84" s="749">
        <v>703724</v>
      </c>
      <c r="O84" s="671"/>
      <c r="P84" s="688"/>
      <c r="Q84" s="672"/>
    </row>
    <row r="85" spans="1:17" ht="15.75">
      <c r="A85" s="130">
        <v>62001</v>
      </c>
      <c r="B85" s="746">
        <v>737</v>
      </c>
      <c r="C85" s="747">
        <v>38292</v>
      </c>
      <c r="D85" s="746" t="s">
        <v>1182</v>
      </c>
      <c r="E85" s="748"/>
      <c r="F85" s="749">
        <v>100905</v>
      </c>
      <c r="G85" s="763"/>
      <c r="H85" s="555"/>
      <c r="I85" s="130">
        <v>11023</v>
      </c>
      <c r="J85" s="735" t="s">
        <v>1067</v>
      </c>
      <c r="K85" s="727">
        <v>40179</v>
      </c>
      <c r="L85" s="746" t="s">
        <v>1128</v>
      </c>
      <c r="M85" s="748"/>
      <c r="N85" s="749">
        <v>4258207</v>
      </c>
      <c r="O85" s="671"/>
      <c r="P85" s="688"/>
      <c r="Q85" s="672"/>
    </row>
    <row r="86" spans="1:17" ht="15.75">
      <c r="A86" s="130">
        <v>82500</v>
      </c>
      <c r="B86" s="155">
        <v>740</v>
      </c>
      <c r="C86" s="727">
        <v>37834</v>
      </c>
      <c r="D86" s="155" t="s">
        <v>1183</v>
      </c>
      <c r="E86" s="489"/>
      <c r="F86" s="731">
        <v>91350</v>
      </c>
      <c r="G86" s="763"/>
      <c r="H86" s="671"/>
      <c r="I86" s="130">
        <v>11023</v>
      </c>
      <c r="J86" s="735" t="s">
        <v>1067</v>
      </c>
      <c r="K86" s="727">
        <v>40179</v>
      </c>
      <c r="L86" s="155" t="s">
        <v>1131</v>
      </c>
      <c r="M86" s="489"/>
      <c r="N86" s="749">
        <v>1122930</v>
      </c>
      <c r="O86" s="671"/>
      <c r="P86" s="688"/>
      <c r="Q86" s="672"/>
    </row>
    <row r="87" spans="1:17">
      <c r="A87" s="130">
        <v>62006</v>
      </c>
      <c r="B87" s="733" t="s">
        <v>1099</v>
      </c>
      <c r="C87" s="727">
        <v>39173</v>
      </c>
      <c r="D87" s="155" t="s">
        <v>1184</v>
      </c>
      <c r="E87" s="489"/>
      <c r="F87" s="731">
        <v>40110</v>
      </c>
      <c r="G87" s="671"/>
      <c r="H87" s="555"/>
      <c r="I87" s="130" t="s">
        <v>1134</v>
      </c>
      <c r="J87" s="735" t="s">
        <v>1067</v>
      </c>
      <c r="K87" s="727">
        <v>40179</v>
      </c>
      <c r="L87" s="746" t="s">
        <v>1076</v>
      </c>
      <c r="M87" s="748"/>
      <c r="N87" s="749">
        <v>1649780</v>
      </c>
      <c r="O87" s="671"/>
      <c r="P87" s="688"/>
      <c r="Q87" s="672"/>
    </row>
    <row r="88" spans="1:17">
      <c r="A88" s="734"/>
      <c r="B88" s="733">
        <v>745</v>
      </c>
      <c r="C88" s="736">
        <v>40238</v>
      </c>
      <c r="D88" s="735" t="s">
        <v>1185</v>
      </c>
      <c r="E88" s="762"/>
      <c r="F88" s="764">
        <v>418181</v>
      </c>
      <c r="G88" s="671"/>
      <c r="H88" s="555"/>
      <c r="J88" s="359" t="s">
        <v>154</v>
      </c>
      <c r="K88" s="724"/>
      <c r="L88" s="65"/>
      <c r="M88" s="724"/>
      <c r="N88" s="725">
        <f>SUM(N60:N87)</f>
        <v>13958197</v>
      </c>
      <c r="O88" s="732"/>
      <c r="P88" s="688"/>
      <c r="Q88" s="672"/>
    </row>
    <row r="89" spans="1:17">
      <c r="B89" s="359" t="s">
        <v>1136</v>
      </c>
      <c r="C89" s="724"/>
      <c r="D89" s="65"/>
      <c r="E89" s="724"/>
      <c r="F89" s="765">
        <f>SUM(F66:F88)</f>
        <v>3474196</v>
      </c>
      <c r="G89" s="671"/>
      <c r="H89" s="555"/>
      <c r="J89" s="14" t="s">
        <v>153</v>
      </c>
      <c r="K89" s="14"/>
      <c r="L89" s="14"/>
      <c r="M89" s="766"/>
      <c r="N89" s="767">
        <f>N88/12</f>
        <v>1163183.0833333333</v>
      </c>
      <c r="O89" s="732"/>
      <c r="P89" s="688"/>
      <c r="Q89" s="672"/>
    </row>
    <row r="90" spans="1:17">
      <c r="C90" s="671"/>
      <c r="D90" s="671"/>
      <c r="E90" s="671"/>
      <c r="F90" s="671"/>
      <c r="G90" s="671"/>
      <c r="H90" s="671"/>
      <c r="L90" s="726"/>
      <c r="M90" s="768"/>
      <c r="N90" s="768"/>
      <c r="O90" s="732"/>
      <c r="P90" s="688"/>
      <c r="Q90" s="672"/>
    </row>
    <row r="91" spans="1:17">
      <c r="C91" s="671"/>
      <c r="D91" s="671"/>
      <c r="E91" s="671"/>
      <c r="F91" s="671"/>
      <c r="G91" s="671"/>
      <c r="H91" s="671"/>
      <c r="L91" s="726"/>
      <c r="M91" s="768"/>
      <c r="N91" s="768"/>
      <c r="O91" s="671"/>
      <c r="P91" s="688"/>
      <c r="Q91" s="672"/>
    </row>
    <row r="92" spans="1:17">
      <c r="C92" s="671"/>
      <c r="D92" s="671"/>
      <c r="E92" s="671"/>
      <c r="F92" s="671"/>
      <c r="G92" s="671"/>
      <c r="H92" s="671"/>
      <c r="L92" s="726"/>
      <c r="M92" s="768"/>
      <c r="N92" s="768"/>
      <c r="O92" s="769"/>
      <c r="P92" s="688"/>
      <c r="Q92" s="672"/>
    </row>
    <row r="93" spans="1:17">
      <c r="C93" s="671"/>
      <c r="D93" s="671"/>
      <c r="E93" s="671"/>
      <c r="F93" s="671"/>
      <c r="G93" s="671"/>
      <c r="L93" s="726"/>
      <c r="M93" s="768"/>
      <c r="N93" s="768"/>
      <c r="O93" s="769"/>
      <c r="P93" s="688"/>
      <c r="Q93" s="672"/>
    </row>
    <row r="94" spans="1:17">
      <c r="C94" s="671"/>
      <c r="D94" s="671"/>
      <c r="E94" s="671"/>
      <c r="F94" s="671"/>
      <c r="G94" s="671"/>
      <c r="L94" s="726"/>
      <c r="M94" s="768"/>
      <c r="N94" s="768"/>
      <c r="O94" s="732"/>
      <c r="P94" s="688"/>
      <c r="Q94" s="672"/>
    </row>
    <row r="95" spans="1:17">
      <c r="C95" s="671"/>
      <c r="D95" s="671"/>
      <c r="E95" s="671"/>
      <c r="F95" s="671"/>
      <c r="G95" s="671"/>
      <c r="L95" s="726"/>
      <c r="M95" s="768"/>
      <c r="N95" s="768"/>
      <c r="O95" s="671"/>
      <c r="P95" s="688"/>
      <c r="Q95" s="672"/>
    </row>
    <row r="96" spans="1:17">
      <c r="C96" s="671"/>
      <c r="D96" s="671"/>
      <c r="L96" s="726"/>
      <c r="M96" s="768"/>
      <c r="N96" s="768"/>
    </row>
    <row r="97" spans="1:14">
      <c r="A97" s="770" t="s">
        <v>986</v>
      </c>
      <c r="B97" s="676" t="s">
        <v>924</v>
      </c>
      <c r="C97" s="676" t="s">
        <v>925</v>
      </c>
      <c r="D97" s="676" t="s">
        <v>926</v>
      </c>
      <c r="E97" s="676" t="s">
        <v>927</v>
      </c>
      <c r="F97" s="676" t="s">
        <v>928</v>
      </c>
      <c r="G97" s="676" t="s">
        <v>929</v>
      </c>
      <c r="H97" s="676" t="s">
        <v>918</v>
      </c>
      <c r="I97" s="676" t="s">
        <v>919</v>
      </c>
      <c r="J97" s="676" t="s">
        <v>920</v>
      </c>
      <c r="K97" s="676" t="s">
        <v>921</v>
      </c>
      <c r="L97" s="676" t="s">
        <v>922</v>
      </c>
      <c r="M97" s="676" t="s">
        <v>923</v>
      </c>
      <c r="N97" s="673"/>
    </row>
    <row r="98" spans="1:14">
      <c r="A98" s="675" t="s">
        <v>987</v>
      </c>
      <c r="B98" s="771"/>
      <c r="C98" s="771"/>
      <c r="D98" s="771"/>
      <c r="E98" s="771"/>
      <c r="F98" s="771"/>
      <c r="G98" s="771"/>
      <c r="H98" s="771"/>
      <c r="I98" s="771"/>
      <c r="J98" s="771"/>
      <c r="K98" s="771"/>
      <c r="L98" s="771"/>
      <c r="M98" s="771"/>
      <c r="N98" s="772">
        <f>SUM(B98:M98)</f>
        <v>0</v>
      </c>
    </row>
    <row r="99" spans="1:14">
      <c r="A99" s="691" t="s">
        <v>988</v>
      </c>
      <c r="B99" s="773">
        <f>N89</f>
        <v>1163183.0833333333</v>
      </c>
      <c r="C99" s="773">
        <f>N89</f>
        <v>1163183.0833333333</v>
      </c>
      <c r="D99" s="773">
        <f>N89</f>
        <v>1163183.0833333333</v>
      </c>
      <c r="E99" s="773">
        <f>N89</f>
        <v>1163183.0833333333</v>
      </c>
      <c r="F99" s="773">
        <f>N89</f>
        <v>1163183.0833333333</v>
      </c>
      <c r="G99" s="773">
        <f>N89</f>
        <v>1163183.0833333333</v>
      </c>
      <c r="H99" s="773">
        <f>N89</f>
        <v>1163183.0833333333</v>
      </c>
      <c r="I99" s="773">
        <f>N89</f>
        <v>1163183.0833333333</v>
      </c>
      <c r="J99" s="773">
        <f>N89</f>
        <v>1163183.0833333333</v>
      </c>
      <c r="K99" s="773">
        <f>N89</f>
        <v>1163183.0833333333</v>
      </c>
      <c r="L99" s="773">
        <f>N89</f>
        <v>1163183.0833333333</v>
      </c>
      <c r="M99" s="773">
        <f>N89</f>
        <v>1163183.0833333333</v>
      </c>
      <c r="N99" s="774">
        <f>SUM(B99:M99)</f>
        <v>13958197.000000002</v>
      </c>
    </row>
    <row r="100" spans="1:14">
      <c r="A100" s="775" t="s">
        <v>989</v>
      </c>
      <c r="B100" s="776">
        <f t="shared" ref="B100:N100" si="13">SUM(B98:B99)</f>
        <v>1163183.0833333333</v>
      </c>
      <c r="C100" s="776">
        <f t="shared" si="13"/>
        <v>1163183.0833333333</v>
      </c>
      <c r="D100" s="776">
        <f t="shared" si="13"/>
        <v>1163183.0833333333</v>
      </c>
      <c r="E100" s="776">
        <f t="shared" si="13"/>
        <v>1163183.0833333333</v>
      </c>
      <c r="F100" s="776">
        <f t="shared" si="13"/>
        <v>1163183.0833333333</v>
      </c>
      <c r="G100" s="776">
        <f t="shared" si="13"/>
        <v>1163183.0833333333</v>
      </c>
      <c r="H100" s="776">
        <f t="shared" si="13"/>
        <v>1163183.0833333333</v>
      </c>
      <c r="I100" s="776">
        <f t="shared" si="13"/>
        <v>1163183.0833333333</v>
      </c>
      <c r="J100" s="776">
        <f t="shared" si="13"/>
        <v>1163183.0833333333</v>
      </c>
      <c r="K100" s="776">
        <f t="shared" si="13"/>
        <v>1163183.0833333333</v>
      </c>
      <c r="L100" s="776">
        <f t="shared" si="13"/>
        <v>1163183.0833333333</v>
      </c>
      <c r="M100" s="776">
        <f t="shared" si="13"/>
        <v>1163183.0833333333</v>
      </c>
      <c r="N100" s="777">
        <f t="shared" si="13"/>
        <v>13958197.000000002</v>
      </c>
    </row>
    <row r="101" spans="1:14">
      <c r="A101" s="778" t="s">
        <v>990</v>
      </c>
      <c r="B101" s="779">
        <v>2800</v>
      </c>
      <c r="C101" s="779">
        <v>4200</v>
      </c>
      <c r="D101" s="779">
        <v>9275</v>
      </c>
      <c r="E101" s="779">
        <v>2800</v>
      </c>
      <c r="F101" s="779">
        <v>5250</v>
      </c>
      <c r="G101" s="780">
        <v>4150</v>
      </c>
      <c r="H101" s="779">
        <v>950</v>
      </c>
      <c r="I101" s="779">
        <v>1750</v>
      </c>
      <c r="J101" s="779">
        <v>9369</v>
      </c>
      <c r="K101" s="779">
        <v>1575</v>
      </c>
      <c r="L101" s="779">
        <v>6300</v>
      </c>
      <c r="M101" s="779"/>
      <c r="N101" s="779">
        <f>SUM(B101:M101)</f>
        <v>48419</v>
      </c>
    </row>
    <row r="102" spans="1:14">
      <c r="A102" s="673" t="s">
        <v>991</v>
      </c>
      <c r="B102" s="772">
        <v>175617</v>
      </c>
      <c r="C102" s="772">
        <v>188510</v>
      </c>
      <c r="D102" s="772">
        <v>193915</v>
      </c>
      <c r="E102" s="772">
        <v>203313</v>
      </c>
      <c r="F102" s="772">
        <v>107512</v>
      </c>
      <c r="G102" s="781">
        <v>120470</v>
      </c>
      <c r="H102" s="772">
        <v>190988</v>
      </c>
      <c r="I102" s="772">
        <v>237363</v>
      </c>
      <c r="J102" s="772">
        <v>173912</v>
      </c>
      <c r="K102" s="772">
        <v>114375</v>
      </c>
      <c r="L102" s="772">
        <v>154343</v>
      </c>
      <c r="M102" s="772">
        <v>136225</v>
      </c>
      <c r="N102" s="779">
        <f>SUM(B102:M102)</f>
        <v>1996543</v>
      </c>
    </row>
    <row r="103" spans="1:14">
      <c r="A103" s="673" t="s">
        <v>992</v>
      </c>
      <c r="B103" s="772">
        <v>39634</v>
      </c>
      <c r="C103" s="772">
        <v>41213.5</v>
      </c>
      <c r="D103" s="772">
        <v>107249.5</v>
      </c>
      <c r="E103" s="772">
        <v>37553</v>
      </c>
      <c r="F103" s="772">
        <v>37559.5</v>
      </c>
      <c r="G103" s="781">
        <v>30462</v>
      </c>
      <c r="H103" s="772">
        <v>23371</v>
      </c>
      <c r="I103" s="772">
        <v>11437</v>
      </c>
      <c r="J103" s="772">
        <v>42165.5</v>
      </c>
      <c r="K103" s="772">
        <v>37553.5</v>
      </c>
      <c r="L103" s="772">
        <v>3953</v>
      </c>
      <c r="M103" s="772">
        <v>38553</v>
      </c>
      <c r="N103" s="779">
        <f>SUM(B103:M103)</f>
        <v>450704.5</v>
      </c>
    </row>
    <row r="104" spans="1:14">
      <c r="A104" s="673" t="s">
        <v>993</v>
      </c>
      <c r="B104" s="772">
        <v>165768.75</v>
      </c>
      <c r="C104" s="771">
        <v>92750.5</v>
      </c>
      <c r="D104" s="771">
        <v>131600</v>
      </c>
      <c r="E104" s="771">
        <v>187818.75</v>
      </c>
      <c r="F104" s="771">
        <v>118050</v>
      </c>
      <c r="G104" s="771">
        <v>58625</v>
      </c>
      <c r="H104" s="771">
        <v>20125</v>
      </c>
      <c r="I104" s="771">
        <v>143456.25</v>
      </c>
      <c r="J104" s="771">
        <v>80062.5</v>
      </c>
      <c r="K104" s="771">
        <v>198406.25</v>
      </c>
      <c r="L104" s="771">
        <v>55650</v>
      </c>
      <c r="M104" s="771">
        <v>70875.25</v>
      </c>
      <c r="N104" s="779">
        <f>SUM(B104:M104)</f>
        <v>1323188.25</v>
      </c>
    </row>
    <row r="105" spans="1:14">
      <c r="A105" s="673" t="s">
        <v>1186</v>
      </c>
      <c r="B105" s="772">
        <v>5500</v>
      </c>
      <c r="C105" s="771">
        <v>1000</v>
      </c>
      <c r="D105" s="771">
        <v>1900</v>
      </c>
      <c r="E105" s="771">
        <v>3525</v>
      </c>
      <c r="F105" s="771">
        <v>3575</v>
      </c>
      <c r="G105" s="771">
        <v>3000</v>
      </c>
      <c r="H105" s="771">
        <v>1225</v>
      </c>
      <c r="I105" s="771">
        <v>4025</v>
      </c>
      <c r="J105" s="771">
        <v>2125</v>
      </c>
      <c r="K105" s="771">
        <v>850</v>
      </c>
      <c r="L105" s="771">
        <v>325</v>
      </c>
      <c r="M105" s="771"/>
      <c r="N105" s="779">
        <f>SUM(B105:M105)</f>
        <v>27050</v>
      </c>
    </row>
    <row r="106" spans="1:14">
      <c r="A106" s="782" t="s">
        <v>1000</v>
      </c>
      <c r="B106" s="783"/>
      <c r="C106" s="784"/>
      <c r="D106" s="784"/>
      <c r="E106" s="784"/>
      <c r="F106" s="784"/>
      <c r="G106" s="784"/>
      <c r="H106" s="784"/>
      <c r="I106" s="784"/>
      <c r="J106" s="784"/>
      <c r="K106" s="784"/>
      <c r="L106" s="784"/>
      <c r="M106" s="784"/>
      <c r="N106" s="783"/>
    </row>
    <row r="107" spans="1:14">
      <c r="A107" s="785" t="s">
        <v>1001</v>
      </c>
      <c r="B107" s="786">
        <f t="shared" ref="B107:N107" si="14">SUM(B101:B106)</f>
        <v>389319.75</v>
      </c>
      <c r="C107" s="786">
        <f t="shared" si="14"/>
        <v>327674</v>
      </c>
      <c r="D107" s="786">
        <f t="shared" si="14"/>
        <v>443939.5</v>
      </c>
      <c r="E107" s="786">
        <f t="shared" si="14"/>
        <v>435009.75</v>
      </c>
      <c r="F107" s="786">
        <f t="shared" si="14"/>
        <v>271946.5</v>
      </c>
      <c r="G107" s="786">
        <f t="shared" si="14"/>
        <v>216707</v>
      </c>
      <c r="H107" s="786">
        <f t="shared" si="14"/>
        <v>236659</v>
      </c>
      <c r="I107" s="786">
        <f t="shared" si="14"/>
        <v>398031.25</v>
      </c>
      <c r="J107" s="786">
        <f t="shared" si="14"/>
        <v>307634</v>
      </c>
      <c r="K107" s="786">
        <f t="shared" si="14"/>
        <v>352759.75</v>
      </c>
      <c r="L107" s="786">
        <f t="shared" si="14"/>
        <v>220571</v>
      </c>
      <c r="M107" s="786">
        <f t="shared" si="14"/>
        <v>245653.25</v>
      </c>
      <c r="N107" s="786">
        <f t="shared" si="14"/>
        <v>3845904.75</v>
      </c>
    </row>
    <row r="108" spans="1:14">
      <c r="A108" s="778" t="s">
        <v>1002</v>
      </c>
      <c r="B108" s="783"/>
      <c r="C108" s="783">
        <v>2800</v>
      </c>
      <c r="D108" s="783"/>
      <c r="E108" s="783"/>
      <c r="F108" s="783"/>
      <c r="G108" s="783"/>
      <c r="H108" s="783"/>
      <c r="I108" s="783"/>
      <c r="J108" s="783">
        <v>14500</v>
      </c>
      <c r="K108" s="783">
        <v>12487</v>
      </c>
      <c r="L108" s="783">
        <v>6520</v>
      </c>
      <c r="M108" s="783"/>
      <c r="N108" s="779">
        <f>SUM(B108:M108)</f>
        <v>36307</v>
      </c>
    </row>
    <row r="109" spans="1:14">
      <c r="A109" s="787" t="s">
        <v>1003</v>
      </c>
      <c r="B109" s="788">
        <f t="shared" ref="B109:N109" si="15">SUM(B100,B107,B108)</f>
        <v>1552502.8333333333</v>
      </c>
      <c r="C109" s="788">
        <f t="shared" si="15"/>
        <v>1493657.0833333333</v>
      </c>
      <c r="D109" s="788">
        <f t="shared" si="15"/>
        <v>1607122.5833333333</v>
      </c>
      <c r="E109" s="788">
        <f t="shared" si="15"/>
        <v>1598192.8333333333</v>
      </c>
      <c r="F109" s="788">
        <f t="shared" si="15"/>
        <v>1435129.5833333333</v>
      </c>
      <c r="G109" s="788">
        <f t="shared" si="15"/>
        <v>1379890.0833333333</v>
      </c>
      <c r="H109" s="788">
        <f t="shared" si="15"/>
        <v>1399842.0833333333</v>
      </c>
      <c r="I109" s="788">
        <f t="shared" si="15"/>
        <v>1561214.3333333333</v>
      </c>
      <c r="J109" s="788">
        <f t="shared" si="15"/>
        <v>1485317.0833333333</v>
      </c>
      <c r="K109" s="788">
        <f t="shared" si="15"/>
        <v>1528429.8333333333</v>
      </c>
      <c r="L109" s="788">
        <f t="shared" si="15"/>
        <v>1390274.0833333333</v>
      </c>
      <c r="M109" s="788">
        <f t="shared" si="15"/>
        <v>1408836.3333333333</v>
      </c>
      <c r="N109" s="788">
        <f t="shared" si="15"/>
        <v>17840408.75</v>
      </c>
    </row>
    <row r="110" spans="1:14">
      <c r="A110" s="789" t="s">
        <v>1004</v>
      </c>
      <c r="B110" s="773">
        <v>1277777</v>
      </c>
      <c r="C110" s="773">
        <v>1300000</v>
      </c>
      <c r="D110" s="773">
        <v>1132260</v>
      </c>
      <c r="E110" s="773">
        <v>1507299</v>
      </c>
      <c r="F110" s="773">
        <v>1470730</v>
      </c>
      <c r="G110" s="773">
        <v>1447833</v>
      </c>
      <c r="H110" s="773">
        <v>1326297</v>
      </c>
      <c r="I110" s="773">
        <v>1317537</v>
      </c>
      <c r="J110" s="773">
        <v>1345612</v>
      </c>
      <c r="K110" s="773">
        <v>1333333</v>
      </c>
      <c r="L110" s="773">
        <v>1333333</v>
      </c>
      <c r="M110" s="773">
        <v>1333333</v>
      </c>
      <c r="N110" s="790">
        <f>SUM(B110:M110)</f>
        <v>16125344</v>
      </c>
    </row>
    <row r="111" spans="1:14">
      <c r="A111" s="791" t="s">
        <v>1060</v>
      </c>
      <c r="B111" s="773">
        <v>10000</v>
      </c>
      <c r="C111" s="773">
        <v>10000</v>
      </c>
      <c r="D111" s="773">
        <v>10000</v>
      </c>
      <c r="E111" s="773">
        <v>10000</v>
      </c>
      <c r="F111" s="773">
        <v>10000</v>
      </c>
      <c r="G111" s="773">
        <v>10000</v>
      </c>
      <c r="H111" s="773">
        <v>10000</v>
      </c>
      <c r="I111" s="773">
        <v>10000</v>
      </c>
      <c r="J111" s="773">
        <v>10000</v>
      </c>
      <c r="K111" s="773">
        <v>10000</v>
      </c>
      <c r="L111" s="773">
        <v>10000</v>
      </c>
      <c r="M111" s="773">
        <v>10000</v>
      </c>
      <c r="N111" s="773">
        <f>SUM(B111:M111)</f>
        <v>120000</v>
      </c>
    </row>
    <row r="112" spans="1:14">
      <c r="A112" s="792" t="s">
        <v>1009</v>
      </c>
      <c r="B112" s="793">
        <f t="shared" ref="B112:N112" si="16">SUM(B109-B110-B111)</f>
        <v>264725.83333333326</v>
      </c>
      <c r="C112" s="793">
        <f t="shared" si="16"/>
        <v>183657.08333333326</v>
      </c>
      <c r="D112" s="793">
        <f t="shared" si="16"/>
        <v>464862.58333333326</v>
      </c>
      <c r="E112" s="793">
        <f t="shared" si="16"/>
        <v>80893.833333333256</v>
      </c>
      <c r="F112" s="793">
        <f t="shared" si="16"/>
        <v>-45600.416666666744</v>
      </c>
      <c r="G112" s="793">
        <f t="shared" si="16"/>
        <v>-77942.916666666744</v>
      </c>
      <c r="H112" s="793">
        <f t="shared" si="16"/>
        <v>63545.083333333256</v>
      </c>
      <c r="I112" s="793">
        <f t="shared" si="16"/>
        <v>233677.33333333326</v>
      </c>
      <c r="J112" s="793">
        <f t="shared" si="16"/>
        <v>129705.08333333326</v>
      </c>
      <c r="K112" s="793">
        <f t="shared" si="16"/>
        <v>185096.83333333326</v>
      </c>
      <c r="L112" s="793">
        <f t="shared" si="16"/>
        <v>46941.083333333256</v>
      </c>
      <c r="M112" s="793">
        <f t="shared" si="16"/>
        <v>65503.333333333256</v>
      </c>
      <c r="N112" s="793">
        <f t="shared" si="16"/>
        <v>1595064.75</v>
      </c>
    </row>
    <row r="113" spans="1:14">
      <c r="A113" s="794"/>
      <c r="B113" s="795"/>
      <c r="C113" s="795"/>
      <c r="D113" s="795"/>
      <c r="E113" s="795"/>
      <c r="F113" s="795"/>
      <c r="G113" s="795"/>
      <c r="H113" s="795"/>
      <c r="I113" s="795"/>
      <c r="J113" s="795"/>
      <c r="K113" s="795"/>
      <c r="L113" s="795"/>
      <c r="M113" s="795"/>
      <c r="N113" s="795"/>
    </row>
    <row r="114" spans="1:14" ht="20.25">
      <c r="A114" s="1711" t="s">
        <v>1187</v>
      </c>
      <c r="B114" s="1711"/>
      <c r="C114" s="1711"/>
      <c r="D114" s="1711"/>
      <c r="E114" s="1711"/>
      <c r="F114" s="1711"/>
      <c r="G114" s="1711"/>
      <c r="H114" s="1711"/>
      <c r="I114" s="1711"/>
      <c r="J114" s="1711"/>
      <c r="K114" s="1711"/>
      <c r="L114" s="1711"/>
      <c r="M114" s="1711"/>
      <c r="N114" s="1711"/>
    </row>
    <row r="115" spans="1:14">
      <c r="A115" s="672"/>
      <c r="B115" s="672"/>
      <c r="C115" s="672"/>
      <c r="D115" s="672"/>
      <c r="E115" s="672"/>
      <c r="F115" s="672"/>
      <c r="G115" s="672"/>
      <c r="H115" s="672"/>
      <c r="I115" s="672"/>
      <c r="J115" s="672"/>
      <c r="K115" s="672"/>
      <c r="L115" s="672"/>
      <c r="M115" s="672"/>
    </row>
    <row r="116" spans="1:14">
      <c r="A116" s="673"/>
      <c r="B116" s="607" t="s">
        <v>924</v>
      </c>
      <c r="C116" s="607" t="s">
        <v>925</v>
      </c>
      <c r="D116" s="674" t="s">
        <v>926</v>
      </c>
      <c r="E116" s="607" t="s">
        <v>927</v>
      </c>
      <c r="F116" s="607" t="s">
        <v>928</v>
      </c>
      <c r="G116" s="674" t="s">
        <v>929</v>
      </c>
      <c r="H116" s="607" t="s">
        <v>918</v>
      </c>
      <c r="I116" s="607" t="s">
        <v>919</v>
      </c>
      <c r="J116" s="607" t="s">
        <v>920</v>
      </c>
      <c r="K116" s="607" t="s">
        <v>921</v>
      </c>
      <c r="L116" s="607" t="s">
        <v>922</v>
      </c>
      <c r="M116" s="607" t="s">
        <v>923</v>
      </c>
      <c r="N116" s="673" t="s">
        <v>137</v>
      </c>
    </row>
    <row r="117" spans="1:14">
      <c r="A117" s="675" t="s">
        <v>183</v>
      </c>
      <c r="B117" s="676">
        <v>2886</v>
      </c>
      <c r="C117" s="676">
        <v>2886</v>
      </c>
      <c r="D117" s="676">
        <v>2886</v>
      </c>
      <c r="E117" s="676">
        <v>2886</v>
      </c>
      <c r="F117" s="676">
        <v>2886</v>
      </c>
      <c r="G117" s="676">
        <v>2886</v>
      </c>
      <c r="H117" s="676">
        <v>2886</v>
      </c>
      <c r="I117" s="676">
        <v>2886</v>
      </c>
      <c r="J117" s="676">
        <v>2886</v>
      </c>
      <c r="K117" s="676">
        <v>2886</v>
      </c>
      <c r="L117" s="676">
        <v>2886</v>
      </c>
      <c r="M117" s="676">
        <v>2886</v>
      </c>
      <c r="N117" s="676">
        <f t="shared" ref="N117:N128" si="17">SUM(B117:M117)</f>
        <v>34632</v>
      </c>
    </row>
    <row r="118" spans="1:14">
      <c r="A118" s="675" t="s">
        <v>942</v>
      </c>
      <c r="B118" s="676">
        <v>0</v>
      </c>
      <c r="C118" s="676">
        <v>0</v>
      </c>
      <c r="D118" s="676">
        <v>0</v>
      </c>
      <c r="E118" s="676">
        <v>0</v>
      </c>
      <c r="F118" s="676">
        <v>0</v>
      </c>
      <c r="G118" s="677">
        <v>0</v>
      </c>
      <c r="H118" s="676">
        <v>0</v>
      </c>
      <c r="I118" s="676">
        <v>0</v>
      </c>
      <c r="J118" s="678"/>
      <c r="K118" s="676">
        <v>21.75</v>
      </c>
      <c r="L118" s="676">
        <v>0</v>
      </c>
      <c r="M118" s="676">
        <v>0</v>
      </c>
      <c r="N118" s="676">
        <f t="shared" si="17"/>
        <v>21.75</v>
      </c>
    </row>
    <row r="119" spans="1:14">
      <c r="A119" s="675" t="s">
        <v>1011</v>
      </c>
      <c r="B119" s="676">
        <v>0</v>
      </c>
      <c r="C119" s="676">
        <v>0</v>
      </c>
      <c r="D119" s="676">
        <v>0</v>
      </c>
      <c r="E119" s="676">
        <v>0</v>
      </c>
      <c r="F119" s="676">
        <v>0</v>
      </c>
      <c r="G119" s="677">
        <v>0</v>
      </c>
      <c r="H119" s="676">
        <v>0</v>
      </c>
      <c r="I119" s="676">
        <v>0</v>
      </c>
      <c r="J119" s="676"/>
      <c r="K119" s="676"/>
      <c r="L119" s="676">
        <v>0</v>
      </c>
      <c r="M119" s="673">
        <v>0</v>
      </c>
      <c r="N119" s="676">
        <f t="shared" si="17"/>
        <v>0</v>
      </c>
    </row>
    <row r="120" spans="1:14">
      <c r="A120" s="675" t="s">
        <v>945</v>
      </c>
      <c r="B120" s="676">
        <v>43</v>
      </c>
      <c r="C120" s="676">
        <v>278.75</v>
      </c>
      <c r="D120" s="676">
        <v>301.25</v>
      </c>
      <c r="E120" s="676">
        <v>140.25</v>
      </c>
      <c r="F120" s="676">
        <v>161.75</v>
      </c>
      <c r="G120" s="677">
        <v>94</v>
      </c>
      <c r="H120" s="676">
        <v>1246.25</v>
      </c>
      <c r="I120" s="676">
        <v>778.75</v>
      </c>
      <c r="J120" s="676">
        <v>21.5</v>
      </c>
      <c r="K120" s="676">
        <v>264</v>
      </c>
      <c r="L120" s="676">
        <v>80</v>
      </c>
      <c r="M120" s="676">
        <v>37</v>
      </c>
      <c r="N120" s="676">
        <f t="shared" si="17"/>
        <v>3446.5</v>
      </c>
    </row>
    <row r="121" spans="1:14">
      <c r="A121" s="675" t="s">
        <v>946</v>
      </c>
      <c r="B121" s="676">
        <v>29.25</v>
      </c>
      <c r="C121" s="676">
        <v>7.75</v>
      </c>
      <c r="D121" s="676">
        <v>23.25</v>
      </c>
      <c r="E121" s="676">
        <v>58.5</v>
      </c>
      <c r="F121" s="676">
        <v>0</v>
      </c>
      <c r="G121" s="677">
        <v>15.5</v>
      </c>
      <c r="H121" s="676">
        <v>0</v>
      </c>
      <c r="I121" s="676">
        <v>13.75</v>
      </c>
      <c r="J121" s="676">
        <v>23.25</v>
      </c>
      <c r="K121" s="676">
        <v>58.5</v>
      </c>
      <c r="L121" s="676">
        <v>60.25</v>
      </c>
      <c r="M121" s="676">
        <v>52.5</v>
      </c>
      <c r="N121" s="676">
        <f t="shared" si="17"/>
        <v>342.5</v>
      </c>
    </row>
    <row r="122" spans="1:14">
      <c r="A122" s="675" t="s">
        <v>947</v>
      </c>
      <c r="B122" s="676">
        <v>23.75</v>
      </c>
      <c r="C122" s="676">
        <v>93.5</v>
      </c>
      <c r="D122" s="676">
        <v>29.25</v>
      </c>
      <c r="E122" s="676">
        <v>81.25</v>
      </c>
      <c r="F122" s="676">
        <v>118.75</v>
      </c>
      <c r="G122" s="677">
        <v>7.75</v>
      </c>
      <c r="H122" s="676">
        <v>0</v>
      </c>
      <c r="I122" s="676">
        <v>68.5</v>
      </c>
      <c r="J122" s="676">
        <v>65.5</v>
      </c>
      <c r="K122" s="676">
        <v>85.5</v>
      </c>
      <c r="L122" s="676">
        <v>148</v>
      </c>
      <c r="M122" s="676">
        <v>99</v>
      </c>
      <c r="N122" s="676">
        <f t="shared" si="17"/>
        <v>820.75</v>
      </c>
    </row>
    <row r="123" spans="1:14">
      <c r="A123" s="675" t="s">
        <v>948</v>
      </c>
      <c r="B123" s="676">
        <v>0</v>
      </c>
      <c r="C123" s="676">
        <v>0</v>
      </c>
      <c r="D123" s="676">
        <v>7.75</v>
      </c>
      <c r="E123" s="676">
        <v>0</v>
      </c>
      <c r="F123" s="676">
        <v>0</v>
      </c>
      <c r="G123" s="677">
        <v>7.75</v>
      </c>
      <c r="H123" s="676">
        <v>0</v>
      </c>
      <c r="I123" s="676">
        <v>0</v>
      </c>
      <c r="J123" s="676">
        <v>0</v>
      </c>
      <c r="K123" s="676">
        <v>0</v>
      </c>
      <c r="L123" s="676">
        <v>0</v>
      </c>
      <c r="M123" s="676">
        <v>0</v>
      </c>
      <c r="N123" s="676">
        <f t="shared" si="17"/>
        <v>15.5</v>
      </c>
    </row>
    <row r="124" spans="1:14">
      <c r="A124" s="675" t="s">
        <v>949</v>
      </c>
      <c r="B124" s="676">
        <v>54</v>
      </c>
      <c r="C124" s="676">
        <v>80</v>
      </c>
      <c r="D124" s="676">
        <v>74.25</v>
      </c>
      <c r="E124" s="676">
        <v>69.75</v>
      </c>
      <c r="F124" s="676">
        <v>172.75</v>
      </c>
      <c r="G124" s="677">
        <v>153</v>
      </c>
      <c r="H124" s="676">
        <v>282.75</v>
      </c>
      <c r="I124" s="676">
        <v>98.75</v>
      </c>
      <c r="J124" s="676">
        <v>84.5</v>
      </c>
      <c r="K124" s="676">
        <v>96.25</v>
      </c>
      <c r="L124" s="676">
        <v>80.5</v>
      </c>
      <c r="M124" s="676">
        <v>184.5</v>
      </c>
      <c r="N124" s="676">
        <f t="shared" si="17"/>
        <v>1431</v>
      </c>
    </row>
    <row r="125" spans="1:14">
      <c r="A125" s="675" t="s">
        <v>950</v>
      </c>
      <c r="B125" s="676">
        <v>0</v>
      </c>
      <c r="C125" s="676">
        <v>0</v>
      </c>
      <c r="D125" s="676">
        <v>0</v>
      </c>
      <c r="E125" s="676">
        <v>0</v>
      </c>
      <c r="F125" s="676">
        <v>0</v>
      </c>
      <c r="G125" s="677">
        <v>0</v>
      </c>
      <c r="H125" s="676">
        <v>0</v>
      </c>
      <c r="I125" s="676">
        <v>0</v>
      </c>
      <c r="J125" s="676">
        <v>0</v>
      </c>
      <c r="K125" s="676">
        <v>0</v>
      </c>
      <c r="L125" s="676">
        <v>0</v>
      </c>
      <c r="M125" s="676">
        <v>0</v>
      </c>
      <c r="N125" s="676">
        <f t="shared" si="17"/>
        <v>0</v>
      </c>
    </row>
    <row r="126" spans="1:14">
      <c r="A126" s="675" t="s">
        <v>951</v>
      </c>
      <c r="B126" s="676">
        <v>140.25</v>
      </c>
      <c r="C126" s="676">
        <v>93.5</v>
      </c>
      <c r="D126" s="676">
        <v>83.5</v>
      </c>
      <c r="E126" s="676">
        <v>21.5</v>
      </c>
      <c r="F126" s="676">
        <v>0</v>
      </c>
      <c r="G126" s="677">
        <v>23.75</v>
      </c>
      <c r="H126" s="676">
        <v>0</v>
      </c>
      <c r="I126" s="676">
        <v>0</v>
      </c>
      <c r="J126" s="676">
        <v>58.25</v>
      </c>
      <c r="K126" s="676">
        <v>23.25</v>
      </c>
      <c r="L126" s="676">
        <v>195.25</v>
      </c>
      <c r="M126" s="676">
        <v>140.75</v>
      </c>
      <c r="N126" s="676">
        <f t="shared" si="17"/>
        <v>780</v>
      </c>
    </row>
    <row r="127" spans="1:14">
      <c r="A127" s="679" t="s">
        <v>952</v>
      </c>
      <c r="B127" s="680">
        <v>0</v>
      </c>
      <c r="C127" s="680">
        <v>0</v>
      </c>
      <c r="D127" s="680">
        <v>7.75</v>
      </c>
      <c r="E127" s="680">
        <v>0</v>
      </c>
      <c r="F127" s="680">
        <v>12</v>
      </c>
      <c r="G127" s="681">
        <v>0</v>
      </c>
      <c r="H127" s="680">
        <v>0</v>
      </c>
      <c r="I127" s="680">
        <v>0</v>
      </c>
      <c r="J127" s="680">
        <v>0</v>
      </c>
      <c r="K127" s="680">
        <v>7.75</v>
      </c>
      <c r="L127" s="680">
        <v>0</v>
      </c>
      <c r="M127" s="680">
        <v>46.5</v>
      </c>
      <c r="N127" s="682">
        <f t="shared" si="17"/>
        <v>74</v>
      </c>
    </row>
    <row r="128" spans="1:14">
      <c r="A128" s="683" t="s">
        <v>953</v>
      </c>
      <c r="B128" s="684">
        <f t="shared" ref="B128:M128" si="18">SUM(B117+B118+B119-B120-B121-B122-B124-B125-B126-B127)</f>
        <v>2595.75</v>
      </c>
      <c r="C128" s="684">
        <f t="shared" si="18"/>
        <v>2332.5</v>
      </c>
      <c r="D128" s="684">
        <f t="shared" si="18"/>
        <v>2366.75</v>
      </c>
      <c r="E128" s="684">
        <f t="shared" si="18"/>
        <v>2514.75</v>
      </c>
      <c r="F128" s="684">
        <f t="shared" si="18"/>
        <v>2420.75</v>
      </c>
      <c r="G128" s="796">
        <f t="shared" si="18"/>
        <v>2592</v>
      </c>
      <c r="H128" s="684">
        <f t="shared" si="18"/>
        <v>1357</v>
      </c>
      <c r="I128" s="684">
        <f t="shared" si="18"/>
        <v>1926.25</v>
      </c>
      <c r="J128" s="684">
        <f t="shared" si="18"/>
        <v>2633</v>
      </c>
      <c r="K128" s="684">
        <f t="shared" si="18"/>
        <v>2372.5</v>
      </c>
      <c r="L128" s="684">
        <f t="shared" si="18"/>
        <v>2322</v>
      </c>
      <c r="M128" s="685">
        <f t="shared" si="18"/>
        <v>2325.75</v>
      </c>
      <c r="N128" s="686">
        <f t="shared" si="17"/>
        <v>27759</v>
      </c>
    </row>
    <row r="129" spans="1:14">
      <c r="A129" s="687"/>
      <c r="B129" s="688"/>
      <c r="C129" s="688"/>
      <c r="D129" s="688"/>
      <c r="E129" s="688"/>
      <c r="F129" s="688"/>
      <c r="G129" s="688"/>
      <c r="H129" s="688"/>
      <c r="I129" s="688"/>
      <c r="J129" s="688"/>
      <c r="K129" s="688"/>
      <c r="L129" s="688"/>
      <c r="M129" s="688"/>
      <c r="N129" s="688"/>
    </row>
    <row r="130" spans="1:14">
      <c r="A130" s="687"/>
      <c r="B130" s="688"/>
      <c r="C130" s="688"/>
      <c r="D130" s="688"/>
      <c r="E130" s="688"/>
      <c r="F130" s="688"/>
      <c r="G130" s="688"/>
      <c r="H130" s="688"/>
      <c r="I130" s="688"/>
      <c r="J130" s="688"/>
      <c r="K130" s="688"/>
      <c r="L130" s="688"/>
      <c r="M130" s="688"/>
      <c r="N130" s="689" t="s">
        <v>954</v>
      </c>
    </row>
    <row r="131" spans="1:14">
      <c r="A131" s="675" t="s">
        <v>955</v>
      </c>
      <c r="B131" s="676">
        <f t="shared" ref="B131:M131" si="19">SUM(B118*100/B128)</f>
        <v>0</v>
      </c>
      <c r="C131" s="676">
        <f t="shared" si="19"/>
        <v>0</v>
      </c>
      <c r="D131" s="676">
        <f t="shared" si="19"/>
        <v>0</v>
      </c>
      <c r="E131" s="676">
        <f t="shared" si="19"/>
        <v>0</v>
      </c>
      <c r="F131" s="676">
        <f t="shared" si="19"/>
        <v>0</v>
      </c>
      <c r="G131" s="676">
        <f t="shared" si="19"/>
        <v>0</v>
      </c>
      <c r="H131" s="676">
        <f t="shared" si="19"/>
        <v>0</v>
      </c>
      <c r="I131" s="676">
        <f t="shared" si="19"/>
        <v>0</v>
      </c>
      <c r="J131" s="676">
        <f t="shared" si="19"/>
        <v>0</v>
      </c>
      <c r="K131" s="676">
        <f t="shared" si="19"/>
        <v>0.91675447839831403</v>
      </c>
      <c r="L131" s="676">
        <f t="shared" si="19"/>
        <v>0</v>
      </c>
      <c r="M131" s="676">
        <f t="shared" si="19"/>
        <v>0</v>
      </c>
      <c r="N131" s="690">
        <f>SUM(B131:M131)/12</f>
        <v>7.6396206533192831E-2</v>
      </c>
    </row>
    <row r="132" spans="1:14">
      <c r="A132" s="687"/>
      <c r="B132" s="688"/>
      <c r="C132" s="688"/>
      <c r="D132" s="688"/>
      <c r="E132" s="688"/>
      <c r="F132" s="688"/>
      <c r="G132" s="688"/>
      <c r="H132" s="688"/>
      <c r="I132" s="688"/>
      <c r="J132" s="688"/>
      <c r="K132" s="688"/>
      <c r="L132" s="688"/>
      <c r="M132" s="688"/>
      <c r="N132" s="672"/>
    </row>
    <row r="133" spans="1:14">
      <c r="A133" s="675" t="s">
        <v>956</v>
      </c>
      <c r="B133" s="676">
        <f t="shared" ref="B133:M133" si="20">SUM(B122*100/B128)</f>
        <v>0.9149571414812675</v>
      </c>
      <c r="C133" s="676">
        <f t="shared" si="20"/>
        <v>4.008574490889603</v>
      </c>
      <c r="D133" s="676">
        <f t="shared" si="20"/>
        <v>1.2358719763388613</v>
      </c>
      <c r="E133" s="676">
        <f t="shared" si="20"/>
        <v>3.2309374689332935</v>
      </c>
      <c r="F133" s="676">
        <f t="shared" si="20"/>
        <v>4.9055044924093769</v>
      </c>
      <c r="G133" s="676">
        <f t="shared" si="20"/>
        <v>0.29899691358024694</v>
      </c>
      <c r="H133" s="676">
        <f t="shared" si="20"/>
        <v>0</v>
      </c>
      <c r="I133" s="676">
        <f t="shared" si="20"/>
        <v>3.5561323815704089</v>
      </c>
      <c r="J133" s="676">
        <f t="shared" si="20"/>
        <v>2.4876566654006838</v>
      </c>
      <c r="K133" s="676">
        <f t="shared" si="20"/>
        <v>3.6037934668071654</v>
      </c>
      <c r="L133" s="676">
        <f t="shared" si="20"/>
        <v>6.3738156761412572</v>
      </c>
      <c r="M133" s="676">
        <f t="shared" si="20"/>
        <v>4.2566913898742342</v>
      </c>
      <c r="N133" s="690">
        <f>SUM(B133:M133)/12</f>
        <v>2.9060776719522003</v>
      </c>
    </row>
    <row r="134" spans="1:14">
      <c r="A134" s="691" t="s">
        <v>957</v>
      </c>
      <c r="B134" s="682">
        <f t="shared" ref="B134:M134" si="21">SUM(B123*100/B128)</f>
        <v>0</v>
      </c>
      <c r="C134" s="682">
        <f t="shared" si="21"/>
        <v>0</v>
      </c>
      <c r="D134" s="682">
        <f t="shared" si="21"/>
        <v>0.32745325868807434</v>
      </c>
      <c r="E134" s="682">
        <f t="shared" si="21"/>
        <v>0</v>
      </c>
      <c r="F134" s="682">
        <f t="shared" si="21"/>
        <v>0</v>
      </c>
      <c r="G134" s="682">
        <f t="shared" si="21"/>
        <v>0.29899691358024694</v>
      </c>
      <c r="H134" s="682">
        <f t="shared" si="21"/>
        <v>0</v>
      </c>
      <c r="I134" s="682">
        <f t="shared" si="21"/>
        <v>0</v>
      </c>
      <c r="J134" s="682">
        <f t="shared" si="21"/>
        <v>0</v>
      </c>
      <c r="K134" s="682">
        <f t="shared" si="21"/>
        <v>0</v>
      </c>
      <c r="L134" s="682">
        <f t="shared" si="21"/>
        <v>0</v>
      </c>
      <c r="M134" s="682">
        <f t="shared" si="21"/>
        <v>0</v>
      </c>
      <c r="N134" s="692">
        <f>SUM(B134:M134)/12</f>
        <v>5.2204181022360109E-2</v>
      </c>
    </row>
    <row r="135" spans="1:14">
      <c r="A135" s="693" t="s">
        <v>958</v>
      </c>
      <c r="B135" s="694">
        <f t="shared" ref="B135:M135" si="22">SUM(B133:B133)</f>
        <v>0.9149571414812675</v>
      </c>
      <c r="C135" s="694">
        <f t="shared" si="22"/>
        <v>4.008574490889603</v>
      </c>
      <c r="D135" s="694">
        <f t="shared" si="22"/>
        <v>1.2358719763388613</v>
      </c>
      <c r="E135" s="694">
        <f t="shared" si="22"/>
        <v>3.2309374689332935</v>
      </c>
      <c r="F135" s="694">
        <f t="shared" si="22"/>
        <v>4.9055044924093769</v>
      </c>
      <c r="G135" s="694">
        <f t="shared" si="22"/>
        <v>0.29899691358024694</v>
      </c>
      <c r="H135" s="694">
        <f t="shared" si="22"/>
        <v>0</v>
      </c>
      <c r="I135" s="694">
        <f t="shared" si="22"/>
        <v>3.5561323815704089</v>
      </c>
      <c r="J135" s="694">
        <f t="shared" si="22"/>
        <v>2.4876566654006838</v>
      </c>
      <c r="K135" s="694">
        <f t="shared" si="22"/>
        <v>3.6037934668071654</v>
      </c>
      <c r="L135" s="694">
        <f t="shared" si="22"/>
        <v>6.3738156761412572</v>
      </c>
      <c r="M135" s="694">
        <f t="shared" si="22"/>
        <v>4.2566913898742342</v>
      </c>
      <c r="N135" s="695">
        <f>SUM(N133:N134)</f>
        <v>2.9582818529745603</v>
      </c>
    </row>
    <row r="136" spans="1:14">
      <c r="A136" s="687" t="s">
        <v>959</v>
      </c>
      <c r="B136" s="688"/>
      <c r="C136" s="688"/>
      <c r="D136" s="696">
        <f>SUM(B135:D135)/3</f>
        <v>2.0531345362365774</v>
      </c>
      <c r="E136" s="688"/>
      <c r="F136" s="688"/>
      <c r="G136" s="696">
        <f>SUM(E135,F135,G135)/3</f>
        <v>2.8118129583076392</v>
      </c>
      <c r="H136" s="688"/>
      <c r="I136" s="688"/>
      <c r="J136" s="696">
        <f>SUM(H135,I135,J135)/3</f>
        <v>2.0145963489903642</v>
      </c>
      <c r="K136" s="688"/>
      <c r="L136" s="688"/>
      <c r="M136" s="696">
        <f>SUM(K135,L135,M135)/3</f>
        <v>4.7447668442742188</v>
      </c>
      <c r="N136" s="697">
        <f>SUM(D136:M136)/4</f>
        <v>2.9060776719521999</v>
      </c>
    </row>
    <row r="137" spans="1:14">
      <c r="A137" s="687" t="s">
        <v>960</v>
      </c>
      <c r="B137" s="688"/>
      <c r="C137" s="688"/>
      <c r="D137" s="698"/>
      <c r="E137" s="688"/>
      <c r="F137" s="688"/>
      <c r="G137" s="698"/>
      <c r="H137" s="688"/>
      <c r="I137" s="688"/>
      <c r="J137" s="698"/>
      <c r="K137" s="688"/>
      <c r="L137" s="688"/>
      <c r="M137" s="698"/>
      <c r="N137" s="690">
        <f>SUM(D137:G137,J137,M137)/4</f>
        <v>0</v>
      </c>
    </row>
    <row r="138" spans="1:14">
      <c r="A138" s="687"/>
      <c r="B138" s="688"/>
      <c r="C138" s="688"/>
      <c r="D138" s="688"/>
      <c r="E138" s="688"/>
      <c r="F138" s="688"/>
      <c r="G138" s="688"/>
      <c r="H138" s="688"/>
      <c r="I138" s="688"/>
      <c r="J138" s="688"/>
      <c r="K138" s="688"/>
      <c r="L138" s="688"/>
      <c r="M138" s="688"/>
      <c r="N138" s="688"/>
    </row>
    <row r="139" spans="1:14">
      <c r="A139" s="675" t="s">
        <v>961</v>
      </c>
      <c r="B139" s="676">
        <f t="shared" ref="B139:M139" si="23">B126*100/B128</f>
        <v>5.4030626986420112</v>
      </c>
      <c r="C139" s="676">
        <f t="shared" si="23"/>
        <v>4.008574490889603</v>
      </c>
      <c r="D139" s="676">
        <f t="shared" si="23"/>
        <v>3.5280447871553817</v>
      </c>
      <c r="E139" s="676">
        <f t="shared" si="23"/>
        <v>0.85495576101004078</v>
      </c>
      <c r="F139" s="676">
        <f t="shared" si="23"/>
        <v>0</v>
      </c>
      <c r="G139" s="676">
        <f t="shared" si="23"/>
        <v>0.91628086419753085</v>
      </c>
      <c r="H139" s="676">
        <f t="shared" si="23"/>
        <v>0</v>
      </c>
      <c r="I139" s="676">
        <f t="shared" si="23"/>
        <v>0</v>
      </c>
      <c r="J139" s="676">
        <f t="shared" si="23"/>
        <v>2.2123053551082417</v>
      </c>
      <c r="K139" s="676">
        <f t="shared" si="23"/>
        <v>0.97997892518440466</v>
      </c>
      <c r="L139" s="676">
        <f t="shared" si="23"/>
        <v>8.4086993970714907</v>
      </c>
      <c r="M139" s="676">
        <f t="shared" si="23"/>
        <v>6.051811243684833</v>
      </c>
      <c r="N139" s="690">
        <f>SUM(B139:M139)/12</f>
        <v>2.6969761269119616</v>
      </c>
    </row>
    <row r="140" spans="1:14">
      <c r="A140" s="675" t="s">
        <v>962</v>
      </c>
      <c r="B140" s="676">
        <f t="shared" ref="B140:M140" si="24">B124*100/B128</f>
        <v>2.0803236058942502</v>
      </c>
      <c r="C140" s="676">
        <f t="shared" si="24"/>
        <v>3.429796355841372</v>
      </c>
      <c r="D140" s="676">
        <f t="shared" si="24"/>
        <v>3.1372134783986478</v>
      </c>
      <c r="E140" s="676">
        <f t="shared" si="24"/>
        <v>2.7736355502535042</v>
      </c>
      <c r="F140" s="676">
        <f t="shared" si="24"/>
        <v>7.1362181142207994</v>
      </c>
      <c r="G140" s="676">
        <f t="shared" si="24"/>
        <v>5.9027777777777777</v>
      </c>
      <c r="H140" s="676">
        <f t="shared" si="24"/>
        <v>20.836403831982313</v>
      </c>
      <c r="I140" s="676">
        <f t="shared" si="24"/>
        <v>5.1265412070084357</v>
      </c>
      <c r="J140" s="676">
        <f t="shared" si="24"/>
        <v>3.2092669958222562</v>
      </c>
      <c r="K140" s="676">
        <f t="shared" si="24"/>
        <v>4.0569020021074813</v>
      </c>
      <c r="L140" s="676">
        <f t="shared" si="24"/>
        <v>3.4668389319552109</v>
      </c>
      <c r="M140" s="676">
        <f t="shared" si="24"/>
        <v>7.932924862947436</v>
      </c>
      <c r="N140" s="690">
        <f>SUM(B140:M140)/12</f>
        <v>5.7574035595174564</v>
      </c>
    </row>
    <row r="141" spans="1:14">
      <c r="A141" s="675" t="s">
        <v>963</v>
      </c>
      <c r="B141" s="676">
        <f t="shared" ref="B141:M141" si="25">B120*100/B128</f>
        <v>1.6565539824713473</v>
      </c>
      <c r="C141" s="676">
        <f t="shared" si="25"/>
        <v>11.95069667738478</v>
      </c>
      <c r="D141" s="676">
        <f t="shared" si="25"/>
        <v>12.728425055455794</v>
      </c>
      <c r="E141" s="676">
        <f t="shared" si="25"/>
        <v>5.5770951386817771</v>
      </c>
      <c r="F141" s="676">
        <f t="shared" si="25"/>
        <v>6.6818134875555097</v>
      </c>
      <c r="G141" s="676">
        <f t="shared" si="25"/>
        <v>3.6265432098765431</v>
      </c>
      <c r="H141" s="676">
        <f t="shared" si="25"/>
        <v>91.838614591009573</v>
      </c>
      <c r="I141" s="676">
        <f t="shared" si="25"/>
        <v>40.428293316028551</v>
      </c>
      <c r="J141" s="676">
        <f t="shared" si="25"/>
        <v>0.81655905810862139</v>
      </c>
      <c r="K141" s="676">
        <f t="shared" si="25"/>
        <v>11.12750263435195</v>
      </c>
      <c r="L141" s="676">
        <f t="shared" si="25"/>
        <v>3.4453057708871664</v>
      </c>
      <c r="M141" s="676">
        <f t="shared" si="25"/>
        <v>1.5908846608620875</v>
      </c>
      <c r="N141" s="690">
        <f>SUM(B141:M141)/12</f>
        <v>15.955690631889473</v>
      </c>
    </row>
    <row r="142" spans="1:14">
      <c r="A142" s="699" t="s">
        <v>964</v>
      </c>
      <c r="B142" s="700">
        <f t="shared" ref="B142:M142" si="26">SUM(B117-B128)*100/B128</f>
        <v>11.181739381681595</v>
      </c>
      <c r="C142" s="700">
        <f t="shared" si="26"/>
        <v>23.729903536977492</v>
      </c>
      <c r="D142" s="700">
        <f t="shared" si="26"/>
        <v>21.939368332100983</v>
      </c>
      <c r="E142" s="700">
        <f t="shared" si="26"/>
        <v>14.762898896510588</v>
      </c>
      <c r="F142" s="700">
        <f t="shared" si="26"/>
        <v>19.219250232366001</v>
      </c>
      <c r="G142" s="700">
        <f t="shared" si="26"/>
        <v>11.342592592592593</v>
      </c>
      <c r="H142" s="700">
        <f t="shared" si="26"/>
        <v>112.6750184229919</v>
      </c>
      <c r="I142" s="700">
        <f t="shared" si="26"/>
        <v>49.824789097988322</v>
      </c>
      <c r="J142" s="700">
        <f t="shared" si="26"/>
        <v>9.6088112419293576</v>
      </c>
      <c r="K142" s="700">
        <f t="shared" si="26"/>
        <v>21.643835616438356</v>
      </c>
      <c r="L142" s="700">
        <f t="shared" si="26"/>
        <v>24.289405684754524</v>
      </c>
      <c r="M142" s="700">
        <f t="shared" si="26"/>
        <v>24.089003547242825</v>
      </c>
      <c r="N142" s="701">
        <f>SUM(B142:M142)/12</f>
        <v>28.692218048631215</v>
      </c>
    </row>
    <row r="143" spans="1:14">
      <c r="A143" s="687"/>
      <c r="B143" s="688"/>
      <c r="C143" s="688"/>
      <c r="D143" s="688"/>
      <c r="E143" s="688"/>
      <c r="F143" s="688"/>
      <c r="G143" s="688"/>
      <c r="H143" s="688"/>
      <c r="I143" s="688"/>
      <c r="J143" s="688"/>
      <c r="K143" s="688"/>
      <c r="L143" s="688"/>
      <c r="M143" s="688"/>
      <c r="N143" s="672"/>
    </row>
    <row r="144" spans="1:14">
      <c r="A144" s="702" t="s">
        <v>965</v>
      </c>
      <c r="B144" s="688"/>
      <c r="C144" s="688"/>
      <c r="D144" s="688"/>
      <c r="E144" s="688"/>
      <c r="F144" s="688"/>
      <c r="G144" s="688"/>
      <c r="H144" s="688"/>
      <c r="I144" s="688"/>
      <c r="J144" s="688"/>
      <c r="K144" s="688"/>
      <c r="L144" s="688"/>
      <c r="M144" s="688"/>
      <c r="N144" s="672"/>
    </row>
    <row r="145" spans="1:14">
      <c r="A145" s="675" t="s">
        <v>966</v>
      </c>
      <c r="B145" s="703">
        <v>18</v>
      </c>
      <c r="C145" s="703">
        <f t="shared" ref="C145:N145" si="27">B148</f>
        <v>18</v>
      </c>
      <c r="D145" s="703">
        <f t="shared" si="27"/>
        <v>18</v>
      </c>
      <c r="E145" s="703">
        <f t="shared" si="27"/>
        <v>18</v>
      </c>
      <c r="F145" s="703">
        <f t="shared" si="27"/>
        <v>18</v>
      </c>
      <c r="G145" s="703">
        <f t="shared" si="27"/>
        <v>18</v>
      </c>
      <c r="H145" s="703">
        <f t="shared" si="27"/>
        <v>18</v>
      </c>
      <c r="I145" s="703">
        <f t="shared" si="27"/>
        <v>18</v>
      </c>
      <c r="J145" s="703">
        <f t="shared" si="27"/>
        <v>18</v>
      </c>
      <c r="K145" s="703">
        <f t="shared" si="27"/>
        <v>18</v>
      </c>
      <c r="L145" s="703">
        <f t="shared" si="27"/>
        <v>18</v>
      </c>
      <c r="M145" s="703">
        <f t="shared" si="27"/>
        <v>18</v>
      </c>
      <c r="N145" s="703">
        <f t="shared" si="27"/>
        <v>18</v>
      </c>
    </row>
    <row r="146" spans="1:14">
      <c r="A146" s="675" t="s">
        <v>967</v>
      </c>
      <c r="B146" s="703"/>
      <c r="C146" s="703"/>
      <c r="D146" s="703"/>
      <c r="E146" s="703"/>
      <c r="F146" s="703"/>
      <c r="G146" s="703"/>
      <c r="H146" s="703"/>
      <c r="I146" s="703"/>
      <c r="J146" s="703"/>
      <c r="K146" s="703"/>
      <c r="L146" s="703"/>
      <c r="M146" s="703"/>
      <c r="N146" s="703">
        <f>SUM(B146:M146)/12</f>
        <v>0</v>
      </c>
    </row>
    <row r="147" spans="1:14">
      <c r="A147" s="675" t="s">
        <v>968</v>
      </c>
      <c r="B147" s="703"/>
      <c r="C147" s="703"/>
      <c r="D147" s="703"/>
      <c r="E147" s="703"/>
      <c r="F147" s="703"/>
      <c r="G147" s="703"/>
      <c r="H147" s="703"/>
      <c r="I147" s="703"/>
      <c r="J147" s="703"/>
      <c r="K147" s="703"/>
      <c r="L147" s="703"/>
      <c r="M147" s="703"/>
      <c r="N147" s="703">
        <f>SUM(B146:M146)/12</f>
        <v>0</v>
      </c>
    </row>
    <row r="148" spans="1:14">
      <c r="A148" s="675" t="s">
        <v>965</v>
      </c>
      <c r="B148" s="703">
        <f t="shared" ref="B148:M148" si="28">SUM(B145+B146-B147)</f>
        <v>18</v>
      </c>
      <c r="C148" s="703">
        <f t="shared" si="28"/>
        <v>18</v>
      </c>
      <c r="D148" s="703">
        <f t="shared" si="28"/>
        <v>18</v>
      </c>
      <c r="E148" s="703">
        <f t="shared" si="28"/>
        <v>18</v>
      </c>
      <c r="F148" s="703">
        <f t="shared" si="28"/>
        <v>18</v>
      </c>
      <c r="G148" s="703">
        <f t="shared" si="28"/>
        <v>18</v>
      </c>
      <c r="H148" s="703">
        <f t="shared" si="28"/>
        <v>18</v>
      </c>
      <c r="I148" s="703">
        <f t="shared" si="28"/>
        <v>18</v>
      </c>
      <c r="J148" s="703">
        <f t="shared" si="28"/>
        <v>18</v>
      </c>
      <c r="K148" s="703">
        <f t="shared" si="28"/>
        <v>18</v>
      </c>
      <c r="L148" s="703">
        <f t="shared" si="28"/>
        <v>18</v>
      </c>
      <c r="M148" s="703">
        <f t="shared" si="28"/>
        <v>18</v>
      </c>
      <c r="N148" s="703">
        <f>SUM(B147:M147)/12</f>
        <v>0</v>
      </c>
    </row>
    <row r="149" spans="1:14">
      <c r="A149" s="675" t="s">
        <v>969</v>
      </c>
      <c r="B149" s="704">
        <f t="shared" ref="B149:M149" si="29">SUM(B148*100)/B145-100</f>
        <v>0</v>
      </c>
      <c r="C149" s="704">
        <f t="shared" si="29"/>
        <v>0</v>
      </c>
      <c r="D149" s="704">
        <f t="shared" si="29"/>
        <v>0</v>
      </c>
      <c r="E149" s="704">
        <f t="shared" si="29"/>
        <v>0</v>
      </c>
      <c r="F149" s="704">
        <f t="shared" si="29"/>
        <v>0</v>
      </c>
      <c r="G149" s="704">
        <f t="shared" si="29"/>
        <v>0</v>
      </c>
      <c r="H149" s="704">
        <f t="shared" si="29"/>
        <v>0</v>
      </c>
      <c r="I149" s="704">
        <f t="shared" si="29"/>
        <v>0</v>
      </c>
      <c r="J149" s="704">
        <f t="shared" si="29"/>
        <v>0</v>
      </c>
      <c r="K149" s="704">
        <f t="shared" si="29"/>
        <v>0</v>
      </c>
      <c r="L149" s="704">
        <f t="shared" si="29"/>
        <v>0</v>
      </c>
      <c r="M149" s="704">
        <f t="shared" si="29"/>
        <v>0</v>
      </c>
      <c r="N149" s="703"/>
    </row>
    <row r="150" spans="1:14">
      <c r="A150" s="687" t="s">
        <v>970</v>
      </c>
      <c r="B150" s="705"/>
      <c r="C150" s="705"/>
      <c r="D150" s="706">
        <f>SUM(B149:D149/3)</f>
        <v>0</v>
      </c>
      <c r="E150" s="705"/>
      <c r="F150" s="705"/>
      <c r="G150" s="706">
        <f>SUM(E149:G149)/3</f>
        <v>0</v>
      </c>
      <c r="H150" s="705"/>
      <c r="I150" s="705"/>
      <c r="J150" s="706">
        <f>SUM(H149:J149)/3</f>
        <v>0</v>
      </c>
      <c r="K150" s="705"/>
      <c r="L150" s="705"/>
      <c r="M150" s="706">
        <f>SUM(K149:M149)/3</f>
        <v>0</v>
      </c>
      <c r="N150" s="705"/>
    </row>
    <row r="151" spans="1:14">
      <c r="A151" s="687"/>
      <c r="B151" s="688"/>
      <c r="C151" s="688"/>
      <c r="D151" s="688"/>
      <c r="E151" s="688"/>
      <c r="F151" s="688"/>
      <c r="G151" s="688"/>
      <c r="H151" s="688"/>
      <c r="I151" s="688"/>
      <c r="J151" s="688"/>
      <c r="K151" s="688"/>
      <c r="L151" s="688"/>
      <c r="M151" s="688"/>
      <c r="N151" s="672"/>
    </row>
    <row r="152" spans="1:14" ht="15.75">
      <c r="A152" s="702"/>
      <c r="B152" s="768"/>
      <c r="C152" s="768"/>
      <c r="D152" s="768"/>
      <c r="E152" s="768"/>
      <c r="F152" s="768"/>
      <c r="G152" s="797"/>
      <c r="H152" s="768"/>
      <c r="I152" s="768"/>
      <c r="J152" s="768"/>
      <c r="K152" s="768"/>
      <c r="L152" s="768"/>
      <c r="M152" s="768"/>
      <c r="N152" s="672"/>
    </row>
    <row r="153" spans="1:14">
      <c r="A153" s="770" t="s">
        <v>986</v>
      </c>
      <c r="B153" s="676" t="s">
        <v>924</v>
      </c>
      <c r="C153" s="676" t="s">
        <v>925</v>
      </c>
      <c r="D153" s="676" t="s">
        <v>926</v>
      </c>
      <c r="E153" s="676" t="s">
        <v>927</v>
      </c>
      <c r="F153" s="676" t="s">
        <v>928</v>
      </c>
      <c r="G153" s="676" t="s">
        <v>929</v>
      </c>
      <c r="H153" s="676" t="s">
        <v>918</v>
      </c>
      <c r="I153" s="676" t="s">
        <v>919</v>
      </c>
      <c r="J153" s="676" t="s">
        <v>920</v>
      </c>
      <c r="K153" s="676" t="s">
        <v>921</v>
      </c>
      <c r="L153" s="676" t="s">
        <v>922</v>
      </c>
      <c r="M153" s="676" t="s">
        <v>923</v>
      </c>
      <c r="N153" s="673" t="s">
        <v>137</v>
      </c>
    </row>
    <row r="154" spans="1:14">
      <c r="A154" s="675" t="s">
        <v>1014</v>
      </c>
      <c r="B154" s="771">
        <v>81500</v>
      </c>
      <c r="C154" s="771">
        <v>81500</v>
      </c>
      <c r="D154" s="771">
        <v>81500</v>
      </c>
      <c r="E154" s="771">
        <v>81500</v>
      </c>
      <c r="F154" s="771">
        <v>81500</v>
      </c>
      <c r="G154" s="771">
        <v>81500</v>
      </c>
      <c r="H154" s="771">
        <v>81500</v>
      </c>
      <c r="I154" s="771">
        <v>81500</v>
      </c>
      <c r="J154" s="771">
        <v>81500</v>
      </c>
      <c r="K154" s="771">
        <v>81500</v>
      </c>
      <c r="L154" s="771">
        <v>81500</v>
      </c>
      <c r="M154" s="771">
        <v>81500</v>
      </c>
      <c r="N154" s="771">
        <f>SUM(B154:M154)</f>
        <v>978000</v>
      </c>
    </row>
    <row r="155" spans="1:14">
      <c r="A155" s="675" t="s">
        <v>1159</v>
      </c>
      <c r="B155" s="771">
        <v>0</v>
      </c>
      <c r="C155" s="771">
        <v>0</v>
      </c>
      <c r="D155" s="771">
        <v>0</v>
      </c>
      <c r="E155" s="771">
        <v>0</v>
      </c>
      <c r="F155" s="771">
        <v>0</v>
      </c>
      <c r="G155" s="771">
        <v>0</v>
      </c>
      <c r="H155" s="771">
        <v>0</v>
      </c>
      <c r="I155" s="771">
        <v>0</v>
      </c>
      <c r="J155" s="771">
        <v>0</v>
      </c>
      <c r="K155" s="771">
        <v>0</v>
      </c>
      <c r="L155" s="771">
        <v>0</v>
      </c>
      <c r="M155" s="771">
        <v>0</v>
      </c>
      <c r="N155" s="771">
        <f>SUM(B155:M155)</f>
        <v>0</v>
      </c>
    </row>
    <row r="156" spans="1:14">
      <c r="A156" s="798" t="s">
        <v>1018</v>
      </c>
      <c r="B156" s="784">
        <v>83300</v>
      </c>
      <c r="C156" s="784">
        <v>83300</v>
      </c>
      <c r="D156" s="784">
        <v>83300</v>
      </c>
      <c r="E156" s="784">
        <v>83300</v>
      </c>
      <c r="F156" s="784">
        <v>83300</v>
      </c>
      <c r="G156" s="784">
        <v>83300</v>
      </c>
      <c r="H156" s="784">
        <v>83300</v>
      </c>
      <c r="I156" s="784">
        <v>83300</v>
      </c>
      <c r="J156" s="784">
        <v>83300</v>
      </c>
      <c r="K156" s="784">
        <v>83300</v>
      </c>
      <c r="L156" s="784">
        <v>83300</v>
      </c>
      <c r="M156" s="784">
        <v>83300</v>
      </c>
      <c r="N156" s="771">
        <f>SUM(B156:M156)</f>
        <v>999600</v>
      </c>
    </row>
    <row r="157" spans="1:14">
      <c r="A157" s="775" t="s">
        <v>1015</v>
      </c>
      <c r="B157" s="776">
        <f t="shared" ref="B157:N157" si="30">SUM(B154:B156)</f>
        <v>164800</v>
      </c>
      <c r="C157" s="776">
        <f t="shared" si="30"/>
        <v>164800</v>
      </c>
      <c r="D157" s="776">
        <f t="shared" si="30"/>
        <v>164800</v>
      </c>
      <c r="E157" s="776">
        <f t="shared" si="30"/>
        <v>164800</v>
      </c>
      <c r="F157" s="776">
        <f t="shared" si="30"/>
        <v>164800</v>
      </c>
      <c r="G157" s="776">
        <f t="shared" si="30"/>
        <v>164800</v>
      </c>
      <c r="H157" s="776">
        <f t="shared" si="30"/>
        <v>164800</v>
      </c>
      <c r="I157" s="776">
        <f t="shared" si="30"/>
        <v>164800</v>
      </c>
      <c r="J157" s="776">
        <f t="shared" si="30"/>
        <v>164800</v>
      </c>
      <c r="K157" s="776">
        <f t="shared" si="30"/>
        <v>164800</v>
      </c>
      <c r="L157" s="776">
        <f t="shared" si="30"/>
        <v>164800</v>
      </c>
      <c r="M157" s="776">
        <f t="shared" si="30"/>
        <v>164800</v>
      </c>
      <c r="N157" s="776">
        <f t="shared" si="30"/>
        <v>1977600</v>
      </c>
    </row>
    <row r="158" spans="1:14">
      <c r="A158" s="673" t="s">
        <v>1016</v>
      </c>
      <c r="B158" s="771">
        <v>11031</v>
      </c>
      <c r="C158" s="771">
        <v>11638</v>
      </c>
      <c r="D158" s="771">
        <v>11775</v>
      </c>
      <c r="E158" s="771">
        <v>14738</v>
      </c>
      <c r="F158" s="771">
        <v>12950</v>
      </c>
      <c r="G158" s="799">
        <v>21516</v>
      </c>
      <c r="H158" s="771">
        <v>1400</v>
      </c>
      <c r="I158" s="771">
        <v>7198</v>
      </c>
      <c r="J158" s="771">
        <v>14287</v>
      </c>
      <c r="K158" s="771">
        <v>11377</v>
      </c>
      <c r="L158" s="771">
        <v>11724</v>
      </c>
      <c r="M158" s="771">
        <v>5600</v>
      </c>
      <c r="N158" s="771">
        <f>SUM(B158:M158)</f>
        <v>135234</v>
      </c>
    </row>
    <row r="159" spans="1:14">
      <c r="A159" s="673" t="s">
        <v>1137</v>
      </c>
      <c r="B159" s="771"/>
      <c r="C159" s="771"/>
      <c r="D159" s="771">
        <v>1350</v>
      </c>
      <c r="E159" s="771">
        <v>1350</v>
      </c>
      <c r="F159" s="771">
        <v>900</v>
      </c>
      <c r="G159" s="799"/>
      <c r="H159" s="771"/>
      <c r="I159" s="771"/>
      <c r="J159" s="771"/>
      <c r="K159" s="771"/>
      <c r="L159" s="771">
        <v>1500</v>
      </c>
      <c r="M159" s="771">
        <v>1650</v>
      </c>
      <c r="N159" s="771">
        <f>SUM(B159:M159)</f>
        <v>6750</v>
      </c>
    </row>
    <row r="160" spans="1:14">
      <c r="A160" s="673" t="s">
        <v>1139</v>
      </c>
      <c r="B160" s="771">
        <v>8820</v>
      </c>
      <c r="C160" s="771">
        <v>4000</v>
      </c>
      <c r="D160" s="771">
        <v>5600</v>
      </c>
      <c r="E160" s="771">
        <v>5870</v>
      </c>
      <c r="F160" s="771">
        <v>6090</v>
      </c>
      <c r="G160" s="799">
        <v>21430</v>
      </c>
      <c r="H160" s="771"/>
      <c r="I160" s="771">
        <v>9450</v>
      </c>
      <c r="J160" s="771">
        <v>9135</v>
      </c>
      <c r="K160" s="771">
        <v>7350</v>
      </c>
      <c r="L160" s="771">
        <v>8190</v>
      </c>
      <c r="M160" s="771">
        <v>5670</v>
      </c>
      <c r="N160" s="771">
        <f>SUM(B160:M160)</f>
        <v>91605</v>
      </c>
    </row>
    <row r="161" spans="1:15">
      <c r="A161" s="673" t="s">
        <v>993</v>
      </c>
      <c r="B161" s="771">
        <v>346281.25</v>
      </c>
      <c r="C161" s="771">
        <v>69825</v>
      </c>
      <c r="D161" s="771">
        <v>225093.75</v>
      </c>
      <c r="E161" s="771">
        <v>172637.5</v>
      </c>
      <c r="F161" s="771">
        <v>188472.13</v>
      </c>
      <c r="G161" s="771">
        <v>236769.26</v>
      </c>
      <c r="H161" s="771">
        <v>25475</v>
      </c>
      <c r="I161" s="771">
        <v>177975</v>
      </c>
      <c r="J161" s="771">
        <v>182522.13</v>
      </c>
      <c r="K161" s="771">
        <v>158325.39000000001</v>
      </c>
      <c r="L161" s="771">
        <v>216647.13</v>
      </c>
      <c r="M161" s="773">
        <v>214068.63</v>
      </c>
      <c r="N161" s="771">
        <f>SUM(B161:M161)</f>
        <v>2214092.17</v>
      </c>
    </row>
    <row r="162" spans="1:15">
      <c r="A162" s="782" t="s">
        <v>1019</v>
      </c>
      <c r="B162" s="784">
        <v>39195.5</v>
      </c>
      <c r="C162" s="784">
        <v>8485</v>
      </c>
      <c r="D162" s="784">
        <v>33979.75</v>
      </c>
      <c r="E162" s="784">
        <v>25325.25</v>
      </c>
      <c r="F162" s="784">
        <v>26527.75</v>
      </c>
      <c r="G162" s="784">
        <v>66934.5</v>
      </c>
      <c r="H162" s="784">
        <v>8038</v>
      </c>
      <c r="I162" s="784">
        <v>38167.5</v>
      </c>
      <c r="J162" s="784">
        <v>44921.5</v>
      </c>
      <c r="K162" s="784">
        <v>24644</v>
      </c>
      <c r="L162" s="784">
        <v>28026.25</v>
      </c>
      <c r="M162" s="771">
        <v>41129</v>
      </c>
      <c r="N162" s="771">
        <f>SUM(B162:M162)</f>
        <v>385374</v>
      </c>
    </row>
    <row r="163" spans="1:15">
      <c r="A163" s="800" t="s">
        <v>1001</v>
      </c>
      <c r="B163" s="801">
        <f t="shared" ref="B163:N163" si="31">SUM(B158:B162)</f>
        <v>405327.75</v>
      </c>
      <c r="C163" s="801">
        <f t="shared" si="31"/>
        <v>93948</v>
      </c>
      <c r="D163" s="801">
        <f t="shared" si="31"/>
        <v>277798.5</v>
      </c>
      <c r="E163" s="801">
        <f t="shared" si="31"/>
        <v>219920.75</v>
      </c>
      <c r="F163" s="801">
        <f t="shared" si="31"/>
        <v>234939.88</v>
      </c>
      <c r="G163" s="801">
        <f t="shared" si="31"/>
        <v>346649.76</v>
      </c>
      <c r="H163" s="801">
        <f t="shared" si="31"/>
        <v>34913</v>
      </c>
      <c r="I163" s="801">
        <f t="shared" si="31"/>
        <v>232790.5</v>
      </c>
      <c r="J163" s="801">
        <f t="shared" si="31"/>
        <v>250865.63</v>
      </c>
      <c r="K163" s="801">
        <f t="shared" si="31"/>
        <v>201696.39</v>
      </c>
      <c r="L163" s="801">
        <f t="shared" si="31"/>
        <v>266087.38</v>
      </c>
      <c r="M163" s="802">
        <f t="shared" si="31"/>
        <v>268117.63</v>
      </c>
      <c r="N163" s="801">
        <f t="shared" si="31"/>
        <v>2833055.17</v>
      </c>
    </row>
    <row r="164" spans="1:15">
      <c r="A164" s="673" t="s">
        <v>1002</v>
      </c>
      <c r="B164" s="773">
        <v>0</v>
      </c>
      <c r="C164" s="773">
        <v>0</v>
      </c>
      <c r="D164" s="773">
        <v>0</v>
      </c>
      <c r="E164" s="773">
        <v>0</v>
      </c>
      <c r="F164" s="773">
        <v>0</v>
      </c>
      <c r="G164" s="773">
        <v>0</v>
      </c>
      <c r="H164" s="773">
        <v>0</v>
      </c>
      <c r="I164" s="773">
        <v>0</v>
      </c>
      <c r="J164" s="773">
        <v>0</v>
      </c>
      <c r="K164" s="773">
        <v>0</v>
      </c>
      <c r="L164" s="773">
        <v>0</v>
      </c>
      <c r="M164" s="784">
        <v>0</v>
      </c>
      <c r="N164" s="773">
        <f>SUM(B164:M164)</f>
        <v>0</v>
      </c>
      <c r="O164" s="671"/>
    </row>
    <row r="165" spans="1:15">
      <c r="A165" s="803" t="s">
        <v>1003</v>
      </c>
      <c r="B165" s="804">
        <f t="shared" ref="B165:N165" si="32">SUM(B157,B163,B164)</f>
        <v>570127.75</v>
      </c>
      <c r="C165" s="804">
        <f t="shared" si="32"/>
        <v>258748</v>
      </c>
      <c r="D165" s="804">
        <f t="shared" si="32"/>
        <v>442598.5</v>
      </c>
      <c r="E165" s="804">
        <f t="shared" si="32"/>
        <v>384720.75</v>
      </c>
      <c r="F165" s="804">
        <f t="shared" si="32"/>
        <v>399739.88</v>
      </c>
      <c r="G165" s="804">
        <f t="shared" si="32"/>
        <v>511449.76</v>
      </c>
      <c r="H165" s="804">
        <f t="shared" si="32"/>
        <v>199713</v>
      </c>
      <c r="I165" s="804">
        <f t="shared" si="32"/>
        <v>397590.5</v>
      </c>
      <c r="J165" s="804">
        <f t="shared" si="32"/>
        <v>415665.63</v>
      </c>
      <c r="K165" s="804">
        <f t="shared" si="32"/>
        <v>366496.39</v>
      </c>
      <c r="L165" s="804">
        <f t="shared" si="32"/>
        <v>430887.38</v>
      </c>
      <c r="M165" s="804">
        <f t="shared" si="32"/>
        <v>432917.63</v>
      </c>
      <c r="N165" s="804">
        <f t="shared" si="32"/>
        <v>4810655.17</v>
      </c>
    </row>
    <row r="166" spans="1:15">
      <c r="A166" s="778" t="s">
        <v>1004</v>
      </c>
      <c r="B166" s="805">
        <v>487000</v>
      </c>
      <c r="C166" s="805">
        <v>487000</v>
      </c>
      <c r="D166" s="805">
        <v>487000</v>
      </c>
      <c r="E166" s="805">
        <v>487000</v>
      </c>
      <c r="F166" s="805">
        <v>487000</v>
      </c>
      <c r="G166" s="805">
        <v>487000</v>
      </c>
      <c r="H166" s="805">
        <v>487000</v>
      </c>
      <c r="I166" s="805">
        <v>487000</v>
      </c>
      <c r="J166" s="805">
        <v>487000</v>
      </c>
      <c r="K166" s="805">
        <v>487000</v>
      </c>
      <c r="L166" s="805">
        <v>487000</v>
      </c>
      <c r="M166" s="805">
        <v>487000</v>
      </c>
      <c r="N166" s="806">
        <f>SUM(B166:M166)</f>
        <v>5844000</v>
      </c>
    </row>
    <row r="167" spans="1:15">
      <c r="A167" s="807" t="s">
        <v>1009</v>
      </c>
      <c r="B167" s="808">
        <f t="shared" ref="B167:N167" si="33">SUM(B165-B166)</f>
        <v>83127.75</v>
      </c>
      <c r="C167" s="808">
        <f t="shared" si="33"/>
        <v>-228252</v>
      </c>
      <c r="D167" s="808">
        <f t="shared" si="33"/>
        <v>-44401.5</v>
      </c>
      <c r="E167" s="808">
        <f t="shared" si="33"/>
        <v>-102279.25</v>
      </c>
      <c r="F167" s="808">
        <f t="shared" si="33"/>
        <v>-87260.12</v>
      </c>
      <c r="G167" s="808">
        <f t="shared" si="33"/>
        <v>24449.760000000009</v>
      </c>
      <c r="H167" s="808">
        <f t="shared" si="33"/>
        <v>-287287</v>
      </c>
      <c r="I167" s="808">
        <f t="shared" si="33"/>
        <v>-89409.5</v>
      </c>
      <c r="J167" s="808">
        <f t="shared" si="33"/>
        <v>-71334.37</v>
      </c>
      <c r="K167" s="808">
        <f t="shared" si="33"/>
        <v>-120503.60999999999</v>
      </c>
      <c r="L167" s="808">
        <f t="shared" si="33"/>
        <v>-56112.619999999995</v>
      </c>
      <c r="M167" s="808">
        <f t="shared" si="33"/>
        <v>-54082.369999999995</v>
      </c>
      <c r="N167" s="808">
        <f t="shared" si="33"/>
        <v>-1033344.8300000001</v>
      </c>
    </row>
    <row r="168" spans="1:15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</row>
    <row r="170" spans="1:15" ht="20.25">
      <c r="A170" s="1706" t="s">
        <v>1188</v>
      </c>
      <c r="B170" s="1706"/>
      <c r="C170" s="1706"/>
      <c r="D170" s="1706"/>
      <c r="E170" s="1706"/>
      <c r="F170" s="1706"/>
      <c r="G170" s="1706"/>
      <c r="H170" s="1706"/>
      <c r="I170" s="1706"/>
      <c r="J170" s="1706"/>
      <c r="K170" s="1706"/>
      <c r="L170" s="1706"/>
      <c r="M170" s="1706"/>
      <c r="N170" s="1706"/>
    </row>
    <row r="171" spans="1:15">
      <c r="A171" s="672"/>
      <c r="B171" s="672"/>
      <c r="C171" s="672"/>
      <c r="D171" s="672"/>
      <c r="E171" s="672"/>
      <c r="F171" s="672"/>
      <c r="G171" s="672"/>
      <c r="H171" s="672"/>
      <c r="I171" s="672"/>
      <c r="J171" s="672"/>
      <c r="K171" s="672"/>
      <c r="L171" s="672"/>
      <c r="M171" s="672"/>
    </row>
    <row r="172" spans="1:15">
      <c r="A172" s="673"/>
      <c r="B172" s="607" t="s">
        <v>924</v>
      </c>
      <c r="C172" s="607" t="s">
        <v>925</v>
      </c>
      <c r="D172" s="674" t="s">
        <v>926</v>
      </c>
      <c r="E172" s="607" t="s">
        <v>927</v>
      </c>
      <c r="F172" s="607" t="s">
        <v>928</v>
      </c>
      <c r="G172" s="674" t="s">
        <v>929</v>
      </c>
      <c r="H172" s="607" t="s">
        <v>918</v>
      </c>
      <c r="I172" s="607" t="s">
        <v>919</v>
      </c>
      <c r="J172" s="607" t="s">
        <v>920</v>
      </c>
      <c r="K172" s="607" t="s">
        <v>921</v>
      </c>
      <c r="L172" s="607" t="s">
        <v>922</v>
      </c>
      <c r="M172" s="607" t="s">
        <v>923</v>
      </c>
      <c r="N172" s="673" t="s">
        <v>137</v>
      </c>
    </row>
    <row r="173" spans="1:15">
      <c r="A173" s="675" t="s">
        <v>183</v>
      </c>
      <c r="B173" s="676">
        <v>1924</v>
      </c>
      <c r="C173" s="676">
        <v>1924</v>
      </c>
      <c r="D173" s="676">
        <v>1924</v>
      </c>
      <c r="E173" s="676">
        <v>1924</v>
      </c>
      <c r="F173" s="676">
        <v>1924</v>
      </c>
      <c r="G173" s="676">
        <v>1924</v>
      </c>
      <c r="H173" s="676">
        <v>1924</v>
      </c>
      <c r="I173" s="676">
        <v>1924</v>
      </c>
      <c r="J173" s="676">
        <v>1924</v>
      </c>
      <c r="K173" s="676">
        <v>1924</v>
      </c>
      <c r="L173" s="676">
        <v>1924</v>
      </c>
      <c r="M173" s="676">
        <v>1924</v>
      </c>
      <c r="N173" s="676">
        <f t="shared" ref="N173:N184" si="34">SUM(B173:M173)</f>
        <v>23088</v>
      </c>
    </row>
    <row r="174" spans="1:15">
      <c r="A174" s="675" t="s">
        <v>942</v>
      </c>
      <c r="B174" s="676">
        <v>7</v>
      </c>
      <c r="C174" s="676">
        <v>0</v>
      </c>
      <c r="D174" s="676">
        <v>0</v>
      </c>
      <c r="E174" s="676">
        <v>14</v>
      </c>
      <c r="F174" s="676">
        <v>0</v>
      </c>
      <c r="G174" s="677">
        <v>0</v>
      </c>
      <c r="H174" s="676">
        <v>0</v>
      </c>
      <c r="I174" s="676">
        <v>35.75</v>
      </c>
      <c r="J174" s="678">
        <v>0</v>
      </c>
      <c r="K174" s="676">
        <v>0</v>
      </c>
      <c r="L174" s="676">
        <v>24</v>
      </c>
      <c r="M174" s="676">
        <v>0</v>
      </c>
      <c r="N174" s="676">
        <f t="shared" si="34"/>
        <v>80.75</v>
      </c>
    </row>
    <row r="175" spans="1:15">
      <c r="A175" s="675" t="s">
        <v>943</v>
      </c>
      <c r="B175" s="676">
        <v>0</v>
      </c>
      <c r="C175" s="676">
        <v>0</v>
      </c>
      <c r="D175" s="676">
        <v>0</v>
      </c>
      <c r="E175" s="676">
        <v>0</v>
      </c>
      <c r="F175" s="676">
        <v>0</v>
      </c>
      <c r="G175" s="677">
        <v>0</v>
      </c>
      <c r="H175" s="676">
        <v>0</v>
      </c>
      <c r="I175" s="676">
        <v>0</v>
      </c>
      <c r="J175" s="676">
        <v>0</v>
      </c>
      <c r="K175" s="676">
        <v>0</v>
      </c>
      <c r="L175" s="676">
        <v>0</v>
      </c>
      <c r="M175" s="676">
        <v>0</v>
      </c>
      <c r="N175" s="676">
        <f t="shared" si="34"/>
        <v>0</v>
      </c>
    </row>
    <row r="176" spans="1:15">
      <c r="A176" s="675" t="s">
        <v>945</v>
      </c>
      <c r="B176" s="676">
        <v>111</v>
      </c>
      <c r="C176" s="676">
        <v>185</v>
      </c>
      <c r="D176" s="676">
        <v>66.75</v>
      </c>
      <c r="E176" s="676">
        <v>192.25</v>
      </c>
      <c r="F176" s="676">
        <v>43</v>
      </c>
      <c r="G176" s="677">
        <v>114.5</v>
      </c>
      <c r="H176" s="676">
        <v>523</v>
      </c>
      <c r="I176" s="676">
        <v>454</v>
      </c>
      <c r="J176" s="676">
        <v>266.25</v>
      </c>
      <c r="K176" s="676">
        <v>115.25</v>
      </c>
      <c r="L176" s="676">
        <v>15.5</v>
      </c>
      <c r="M176" s="676">
        <v>86</v>
      </c>
      <c r="N176" s="676">
        <f t="shared" si="34"/>
        <v>2172.5</v>
      </c>
    </row>
    <row r="177" spans="1:14">
      <c r="A177" s="675" t="s">
        <v>946</v>
      </c>
      <c r="B177" s="676">
        <v>39</v>
      </c>
      <c r="C177" s="676">
        <v>15.5</v>
      </c>
      <c r="D177" s="676">
        <v>0</v>
      </c>
      <c r="E177" s="676">
        <v>124.25</v>
      </c>
      <c r="F177" s="676">
        <v>0</v>
      </c>
      <c r="G177" s="677">
        <v>0</v>
      </c>
      <c r="H177" s="676"/>
      <c r="I177" s="676">
        <v>0</v>
      </c>
      <c r="J177" s="676">
        <v>0</v>
      </c>
      <c r="K177" s="676">
        <v>0</v>
      </c>
      <c r="L177" s="676">
        <v>37</v>
      </c>
      <c r="M177" s="676">
        <v>0</v>
      </c>
      <c r="N177" s="676">
        <f t="shared" si="34"/>
        <v>215.75</v>
      </c>
    </row>
    <row r="178" spans="1:14">
      <c r="A178" s="675" t="s">
        <v>947</v>
      </c>
      <c r="B178" s="676">
        <v>72.25</v>
      </c>
      <c r="C178" s="676">
        <v>154.5</v>
      </c>
      <c r="D178" s="676">
        <v>197.25</v>
      </c>
      <c r="E178" s="676">
        <v>31</v>
      </c>
      <c r="F178" s="676">
        <v>52.5</v>
      </c>
      <c r="G178" s="677">
        <v>29.25</v>
      </c>
      <c r="H178" s="676">
        <v>35.75</v>
      </c>
      <c r="I178" s="676">
        <v>0</v>
      </c>
      <c r="J178" s="676">
        <v>45.75</v>
      </c>
      <c r="K178" s="676">
        <v>38.75</v>
      </c>
      <c r="L178" s="676">
        <v>69.5</v>
      </c>
      <c r="M178" s="676">
        <v>162.75</v>
      </c>
      <c r="N178" s="676">
        <f t="shared" si="34"/>
        <v>889.25</v>
      </c>
    </row>
    <row r="179" spans="1:14">
      <c r="A179" s="675" t="s">
        <v>948</v>
      </c>
      <c r="B179" s="676">
        <v>0</v>
      </c>
      <c r="C179" s="676">
        <v>7.5</v>
      </c>
      <c r="D179" s="676">
        <v>0</v>
      </c>
      <c r="E179" s="676">
        <v>0</v>
      </c>
      <c r="F179" s="676">
        <v>7.5</v>
      </c>
      <c r="G179" s="677">
        <v>15.5</v>
      </c>
      <c r="H179" s="676">
        <v>0</v>
      </c>
      <c r="I179" s="676">
        <v>0</v>
      </c>
      <c r="J179" s="676">
        <v>0</v>
      </c>
      <c r="K179" s="676">
        <v>0</v>
      </c>
      <c r="L179" s="676">
        <v>0</v>
      </c>
      <c r="M179" s="676">
        <v>0</v>
      </c>
      <c r="N179" s="676">
        <f t="shared" si="34"/>
        <v>30.5</v>
      </c>
    </row>
    <row r="180" spans="1:14">
      <c r="A180" s="675" t="s">
        <v>949</v>
      </c>
      <c r="B180" s="676">
        <v>22.75</v>
      </c>
      <c r="C180" s="676">
        <v>23.25</v>
      </c>
      <c r="D180" s="676">
        <v>44.75</v>
      </c>
      <c r="E180" s="676">
        <v>7.5</v>
      </c>
      <c r="F180" s="676">
        <v>55.75</v>
      </c>
      <c r="G180" s="677">
        <v>14.5</v>
      </c>
      <c r="H180" s="676">
        <v>7</v>
      </c>
      <c r="I180" s="676">
        <v>7.75</v>
      </c>
      <c r="J180" s="676">
        <v>13.75</v>
      </c>
      <c r="K180" s="676">
        <v>40.5</v>
      </c>
      <c r="L180" s="676">
        <v>6</v>
      </c>
      <c r="M180" s="676">
        <v>13.5</v>
      </c>
      <c r="N180" s="676">
        <f t="shared" si="34"/>
        <v>257</v>
      </c>
    </row>
    <row r="181" spans="1:14">
      <c r="A181" s="675" t="s">
        <v>950</v>
      </c>
      <c r="B181" s="676">
        <v>0</v>
      </c>
      <c r="C181" s="676">
        <v>0</v>
      </c>
      <c r="D181" s="676">
        <v>0</v>
      </c>
      <c r="E181" s="676">
        <v>0</v>
      </c>
      <c r="F181" s="676">
        <v>0</v>
      </c>
      <c r="G181" s="677">
        <v>0</v>
      </c>
      <c r="H181" s="676">
        <v>0</v>
      </c>
      <c r="I181" s="676">
        <v>0</v>
      </c>
      <c r="J181" s="676">
        <v>0</v>
      </c>
      <c r="K181" s="676">
        <v>0</v>
      </c>
      <c r="L181" s="676">
        <v>0</v>
      </c>
      <c r="M181" s="676">
        <v>0</v>
      </c>
      <c r="N181" s="676">
        <f t="shared" si="34"/>
        <v>0</v>
      </c>
    </row>
    <row r="182" spans="1:14">
      <c r="A182" s="675" t="s">
        <v>951</v>
      </c>
      <c r="B182" s="676">
        <v>7.5</v>
      </c>
      <c r="C182" s="676">
        <v>15.25</v>
      </c>
      <c r="D182" s="676">
        <v>7.5</v>
      </c>
      <c r="E182" s="676">
        <v>0</v>
      </c>
      <c r="F182" s="676">
        <v>0</v>
      </c>
      <c r="G182" s="677">
        <v>0</v>
      </c>
      <c r="H182" s="676">
        <v>0</v>
      </c>
      <c r="I182" s="676">
        <v>0</v>
      </c>
      <c r="J182" s="676">
        <v>0</v>
      </c>
      <c r="K182" s="676">
        <v>0</v>
      </c>
      <c r="L182" s="676">
        <v>69</v>
      </c>
      <c r="M182" s="676">
        <v>53.75</v>
      </c>
      <c r="N182" s="676">
        <f t="shared" si="34"/>
        <v>153</v>
      </c>
    </row>
    <row r="183" spans="1:14">
      <c r="A183" s="679" t="s">
        <v>952</v>
      </c>
      <c r="B183" s="680">
        <v>0</v>
      </c>
      <c r="C183" s="680">
        <v>7.5</v>
      </c>
      <c r="D183" s="680">
        <v>0</v>
      </c>
      <c r="E183" s="680">
        <v>0</v>
      </c>
      <c r="F183" s="680">
        <v>0</v>
      </c>
      <c r="G183" s="681">
        <v>0</v>
      </c>
      <c r="H183" s="680">
        <v>0</v>
      </c>
      <c r="I183" s="680">
        <v>0</v>
      </c>
      <c r="J183" s="680">
        <v>0</v>
      </c>
      <c r="K183" s="680">
        <v>0</v>
      </c>
      <c r="L183" s="680">
        <v>0</v>
      </c>
      <c r="M183" s="680">
        <v>15</v>
      </c>
      <c r="N183" s="682">
        <f t="shared" si="34"/>
        <v>22.5</v>
      </c>
    </row>
    <row r="184" spans="1:14">
      <c r="A184" s="683" t="s">
        <v>953</v>
      </c>
      <c r="B184" s="684">
        <f t="shared" ref="B184:M184" si="35">SUM(B173+B174+B175-B176-B177-B178-B180-B181-B182-B183)</f>
        <v>1678.5</v>
      </c>
      <c r="C184" s="684">
        <f t="shared" si="35"/>
        <v>1523</v>
      </c>
      <c r="D184" s="684">
        <f t="shared" si="35"/>
        <v>1607.75</v>
      </c>
      <c r="E184" s="684">
        <f t="shared" si="35"/>
        <v>1583</v>
      </c>
      <c r="F184" s="684">
        <f t="shared" si="35"/>
        <v>1772.75</v>
      </c>
      <c r="G184" s="796">
        <f t="shared" si="35"/>
        <v>1765.75</v>
      </c>
      <c r="H184" s="684">
        <f t="shared" si="35"/>
        <v>1358.25</v>
      </c>
      <c r="I184" s="684">
        <f t="shared" si="35"/>
        <v>1498</v>
      </c>
      <c r="J184" s="684">
        <f t="shared" si="35"/>
        <v>1598.25</v>
      </c>
      <c r="K184" s="684">
        <f t="shared" si="35"/>
        <v>1729.5</v>
      </c>
      <c r="L184" s="684">
        <f t="shared" si="35"/>
        <v>1751</v>
      </c>
      <c r="M184" s="685">
        <f t="shared" si="35"/>
        <v>1593</v>
      </c>
      <c r="N184" s="686">
        <f t="shared" si="34"/>
        <v>19458.75</v>
      </c>
    </row>
    <row r="185" spans="1:14">
      <c r="A185" s="687"/>
      <c r="B185" s="688"/>
      <c r="C185" s="688"/>
      <c r="D185" s="688"/>
      <c r="E185" s="688"/>
      <c r="F185" s="688"/>
      <c r="G185" s="688"/>
      <c r="H185" s="688"/>
      <c r="I185" s="688"/>
      <c r="J185" s="688"/>
      <c r="K185" s="688"/>
      <c r="L185" s="688"/>
      <c r="M185" s="688"/>
      <c r="N185" s="688"/>
    </row>
    <row r="186" spans="1:14">
      <c r="A186" s="687"/>
      <c r="B186" s="688"/>
      <c r="C186" s="688"/>
      <c r="D186" s="688"/>
      <c r="E186" s="688"/>
      <c r="F186" s="688"/>
      <c r="G186" s="688"/>
      <c r="H186" s="688"/>
      <c r="I186" s="688"/>
      <c r="J186" s="688"/>
      <c r="K186" s="688"/>
      <c r="L186" s="688"/>
      <c r="M186" s="688"/>
      <c r="N186" s="689" t="s">
        <v>954</v>
      </c>
    </row>
    <row r="187" spans="1:14">
      <c r="A187" s="675" t="s">
        <v>955</v>
      </c>
      <c r="B187" s="676">
        <f t="shared" ref="B187:M187" si="36">SUM(B174*100/B184)</f>
        <v>0.41703902293714629</v>
      </c>
      <c r="C187" s="676">
        <f t="shared" si="36"/>
        <v>0</v>
      </c>
      <c r="D187" s="676">
        <f t="shared" si="36"/>
        <v>0</v>
      </c>
      <c r="E187" s="676">
        <f t="shared" si="36"/>
        <v>0.8843967150979154</v>
      </c>
      <c r="F187" s="676">
        <f t="shared" si="36"/>
        <v>0</v>
      </c>
      <c r="G187" s="676">
        <f t="shared" si="36"/>
        <v>0</v>
      </c>
      <c r="H187" s="676">
        <f t="shared" si="36"/>
        <v>0</v>
      </c>
      <c r="I187" s="676">
        <f t="shared" si="36"/>
        <v>2.3865153538050734</v>
      </c>
      <c r="J187" s="676">
        <f t="shared" si="36"/>
        <v>0</v>
      </c>
      <c r="K187" s="676">
        <f t="shared" si="36"/>
        <v>0</v>
      </c>
      <c r="L187" s="676">
        <f t="shared" si="36"/>
        <v>1.3706453455168475</v>
      </c>
      <c r="M187" s="676">
        <f t="shared" si="36"/>
        <v>0</v>
      </c>
      <c r="N187" s="690">
        <f>SUM(B187:M187)/12</f>
        <v>0.42154970311308188</v>
      </c>
    </row>
    <row r="188" spans="1:14">
      <c r="A188" s="687"/>
      <c r="B188" s="688"/>
      <c r="C188" s="688"/>
      <c r="D188" s="688"/>
      <c r="E188" s="688"/>
      <c r="F188" s="688"/>
      <c r="G188" s="688"/>
      <c r="H188" s="688"/>
      <c r="I188" s="688"/>
      <c r="J188" s="688"/>
      <c r="K188" s="688"/>
      <c r="L188" s="688"/>
      <c r="M188" s="688"/>
      <c r="N188" s="672"/>
    </row>
    <row r="189" spans="1:14">
      <c r="A189" s="675" t="s">
        <v>956</v>
      </c>
      <c r="B189" s="676">
        <f t="shared" ref="B189:M189" si="37">SUM(B178*100/B184)</f>
        <v>4.3044384867441163</v>
      </c>
      <c r="C189" s="676">
        <f t="shared" si="37"/>
        <v>10.144451739986868</v>
      </c>
      <c r="D189" s="676">
        <f t="shared" si="37"/>
        <v>12.268698491680921</v>
      </c>
      <c r="E189" s="676">
        <f t="shared" si="37"/>
        <v>1.9583070120025268</v>
      </c>
      <c r="F189" s="676">
        <f t="shared" si="37"/>
        <v>2.9615004935834155</v>
      </c>
      <c r="G189" s="676">
        <f t="shared" si="37"/>
        <v>1.6565198923969984</v>
      </c>
      <c r="H189" s="676">
        <f t="shared" si="37"/>
        <v>2.6320633167679</v>
      </c>
      <c r="I189" s="676">
        <f t="shared" si="37"/>
        <v>0</v>
      </c>
      <c r="J189" s="676">
        <f t="shared" si="37"/>
        <v>2.8625058657907085</v>
      </c>
      <c r="K189" s="676">
        <f t="shared" si="37"/>
        <v>2.2405319456490314</v>
      </c>
      <c r="L189" s="676">
        <f t="shared" si="37"/>
        <v>3.969160479725871</v>
      </c>
      <c r="M189" s="676">
        <f t="shared" si="37"/>
        <v>10.216572504708099</v>
      </c>
      <c r="N189" s="690">
        <f>SUM(B189:M189)/12</f>
        <v>4.6012291857530379</v>
      </c>
    </row>
    <row r="190" spans="1:14">
      <c r="A190" s="691" t="s">
        <v>957</v>
      </c>
      <c r="B190" s="682">
        <f t="shared" ref="B190:M190" si="38">SUM(B179*100/B184)</f>
        <v>0</v>
      </c>
      <c r="C190" s="682">
        <f t="shared" si="38"/>
        <v>0.49244911359159554</v>
      </c>
      <c r="D190" s="682">
        <f t="shared" si="38"/>
        <v>0</v>
      </c>
      <c r="E190" s="682">
        <f t="shared" si="38"/>
        <v>0</v>
      </c>
      <c r="F190" s="682">
        <f t="shared" si="38"/>
        <v>0.42307149908334507</v>
      </c>
      <c r="G190" s="682">
        <f t="shared" si="38"/>
        <v>0.87781396007362311</v>
      </c>
      <c r="H190" s="682">
        <f t="shared" si="38"/>
        <v>0</v>
      </c>
      <c r="I190" s="682">
        <f t="shared" si="38"/>
        <v>0</v>
      </c>
      <c r="J190" s="682">
        <f t="shared" si="38"/>
        <v>0</v>
      </c>
      <c r="K190" s="682">
        <f t="shared" si="38"/>
        <v>0</v>
      </c>
      <c r="L190" s="682">
        <f t="shared" si="38"/>
        <v>0</v>
      </c>
      <c r="M190" s="682">
        <f t="shared" si="38"/>
        <v>0</v>
      </c>
      <c r="N190" s="690">
        <f>SUM(B190:M190)/12</f>
        <v>0.149444547729047</v>
      </c>
    </row>
    <row r="191" spans="1:14">
      <c r="A191" s="693" t="s">
        <v>958</v>
      </c>
      <c r="B191" s="694">
        <f t="shared" ref="B191:M191" si="39">SUM(B189:B189)</f>
        <v>4.3044384867441163</v>
      </c>
      <c r="C191" s="694">
        <f t="shared" si="39"/>
        <v>10.144451739986868</v>
      </c>
      <c r="D191" s="694">
        <f t="shared" si="39"/>
        <v>12.268698491680921</v>
      </c>
      <c r="E191" s="694">
        <f t="shared" si="39"/>
        <v>1.9583070120025268</v>
      </c>
      <c r="F191" s="694">
        <f t="shared" si="39"/>
        <v>2.9615004935834155</v>
      </c>
      <c r="G191" s="694">
        <f t="shared" si="39"/>
        <v>1.6565198923969984</v>
      </c>
      <c r="H191" s="694">
        <f t="shared" si="39"/>
        <v>2.6320633167679</v>
      </c>
      <c r="I191" s="694">
        <f t="shared" si="39"/>
        <v>0</v>
      </c>
      <c r="J191" s="694">
        <f t="shared" si="39"/>
        <v>2.8625058657907085</v>
      </c>
      <c r="K191" s="694">
        <f t="shared" si="39"/>
        <v>2.2405319456490314</v>
      </c>
      <c r="L191" s="694">
        <f t="shared" si="39"/>
        <v>3.969160479725871</v>
      </c>
      <c r="M191" s="694">
        <f t="shared" si="39"/>
        <v>10.216572504708099</v>
      </c>
      <c r="N191" s="695">
        <f>SUM(N189:N190)</f>
        <v>4.7506737334820848</v>
      </c>
    </row>
    <row r="192" spans="1:14">
      <c r="A192" s="687" t="s">
        <v>959</v>
      </c>
      <c r="B192" s="688"/>
      <c r="C192" s="688"/>
      <c r="D192" s="696">
        <f>SUM(B191:D191)/3</f>
        <v>8.9058629061373011</v>
      </c>
      <c r="E192" s="688"/>
      <c r="F192" s="688"/>
      <c r="G192" s="696">
        <f>SUM(E191,F191,G191)/3</f>
        <v>2.1921091326609803</v>
      </c>
      <c r="H192" s="688"/>
      <c r="I192" s="688"/>
      <c r="J192" s="696">
        <f>SUM(H191,I191,J191)/3</f>
        <v>1.8315230608528694</v>
      </c>
      <c r="K192" s="688"/>
      <c r="L192" s="688"/>
      <c r="M192" s="696">
        <f>SUM(K191,L191,M191)/3</f>
        <v>5.4754216433609999</v>
      </c>
      <c r="N192" s="697">
        <f>SUM(D192:M192)/4</f>
        <v>4.6012291857530379</v>
      </c>
    </row>
    <row r="193" spans="1:14">
      <c r="A193" s="687" t="s">
        <v>960</v>
      </c>
      <c r="B193" s="688"/>
      <c r="C193" s="688"/>
      <c r="D193" s="698"/>
      <c r="E193" s="688"/>
      <c r="F193" s="688"/>
      <c r="G193" s="698"/>
      <c r="H193" s="688"/>
      <c r="I193" s="688"/>
      <c r="J193" s="698"/>
      <c r="K193" s="688"/>
      <c r="L193" s="688"/>
      <c r="M193" s="698"/>
      <c r="N193" s="690">
        <f>SUM(D193:G193,J193,M193)/4</f>
        <v>0</v>
      </c>
    </row>
    <row r="194" spans="1:14">
      <c r="A194" s="687"/>
      <c r="B194" s="688"/>
      <c r="C194" s="688"/>
      <c r="D194" s="688"/>
      <c r="E194" s="688"/>
      <c r="F194" s="688"/>
      <c r="G194" s="688"/>
      <c r="H194" s="688"/>
      <c r="I194" s="688"/>
      <c r="J194" s="688"/>
      <c r="K194" s="688"/>
      <c r="L194" s="688"/>
      <c r="M194" s="688"/>
      <c r="N194" s="688"/>
    </row>
    <row r="195" spans="1:14">
      <c r="A195" s="675" t="s">
        <v>961</v>
      </c>
      <c r="B195" s="676">
        <f t="shared" ref="B195:M195" si="40">B182*100/B184</f>
        <v>0.44682752457551383</v>
      </c>
      <c r="C195" s="676">
        <f t="shared" si="40"/>
        <v>1.0013131976362442</v>
      </c>
      <c r="D195" s="676">
        <f t="shared" si="40"/>
        <v>0.46649043694604259</v>
      </c>
      <c r="E195" s="676">
        <f t="shared" si="40"/>
        <v>0</v>
      </c>
      <c r="F195" s="676">
        <f t="shared" si="40"/>
        <v>0</v>
      </c>
      <c r="G195" s="676">
        <f t="shared" si="40"/>
        <v>0</v>
      </c>
      <c r="H195" s="676">
        <f t="shared" si="40"/>
        <v>0</v>
      </c>
      <c r="I195" s="676">
        <f t="shared" si="40"/>
        <v>0</v>
      </c>
      <c r="J195" s="676">
        <f t="shared" si="40"/>
        <v>0</v>
      </c>
      <c r="K195" s="676">
        <f t="shared" si="40"/>
        <v>0</v>
      </c>
      <c r="L195" s="676">
        <f t="shared" si="40"/>
        <v>3.9406053683609366</v>
      </c>
      <c r="M195" s="676">
        <f t="shared" si="40"/>
        <v>3.3741368487131198</v>
      </c>
      <c r="N195" s="690">
        <f>SUM(B195:M195)/12</f>
        <v>0.76911444801932138</v>
      </c>
    </row>
    <row r="196" spans="1:14">
      <c r="A196" s="675" t="s">
        <v>962</v>
      </c>
      <c r="B196" s="676">
        <f t="shared" ref="B196:M196" si="41">B180*100/B184</f>
        <v>1.3553768245457254</v>
      </c>
      <c r="C196" s="676">
        <f t="shared" si="41"/>
        <v>1.5265922521339461</v>
      </c>
      <c r="D196" s="676">
        <f t="shared" si="41"/>
        <v>2.7833929404447209</v>
      </c>
      <c r="E196" s="676">
        <f t="shared" si="41"/>
        <v>0.47378395451674038</v>
      </c>
      <c r="F196" s="676">
        <f t="shared" si="41"/>
        <v>3.1448314765195318</v>
      </c>
      <c r="G196" s="676">
        <f t="shared" si="41"/>
        <v>0.8211808013591958</v>
      </c>
      <c r="H196" s="676">
        <f t="shared" si="41"/>
        <v>0.51536904104546288</v>
      </c>
      <c r="I196" s="676">
        <f t="shared" si="41"/>
        <v>0.51735647530040052</v>
      </c>
      <c r="J196" s="676">
        <f t="shared" si="41"/>
        <v>0.86031597059283593</v>
      </c>
      <c r="K196" s="676">
        <f t="shared" si="41"/>
        <v>2.3417172593235041</v>
      </c>
      <c r="L196" s="676">
        <f t="shared" si="41"/>
        <v>0.34266133637921187</v>
      </c>
      <c r="M196" s="676">
        <f t="shared" si="41"/>
        <v>0.84745762711864403</v>
      </c>
      <c r="N196" s="690">
        <f>SUM(B196:M196)/12</f>
        <v>1.2941696632733268</v>
      </c>
    </row>
    <row r="197" spans="1:14">
      <c r="A197" s="675" t="s">
        <v>963</v>
      </c>
      <c r="B197" s="676">
        <f t="shared" ref="B197:M197" si="42">B176*100/B184</f>
        <v>6.6130473637176053</v>
      </c>
      <c r="C197" s="676">
        <f t="shared" si="42"/>
        <v>12.147078135259356</v>
      </c>
      <c r="D197" s="676">
        <f t="shared" si="42"/>
        <v>4.1517648888197796</v>
      </c>
      <c r="E197" s="676">
        <f t="shared" si="42"/>
        <v>12.144662034112445</v>
      </c>
      <c r="F197" s="676">
        <f t="shared" si="42"/>
        <v>2.4256099280778454</v>
      </c>
      <c r="G197" s="676">
        <f t="shared" si="42"/>
        <v>6.4844966728019253</v>
      </c>
      <c r="H197" s="676">
        <f t="shared" si="42"/>
        <v>38.505429780968157</v>
      </c>
      <c r="I197" s="676">
        <f t="shared" si="42"/>
        <v>30.307076101468624</v>
      </c>
      <c r="J197" s="676">
        <f t="shared" si="42"/>
        <v>16.65884561238855</v>
      </c>
      <c r="K197" s="676">
        <f t="shared" si="42"/>
        <v>6.6637756577045391</v>
      </c>
      <c r="L197" s="676">
        <f t="shared" si="42"/>
        <v>0.88520845231296397</v>
      </c>
      <c r="M197" s="676">
        <f t="shared" si="42"/>
        <v>5.3986189579409922</v>
      </c>
      <c r="N197" s="692">
        <f>SUM(B197:M197)/12</f>
        <v>11.865467798797731</v>
      </c>
    </row>
    <row r="198" spans="1:14">
      <c r="A198" s="699" t="s">
        <v>964</v>
      </c>
      <c r="B198" s="700">
        <f t="shared" ref="B198:M198" si="43">SUM(B173-B184)*100/B184</f>
        <v>14.626154304438487</v>
      </c>
      <c r="C198" s="700">
        <f t="shared" si="43"/>
        <v>26.329612606697307</v>
      </c>
      <c r="D198" s="700">
        <f t="shared" si="43"/>
        <v>19.670346757891462</v>
      </c>
      <c r="E198" s="700">
        <f t="shared" si="43"/>
        <v>21.541377132027794</v>
      </c>
      <c r="F198" s="700">
        <f t="shared" si="43"/>
        <v>8.5319418981807917</v>
      </c>
      <c r="G198" s="700">
        <f t="shared" si="43"/>
        <v>8.9621973665581205</v>
      </c>
      <c r="H198" s="700">
        <f t="shared" si="43"/>
        <v>41.652862138781522</v>
      </c>
      <c r="I198" s="700">
        <f t="shared" si="43"/>
        <v>28.437917222963954</v>
      </c>
      <c r="J198" s="700">
        <f t="shared" si="43"/>
        <v>20.381667448772095</v>
      </c>
      <c r="K198" s="700">
        <f t="shared" si="43"/>
        <v>11.246024862677075</v>
      </c>
      <c r="L198" s="700">
        <f t="shared" si="43"/>
        <v>9.8800685322672752</v>
      </c>
      <c r="M198" s="809">
        <f t="shared" si="43"/>
        <v>20.778405524168235</v>
      </c>
      <c r="N198" s="810">
        <f>SUM(B198:M198)/12</f>
        <v>19.336547982952013</v>
      </c>
    </row>
    <row r="199" spans="1:14">
      <c r="A199" s="687"/>
      <c r="B199" s="688"/>
      <c r="C199" s="688"/>
      <c r="D199" s="688"/>
      <c r="E199" s="688"/>
      <c r="F199" s="688"/>
      <c r="G199" s="688"/>
      <c r="H199" s="688"/>
      <c r="I199" s="688"/>
      <c r="J199" s="688"/>
      <c r="K199" s="688"/>
      <c r="L199" s="688"/>
      <c r="M199" s="688"/>
      <c r="N199" s="672"/>
    </row>
    <row r="200" spans="1:14">
      <c r="A200" s="702" t="s">
        <v>965</v>
      </c>
      <c r="B200" s="688"/>
      <c r="C200" s="688"/>
      <c r="D200" s="688"/>
      <c r="E200" s="688"/>
      <c r="F200" s="688"/>
      <c r="G200" s="688"/>
      <c r="H200" s="688"/>
      <c r="I200" s="688"/>
      <c r="J200" s="688"/>
      <c r="K200" s="688"/>
      <c r="L200" s="688"/>
      <c r="M200" s="688"/>
      <c r="N200" s="672"/>
    </row>
    <row r="201" spans="1:14">
      <c r="A201" s="675" t="s">
        <v>966</v>
      </c>
      <c r="B201" s="703">
        <v>12</v>
      </c>
      <c r="C201" s="703">
        <f t="shared" ref="C201:N201" si="44">B204</f>
        <v>13</v>
      </c>
      <c r="D201" s="703">
        <f t="shared" si="44"/>
        <v>13</v>
      </c>
      <c r="E201" s="703">
        <f t="shared" si="44"/>
        <v>13</v>
      </c>
      <c r="F201" s="703">
        <f t="shared" si="44"/>
        <v>13</v>
      </c>
      <c r="G201" s="703">
        <f t="shared" si="44"/>
        <v>13</v>
      </c>
      <c r="H201" s="703">
        <f t="shared" si="44"/>
        <v>13</v>
      </c>
      <c r="I201" s="703">
        <f t="shared" si="44"/>
        <v>13</v>
      </c>
      <c r="J201" s="703">
        <f t="shared" si="44"/>
        <v>13</v>
      </c>
      <c r="K201" s="703">
        <f t="shared" si="44"/>
        <v>13</v>
      </c>
      <c r="L201" s="703">
        <f t="shared" si="44"/>
        <v>13</v>
      </c>
      <c r="M201" s="703">
        <f t="shared" si="44"/>
        <v>13</v>
      </c>
      <c r="N201" s="703">
        <f t="shared" si="44"/>
        <v>13</v>
      </c>
    </row>
    <row r="202" spans="1:14">
      <c r="A202" s="675" t="s">
        <v>967</v>
      </c>
      <c r="B202" s="703">
        <v>1</v>
      </c>
      <c r="C202" s="703"/>
      <c r="D202" s="703"/>
      <c r="E202" s="703"/>
      <c r="F202" s="703"/>
      <c r="G202" s="703"/>
      <c r="H202" s="703"/>
      <c r="I202" s="703"/>
      <c r="J202" s="703"/>
      <c r="K202" s="703"/>
      <c r="L202" s="703"/>
      <c r="M202" s="703"/>
      <c r="N202" s="703">
        <f>SUM(B202:M202)/12</f>
        <v>8.3333333333333329E-2</v>
      </c>
    </row>
    <row r="203" spans="1:14">
      <c r="A203" s="675" t="s">
        <v>968</v>
      </c>
      <c r="B203" s="703"/>
      <c r="C203" s="703"/>
      <c r="D203" s="703"/>
      <c r="E203" s="703"/>
      <c r="F203" s="703"/>
      <c r="G203" s="703"/>
      <c r="H203" s="703"/>
      <c r="I203" s="703"/>
      <c r="J203" s="703"/>
      <c r="K203" s="703"/>
      <c r="L203" s="703"/>
      <c r="M203" s="703"/>
      <c r="N203" s="703">
        <f>SUM(B202:M202)/12</f>
        <v>8.3333333333333329E-2</v>
      </c>
    </row>
    <row r="204" spans="1:14">
      <c r="A204" s="675" t="s">
        <v>965</v>
      </c>
      <c r="B204" s="703">
        <f t="shared" ref="B204:M204" si="45">SUM(B201+B202-B203)</f>
        <v>13</v>
      </c>
      <c r="C204" s="703">
        <f t="shared" si="45"/>
        <v>13</v>
      </c>
      <c r="D204" s="703">
        <f t="shared" si="45"/>
        <v>13</v>
      </c>
      <c r="E204" s="703">
        <f t="shared" si="45"/>
        <v>13</v>
      </c>
      <c r="F204" s="703">
        <f t="shared" si="45"/>
        <v>13</v>
      </c>
      <c r="G204" s="703">
        <f t="shared" si="45"/>
        <v>13</v>
      </c>
      <c r="H204" s="703">
        <f t="shared" si="45"/>
        <v>13</v>
      </c>
      <c r="I204" s="703">
        <f t="shared" si="45"/>
        <v>13</v>
      </c>
      <c r="J204" s="703">
        <f t="shared" si="45"/>
        <v>13</v>
      </c>
      <c r="K204" s="703">
        <f t="shared" si="45"/>
        <v>13</v>
      </c>
      <c r="L204" s="703">
        <f t="shared" si="45"/>
        <v>13</v>
      </c>
      <c r="M204" s="703">
        <f t="shared" si="45"/>
        <v>13</v>
      </c>
      <c r="N204" s="703">
        <f>SUM(B203:M203)/12</f>
        <v>0</v>
      </c>
    </row>
    <row r="205" spans="1:14">
      <c r="A205" s="675" t="s">
        <v>969</v>
      </c>
      <c r="B205" s="704">
        <f t="shared" ref="B205:M205" si="46">SUM(B204*100)/B201-100</f>
        <v>8.3333333333333286</v>
      </c>
      <c r="C205" s="704">
        <f t="shared" si="46"/>
        <v>0</v>
      </c>
      <c r="D205" s="704">
        <f t="shared" si="46"/>
        <v>0</v>
      </c>
      <c r="E205" s="704">
        <f t="shared" si="46"/>
        <v>0</v>
      </c>
      <c r="F205" s="704">
        <f t="shared" si="46"/>
        <v>0</v>
      </c>
      <c r="G205" s="704">
        <f t="shared" si="46"/>
        <v>0</v>
      </c>
      <c r="H205" s="704">
        <f t="shared" si="46"/>
        <v>0</v>
      </c>
      <c r="I205" s="704">
        <f t="shared" si="46"/>
        <v>0</v>
      </c>
      <c r="J205" s="704">
        <f t="shared" si="46"/>
        <v>0</v>
      </c>
      <c r="K205" s="704">
        <f t="shared" si="46"/>
        <v>0</v>
      </c>
      <c r="L205" s="704">
        <f t="shared" si="46"/>
        <v>0</v>
      </c>
      <c r="M205" s="704">
        <f t="shared" si="46"/>
        <v>0</v>
      </c>
      <c r="N205" s="703"/>
    </row>
    <row r="206" spans="1:14">
      <c r="A206" s="687" t="s">
        <v>970</v>
      </c>
      <c r="B206" s="705"/>
      <c r="C206" s="705"/>
      <c r="D206" s="706">
        <f>SUM(B205:D205/3)</f>
        <v>0</v>
      </c>
      <c r="E206" s="705"/>
      <c r="F206" s="705"/>
      <c r="G206" s="706">
        <f>SUM(E205:G205)/3</f>
        <v>0</v>
      </c>
      <c r="H206" s="705"/>
      <c r="I206" s="705"/>
      <c r="J206" s="706">
        <f>SUM(H205:J205)/3</f>
        <v>0</v>
      </c>
      <c r="K206" s="705"/>
      <c r="L206" s="705"/>
      <c r="M206" s="706">
        <f>SUM(K205:M205)/3</f>
        <v>0</v>
      </c>
      <c r="N206" s="705"/>
    </row>
    <row r="207" spans="1:14">
      <c r="A207" s="811"/>
      <c r="B207" s="812"/>
      <c r="C207" s="812"/>
      <c r="D207" s="812"/>
      <c r="E207" s="812"/>
      <c r="F207" s="812"/>
      <c r="G207" s="812"/>
      <c r="H207" s="812"/>
      <c r="I207" s="812"/>
      <c r="J207" s="812"/>
      <c r="K207" s="812"/>
      <c r="L207" s="812"/>
      <c r="M207" s="812"/>
      <c r="N207" s="813"/>
    </row>
    <row r="208" spans="1:14" ht="15.75">
      <c r="A208" s="814" t="s">
        <v>1022</v>
      </c>
      <c r="B208" s="814"/>
      <c r="C208" s="814"/>
      <c r="D208" s="814"/>
      <c r="E208" s="814"/>
      <c r="F208" s="814"/>
      <c r="G208" s="814"/>
      <c r="H208" s="814"/>
      <c r="I208" s="814"/>
      <c r="J208" s="814"/>
      <c r="K208" s="814"/>
      <c r="L208" s="814"/>
      <c r="M208" s="814"/>
      <c r="N208" s="814"/>
    </row>
    <row r="209" spans="1:14" ht="15.75">
      <c r="E209" s="605"/>
      <c r="M209" s="688"/>
      <c r="N209" s="672"/>
    </row>
    <row r="210" spans="1:14">
      <c r="A210" s="528" t="s">
        <v>1023</v>
      </c>
      <c r="B210" s="135"/>
      <c r="C210" s="815"/>
      <c r="D210" s="153" t="s">
        <v>1024</v>
      </c>
      <c r="I210" s="495" t="s">
        <v>1025</v>
      </c>
      <c r="J210" s="135"/>
      <c r="K210" s="135"/>
      <c r="L210" s="135"/>
      <c r="M210" s="720"/>
      <c r="N210" s="672"/>
    </row>
    <row r="211" spans="1:14">
      <c r="A211" s="816" t="s">
        <v>1189</v>
      </c>
      <c r="B211" s="817" t="s">
        <v>1190</v>
      </c>
      <c r="C211" s="818"/>
      <c r="D211" s="721">
        <v>336312</v>
      </c>
      <c r="E211" s="671"/>
      <c r="I211" s="128"/>
      <c r="J211" s="128" t="s">
        <v>1027</v>
      </c>
      <c r="K211" s="131"/>
      <c r="L211" s="130" t="s">
        <v>1028</v>
      </c>
      <c r="M211" s="722" t="s">
        <v>1029</v>
      </c>
      <c r="N211" s="672"/>
    </row>
    <row r="212" spans="1:14">
      <c r="A212" s="816" t="s">
        <v>1191</v>
      </c>
      <c r="B212" s="817" t="s">
        <v>1190</v>
      </c>
      <c r="C212" s="489"/>
      <c r="D212" s="721">
        <v>371700</v>
      </c>
      <c r="E212" s="671" t="s">
        <v>1192</v>
      </c>
      <c r="I212" s="155" t="s">
        <v>1031</v>
      </c>
      <c r="J212" s="727"/>
      <c r="K212" s="489"/>
      <c r="L212" s="153"/>
      <c r="M212" s="748">
        <v>378230</v>
      </c>
      <c r="N212" s="672"/>
    </row>
    <row r="213" spans="1:14">
      <c r="A213" s="816" t="s">
        <v>1193</v>
      </c>
      <c r="B213" s="817" t="s">
        <v>1190</v>
      </c>
      <c r="C213" s="489"/>
      <c r="D213" s="721">
        <v>245700</v>
      </c>
      <c r="E213" s="671"/>
      <c r="I213" s="155" t="s">
        <v>744</v>
      </c>
      <c r="J213" s="727"/>
      <c r="K213" s="489"/>
      <c r="L213" s="153"/>
      <c r="M213" s="721">
        <v>7365</v>
      </c>
      <c r="N213" s="672"/>
    </row>
    <row r="214" spans="1:14">
      <c r="A214" s="816" t="s">
        <v>1033</v>
      </c>
      <c r="B214" s="157"/>
      <c r="C214" s="489" t="s">
        <v>1034</v>
      </c>
      <c r="D214" s="721">
        <v>0</v>
      </c>
      <c r="E214" s="671"/>
      <c r="I214" s="746" t="s">
        <v>1035</v>
      </c>
      <c r="J214" s="747" t="s">
        <v>1194</v>
      </c>
      <c r="K214" s="493"/>
      <c r="L214" s="749"/>
      <c r="M214" s="819">
        <v>2045887</v>
      </c>
      <c r="N214" s="672"/>
    </row>
    <row r="215" spans="1:14">
      <c r="A215" s="816" t="s">
        <v>1142</v>
      </c>
      <c r="B215" s="157"/>
      <c r="C215" s="489"/>
      <c r="D215" s="721">
        <v>371700</v>
      </c>
      <c r="E215" s="671" t="s">
        <v>1195</v>
      </c>
      <c r="F215" t="s">
        <v>1192</v>
      </c>
      <c r="I215" s="340" t="s">
        <v>154</v>
      </c>
      <c r="J215" s="522"/>
      <c r="K215" s="27"/>
      <c r="L215" s="341"/>
      <c r="M215" s="725">
        <f>SUM(M212:M214)</f>
        <v>2431482</v>
      </c>
      <c r="N215" s="672"/>
    </row>
    <row r="216" spans="1:14">
      <c r="A216" s="816" t="s">
        <v>1037</v>
      </c>
      <c r="B216" s="157"/>
      <c r="C216" s="489"/>
      <c r="D216" s="721"/>
      <c r="E216" s="671"/>
      <c r="I216" s="155" t="s">
        <v>153</v>
      </c>
      <c r="J216" s="157"/>
      <c r="K216" s="157"/>
      <c r="L216" s="820"/>
      <c r="M216" s="821">
        <f>M215/12</f>
        <v>202623.5</v>
      </c>
      <c r="N216" s="672"/>
    </row>
    <row r="217" spans="1:14">
      <c r="A217" s="155" t="s">
        <v>1038</v>
      </c>
      <c r="B217" s="157"/>
      <c r="C217" s="489"/>
      <c r="D217" s="721"/>
      <c r="E217" s="671" t="s">
        <v>1196</v>
      </c>
      <c r="G217" s="688"/>
      <c r="H217" s="688"/>
      <c r="I217" s="688"/>
      <c r="J217" s="688"/>
      <c r="K217" s="688"/>
      <c r="L217" s="732"/>
      <c r="M217" s="688"/>
      <c r="N217" s="672"/>
    </row>
    <row r="218" spans="1:14">
      <c r="A218" s="217" t="s">
        <v>1040</v>
      </c>
      <c r="C218" s="239"/>
      <c r="D218" s="721">
        <v>26460</v>
      </c>
      <c r="E218" s="671"/>
      <c r="G218" s="688"/>
      <c r="H218" s="688"/>
      <c r="I218" s="688"/>
      <c r="J218" s="688"/>
      <c r="K218" s="688"/>
      <c r="L218" s="732"/>
      <c r="M218" s="688"/>
      <c r="N218" s="672"/>
    </row>
    <row r="219" spans="1:14">
      <c r="A219" s="359" t="s">
        <v>154</v>
      </c>
      <c r="B219" s="724"/>
      <c r="C219" s="360"/>
      <c r="D219" s="725">
        <f>SUM(D211:D218)</f>
        <v>1351872</v>
      </c>
      <c r="E219" s="671"/>
      <c r="G219" s="688"/>
      <c r="H219" s="688"/>
      <c r="I219" s="688"/>
      <c r="J219" s="688"/>
      <c r="K219" s="688"/>
      <c r="L219" s="729"/>
      <c r="M219" s="688"/>
      <c r="N219" s="672"/>
    </row>
    <row r="220" spans="1:14">
      <c r="A220" s="7" t="s">
        <v>153</v>
      </c>
      <c r="B220" s="51"/>
      <c r="C220" s="608"/>
      <c r="D220" s="821">
        <f>D219/12</f>
        <v>112656</v>
      </c>
      <c r="E220" s="671"/>
      <c r="G220" s="688"/>
      <c r="H220" s="688"/>
      <c r="I220" s="688"/>
      <c r="J220" s="688"/>
      <c r="K220" s="688"/>
      <c r="L220" s="729"/>
      <c r="M220" s="688"/>
      <c r="N220" s="672"/>
    </row>
    <row r="221" spans="1:14">
      <c r="C221" s="822"/>
      <c r="E221" s="671"/>
      <c r="G221" s="688"/>
      <c r="H221" s="688"/>
      <c r="I221" s="688"/>
      <c r="J221" s="688"/>
      <c r="K221" s="688"/>
      <c r="L221" s="729"/>
      <c r="M221" s="688"/>
      <c r="N221" s="672"/>
    </row>
    <row r="222" spans="1:14">
      <c r="C222" s="822"/>
      <c r="E222" s="671"/>
      <c r="G222" s="688"/>
      <c r="H222" s="688"/>
      <c r="I222" s="688"/>
      <c r="J222" s="688"/>
      <c r="K222" s="688"/>
      <c r="L222" s="729"/>
      <c r="M222" s="688"/>
      <c r="N222" s="672"/>
    </row>
    <row r="223" spans="1:14">
      <c r="C223" s="822"/>
      <c r="E223" s="671"/>
      <c r="G223" s="688"/>
      <c r="H223" s="688"/>
      <c r="I223" s="688"/>
      <c r="J223" s="688"/>
      <c r="K223" s="688"/>
      <c r="L223" s="729"/>
      <c r="M223" s="688"/>
      <c r="N223" s="672"/>
    </row>
    <row r="224" spans="1:14">
      <c r="C224" s="822"/>
      <c r="E224" s="671"/>
      <c r="G224" s="688"/>
      <c r="H224" s="688"/>
      <c r="I224" s="688"/>
      <c r="J224" s="688"/>
      <c r="K224" s="688"/>
      <c r="L224" s="729"/>
      <c r="M224" s="688"/>
      <c r="N224" s="672"/>
    </row>
    <row r="225" spans="1:14">
      <c r="A225" s="702" t="s">
        <v>986</v>
      </c>
      <c r="B225" s="688"/>
      <c r="C225" s="688"/>
      <c r="D225" s="688"/>
      <c r="E225" s="688"/>
      <c r="F225" s="688"/>
      <c r="G225" s="688"/>
      <c r="H225" s="688"/>
      <c r="I225" s="688"/>
      <c r="J225" s="688"/>
      <c r="K225" s="688"/>
      <c r="L225" s="688"/>
      <c r="M225" s="688"/>
      <c r="N225" s="672"/>
    </row>
    <row r="226" spans="1:14">
      <c r="A226" s="770"/>
      <c r="B226" s="676" t="s">
        <v>924</v>
      </c>
      <c r="C226" s="676" t="s">
        <v>925</v>
      </c>
      <c r="D226" s="676" t="s">
        <v>926</v>
      </c>
      <c r="E226" s="676" t="s">
        <v>927</v>
      </c>
      <c r="F226" s="676" t="s">
        <v>928</v>
      </c>
      <c r="G226" s="676" t="s">
        <v>929</v>
      </c>
      <c r="H226" s="676" t="s">
        <v>918</v>
      </c>
      <c r="I226" s="676" t="s">
        <v>919</v>
      </c>
      <c r="J226" s="676" t="s">
        <v>920</v>
      </c>
      <c r="K226" s="676" t="s">
        <v>921</v>
      </c>
      <c r="L226" s="676" t="s">
        <v>922</v>
      </c>
      <c r="M226" s="676" t="s">
        <v>923</v>
      </c>
      <c r="N226" s="673"/>
    </row>
    <row r="227" spans="1:14">
      <c r="A227" s="675" t="s">
        <v>987</v>
      </c>
      <c r="B227" s="771">
        <f t="shared" ref="B227:M227" si="47">$D$220</f>
        <v>112656</v>
      </c>
      <c r="C227" s="771">
        <f t="shared" si="47"/>
        <v>112656</v>
      </c>
      <c r="D227" s="771">
        <f t="shared" si="47"/>
        <v>112656</v>
      </c>
      <c r="E227" s="771">
        <f t="shared" si="47"/>
        <v>112656</v>
      </c>
      <c r="F227" s="771">
        <f t="shared" si="47"/>
        <v>112656</v>
      </c>
      <c r="G227" s="771">
        <f t="shared" si="47"/>
        <v>112656</v>
      </c>
      <c r="H227" s="771">
        <f t="shared" si="47"/>
        <v>112656</v>
      </c>
      <c r="I227" s="771">
        <f t="shared" si="47"/>
        <v>112656</v>
      </c>
      <c r="J227" s="771">
        <f t="shared" si="47"/>
        <v>112656</v>
      </c>
      <c r="K227" s="771">
        <f t="shared" si="47"/>
        <v>112656</v>
      </c>
      <c r="L227" s="771">
        <f t="shared" si="47"/>
        <v>112656</v>
      </c>
      <c r="M227" s="771">
        <f t="shared" si="47"/>
        <v>112656</v>
      </c>
      <c r="N227" s="774">
        <f>SUM(B227:M227)</f>
        <v>1351872</v>
      </c>
    </row>
    <row r="228" spans="1:14">
      <c r="A228" s="691" t="s">
        <v>988</v>
      </c>
      <c r="B228" s="773">
        <f t="shared" ref="B228:M228" si="48">$M$216</f>
        <v>202623.5</v>
      </c>
      <c r="C228" s="773">
        <f t="shared" si="48"/>
        <v>202623.5</v>
      </c>
      <c r="D228" s="773">
        <f t="shared" si="48"/>
        <v>202623.5</v>
      </c>
      <c r="E228" s="773">
        <f t="shared" si="48"/>
        <v>202623.5</v>
      </c>
      <c r="F228" s="773">
        <f t="shared" si="48"/>
        <v>202623.5</v>
      </c>
      <c r="G228" s="773">
        <f t="shared" si="48"/>
        <v>202623.5</v>
      </c>
      <c r="H228" s="773">
        <f t="shared" si="48"/>
        <v>202623.5</v>
      </c>
      <c r="I228" s="773">
        <f t="shared" si="48"/>
        <v>202623.5</v>
      </c>
      <c r="J228" s="773">
        <f t="shared" si="48"/>
        <v>202623.5</v>
      </c>
      <c r="K228" s="773">
        <f t="shared" si="48"/>
        <v>202623.5</v>
      </c>
      <c r="L228" s="773">
        <f t="shared" si="48"/>
        <v>202623.5</v>
      </c>
      <c r="M228" s="773">
        <f t="shared" si="48"/>
        <v>202623.5</v>
      </c>
      <c r="N228" s="774">
        <f>SUM(B228:M228)</f>
        <v>2431482</v>
      </c>
    </row>
    <row r="229" spans="1:14">
      <c r="A229" s="775" t="s">
        <v>1041</v>
      </c>
      <c r="B229" s="823">
        <f t="shared" ref="B229:M229" si="49">SUM(B227,B228)</f>
        <v>315279.5</v>
      </c>
      <c r="C229" s="823">
        <f t="shared" si="49"/>
        <v>315279.5</v>
      </c>
      <c r="D229" s="823">
        <f t="shared" si="49"/>
        <v>315279.5</v>
      </c>
      <c r="E229" s="823">
        <f t="shared" si="49"/>
        <v>315279.5</v>
      </c>
      <c r="F229" s="823">
        <f t="shared" si="49"/>
        <v>315279.5</v>
      </c>
      <c r="G229" s="823">
        <f t="shared" si="49"/>
        <v>315279.5</v>
      </c>
      <c r="H229" s="823">
        <f t="shared" si="49"/>
        <v>315279.5</v>
      </c>
      <c r="I229" s="823">
        <f t="shared" si="49"/>
        <v>315279.5</v>
      </c>
      <c r="J229" s="823">
        <f t="shared" si="49"/>
        <v>315279.5</v>
      </c>
      <c r="K229" s="823">
        <f t="shared" si="49"/>
        <v>315279.5</v>
      </c>
      <c r="L229" s="823">
        <f t="shared" si="49"/>
        <v>315279.5</v>
      </c>
      <c r="M229" s="823">
        <f t="shared" si="49"/>
        <v>315279.5</v>
      </c>
      <c r="N229" s="824">
        <f>SUM(B227:M228)</f>
        <v>3783354</v>
      </c>
    </row>
    <row r="230" spans="1:14">
      <c r="A230" s="778" t="s">
        <v>1163</v>
      </c>
      <c r="B230" s="779">
        <v>379523</v>
      </c>
      <c r="C230" s="779">
        <v>417993</v>
      </c>
      <c r="D230" s="779">
        <v>378666.5</v>
      </c>
      <c r="E230" s="779">
        <v>272894</v>
      </c>
      <c r="F230" s="779">
        <v>311860</v>
      </c>
      <c r="G230" s="780">
        <v>371885</v>
      </c>
      <c r="H230" s="779">
        <v>285909</v>
      </c>
      <c r="I230" s="779">
        <v>272182</v>
      </c>
      <c r="J230" s="779">
        <v>305406</v>
      </c>
      <c r="K230" s="779"/>
      <c r="L230" s="779">
        <v>280287</v>
      </c>
      <c r="M230" s="779">
        <v>283949</v>
      </c>
      <c r="N230" s="783">
        <f t="shared" ref="N230:N237" si="50">SUM(B230:M230)</f>
        <v>3560554.5</v>
      </c>
    </row>
    <row r="231" spans="1:14">
      <c r="A231" s="673" t="s">
        <v>1044</v>
      </c>
      <c r="B231" s="772">
        <v>7260</v>
      </c>
      <c r="C231" s="772">
        <v>7599</v>
      </c>
      <c r="D231" s="772">
        <v>3950</v>
      </c>
      <c r="E231" s="772"/>
      <c r="F231" s="772">
        <v>15925</v>
      </c>
      <c r="G231" s="781">
        <v>5075</v>
      </c>
      <c r="H231" s="772">
        <v>287552</v>
      </c>
      <c r="I231" s="772">
        <v>11490</v>
      </c>
      <c r="J231" s="772">
        <v>1400</v>
      </c>
      <c r="K231" s="772">
        <v>27468</v>
      </c>
      <c r="L231" s="772">
        <v>4139</v>
      </c>
      <c r="M231" s="772">
        <v>2055</v>
      </c>
      <c r="N231" s="783">
        <f t="shared" si="50"/>
        <v>373913</v>
      </c>
    </row>
    <row r="232" spans="1:14">
      <c r="A232" s="791" t="s">
        <v>993</v>
      </c>
      <c r="B232" s="772">
        <v>29925</v>
      </c>
      <c r="C232" s="772">
        <v>29837.5</v>
      </c>
      <c r="D232" s="772">
        <v>14525</v>
      </c>
      <c r="E232" s="772">
        <v>12950</v>
      </c>
      <c r="F232" s="772">
        <v>19950</v>
      </c>
      <c r="G232" s="781">
        <v>20475</v>
      </c>
      <c r="H232" s="772">
        <v>5950</v>
      </c>
      <c r="I232" s="772">
        <v>13300</v>
      </c>
      <c r="J232" s="772">
        <v>23800</v>
      </c>
      <c r="K232" s="772">
        <v>42000</v>
      </c>
      <c r="L232" s="772">
        <v>4200</v>
      </c>
      <c r="M232" s="772">
        <v>8137.5</v>
      </c>
      <c r="N232" s="783">
        <f t="shared" si="50"/>
        <v>225050</v>
      </c>
    </row>
    <row r="233" spans="1:14">
      <c r="A233" s="800" t="s">
        <v>1001</v>
      </c>
      <c r="B233" s="801">
        <f t="shared" ref="B233:M233" si="51">SUM(B230:B232)</f>
        <v>416708</v>
      </c>
      <c r="C233" s="801">
        <f t="shared" si="51"/>
        <v>455429.5</v>
      </c>
      <c r="D233" s="801">
        <f t="shared" si="51"/>
        <v>397141.5</v>
      </c>
      <c r="E233" s="801">
        <f t="shared" si="51"/>
        <v>285844</v>
      </c>
      <c r="F233" s="801">
        <f t="shared" si="51"/>
        <v>347735</v>
      </c>
      <c r="G233" s="801">
        <f t="shared" si="51"/>
        <v>397435</v>
      </c>
      <c r="H233" s="801">
        <f t="shared" si="51"/>
        <v>579411</v>
      </c>
      <c r="I233" s="801">
        <f t="shared" si="51"/>
        <v>296972</v>
      </c>
      <c r="J233" s="801">
        <f t="shared" si="51"/>
        <v>330606</v>
      </c>
      <c r="K233" s="801">
        <f t="shared" si="51"/>
        <v>69468</v>
      </c>
      <c r="L233" s="801">
        <f t="shared" si="51"/>
        <v>288626</v>
      </c>
      <c r="M233" s="801">
        <f t="shared" si="51"/>
        <v>294141.5</v>
      </c>
      <c r="N233" s="825">
        <f t="shared" si="50"/>
        <v>4159517.5</v>
      </c>
    </row>
    <row r="234" spans="1:14">
      <c r="A234" s="673" t="s">
        <v>1002</v>
      </c>
      <c r="B234" s="774"/>
      <c r="C234" s="774"/>
      <c r="D234" s="774"/>
      <c r="E234" s="774"/>
      <c r="F234" s="774"/>
      <c r="G234" s="826"/>
      <c r="H234" s="774"/>
      <c r="I234" s="774"/>
      <c r="J234" s="774"/>
      <c r="K234" s="774"/>
      <c r="L234" s="774"/>
      <c r="M234" s="774"/>
      <c r="N234" s="774">
        <f t="shared" si="50"/>
        <v>0</v>
      </c>
    </row>
    <row r="235" spans="1:14">
      <c r="A235" s="803" t="s">
        <v>1003</v>
      </c>
      <c r="B235" s="827">
        <f t="shared" ref="B235:M235" si="52">SUM(B229,B233,B234)</f>
        <v>731987.5</v>
      </c>
      <c r="C235" s="827">
        <f t="shared" si="52"/>
        <v>770709</v>
      </c>
      <c r="D235" s="827">
        <f t="shared" si="52"/>
        <v>712421</v>
      </c>
      <c r="E235" s="827">
        <f t="shared" si="52"/>
        <v>601123.5</v>
      </c>
      <c r="F235" s="827">
        <f t="shared" si="52"/>
        <v>663014.5</v>
      </c>
      <c r="G235" s="827">
        <f t="shared" si="52"/>
        <v>712714.5</v>
      </c>
      <c r="H235" s="827">
        <f t="shared" si="52"/>
        <v>894690.5</v>
      </c>
      <c r="I235" s="827">
        <f t="shared" si="52"/>
        <v>612251.5</v>
      </c>
      <c r="J235" s="827">
        <f t="shared" si="52"/>
        <v>645885.5</v>
      </c>
      <c r="K235" s="827">
        <f t="shared" si="52"/>
        <v>384747.5</v>
      </c>
      <c r="L235" s="827">
        <f t="shared" si="52"/>
        <v>603905.5</v>
      </c>
      <c r="M235" s="827">
        <f t="shared" si="52"/>
        <v>609421</v>
      </c>
      <c r="N235" s="827">
        <f t="shared" si="50"/>
        <v>7942871.5</v>
      </c>
    </row>
    <row r="236" spans="1:14">
      <c r="A236" s="828" t="s">
        <v>1046</v>
      </c>
      <c r="B236" s="773">
        <v>250000</v>
      </c>
      <c r="C236" s="773">
        <v>250000</v>
      </c>
      <c r="D236" s="773">
        <v>250000</v>
      </c>
      <c r="E236" s="773">
        <v>250000</v>
      </c>
      <c r="F236" s="773">
        <v>250000</v>
      </c>
      <c r="G236" s="773">
        <v>250000</v>
      </c>
      <c r="H236" s="773">
        <v>250000</v>
      </c>
      <c r="I236" s="773">
        <v>250000</v>
      </c>
      <c r="J236" s="773">
        <v>250000</v>
      </c>
      <c r="K236" s="773">
        <v>250000</v>
      </c>
      <c r="L236" s="773">
        <v>250000</v>
      </c>
      <c r="M236" s="773">
        <v>250000</v>
      </c>
      <c r="N236" s="773">
        <f t="shared" si="50"/>
        <v>3000000</v>
      </c>
    </row>
    <row r="237" spans="1:14">
      <c r="A237" s="673" t="s">
        <v>1164</v>
      </c>
      <c r="B237" s="771">
        <v>301161</v>
      </c>
      <c r="C237" s="771">
        <v>284279</v>
      </c>
      <c r="D237" s="771">
        <v>260659</v>
      </c>
      <c r="E237" s="771">
        <v>234317</v>
      </c>
      <c r="F237" s="771">
        <v>323528</v>
      </c>
      <c r="G237" s="771">
        <v>364649</v>
      </c>
      <c r="H237" s="771">
        <v>294059</v>
      </c>
      <c r="I237" s="771">
        <v>297029</v>
      </c>
      <c r="J237" s="771">
        <v>399667</v>
      </c>
      <c r="K237" s="771">
        <v>323508</v>
      </c>
      <c r="L237" s="771">
        <v>254239</v>
      </c>
      <c r="M237" s="771">
        <v>254239</v>
      </c>
      <c r="N237" s="773">
        <f t="shared" si="50"/>
        <v>3591334</v>
      </c>
    </row>
    <row r="238" spans="1:14">
      <c r="A238" s="807" t="s">
        <v>1009</v>
      </c>
      <c r="B238" s="808">
        <f t="shared" ref="B238:N238" si="53">SUM(B235-B236-B237)</f>
        <v>180826.5</v>
      </c>
      <c r="C238" s="808">
        <f t="shared" si="53"/>
        <v>236430</v>
      </c>
      <c r="D238" s="808">
        <f t="shared" si="53"/>
        <v>201762</v>
      </c>
      <c r="E238" s="808">
        <f t="shared" si="53"/>
        <v>116806.5</v>
      </c>
      <c r="F238" s="808">
        <f t="shared" si="53"/>
        <v>89486.5</v>
      </c>
      <c r="G238" s="808">
        <f t="shared" si="53"/>
        <v>98065.5</v>
      </c>
      <c r="H238" s="808">
        <f t="shared" si="53"/>
        <v>350631.5</v>
      </c>
      <c r="I238" s="808">
        <f t="shared" si="53"/>
        <v>65222.5</v>
      </c>
      <c r="J238" s="808">
        <f t="shared" si="53"/>
        <v>-3781.5</v>
      </c>
      <c r="K238" s="808">
        <f t="shared" si="53"/>
        <v>-188760.5</v>
      </c>
      <c r="L238" s="808">
        <f t="shared" si="53"/>
        <v>99666.5</v>
      </c>
      <c r="M238" s="808">
        <f t="shared" si="53"/>
        <v>105182</v>
      </c>
      <c r="N238" s="808">
        <f t="shared" si="53"/>
        <v>1351537.5</v>
      </c>
    </row>
    <row r="239" spans="1:14">
      <c r="A239" s="829"/>
      <c r="B239" s="830"/>
      <c r="C239" s="830"/>
      <c r="D239" s="830"/>
      <c r="E239" s="830"/>
      <c r="F239" s="830"/>
      <c r="G239" s="830"/>
      <c r="H239" s="830"/>
      <c r="I239" s="830"/>
      <c r="J239" s="830"/>
      <c r="K239" s="830"/>
      <c r="L239" s="830"/>
      <c r="M239" s="830"/>
      <c r="N239" s="830"/>
    </row>
    <row r="240" spans="1:14">
      <c r="A240" s="622"/>
      <c r="B240" s="622"/>
      <c r="C240" s="622"/>
      <c r="D240" s="622"/>
      <c r="E240" s="622"/>
      <c r="F240" s="622"/>
      <c r="G240" s="622"/>
      <c r="H240" s="622"/>
      <c r="I240" s="622"/>
      <c r="J240" s="622"/>
      <c r="K240" s="622"/>
      <c r="L240" s="622"/>
      <c r="M240" s="622"/>
      <c r="N240" s="622"/>
    </row>
    <row r="241" spans="1:14" ht="20.25">
      <c r="A241" s="1707" t="s">
        <v>1197</v>
      </c>
      <c r="B241" s="1707"/>
      <c r="C241" s="1707"/>
      <c r="D241" s="1707"/>
      <c r="E241" s="1707"/>
      <c r="F241" s="1707"/>
      <c r="G241" s="1707"/>
      <c r="H241" s="1707"/>
      <c r="I241" s="1707"/>
      <c r="J241" s="1707"/>
      <c r="K241" s="1707"/>
      <c r="L241" s="1707"/>
      <c r="M241" s="1707"/>
      <c r="N241" s="1707"/>
    </row>
    <row r="242" spans="1:14">
      <c r="A242" s="672"/>
      <c r="B242" s="672"/>
      <c r="C242" s="672"/>
      <c r="D242" s="672"/>
      <c r="E242" s="672"/>
      <c r="F242" s="672"/>
      <c r="G242" s="672"/>
      <c r="H242" s="672"/>
      <c r="I242" s="672"/>
      <c r="J242" s="672"/>
      <c r="K242" s="672"/>
      <c r="L242" s="672"/>
      <c r="M242" s="672"/>
    </row>
    <row r="243" spans="1:14">
      <c r="A243" s="673"/>
      <c r="B243" s="607" t="s">
        <v>924</v>
      </c>
      <c r="C243" s="607" t="s">
        <v>925</v>
      </c>
      <c r="D243" s="674" t="s">
        <v>926</v>
      </c>
      <c r="E243" s="607" t="s">
        <v>927</v>
      </c>
      <c r="F243" s="607" t="s">
        <v>928</v>
      </c>
      <c r="G243" s="674" t="s">
        <v>929</v>
      </c>
      <c r="H243" s="607" t="s">
        <v>918</v>
      </c>
      <c r="I243" s="607" t="s">
        <v>919</v>
      </c>
      <c r="J243" s="607" t="s">
        <v>920</v>
      </c>
      <c r="K243" s="607" t="s">
        <v>921</v>
      </c>
      <c r="L243" s="607" t="s">
        <v>922</v>
      </c>
      <c r="M243" s="607" t="s">
        <v>923</v>
      </c>
      <c r="N243" s="673" t="s">
        <v>137</v>
      </c>
    </row>
    <row r="244" spans="1:14">
      <c r="A244" s="675" t="s">
        <v>183</v>
      </c>
      <c r="B244" s="676">
        <v>2566</v>
      </c>
      <c r="C244" s="676">
        <v>2566</v>
      </c>
      <c r="D244" s="676">
        <v>2566</v>
      </c>
      <c r="E244" s="676">
        <v>2566</v>
      </c>
      <c r="F244" s="676">
        <v>2566</v>
      </c>
      <c r="G244" s="676">
        <v>2566</v>
      </c>
      <c r="H244" s="676">
        <v>2566</v>
      </c>
      <c r="I244" s="676">
        <v>2566</v>
      </c>
      <c r="J244" s="676">
        <v>2566</v>
      </c>
      <c r="K244" s="676">
        <v>2566</v>
      </c>
      <c r="L244" s="676">
        <v>2566</v>
      </c>
      <c r="M244" s="676">
        <v>2566</v>
      </c>
      <c r="N244" s="676">
        <f t="shared" ref="N244:N255" si="54">SUM(B244:M244)</f>
        <v>30792</v>
      </c>
    </row>
    <row r="245" spans="1:14">
      <c r="A245" s="675" t="s">
        <v>942</v>
      </c>
      <c r="B245" s="676"/>
      <c r="C245" s="676"/>
      <c r="D245" s="676"/>
      <c r="E245" s="676"/>
      <c r="F245" s="676"/>
      <c r="G245" s="677"/>
      <c r="H245" s="676"/>
      <c r="I245" s="676"/>
      <c r="J245" s="678"/>
      <c r="K245" s="676"/>
      <c r="L245" s="676"/>
      <c r="M245" s="676"/>
      <c r="N245" s="676">
        <f t="shared" si="54"/>
        <v>0</v>
      </c>
    </row>
    <row r="246" spans="1:14">
      <c r="A246" s="675" t="s">
        <v>943</v>
      </c>
      <c r="B246" s="676"/>
      <c r="C246" s="676"/>
      <c r="D246" s="676"/>
      <c r="E246" s="676"/>
      <c r="F246" s="676"/>
      <c r="G246" s="677"/>
      <c r="H246" s="676"/>
      <c r="I246" s="676"/>
      <c r="J246" s="676"/>
      <c r="K246" s="676"/>
      <c r="L246" s="676"/>
      <c r="M246" s="673"/>
      <c r="N246" s="676">
        <f t="shared" si="54"/>
        <v>0</v>
      </c>
    </row>
    <row r="247" spans="1:14">
      <c r="A247" s="675" t="s">
        <v>945</v>
      </c>
      <c r="B247" s="676"/>
      <c r="C247" s="676"/>
      <c r="D247" s="676"/>
      <c r="E247" s="676"/>
      <c r="F247" s="676"/>
      <c r="G247" s="677"/>
      <c r="H247" s="676"/>
      <c r="I247" s="676"/>
      <c r="J247" s="676"/>
      <c r="K247" s="676"/>
      <c r="L247" s="676"/>
      <c r="M247" s="676"/>
      <c r="N247" s="676">
        <f t="shared" si="54"/>
        <v>0</v>
      </c>
    </row>
    <row r="248" spans="1:14">
      <c r="A248" s="675" t="s">
        <v>946</v>
      </c>
      <c r="B248" s="676"/>
      <c r="C248" s="676"/>
      <c r="D248" s="676"/>
      <c r="E248" s="676"/>
      <c r="F248" s="676"/>
      <c r="G248" s="677"/>
      <c r="H248" s="676"/>
      <c r="I248" s="676"/>
      <c r="J248" s="676"/>
      <c r="K248" s="676"/>
      <c r="L248" s="676"/>
      <c r="M248" s="676"/>
      <c r="N248" s="676">
        <f t="shared" si="54"/>
        <v>0</v>
      </c>
    </row>
    <row r="249" spans="1:14">
      <c r="A249" s="675" t="s">
        <v>947</v>
      </c>
      <c r="B249" s="676"/>
      <c r="C249" s="676"/>
      <c r="D249" s="676"/>
      <c r="E249" s="676"/>
      <c r="F249" s="676"/>
      <c r="G249" s="677"/>
      <c r="H249" s="676"/>
      <c r="I249" s="676"/>
      <c r="J249" s="676"/>
      <c r="K249" s="676"/>
      <c r="L249" s="676"/>
      <c r="M249" s="676"/>
      <c r="N249" s="676">
        <f t="shared" si="54"/>
        <v>0</v>
      </c>
    </row>
    <row r="250" spans="1:14">
      <c r="A250" s="675" t="s">
        <v>948</v>
      </c>
      <c r="B250" s="676"/>
      <c r="C250" s="676"/>
      <c r="D250" s="676"/>
      <c r="E250" s="676"/>
      <c r="F250" s="676"/>
      <c r="G250" s="677"/>
      <c r="H250" s="676"/>
      <c r="I250" s="676"/>
      <c r="J250" s="676"/>
      <c r="K250" s="676"/>
      <c r="L250" s="676"/>
      <c r="M250" s="676"/>
      <c r="N250" s="676">
        <f t="shared" si="54"/>
        <v>0</v>
      </c>
    </row>
    <row r="251" spans="1:14">
      <c r="A251" s="675" t="s">
        <v>949</v>
      </c>
      <c r="B251" s="676"/>
      <c r="C251" s="676"/>
      <c r="D251" s="676"/>
      <c r="E251" s="676"/>
      <c r="F251" s="676"/>
      <c r="G251" s="677"/>
      <c r="H251" s="676"/>
      <c r="I251" s="676"/>
      <c r="J251" s="676"/>
      <c r="K251" s="676"/>
      <c r="L251" s="676"/>
      <c r="M251" s="676"/>
      <c r="N251" s="676">
        <f t="shared" si="54"/>
        <v>0</v>
      </c>
    </row>
    <row r="252" spans="1:14">
      <c r="A252" s="675" t="s">
        <v>950</v>
      </c>
      <c r="B252" s="676"/>
      <c r="C252" s="676"/>
      <c r="D252" s="676"/>
      <c r="E252" s="676"/>
      <c r="F252" s="676"/>
      <c r="G252" s="677"/>
      <c r="H252" s="676"/>
      <c r="I252" s="676"/>
      <c r="J252" s="676"/>
      <c r="K252" s="676"/>
      <c r="L252" s="676"/>
      <c r="M252" s="676"/>
      <c r="N252" s="676">
        <f t="shared" si="54"/>
        <v>0</v>
      </c>
    </row>
    <row r="253" spans="1:14">
      <c r="A253" s="675" t="s">
        <v>951</v>
      </c>
      <c r="B253" s="676"/>
      <c r="C253" s="676"/>
      <c r="D253" s="676"/>
      <c r="E253" s="676"/>
      <c r="F253" s="676"/>
      <c r="G253" s="677"/>
      <c r="H253" s="676"/>
      <c r="I253" s="676"/>
      <c r="J253" s="676"/>
      <c r="K253" s="676"/>
      <c r="L253" s="676"/>
      <c r="M253" s="676"/>
      <c r="N253" s="676">
        <f t="shared" si="54"/>
        <v>0</v>
      </c>
    </row>
    <row r="254" spans="1:14">
      <c r="A254" s="679" t="s">
        <v>952</v>
      </c>
      <c r="B254" s="680"/>
      <c r="C254" s="680"/>
      <c r="D254" s="680"/>
      <c r="E254" s="680"/>
      <c r="F254" s="680"/>
      <c r="G254" s="681"/>
      <c r="H254" s="680"/>
      <c r="I254" s="680"/>
      <c r="J254" s="680"/>
      <c r="K254" s="680"/>
      <c r="L254" s="680"/>
      <c r="M254" s="680"/>
      <c r="N254" s="682">
        <f t="shared" si="54"/>
        <v>0</v>
      </c>
    </row>
    <row r="255" spans="1:14">
      <c r="A255" s="683" t="s">
        <v>953</v>
      </c>
      <c r="B255" s="684">
        <f t="shared" ref="B255:M255" si="55">SUM(B244+B245+B246-B247-B248-B249-B251-B252-B253-B254)</f>
        <v>2566</v>
      </c>
      <c r="C255" s="684">
        <f t="shared" si="55"/>
        <v>2566</v>
      </c>
      <c r="D255" s="684">
        <f t="shared" si="55"/>
        <v>2566</v>
      </c>
      <c r="E255" s="684">
        <f t="shared" si="55"/>
        <v>2566</v>
      </c>
      <c r="F255" s="684">
        <f t="shared" si="55"/>
        <v>2566</v>
      </c>
      <c r="G255" s="796">
        <f t="shared" si="55"/>
        <v>2566</v>
      </c>
      <c r="H255" s="684">
        <f t="shared" si="55"/>
        <v>2566</v>
      </c>
      <c r="I255" s="684">
        <f t="shared" si="55"/>
        <v>2566</v>
      </c>
      <c r="J255" s="684">
        <f t="shared" si="55"/>
        <v>2566</v>
      </c>
      <c r="K255" s="684">
        <f t="shared" si="55"/>
        <v>2566</v>
      </c>
      <c r="L255" s="684">
        <f t="shared" si="55"/>
        <v>2566</v>
      </c>
      <c r="M255" s="685">
        <f t="shared" si="55"/>
        <v>2566</v>
      </c>
      <c r="N255" s="686">
        <f t="shared" si="54"/>
        <v>30792</v>
      </c>
    </row>
    <row r="256" spans="1:14">
      <c r="A256" s="687"/>
      <c r="B256" s="688"/>
      <c r="C256" s="688"/>
      <c r="D256" s="688"/>
      <c r="E256" s="688"/>
      <c r="F256" s="688"/>
      <c r="G256" s="688"/>
      <c r="H256" s="688"/>
      <c r="I256" s="688"/>
      <c r="J256" s="688"/>
      <c r="K256" s="688"/>
      <c r="L256" s="688"/>
      <c r="M256" s="688"/>
      <c r="N256" s="688"/>
    </row>
    <row r="257" spans="1:14">
      <c r="A257" s="687"/>
      <c r="B257" s="688"/>
      <c r="C257" s="688"/>
      <c r="D257" s="688"/>
      <c r="E257" s="688"/>
      <c r="F257" s="688"/>
      <c r="G257" s="688"/>
      <c r="H257" s="688"/>
      <c r="I257" s="688"/>
      <c r="J257" s="688"/>
      <c r="K257" s="688"/>
      <c r="L257" s="688"/>
      <c r="M257" s="688"/>
      <c r="N257" s="689" t="s">
        <v>954</v>
      </c>
    </row>
    <row r="258" spans="1:14">
      <c r="A258" s="675" t="s">
        <v>955</v>
      </c>
      <c r="B258" s="676">
        <f t="shared" ref="B258:M258" si="56">SUM(B245*100/B255)</f>
        <v>0</v>
      </c>
      <c r="C258" s="676">
        <f t="shared" si="56"/>
        <v>0</v>
      </c>
      <c r="D258" s="676">
        <f t="shared" si="56"/>
        <v>0</v>
      </c>
      <c r="E258" s="676">
        <f t="shared" si="56"/>
        <v>0</v>
      </c>
      <c r="F258" s="676">
        <f t="shared" si="56"/>
        <v>0</v>
      </c>
      <c r="G258" s="676">
        <f t="shared" si="56"/>
        <v>0</v>
      </c>
      <c r="H258" s="676">
        <f t="shared" si="56"/>
        <v>0</v>
      </c>
      <c r="I258" s="676">
        <f t="shared" si="56"/>
        <v>0</v>
      </c>
      <c r="J258" s="676">
        <f t="shared" si="56"/>
        <v>0</v>
      </c>
      <c r="K258" s="676">
        <f t="shared" si="56"/>
        <v>0</v>
      </c>
      <c r="L258" s="676">
        <f t="shared" si="56"/>
        <v>0</v>
      </c>
      <c r="M258" s="676">
        <f t="shared" si="56"/>
        <v>0</v>
      </c>
      <c r="N258" s="690">
        <f>SUM(B258:M258)/12</f>
        <v>0</v>
      </c>
    </row>
    <row r="259" spans="1:14">
      <c r="A259" s="687"/>
      <c r="B259" s="688"/>
      <c r="C259" s="688"/>
      <c r="D259" s="688"/>
      <c r="E259" s="688"/>
      <c r="F259" s="688"/>
      <c r="G259" s="688"/>
      <c r="H259" s="688"/>
      <c r="I259" s="688"/>
      <c r="J259" s="688"/>
      <c r="K259" s="688"/>
      <c r="L259" s="688"/>
      <c r="M259" s="688"/>
      <c r="N259" s="672"/>
    </row>
    <row r="260" spans="1:14">
      <c r="A260" s="675" t="s">
        <v>956</v>
      </c>
      <c r="B260" s="676">
        <f t="shared" ref="B260:M260" si="57">SUM(B249*100/B255)</f>
        <v>0</v>
      </c>
      <c r="C260" s="676">
        <f t="shared" si="57"/>
        <v>0</v>
      </c>
      <c r="D260" s="676">
        <f t="shared" si="57"/>
        <v>0</v>
      </c>
      <c r="E260" s="676">
        <f t="shared" si="57"/>
        <v>0</v>
      </c>
      <c r="F260" s="676">
        <f t="shared" si="57"/>
        <v>0</v>
      </c>
      <c r="G260" s="676">
        <f t="shared" si="57"/>
        <v>0</v>
      </c>
      <c r="H260" s="676">
        <f t="shared" si="57"/>
        <v>0</v>
      </c>
      <c r="I260" s="676">
        <f t="shared" si="57"/>
        <v>0</v>
      </c>
      <c r="J260" s="676">
        <f t="shared" si="57"/>
        <v>0</v>
      </c>
      <c r="K260" s="676">
        <f t="shared" si="57"/>
        <v>0</v>
      </c>
      <c r="L260" s="676">
        <f t="shared" si="57"/>
        <v>0</v>
      </c>
      <c r="M260" s="676">
        <f t="shared" si="57"/>
        <v>0</v>
      </c>
      <c r="N260" s="690">
        <f>SUM(B260:M260)/12</f>
        <v>0</v>
      </c>
    </row>
    <row r="261" spans="1:14">
      <c r="A261" s="691" t="s">
        <v>957</v>
      </c>
      <c r="B261" s="682">
        <f t="shared" ref="B261:M261" si="58">SUM(B250*100/B255)</f>
        <v>0</v>
      </c>
      <c r="C261" s="682">
        <f t="shared" si="58"/>
        <v>0</v>
      </c>
      <c r="D261" s="682">
        <f t="shared" si="58"/>
        <v>0</v>
      </c>
      <c r="E261" s="682">
        <f t="shared" si="58"/>
        <v>0</v>
      </c>
      <c r="F261" s="682">
        <f t="shared" si="58"/>
        <v>0</v>
      </c>
      <c r="G261" s="682">
        <f t="shared" si="58"/>
        <v>0</v>
      </c>
      <c r="H261" s="682">
        <f t="shared" si="58"/>
        <v>0</v>
      </c>
      <c r="I261" s="682">
        <f t="shared" si="58"/>
        <v>0</v>
      </c>
      <c r="J261" s="682">
        <f t="shared" si="58"/>
        <v>0</v>
      </c>
      <c r="K261" s="682">
        <f t="shared" si="58"/>
        <v>0</v>
      </c>
      <c r="L261" s="682">
        <f t="shared" si="58"/>
        <v>0</v>
      </c>
      <c r="M261" s="682">
        <f t="shared" si="58"/>
        <v>0</v>
      </c>
      <c r="N261" s="692">
        <f>SUM(B261:M261)/12</f>
        <v>0</v>
      </c>
    </row>
    <row r="262" spans="1:14">
      <c r="A262" s="693" t="s">
        <v>958</v>
      </c>
      <c r="B262" s="694">
        <f t="shared" ref="B262:M262" si="59">SUM(B260:B260)</f>
        <v>0</v>
      </c>
      <c r="C262" s="694">
        <f t="shared" si="59"/>
        <v>0</v>
      </c>
      <c r="D262" s="694">
        <f t="shared" si="59"/>
        <v>0</v>
      </c>
      <c r="E262" s="694">
        <f t="shared" si="59"/>
        <v>0</v>
      </c>
      <c r="F262" s="694">
        <f t="shared" si="59"/>
        <v>0</v>
      </c>
      <c r="G262" s="694">
        <f t="shared" si="59"/>
        <v>0</v>
      </c>
      <c r="H262" s="694">
        <f t="shared" si="59"/>
        <v>0</v>
      </c>
      <c r="I262" s="694">
        <f t="shared" si="59"/>
        <v>0</v>
      </c>
      <c r="J262" s="694">
        <f t="shared" si="59"/>
        <v>0</v>
      </c>
      <c r="K262" s="694">
        <f t="shared" si="59"/>
        <v>0</v>
      </c>
      <c r="L262" s="694">
        <f t="shared" si="59"/>
        <v>0</v>
      </c>
      <c r="M262" s="694">
        <f t="shared" si="59"/>
        <v>0</v>
      </c>
      <c r="N262" s="695">
        <f>SUM(N260:N261)</f>
        <v>0</v>
      </c>
    </row>
    <row r="263" spans="1:14">
      <c r="A263" s="687" t="s">
        <v>959</v>
      </c>
      <c r="B263" s="688"/>
      <c r="C263" s="688"/>
      <c r="D263" s="696">
        <f>SUM(B262:D262)/4</f>
        <v>0</v>
      </c>
      <c r="E263" s="688"/>
      <c r="F263" s="688"/>
      <c r="G263" s="696">
        <f>SUM(E262,F262,G262)/4</f>
        <v>0</v>
      </c>
      <c r="H263" s="688"/>
      <c r="I263" s="688"/>
      <c r="J263" s="696">
        <f>SUM(H262,I262,J262)/3</f>
        <v>0</v>
      </c>
      <c r="K263" s="688"/>
      <c r="L263" s="688"/>
      <c r="M263" s="696">
        <f>SUM(K262,L262,M262)/3</f>
        <v>0</v>
      </c>
      <c r="N263" s="697">
        <f>SUM(D263:M263)/4</f>
        <v>0</v>
      </c>
    </row>
    <row r="264" spans="1:14">
      <c r="A264" s="687" t="s">
        <v>960</v>
      </c>
      <c r="B264" s="688"/>
      <c r="C264" s="688"/>
      <c r="D264" s="698"/>
      <c r="E264" s="688"/>
      <c r="F264" s="688"/>
      <c r="G264" s="698"/>
      <c r="H264" s="688"/>
      <c r="I264" s="688"/>
      <c r="J264" s="698"/>
      <c r="K264" s="688"/>
      <c r="L264" s="688"/>
      <c r="M264" s="698"/>
      <c r="N264" s="690">
        <f>SUM(D264:G264,J264,M264)/4</f>
        <v>0</v>
      </c>
    </row>
    <row r="265" spans="1:14">
      <c r="A265" s="687"/>
      <c r="B265" s="688"/>
      <c r="C265" s="688"/>
      <c r="D265" s="688"/>
      <c r="E265" s="688"/>
      <c r="F265" s="688"/>
      <c r="G265" s="688"/>
      <c r="H265" s="688"/>
      <c r="I265" s="688"/>
      <c r="J265" s="688"/>
      <c r="K265" s="688"/>
      <c r="L265" s="688"/>
      <c r="M265" s="688"/>
      <c r="N265" s="688"/>
    </row>
    <row r="266" spans="1:14">
      <c r="A266" s="675" t="s">
        <v>961</v>
      </c>
      <c r="B266" s="676">
        <f t="shared" ref="B266:M266" si="60">B253*100/B255</f>
        <v>0</v>
      </c>
      <c r="C266" s="676">
        <f t="shared" si="60"/>
        <v>0</v>
      </c>
      <c r="D266" s="676">
        <f t="shared" si="60"/>
        <v>0</v>
      </c>
      <c r="E266" s="676">
        <f t="shared" si="60"/>
        <v>0</v>
      </c>
      <c r="F266" s="676">
        <f t="shared" si="60"/>
        <v>0</v>
      </c>
      <c r="G266" s="676">
        <f t="shared" si="60"/>
        <v>0</v>
      </c>
      <c r="H266" s="676">
        <f t="shared" si="60"/>
        <v>0</v>
      </c>
      <c r="I266" s="676">
        <f t="shared" si="60"/>
        <v>0</v>
      </c>
      <c r="J266" s="676">
        <f t="shared" si="60"/>
        <v>0</v>
      </c>
      <c r="K266" s="676">
        <f t="shared" si="60"/>
        <v>0</v>
      </c>
      <c r="L266" s="676">
        <f t="shared" si="60"/>
        <v>0</v>
      </c>
      <c r="M266" s="676">
        <f t="shared" si="60"/>
        <v>0</v>
      </c>
      <c r="N266" s="690">
        <f>SUM(B266:M266)/12</f>
        <v>0</v>
      </c>
    </row>
    <row r="267" spans="1:14">
      <c r="A267" s="675" t="s">
        <v>962</v>
      </c>
      <c r="B267" s="676">
        <f t="shared" ref="B267:M267" si="61">B251*100/B255</f>
        <v>0</v>
      </c>
      <c r="C267" s="676">
        <f t="shared" si="61"/>
        <v>0</v>
      </c>
      <c r="D267" s="676">
        <f t="shared" si="61"/>
        <v>0</v>
      </c>
      <c r="E267" s="676">
        <f t="shared" si="61"/>
        <v>0</v>
      </c>
      <c r="F267" s="676">
        <f t="shared" si="61"/>
        <v>0</v>
      </c>
      <c r="G267" s="676">
        <f t="shared" si="61"/>
        <v>0</v>
      </c>
      <c r="H267" s="676">
        <f t="shared" si="61"/>
        <v>0</v>
      </c>
      <c r="I267" s="676">
        <f t="shared" si="61"/>
        <v>0</v>
      </c>
      <c r="J267" s="676">
        <f t="shared" si="61"/>
        <v>0</v>
      </c>
      <c r="K267" s="676">
        <f t="shared" si="61"/>
        <v>0</v>
      </c>
      <c r="L267" s="676">
        <f t="shared" si="61"/>
        <v>0</v>
      </c>
      <c r="M267" s="676">
        <f t="shared" si="61"/>
        <v>0</v>
      </c>
      <c r="N267" s="690">
        <f>SUM(B267:M267)/12</f>
        <v>0</v>
      </c>
    </row>
    <row r="268" spans="1:14">
      <c r="A268" s="675" t="s">
        <v>963</v>
      </c>
      <c r="B268" s="676">
        <f t="shared" ref="B268:M268" si="62">B247*100/B255</f>
        <v>0</v>
      </c>
      <c r="C268" s="676">
        <f t="shared" si="62"/>
        <v>0</v>
      </c>
      <c r="D268" s="676">
        <f t="shared" si="62"/>
        <v>0</v>
      </c>
      <c r="E268" s="676">
        <f t="shared" si="62"/>
        <v>0</v>
      </c>
      <c r="F268" s="676">
        <f t="shared" si="62"/>
        <v>0</v>
      </c>
      <c r="G268" s="676">
        <f t="shared" si="62"/>
        <v>0</v>
      </c>
      <c r="H268" s="676">
        <f t="shared" si="62"/>
        <v>0</v>
      </c>
      <c r="I268" s="676">
        <f t="shared" si="62"/>
        <v>0</v>
      </c>
      <c r="J268" s="676">
        <f t="shared" si="62"/>
        <v>0</v>
      </c>
      <c r="K268" s="676">
        <f t="shared" si="62"/>
        <v>0</v>
      </c>
      <c r="L268" s="676">
        <f t="shared" si="62"/>
        <v>0</v>
      </c>
      <c r="M268" s="676">
        <f t="shared" si="62"/>
        <v>0</v>
      </c>
      <c r="N268" s="690">
        <f>SUM(B268:M268)/12</f>
        <v>0</v>
      </c>
    </row>
    <row r="269" spans="1:14">
      <c r="A269" s="699" t="s">
        <v>964</v>
      </c>
      <c r="B269" s="700">
        <f t="shared" ref="B269:M269" si="63">SUM(B244-B255)*100/B255</f>
        <v>0</v>
      </c>
      <c r="C269" s="700">
        <f t="shared" si="63"/>
        <v>0</v>
      </c>
      <c r="D269" s="700">
        <f t="shared" si="63"/>
        <v>0</v>
      </c>
      <c r="E269" s="700">
        <f t="shared" si="63"/>
        <v>0</v>
      </c>
      <c r="F269" s="700">
        <f t="shared" si="63"/>
        <v>0</v>
      </c>
      <c r="G269" s="700">
        <f t="shared" si="63"/>
        <v>0</v>
      </c>
      <c r="H269" s="700">
        <f t="shared" si="63"/>
        <v>0</v>
      </c>
      <c r="I269" s="700">
        <f t="shared" si="63"/>
        <v>0</v>
      </c>
      <c r="J269" s="700">
        <f t="shared" si="63"/>
        <v>0</v>
      </c>
      <c r="K269" s="700">
        <f t="shared" si="63"/>
        <v>0</v>
      </c>
      <c r="L269" s="700">
        <f t="shared" si="63"/>
        <v>0</v>
      </c>
      <c r="M269" s="700">
        <f t="shared" si="63"/>
        <v>0</v>
      </c>
      <c r="N269" s="701">
        <f>SUM(B269:M269)/12</f>
        <v>0</v>
      </c>
    </row>
    <row r="270" spans="1:14">
      <c r="A270" s="687"/>
      <c r="B270" s="688"/>
      <c r="C270" s="688"/>
      <c r="D270" s="688"/>
      <c r="E270" s="688"/>
      <c r="F270" s="688"/>
      <c r="G270" s="688"/>
      <c r="H270" s="688"/>
      <c r="I270" s="688"/>
      <c r="J270" s="688"/>
      <c r="K270" s="688"/>
      <c r="L270" s="688"/>
      <c r="M270" s="688"/>
      <c r="N270" s="672"/>
    </row>
    <row r="271" spans="1:14">
      <c r="A271" s="702" t="s">
        <v>965</v>
      </c>
      <c r="B271" s="688"/>
      <c r="C271" s="688"/>
      <c r="D271" s="688"/>
      <c r="E271" s="688"/>
      <c r="F271" s="688"/>
      <c r="G271" s="688"/>
      <c r="H271" s="688"/>
      <c r="I271" s="688"/>
      <c r="J271" s="688"/>
      <c r="K271" s="688"/>
      <c r="L271" s="688"/>
      <c r="M271" s="688"/>
      <c r="N271" s="672"/>
    </row>
    <row r="272" spans="1:14">
      <c r="A272" s="675" t="s">
        <v>966</v>
      </c>
      <c r="B272" s="703">
        <v>15</v>
      </c>
      <c r="C272" s="703">
        <v>15</v>
      </c>
      <c r="D272" s="703">
        <v>15</v>
      </c>
      <c r="E272" s="703">
        <v>15</v>
      </c>
      <c r="F272" s="703">
        <v>16</v>
      </c>
      <c r="G272" s="703">
        <v>16</v>
      </c>
      <c r="H272" s="703">
        <v>16</v>
      </c>
      <c r="I272" s="703">
        <v>16</v>
      </c>
      <c r="J272" s="703">
        <f>I275</f>
        <v>16</v>
      </c>
      <c r="K272" s="703">
        <f>J275</f>
        <v>16</v>
      </c>
      <c r="L272" s="703">
        <f>K275</f>
        <v>16</v>
      </c>
      <c r="M272" s="703">
        <f>L275</f>
        <v>16</v>
      </c>
      <c r="N272" s="703">
        <f>M275</f>
        <v>16</v>
      </c>
    </row>
    <row r="273" spans="1:14">
      <c r="A273" s="675" t="s">
        <v>967</v>
      </c>
      <c r="B273" s="703"/>
      <c r="C273" s="703"/>
      <c r="D273" s="703"/>
      <c r="E273" s="703">
        <v>1</v>
      </c>
      <c r="F273" s="703"/>
      <c r="G273" s="703"/>
      <c r="H273" s="703"/>
      <c r="I273" s="703"/>
      <c r="J273" s="703"/>
      <c r="K273" s="703"/>
      <c r="L273" s="703"/>
      <c r="M273" s="703"/>
      <c r="N273" s="703">
        <f>SUM(B273:M273)/12</f>
        <v>8.3333333333333329E-2</v>
      </c>
    </row>
    <row r="274" spans="1:14">
      <c r="A274" s="675" t="s">
        <v>968</v>
      </c>
      <c r="B274" s="703"/>
      <c r="C274" s="703"/>
      <c r="D274" s="703"/>
      <c r="E274" s="703"/>
      <c r="F274" s="703"/>
      <c r="G274" s="703"/>
      <c r="H274" s="703"/>
      <c r="I274" s="703"/>
      <c r="J274" s="703"/>
      <c r="K274" s="703"/>
      <c r="L274" s="703"/>
      <c r="M274" s="703"/>
      <c r="N274" s="703">
        <f>SUM(B273:M273)/12</f>
        <v>8.3333333333333329E-2</v>
      </c>
    </row>
    <row r="275" spans="1:14">
      <c r="A275" s="675" t="s">
        <v>965</v>
      </c>
      <c r="B275" s="703">
        <f t="shared" ref="B275:M275" si="64">SUM(B272+B273-B274)</f>
        <v>15</v>
      </c>
      <c r="C275" s="703">
        <f t="shared" si="64"/>
        <v>15</v>
      </c>
      <c r="D275" s="703">
        <f t="shared" si="64"/>
        <v>15</v>
      </c>
      <c r="E275" s="703">
        <f t="shared" si="64"/>
        <v>16</v>
      </c>
      <c r="F275" s="703">
        <f t="shared" si="64"/>
        <v>16</v>
      </c>
      <c r="G275" s="703">
        <f t="shared" si="64"/>
        <v>16</v>
      </c>
      <c r="H275" s="703">
        <f t="shared" si="64"/>
        <v>16</v>
      </c>
      <c r="I275" s="703">
        <f t="shared" si="64"/>
        <v>16</v>
      </c>
      <c r="J275" s="703">
        <f t="shared" si="64"/>
        <v>16</v>
      </c>
      <c r="K275" s="703">
        <f t="shared" si="64"/>
        <v>16</v>
      </c>
      <c r="L275" s="703">
        <f t="shared" si="64"/>
        <v>16</v>
      </c>
      <c r="M275" s="703">
        <f t="shared" si="64"/>
        <v>16</v>
      </c>
      <c r="N275" s="703">
        <f>SUM(B274:M274)/12</f>
        <v>0</v>
      </c>
    </row>
    <row r="276" spans="1:14">
      <c r="A276" s="675" t="s">
        <v>969</v>
      </c>
      <c r="B276" s="704">
        <f t="shared" ref="B276:M276" si="65">SUM(B275*100)/B272-100</f>
        <v>0</v>
      </c>
      <c r="C276" s="704">
        <f t="shared" si="65"/>
        <v>0</v>
      </c>
      <c r="D276" s="704">
        <f t="shared" si="65"/>
        <v>0</v>
      </c>
      <c r="E276" s="704">
        <f t="shared" si="65"/>
        <v>6.6666666666666714</v>
      </c>
      <c r="F276" s="704">
        <f t="shared" si="65"/>
        <v>0</v>
      </c>
      <c r="G276" s="704">
        <f t="shared" si="65"/>
        <v>0</v>
      </c>
      <c r="H276" s="704">
        <f t="shared" si="65"/>
        <v>0</v>
      </c>
      <c r="I276" s="704">
        <f t="shared" si="65"/>
        <v>0</v>
      </c>
      <c r="J276" s="704">
        <f t="shared" si="65"/>
        <v>0</v>
      </c>
      <c r="K276" s="704">
        <f t="shared" si="65"/>
        <v>0</v>
      </c>
      <c r="L276" s="704">
        <f t="shared" si="65"/>
        <v>0</v>
      </c>
      <c r="M276" s="704">
        <f t="shared" si="65"/>
        <v>0</v>
      </c>
      <c r="N276" s="703"/>
    </row>
    <row r="277" spans="1:14">
      <c r="A277" s="687" t="s">
        <v>970</v>
      </c>
      <c r="B277" s="705"/>
      <c r="C277" s="705"/>
      <c r="D277" s="706">
        <f>SUM(B276:D276/3)</f>
        <v>0</v>
      </c>
      <c r="E277" s="705"/>
      <c r="F277" s="705"/>
      <c r="G277" s="706">
        <f>SUM(E276:G276)/3</f>
        <v>2.2222222222222237</v>
      </c>
      <c r="H277" s="705"/>
      <c r="I277" s="705"/>
      <c r="J277" s="706">
        <f>SUM(H276:J276)/3</f>
        <v>0</v>
      </c>
      <c r="K277" s="705"/>
      <c r="L277" s="705"/>
      <c r="M277" s="706">
        <f>SUM(K276:M276)/3</f>
        <v>0</v>
      </c>
      <c r="N277" s="705"/>
    </row>
    <row r="278" spans="1:14">
      <c r="A278" s="811"/>
      <c r="B278" s="812"/>
      <c r="C278" s="812"/>
      <c r="D278" s="812"/>
      <c r="E278" s="812"/>
      <c r="F278" s="812"/>
      <c r="G278" s="812"/>
      <c r="H278" s="812"/>
      <c r="I278" s="812"/>
      <c r="J278" s="812"/>
      <c r="K278" s="812"/>
      <c r="L278" s="812"/>
      <c r="M278" s="812"/>
      <c r="N278" s="813"/>
    </row>
    <row r="279" spans="1:14">
      <c r="A279" s="687"/>
      <c r="B279" s="688"/>
      <c r="C279" s="688"/>
      <c r="D279" s="688"/>
      <c r="E279" s="688"/>
      <c r="F279" s="688"/>
      <c r="G279" s="688"/>
      <c r="H279" s="688"/>
      <c r="I279" s="688"/>
      <c r="J279" s="688"/>
      <c r="K279" s="688"/>
      <c r="L279" s="688"/>
      <c r="M279" s="688"/>
      <c r="N279" s="672"/>
    </row>
    <row r="280" spans="1:14" ht="15.75">
      <c r="A280" s="831" t="s">
        <v>1056</v>
      </c>
      <c r="B280" s="831"/>
      <c r="C280" s="831"/>
      <c r="D280" s="831"/>
      <c r="E280" s="831"/>
      <c r="F280" s="831"/>
      <c r="G280" s="831"/>
      <c r="H280" s="831"/>
      <c r="I280" s="831"/>
      <c r="J280" s="831"/>
      <c r="K280" s="831"/>
      <c r="L280" s="831"/>
      <c r="M280" s="831"/>
      <c r="N280" s="831"/>
    </row>
    <row r="281" spans="1:14" ht="15.75">
      <c r="E281" s="605"/>
      <c r="M281" s="688"/>
      <c r="N281" s="672"/>
    </row>
    <row r="282" spans="1:14">
      <c r="A282" s="528" t="s">
        <v>1023</v>
      </c>
      <c r="B282" s="135"/>
      <c r="C282" s="815"/>
      <c r="D282" s="153" t="s">
        <v>1024</v>
      </c>
      <c r="G282" s="1"/>
      <c r="K282" s="1"/>
      <c r="M282" s="688"/>
      <c r="N282" s="672"/>
    </row>
    <row r="283" spans="1:14">
      <c r="A283" s="816"/>
      <c r="B283" s="817"/>
      <c r="C283" s="818"/>
      <c r="D283" s="721"/>
      <c r="E283" s="671"/>
      <c r="G283" s="72"/>
      <c r="H283" s="72"/>
      <c r="I283" s="72"/>
      <c r="J283" s="72"/>
      <c r="K283" s="72"/>
      <c r="M283" s="688"/>
      <c r="N283" s="672"/>
    </row>
    <row r="284" spans="1:14">
      <c r="A284" s="217"/>
      <c r="C284" s="239"/>
      <c r="D284" s="721"/>
      <c r="E284" s="671"/>
      <c r="H284" s="832"/>
      <c r="K284" s="671"/>
      <c r="L284" s="732"/>
      <c r="M284" s="688"/>
      <c r="N284" s="672"/>
    </row>
    <row r="285" spans="1:14">
      <c r="A285" s="359" t="s">
        <v>154</v>
      </c>
      <c r="B285" s="724"/>
      <c r="C285" s="360"/>
      <c r="D285" s="725">
        <f>SUM(D283:D284)</f>
        <v>0</v>
      </c>
      <c r="E285" s="671"/>
      <c r="H285" s="832"/>
      <c r="K285" s="671"/>
      <c r="L285" s="732"/>
      <c r="M285" s="688"/>
      <c r="N285" s="672"/>
    </row>
    <row r="286" spans="1:14">
      <c r="A286" s="7" t="s">
        <v>153</v>
      </c>
      <c r="B286" s="51"/>
      <c r="C286" s="608"/>
      <c r="D286" s="821">
        <f>D285/12</f>
        <v>0</v>
      </c>
      <c r="E286" s="671"/>
      <c r="K286" s="726"/>
      <c r="L286" s="732"/>
      <c r="M286" s="688"/>
      <c r="N286" s="672"/>
    </row>
    <row r="287" spans="1:14">
      <c r="C287" s="822"/>
      <c r="E287" s="671"/>
      <c r="J287" s="822"/>
      <c r="K287" s="726"/>
      <c r="L287" s="729"/>
      <c r="M287" s="688"/>
      <c r="N287" s="672"/>
    </row>
    <row r="288" spans="1:14">
      <c r="A288" s="702" t="s">
        <v>986</v>
      </c>
      <c r="B288" s="688"/>
      <c r="C288" s="688"/>
      <c r="D288" s="688"/>
      <c r="E288" s="688"/>
      <c r="F288" s="688"/>
      <c r="G288" s="688"/>
      <c r="H288" s="688"/>
      <c r="I288" s="688"/>
      <c r="J288" s="688"/>
      <c r="K288" s="688"/>
      <c r="L288" s="688"/>
      <c r="M288" s="688"/>
      <c r="N288" s="672"/>
    </row>
    <row r="289" spans="1:14">
      <c r="A289" s="770"/>
      <c r="B289" s="676" t="s">
        <v>924</v>
      </c>
      <c r="C289" s="676" t="s">
        <v>925</v>
      </c>
      <c r="D289" s="676" t="s">
        <v>926</v>
      </c>
      <c r="E289" s="676" t="s">
        <v>927</v>
      </c>
      <c r="F289" s="676" t="s">
        <v>928</v>
      </c>
      <c r="G289" s="676" t="s">
        <v>929</v>
      </c>
      <c r="H289" s="676" t="s">
        <v>918</v>
      </c>
      <c r="I289" s="676" t="s">
        <v>919</v>
      </c>
      <c r="J289" s="676" t="s">
        <v>920</v>
      </c>
      <c r="K289" s="676" t="s">
        <v>921</v>
      </c>
      <c r="L289" s="676" t="s">
        <v>922</v>
      </c>
      <c r="M289" s="676" t="s">
        <v>923</v>
      </c>
      <c r="N289" s="673"/>
    </row>
    <row r="290" spans="1:14">
      <c r="A290" s="675" t="s">
        <v>987</v>
      </c>
      <c r="B290" s="771">
        <f t="shared" ref="B290:M290" si="66">$D$286</f>
        <v>0</v>
      </c>
      <c r="C290" s="771">
        <f t="shared" si="66"/>
        <v>0</v>
      </c>
      <c r="D290" s="771">
        <f t="shared" si="66"/>
        <v>0</v>
      </c>
      <c r="E290" s="771">
        <f t="shared" si="66"/>
        <v>0</v>
      </c>
      <c r="F290" s="771">
        <f t="shared" si="66"/>
        <v>0</v>
      </c>
      <c r="G290" s="771">
        <f t="shared" si="66"/>
        <v>0</v>
      </c>
      <c r="H290" s="771">
        <f t="shared" si="66"/>
        <v>0</v>
      </c>
      <c r="I290" s="771">
        <f t="shared" si="66"/>
        <v>0</v>
      </c>
      <c r="J290" s="771">
        <f t="shared" si="66"/>
        <v>0</v>
      </c>
      <c r="K290" s="771">
        <f t="shared" si="66"/>
        <v>0</v>
      </c>
      <c r="L290" s="771">
        <f t="shared" si="66"/>
        <v>0</v>
      </c>
      <c r="M290" s="771">
        <f t="shared" si="66"/>
        <v>0</v>
      </c>
      <c r="N290" s="771">
        <f t="shared" ref="N290:N296" si="67">SUM(B290:M290)</f>
        <v>0</v>
      </c>
    </row>
    <row r="291" spans="1:14">
      <c r="A291" s="675" t="s">
        <v>1057</v>
      </c>
      <c r="B291" s="771">
        <v>0</v>
      </c>
      <c r="C291" s="771">
        <v>0</v>
      </c>
      <c r="D291" s="771"/>
      <c r="E291" s="771"/>
      <c r="F291" s="771"/>
      <c r="G291" s="799"/>
      <c r="H291" s="771"/>
      <c r="I291" s="771"/>
      <c r="J291" s="771"/>
      <c r="K291" s="771"/>
      <c r="L291" s="771"/>
      <c r="M291" s="771"/>
      <c r="N291" s="771">
        <f t="shared" si="67"/>
        <v>0</v>
      </c>
    </row>
    <row r="292" spans="1:14">
      <c r="A292" s="775" t="s">
        <v>1041</v>
      </c>
      <c r="B292" s="823">
        <f t="shared" ref="B292:M292" si="68">SUM(B290,B291)</f>
        <v>0</v>
      </c>
      <c r="C292" s="823">
        <f t="shared" si="68"/>
        <v>0</v>
      </c>
      <c r="D292" s="823">
        <f t="shared" si="68"/>
        <v>0</v>
      </c>
      <c r="E292" s="823">
        <f t="shared" si="68"/>
        <v>0</v>
      </c>
      <c r="F292" s="823">
        <f t="shared" si="68"/>
        <v>0</v>
      </c>
      <c r="G292" s="823">
        <f t="shared" si="68"/>
        <v>0</v>
      </c>
      <c r="H292" s="823">
        <f t="shared" si="68"/>
        <v>0</v>
      </c>
      <c r="I292" s="823">
        <f t="shared" si="68"/>
        <v>0</v>
      </c>
      <c r="J292" s="823">
        <f t="shared" si="68"/>
        <v>0</v>
      </c>
      <c r="K292" s="823">
        <f t="shared" si="68"/>
        <v>0</v>
      </c>
      <c r="L292" s="823">
        <f t="shared" si="68"/>
        <v>0</v>
      </c>
      <c r="M292" s="823">
        <f t="shared" si="68"/>
        <v>0</v>
      </c>
      <c r="N292" s="824">
        <f t="shared" si="67"/>
        <v>0</v>
      </c>
    </row>
    <row r="293" spans="1:14">
      <c r="A293" s="673" t="s">
        <v>1058</v>
      </c>
      <c r="B293" s="772">
        <v>0</v>
      </c>
      <c r="C293" s="772">
        <v>0</v>
      </c>
      <c r="D293" s="772">
        <v>0</v>
      </c>
      <c r="E293" s="772">
        <v>0</v>
      </c>
      <c r="F293" s="772">
        <v>0</v>
      </c>
      <c r="G293" s="772"/>
      <c r="H293" s="772"/>
      <c r="I293" s="772"/>
      <c r="J293" s="772"/>
      <c r="K293" s="772"/>
      <c r="L293" s="772"/>
      <c r="M293" s="772"/>
      <c r="N293" s="772">
        <f t="shared" si="67"/>
        <v>0</v>
      </c>
    </row>
    <row r="294" spans="1:14">
      <c r="A294" s="791" t="s">
        <v>1059</v>
      </c>
      <c r="B294" s="772">
        <v>10000</v>
      </c>
      <c r="C294" s="772">
        <v>40000</v>
      </c>
      <c r="D294" s="772">
        <v>10000</v>
      </c>
      <c r="E294" s="772">
        <v>0</v>
      </c>
      <c r="F294" s="772">
        <v>10000</v>
      </c>
      <c r="G294" s="772">
        <v>30000</v>
      </c>
      <c r="H294" s="772">
        <v>10000</v>
      </c>
      <c r="I294" s="772"/>
      <c r="J294" s="772"/>
      <c r="K294" s="772"/>
      <c r="L294" s="772"/>
      <c r="M294" s="772"/>
      <c r="N294" s="772">
        <f t="shared" si="67"/>
        <v>110000</v>
      </c>
    </row>
    <row r="295" spans="1:14">
      <c r="A295" s="791" t="s">
        <v>993</v>
      </c>
      <c r="B295" s="772">
        <v>68850</v>
      </c>
      <c r="C295" s="772">
        <v>65600</v>
      </c>
      <c r="D295" s="772">
        <v>39600</v>
      </c>
      <c r="E295" s="772">
        <v>23175</v>
      </c>
      <c r="F295" s="772">
        <v>32100</v>
      </c>
      <c r="G295" s="772">
        <v>3450</v>
      </c>
      <c r="H295" s="772">
        <v>12600</v>
      </c>
      <c r="I295" s="772">
        <v>28975</v>
      </c>
      <c r="J295" s="772"/>
      <c r="K295" s="772">
        <v>125665</v>
      </c>
      <c r="L295" s="772"/>
      <c r="M295" s="772"/>
      <c r="N295" s="772">
        <f t="shared" si="67"/>
        <v>400015</v>
      </c>
    </row>
    <row r="296" spans="1:14">
      <c r="A296" s="782" t="s">
        <v>1057</v>
      </c>
      <c r="B296" s="783">
        <v>108333</v>
      </c>
      <c r="C296" s="783">
        <v>108333</v>
      </c>
      <c r="D296" s="783">
        <v>108333</v>
      </c>
      <c r="E296" s="783">
        <v>108333</v>
      </c>
      <c r="F296" s="783">
        <v>108333</v>
      </c>
      <c r="G296" s="783">
        <v>108333</v>
      </c>
      <c r="H296" s="783">
        <v>108333</v>
      </c>
      <c r="I296" s="783">
        <v>108333</v>
      </c>
      <c r="J296" s="783">
        <v>108333</v>
      </c>
      <c r="K296" s="783">
        <v>108333</v>
      </c>
      <c r="L296" s="783">
        <v>108333</v>
      </c>
      <c r="M296" s="783">
        <v>108333</v>
      </c>
      <c r="N296" s="772">
        <f t="shared" si="67"/>
        <v>1299996</v>
      </c>
    </row>
    <row r="297" spans="1:14">
      <c r="A297" s="800" t="s">
        <v>1001</v>
      </c>
      <c r="B297" s="801">
        <f t="shared" ref="B297:N297" si="69">SUM(B293:B296)</f>
        <v>187183</v>
      </c>
      <c r="C297" s="801">
        <f t="shared" si="69"/>
        <v>213933</v>
      </c>
      <c r="D297" s="801">
        <f t="shared" si="69"/>
        <v>157933</v>
      </c>
      <c r="E297" s="801">
        <f t="shared" si="69"/>
        <v>131508</v>
      </c>
      <c r="F297" s="801">
        <f t="shared" si="69"/>
        <v>150433</v>
      </c>
      <c r="G297" s="801">
        <f t="shared" si="69"/>
        <v>141783</v>
      </c>
      <c r="H297" s="801">
        <f t="shared" si="69"/>
        <v>130933</v>
      </c>
      <c r="I297" s="801">
        <f t="shared" si="69"/>
        <v>137308</v>
      </c>
      <c r="J297" s="801">
        <f t="shared" si="69"/>
        <v>108333</v>
      </c>
      <c r="K297" s="801">
        <f t="shared" si="69"/>
        <v>233998</v>
      </c>
      <c r="L297" s="801">
        <f t="shared" si="69"/>
        <v>108333</v>
      </c>
      <c r="M297" s="801">
        <f t="shared" si="69"/>
        <v>108333</v>
      </c>
      <c r="N297" s="801">
        <f t="shared" si="69"/>
        <v>1810011</v>
      </c>
    </row>
    <row r="298" spans="1:14">
      <c r="A298" s="673" t="s">
        <v>1002</v>
      </c>
      <c r="B298" s="774"/>
      <c r="C298" s="774"/>
      <c r="D298" s="774"/>
      <c r="E298" s="774"/>
      <c r="F298" s="774"/>
      <c r="G298" s="826"/>
      <c r="H298" s="774"/>
      <c r="I298" s="774"/>
      <c r="J298" s="774"/>
      <c r="K298" s="774"/>
      <c r="L298" s="774"/>
      <c r="M298" s="774"/>
      <c r="N298" s="774">
        <f>SUM(B298:M298)</f>
        <v>0</v>
      </c>
    </row>
    <row r="299" spans="1:14">
      <c r="A299" s="803" t="s">
        <v>1003</v>
      </c>
      <c r="B299" s="833">
        <f t="shared" ref="B299:N299" si="70">SUM(B292,B297,B298)</f>
        <v>187183</v>
      </c>
      <c r="C299" s="833">
        <f t="shared" si="70"/>
        <v>213933</v>
      </c>
      <c r="D299" s="833">
        <f t="shared" si="70"/>
        <v>157933</v>
      </c>
      <c r="E299" s="833">
        <f t="shared" si="70"/>
        <v>131508</v>
      </c>
      <c r="F299" s="833">
        <f t="shared" si="70"/>
        <v>150433</v>
      </c>
      <c r="G299" s="833">
        <f t="shared" si="70"/>
        <v>141783</v>
      </c>
      <c r="H299" s="833">
        <f t="shared" si="70"/>
        <v>130933</v>
      </c>
      <c r="I299" s="833">
        <f t="shared" si="70"/>
        <v>137308</v>
      </c>
      <c r="J299" s="833">
        <f t="shared" si="70"/>
        <v>108333</v>
      </c>
      <c r="K299" s="833">
        <f t="shared" si="70"/>
        <v>233998</v>
      </c>
      <c r="L299" s="833">
        <f t="shared" si="70"/>
        <v>108333</v>
      </c>
      <c r="M299" s="833">
        <f t="shared" si="70"/>
        <v>108333</v>
      </c>
      <c r="N299" s="833">
        <f t="shared" si="70"/>
        <v>1810011</v>
      </c>
    </row>
    <row r="300" spans="1:14">
      <c r="A300" s="828" t="s">
        <v>1004</v>
      </c>
      <c r="B300" s="774">
        <v>625100</v>
      </c>
      <c r="C300" s="774">
        <v>625100</v>
      </c>
      <c r="D300" s="774">
        <v>625100</v>
      </c>
      <c r="E300" s="774">
        <v>625100</v>
      </c>
      <c r="F300" s="774">
        <v>625100</v>
      </c>
      <c r="G300" s="774">
        <v>625100</v>
      </c>
      <c r="H300" s="774">
        <v>625100</v>
      </c>
      <c r="I300" s="774">
        <v>625100</v>
      </c>
      <c r="J300" s="774">
        <v>625100</v>
      </c>
      <c r="K300" s="774">
        <v>625100</v>
      </c>
      <c r="L300" s="774">
        <v>625100</v>
      </c>
      <c r="M300" s="774">
        <v>625100</v>
      </c>
      <c r="N300" s="774">
        <f>SUM(B300:M300)</f>
        <v>7501200</v>
      </c>
    </row>
    <row r="301" spans="1:14">
      <c r="A301" s="673" t="s">
        <v>1060</v>
      </c>
      <c r="B301" s="673">
        <v>8000</v>
      </c>
      <c r="C301" s="673">
        <v>8000</v>
      </c>
      <c r="D301" s="673">
        <v>8000</v>
      </c>
      <c r="E301" s="673">
        <v>8000</v>
      </c>
      <c r="F301" s="673">
        <v>8000</v>
      </c>
      <c r="G301" s="673">
        <v>8000</v>
      </c>
      <c r="H301" s="673">
        <v>8000</v>
      </c>
      <c r="I301" s="673">
        <v>8000</v>
      </c>
      <c r="J301" s="673">
        <v>8000</v>
      </c>
      <c r="K301" s="673">
        <v>8000</v>
      </c>
      <c r="L301" s="673">
        <v>8000</v>
      </c>
      <c r="M301" s="673">
        <v>8000</v>
      </c>
      <c r="N301" s="774">
        <f>SUM(B301:M301)</f>
        <v>96000</v>
      </c>
    </row>
    <row r="302" spans="1:14">
      <c r="A302" s="807" t="s">
        <v>1009</v>
      </c>
      <c r="B302" s="808">
        <f t="shared" ref="B302:N302" si="71">SUM(B299-B300-B301)</f>
        <v>-445917</v>
      </c>
      <c r="C302" s="808">
        <f t="shared" si="71"/>
        <v>-419167</v>
      </c>
      <c r="D302" s="808">
        <f t="shared" si="71"/>
        <v>-475167</v>
      </c>
      <c r="E302" s="808">
        <f t="shared" si="71"/>
        <v>-501592</v>
      </c>
      <c r="F302" s="808">
        <f t="shared" si="71"/>
        <v>-482667</v>
      </c>
      <c r="G302" s="808">
        <f t="shared" si="71"/>
        <v>-491317</v>
      </c>
      <c r="H302" s="808">
        <f t="shared" si="71"/>
        <v>-502167</v>
      </c>
      <c r="I302" s="808">
        <f t="shared" si="71"/>
        <v>-495792</v>
      </c>
      <c r="J302" s="808">
        <f t="shared" si="71"/>
        <v>-524767</v>
      </c>
      <c r="K302" s="808">
        <f t="shared" si="71"/>
        <v>-399102</v>
      </c>
      <c r="L302" s="808">
        <f t="shared" si="71"/>
        <v>-524767</v>
      </c>
      <c r="M302" s="808">
        <f t="shared" si="71"/>
        <v>-524767</v>
      </c>
      <c r="N302" s="808">
        <f t="shared" si="71"/>
        <v>-5787189</v>
      </c>
    </row>
    <row r="303" spans="1:14">
      <c r="A303" s="834"/>
      <c r="B303" s="835"/>
      <c r="C303" s="835"/>
      <c r="D303" s="835"/>
      <c r="E303" s="835"/>
      <c r="F303" s="835"/>
      <c r="G303" s="835"/>
      <c r="H303" s="835"/>
      <c r="I303" s="835"/>
      <c r="J303" s="835"/>
      <c r="K303" s="835"/>
      <c r="L303" s="835"/>
      <c r="M303" s="835"/>
      <c r="N303" s="835"/>
    </row>
    <row r="305" spans="1:14">
      <c r="A305" s="828" t="s">
        <v>1166</v>
      </c>
      <c r="B305" s="676" t="s">
        <v>919</v>
      </c>
      <c r="C305" s="676" t="s">
        <v>920</v>
      </c>
      <c r="D305" s="676" t="s">
        <v>921</v>
      </c>
      <c r="E305" s="676" t="s">
        <v>922</v>
      </c>
      <c r="F305" s="676" t="s">
        <v>923</v>
      </c>
      <c r="G305" s="676" t="s">
        <v>924</v>
      </c>
      <c r="H305" s="676" t="s">
        <v>925</v>
      </c>
      <c r="I305" s="676" t="s">
        <v>926</v>
      </c>
      <c r="J305" s="676" t="s">
        <v>927</v>
      </c>
      <c r="K305" s="676" t="s">
        <v>928</v>
      </c>
      <c r="L305" s="676" t="s">
        <v>929</v>
      </c>
      <c r="M305" s="676" t="s">
        <v>918</v>
      </c>
      <c r="N305" s="835"/>
    </row>
    <row r="306" spans="1:14">
      <c r="A306" s="153" t="s">
        <v>1167</v>
      </c>
      <c r="B306" s="153">
        <v>60</v>
      </c>
      <c r="C306" s="153"/>
      <c r="D306" s="153">
        <v>17</v>
      </c>
      <c r="E306" s="153"/>
      <c r="F306" s="153"/>
      <c r="G306" s="153"/>
      <c r="H306" s="153"/>
      <c r="I306" s="153"/>
      <c r="J306" s="153"/>
      <c r="K306" s="153"/>
      <c r="L306" s="153"/>
      <c r="M306" s="153"/>
    </row>
    <row r="307" spans="1:14">
      <c r="A307" s="153" t="s">
        <v>1062</v>
      </c>
      <c r="B307" s="153">
        <v>1616</v>
      </c>
      <c r="C307" s="153"/>
      <c r="D307" s="153">
        <v>217</v>
      </c>
      <c r="E307" s="153"/>
      <c r="F307" s="153"/>
      <c r="G307" s="153"/>
      <c r="H307" s="153"/>
      <c r="I307" s="153"/>
      <c r="J307" s="153"/>
      <c r="K307" s="153"/>
      <c r="L307" s="153"/>
      <c r="M307" s="153"/>
    </row>
    <row r="308" spans="1:14">
      <c r="A308" s="153" t="s">
        <v>1168</v>
      </c>
      <c r="B308" s="153">
        <v>11</v>
      </c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</row>
    <row r="309" spans="1:14">
      <c r="A309" s="153" t="s">
        <v>1062</v>
      </c>
      <c r="B309" s="153">
        <v>520</v>
      </c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</row>
    <row r="310" spans="1:14">
      <c r="A310" s="836" t="s">
        <v>1169</v>
      </c>
      <c r="B310" s="837"/>
      <c r="C310" s="837"/>
      <c r="D310" s="837"/>
      <c r="E310" s="837"/>
      <c r="F310" s="837"/>
      <c r="G310" s="837"/>
      <c r="H310" s="837"/>
      <c r="I310" s="837"/>
      <c r="J310" s="837"/>
      <c r="K310" s="837"/>
      <c r="L310" s="837"/>
      <c r="M310" s="837"/>
    </row>
  </sheetData>
  <sheetProtection password="CC44" sheet="1" objects="1" scenarios="1"/>
  <mergeCells count="6">
    <mergeCell ref="A170:N170"/>
    <mergeCell ref="A241:N241"/>
    <mergeCell ref="A1:N1"/>
    <mergeCell ref="A56:N56"/>
    <mergeCell ref="I60:M60"/>
    <mergeCell ref="A114:N114"/>
  </mergeCells>
  <phoneticPr fontId="8" type="noConversion"/>
  <pageMargins left="0.19652777777777777" right="0" top="0.19652777777777777" bottom="0.19652777777777777" header="0.51180555555555551" footer="0.51180555555555551"/>
  <pageSetup paperSize="9" scale="80" firstPageNumber="0" orientation="landscape" horizontalDpi="300" verticalDpi="30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Ark21"/>
  <dimension ref="A1:N20"/>
  <sheetViews>
    <sheetView zoomScale="67" zoomScaleNormal="67" workbookViewId="0">
      <selection activeCell="O13" sqref="O13"/>
    </sheetView>
  </sheetViews>
  <sheetFormatPr defaultRowHeight="12.75"/>
  <cols>
    <col min="1" max="1" width="10.28515625" customWidth="1"/>
    <col min="2" max="2" width="17.85546875" customWidth="1"/>
    <col min="3" max="3" width="27.5703125" customWidth="1"/>
    <col min="4" max="4" width="8.28515625" customWidth="1"/>
    <col min="5" max="5" width="8.7109375" customWidth="1"/>
    <col min="6" max="6" width="8.42578125" customWidth="1"/>
    <col min="7" max="7" width="8.7109375" customWidth="1"/>
    <col min="8" max="8" width="9.7109375" customWidth="1"/>
    <col min="9" max="9" width="8.85546875" customWidth="1"/>
    <col min="10" max="12" width="10" customWidth="1"/>
    <col min="14" max="14" width="13.140625" customWidth="1"/>
    <col min="15" max="15" width="16" customWidth="1"/>
  </cols>
  <sheetData>
    <row r="1" spans="1:14" ht="18">
      <c r="A1" s="1712" t="s">
        <v>1198</v>
      </c>
      <c r="B1" s="1712"/>
      <c r="C1" s="1712"/>
      <c r="D1" s="1712"/>
      <c r="E1" s="1712"/>
      <c r="F1" s="1712"/>
      <c r="G1" s="1712"/>
      <c r="H1" s="1712"/>
      <c r="I1" s="1712"/>
      <c r="J1" s="1712"/>
      <c r="K1" s="1712"/>
      <c r="L1" s="1712"/>
      <c r="M1" s="1712"/>
      <c r="N1" s="1712"/>
    </row>
    <row r="2" spans="1:14" ht="32.25" customHeight="1">
      <c r="A2" s="838"/>
      <c r="B2" s="839" t="s">
        <v>1199</v>
      </c>
      <c r="C2" s="839" t="s">
        <v>1200</v>
      </c>
      <c r="D2" s="840" t="s">
        <v>1201</v>
      </c>
      <c r="E2" s="840" t="s">
        <v>1202</v>
      </c>
      <c r="F2" s="838"/>
      <c r="G2" s="841" t="s">
        <v>1203</v>
      </c>
      <c r="H2" s="841"/>
      <c r="I2" s="842"/>
      <c r="J2" s="838"/>
      <c r="K2" s="841" t="s">
        <v>1204</v>
      </c>
      <c r="L2" s="841"/>
      <c r="M2" s="842"/>
      <c r="N2" s="842" t="s">
        <v>10</v>
      </c>
    </row>
    <row r="3" spans="1:14">
      <c r="A3" s="843"/>
      <c r="B3" s="844" t="s">
        <v>28</v>
      </c>
      <c r="C3" s="844"/>
      <c r="D3" s="845"/>
      <c r="E3" s="845"/>
      <c r="F3" s="846" t="s">
        <v>1205</v>
      </c>
      <c r="G3" s="847" t="s">
        <v>1206</v>
      </c>
      <c r="H3" s="847" t="s">
        <v>1207</v>
      </c>
      <c r="I3" s="848" t="s">
        <v>1208</v>
      </c>
      <c r="J3" s="846" t="s">
        <v>1205</v>
      </c>
      <c r="K3" s="847" t="s">
        <v>1206</v>
      </c>
      <c r="L3" s="847" t="s">
        <v>1207</v>
      </c>
      <c r="M3" s="848" t="s">
        <v>1208</v>
      </c>
      <c r="N3" s="849"/>
    </row>
    <row r="4" spans="1:14" ht="48.75" customHeight="1">
      <c r="A4" s="850" t="s">
        <v>1209</v>
      </c>
      <c r="B4" s="851" t="s">
        <v>1210</v>
      </c>
      <c r="C4" s="852" t="s">
        <v>1211</v>
      </c>
      <c r="D4" s="853" t="s">
        <v>1212</v>
      </c>
      <c r="E4" s="854" t="s">
        <v>26</v>
      </c>
      <c r="F4" s="855"/>
      <c r="G4" s="856"/>
      <c r="H4" s="857"/>
      <c r="I4" s="857"/>
      <c r="J4" s="855"/>
      <c r="K4" s="857"/>
      <c r="L4" s="857"/>
      <c r="M4" s="858"/>
      <c r="N4" s="859"/>
    </row>
    <row r="5" spans="1:14">
      <c r="A5" s="860"/>
      <c r="B5" s="860"/>
      <c r="C5" s="860"/>
      <c r="D5" s="860"/>
      <c r="E5" s="860"/>
      <c r="F5" s="861"/>
      <c r="G5" s="861"/>
      <c r="H5" s="861"/>
      <c r="I5" s="861"/>
      <c r="J5" s="861"/>
      <c r="K5" s="861"/>
      <c r="L5" s="861"/>
      <c r="M5" s="861"/>
      <c r="N5" s="860"/>
    </row>
    <row r="6" spans="1:14" ht="32.25" customHeight="1">
      <c r="A6" s="838"/>
      <c r="B6" s="839" t="s">
        <v>1213</v>
      </c>
      <c r="C6" s="839" t="s">
        <v>1200</v>
      </c>
      <c r="D6" s="840" t="s">
        <v>1201</v>
      </c>
      <c r="E6" s="840" t="s">
        <v>1202</v>
      </c>
      <c r="F6" s="862"/>
      <c r="G6" s="863" t="s">
        <v>1203</v>
      </c>
      <c r="H6" s="863"/>
      <c r="I6" s="864"/>
      <c r="J6" s="862"/>
      <c r="K6" s="863" t="s">
        <v>1204</v>
      </c>
      <c r="L6" s="863"/>
      <c r="M6" s="864"/>
      <c r="N6" s="842" t="s">
        <v>10</v>
      </c>
    </row>
    <row r="7" spans="1:14">
      <c r="A7" s="843"/>
      <c r="B7" s="844" t="s">
        <v>28</v>
      </c>
      <c r="C7" s="844"/>
      <c r="D7" s="845"/>
      <c r="E7" s="845"/>
      <c r="F7" s="846" t="s">
        <v>1205</v>
      </c>
      <c r="G7" s="847" t="s">
        <v>1206</v>
      </c>
      <c r="H7" s="847" t="s">
        <v>1207</v>
      </c>
      <c r="I7" s="848" t="s">
        <v>1208</v>
      </c>
      <c r="J7" s="846" t="s">
        <v>1205</v>
      </c>
      <c r="K7" s="847" t="s">
        <v>1206</v>
      </c>
      <c r="L7" s="847" t="s">
        <v>1207</v>
      </c>
      <c r="M7" s="848" t="s">
        <v>1208</v>
      </c>
      <c r="N7" s="849"/>
    </row>
    <row r="8" spans="1:14" ht="36" customHeight="1">
      <c r="A8" s="865" t="s">
        <v>1214</v>
      </c>
      <c r="B8" s="851" t="s">
        <v>1215</v>
      </c>
      <c r="C8" s="852" t="s">
        <v>1216</v>
      </c>
      <c r="D8" s="866" t="s">
        <v>1217</v>
      </c>
      <c r="E8" s="867" t="s">
        <v>1218</v>
      </c>
      <c r="F8" s="868">
        <v>0</v>
      </c>
      <c r="G8" s="869">
        <v>0</v>
      </c>
      <c r="H8" s="869">
        <v>0</v>
      </c>
      <c r="I8" s="870">
        <v>0</v>
      </c>
      <c r="J8" s="868">
        <v>0</v>
      </c>
      <c r="K8" s="869">
        <v>0</v>
      </c>
      <c r="L8" s="869">
        <v>0</v>
      </c>
      <c r="M8" s="870"/>
      <c r="N8" s="871"/>
    </row>
    <row r="9" spans="1:14" ht="39.75" customHeight="1">
      <c r="A9" s="865" t="s">
        <v>1219</v>
      </c>
      <c r="B9" s="227" t="s">
        <v>1220</v>
      </c>
      <c r="C9" s="872" t="s">
        <v>1221</v>
      </c>
      <c r="D9" s="873" t="s">
        <v>1222</v>
      </c>
      <c r="E9" s="867" t="s">
        <v>1218</v>
      </c>
      <c r="F9" s="868" t="s">
        <v>28</v>
      </c>
      <c r="G9" s="869"/>
      <c r="H9" s="869">
        <v>4</v>
      </c>
      <c r="I9" s="870"/>
      <c r="J9" s="868">
        <v>0</v>
      </c>
      <c r="K9" s="869">
        <v>0</v>
      </c>
      <c r="L9" s="869" t="s">
        <v>28</v>
      </c>
      <c r="M9" s="870"/>
      <c r="N9" s="874"/>
    </row>
    <row r="10" spans="1:14" ht="39" customHeight="1">
      <c r="A10" s="875" t="s">
        <v>1223</v>
      </c>
      <c r="B10" s="851" t="s">
        <v>1215</v>
      </c>
      <c r="C10" s="852" t="s">
        <v>1216</v>
      </c>
      <c r="D10" s="866" t="s">
        <v>1217</v>
      </c>
      <c r="E10" s="867" t="s">
        <v>1224</v>
      </c>
      <c r="F10" s="868">
        <v>0</v>
      </c>
      <c r="G10" s="869">
        <v>0</v>
      </c>
      <c r="H10" s="869">
        <v>0</v>
      </c>
      <c r="I10" s="870">
        <v>0</v>
      </c>
      <c r="J10" s="868">
        <v>0</v>
      </c>
      <c r="K10" s="869">
        <v>0</v>
      </c>
      <c r="L10" s="869">
        <v>0</v>
      </c>
      <c r="M10" s="870"/>
      <c r="N10" s="871"/>
    </row>
    <row r="11" spans="1:14" ht="45">
      <c r="A11" s="875" t="s">
        <v>1225</v>
      </c>
      <c r="B11" s="227" t="s">
        <v>1220</v>
      </c>
      <c r="C11" s="872" t="s">
        <v>1221</v>
      </c>
      <c r="D11" s="873" t="s">
        <v>1222</v>
      </c>
      <c r="E11" s="867" t="s">
        <v>1226</v>
      </c>
      <c r="F11" s="868" t="s">
        <v>28</v>
      </c>
      <c r="G11" s="869"/>
      <c r="H11" s="869">
        <v>4</v>
      </c>
      <c r="I11" s="870"/>
      <c r="J11" s="868">
        <v>0</v>
      </c>
      <c r="K11" s="869">
        <v>0</v>
      </c>
      <c r="L11" s="869">
        <v>0</v>
      </c>
      <c r="M11" s="870"/>
      <c r="N11" s="874"/>
    </row>
    <row r="12" spans="1:14" ht="36" customHeight="1">
      <c r="A12" s="876" t="s">
        <v>1227</v>
      </c>
      <c r="B12" s="851" t="s">
        <v>1215</v>
      </c>
      <c r="C12" s="852" t="s">
        <v>1216</v>
      </c>
      <c r="D12" s="866" t="s">
        <v>1217</v>
      </c>
      <c r="E12" s="867" t="s">
        <v>1228</v>
      </c>
      <c r="F12" s="868">
        <v>0</v>
      </c>
      <c r="G12" s="869">
        <v>0</v>
      </c>
      <c r="H12" s="869">
        <v>0</v>
      </c>
      <c r="I12" s="870">
        <v>0</v>
      </c>
      <c r="J12" s="868">
        <v>0</v>
      </c>
      <c r="K12" s="869">
        <v>0</v>
      </c>
      <c r="L12" s="869">
        <v>0</v>
      </c>
      <c r="M12" s="870"/>
      <c r="N12" s="871"/>
    </row>
    <row r="13" spans="1:14" ht="37.5" customHeight="1">
      <c r="A13" s="876" t="s">
        <v>577</v>
      </c>
      <c r="B13" s="227" t="s">
        <v>1220</v>
      </c>
      <c r="C13" s="872" t="s">
        <v>1221</v>
      </c>
      <c r="D13" s="873" t="s">
        <v>1222</v>
      </c>
      <c r="E13" s="867" t="s">
        <v>1228</v>
      </c>
      <c r="F13" s="868" t="s">
        <v>28</v>
      </c>
      <c r="G13" s="869"/>
      <c r="H13" s="869">
        <v>4</v>
      </c>
      <c r="I13" s="870"/>
      <c r="J13" s="868">
        <v>0</v>
      </c>
      <c r="K13" s="869">
        <v>0</v>
      </c>
      <c r="L13" s="869">
        <v>0</v>
      </c>
      <c r="M13" s="870"/>
      <c r="N13" s="874"/>
    </row>
    <row r="14" spans="1:14" ht="36" customHeight="1">
      <c r="A14" s="877" t="s">
        <v>1229</v>
      </c>
      <c r="B14" s="851" t="s">
        <v>1215</v>
      </c>
      <c r="C14" s="852" t="s">
        <v>1216</v>
      </c>
      <c r="D14" s="866" t="s">
        <v>1217</v>
      </c>
      <c r="E14" s="867" t="s">
        <v>1228</v>
      </c>
      <c r="F14" s="868">
        <v>0</v>
      </c>
      <c r="G14" s="869">
        <v>0</v>
      </c>
      <c r="H14" s="869">
        <v>0</v>
      </c>
      <c r="I14" s="870">
        <v>0</v>
      </c>
      <c r="J14" s="868">
        <v>0</v>
      </c>
      <c r="K14" s="869">
        <v>0</v>
      </c>
      <c r="L14" s="869">
        <v>0</v>
      </c>
      <c r="M14" s="870"/>
      <c r="N14" s="871"/>
    </row>
    <row r="15" spans="1:14" ht="45">
      <c r="A15" s="878" t="s">
        <v>593</v>
      </c>
      <c r="B15" s="138" t="s">
        <v>1220</v>
      </c>
      <c r="C15" s="879" t="s">
        <v>1221</v>
      </c>
      <c r="D15" s="880" t="s">
        <v>1222</v>
      </c>
      <c r="E15" s="881" t="s">
        <v>1228</v>
      </c>
      <c r="F15" s="882" t="s">
        <v>28</v>
      </c>
      <c r="G15" s="883"/>
      <c r="H15" s="883">
        <v>4</v>
      </c>
      <c r="I15" s="884"/>
      <c r="J15" s="882">
        <v>0</v>
      </c>
      <c r="K15" s="883">
        <v>0</v>
      </c>
      <c r="L15" s="883">
        <v>0</v>
      </c>
      <c r="M15" s="884"/>
      <c r="N15" s="885"/>
    </row>
    <row r="16" spans="1:14" ht="36" customHeight="1">
      <c r="A16" s="886"/>
      <c r="B16" s="851" t="s">
        <v>1215</v>
      </c>
      <c r="C16" s="852" t="s">
        <v>1216</v>
      </c>
      <c r="D16" s="866" t="s">
        <v>1217</v>
      </c>
      <c r="E16" s="867" t="s">
        <v>1230</v>
      </c>
      <c r="F16" s="868">
        <v>0</v>
      </c>
      <c r="G16" s="869">
        <v>0</v>
      </c>
      <c r="H16" s="869">
        <v>0</v>
      </c>
      <c r="I16" s="870">
        <v>0</v>
      </c>
      <c r="J16" s="887"/>
      <c r="K16" s="888"/>
      <c r="L16" s="888"/>
      <c r="M16" s="889"/>
      <c r="N16" s="890"/>
    </row>
    <row r="17" spans="1:14" ht="45.75" customHeight="1">
      <c r="A17" s="891" t="s">
        <v>1231</v>
      </c>
      <c r="B17" s="138" t="s">
        <v>1220</v>
      </c>
      <c r="C17" s="879" t="s">
        <v>1221</v>
      </c>
      <c r="D17" s="880" t="s">
        <v>1222</v>
      </c>
      <c r="E17" s="881" t="s">
        <v>1230</v>
      </c>
      <c r="F17" s="892"/>
      <c r="G17" s="893"/>
      <c r="H17" s="883">
        <v>4</v>
      </c>
      <c r="I17" s="894"/>
      <c r="J17" s="892"/>
      <c r="K17" s="893"/>
      <c r="L17" s="893"/>
      <c r="M17" s="894"/>
      <c r="N17" s="895"/>
    </row>
    <row r="18" spans="1:14">
      <c r="A18" s="860"/>
      <c r="B18" s="860"/>
      <c r="C18" s="860"/>
      <c r="D18" s="860"/>
      <c r="E18" s="860"/>
      <c r="F18" s="861"/>
      <c r="G18" s="861"/>
      <c r="H18" s="861"/>
      <c r="I18" s="861"/>
      <c r="J18" s="861"/>
      <c r="K18" s="861"/>
      <c r="L18" s="861"/>
      <c r="M18" s="861"/>
      <c r="N18" s="860"/>
    </row>
    <row r="19" spans="1:14">
      <c r="A19" s="860"/>
      <c r="B19" s="860"/>
      <c r="C19" s="860"/>
      <c r="D19" s="860"/>
      <c r="E19" s="860"/>
      <c r="F19" s="861"/>
      <c r="G19" s="861"/>
      <c r="H19" s="861"/>
      <c r="I19" s="861"/>
      <c r="J19" s="861"/>
      <c r="K19" s="861"/>
      <c r="L19" s="861"/>
      <c r="M19" s="861"/>
      <c r="N19" s="860"/>
    </row>
    <row r="20" spans="1:14" ht="18">
      <c r="A20" s="860"/>
      <c r="B20" s="860"/>
      <c r="C20" s="896"/>
      <c r="D20" s="860"/>
      <c r="E20" s="860"/>
      <c r="F20" s="861"/>
      <c r="G20" s="861"/>
      <c r="H20" s="861"/>
      <c r="I20" s="861"/>
      <c r="J20" s="861"/>
      <c r="K20" s="861"/>
      <c r="L20" s="861"/>
      <c r="M20" s="861"/>
      <c r="N20" s="860"/>
    </row>
  </sheetData>
  <sheetProtection selectLockedCells="1" selectUnlockedCells="1"/>
  <mergeCells count="1">
    <mergeCell ref="A1:N1"/>
  </mergeCells>
  <phoneticPr fontId="8" type="noConversion"/>
  <pageMargins left="0" right="0" top="0" bottom="0" header="0.51180555555555551" footer="0.51180555555555551"/>
  <pageSetup paperSize="9" scale="85" firstPageNumber="0" orientation="landscape" horizontalDpi="300" verticalDpi="300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Ark19"/>
  <dimension ref="A1:N34"/>
  <sheetViews>
    <sheetView workbookViewId="0">
      <selection activeCell="K10" sqref="K10"/>
    </sheetView>
  </sheetViews>
  <sheetFormatPr defaultColWidth="9.140625" defaultRowHeight="12.75"/>
  <cols>
    <col min="1" max="1" width="22.140625" style="1123" bestFit="1" customWidth="1"/>
    <col min="2" max="2" width="10.7109375" style="1123" bestFit="1" customWidth="1"/>
    <col min="3" max="3" width="11.5703125" style="1123" bestFit="1" customWidth="1"/>
    <col min="4" max="4" width="11.85546875" style="1123" bestFit="1" customWidth="1"/>
    <col min="5" max="5" width="15.7109375" style="1123" customWidth="1"/>
    <col min="6" max="6" width="7.85546875" style="1123" customWidth="1"/>
    <col min="7" max="7" width="13.7109375" style="1123" customWidth="1"/>
    <col min="8" max="8" width="6.140625" style="1123" customWidth="1"/>
    <col min="9" max="9" width="5.85546875" style="1123" customWidth="1"/>
    <col min="10" max="10" width="5.7109375" style="1123" customWidth="1"/>
    <col min="11" max="11" width="9.140625" style="1123"/>
    <col min="12" max="12" width="13.42578125" style="1123" customWidth="1"/>
    <col min="13" max="13" width="8" style="1123" customWidth="1"/>
    <col min="14" max="16384" width="9.140625" style="1123"/>
  </cols>
  <sheetData>
    <row r="1" spans="1:14" ht="20.25">
      <c r="A1" s="1122" t="s">
        <v>1232</v>
      </c>
      <c r="D1" s="1122"/>
    </row>
    <row r="4" spans="1:14" ht="15">
      <c r="A4" s="1124" t="s">
        <v>480</v>
      </c>
      <c r="B4" s="1124" t="s">
        <v>1233</v>
      </c>
      <c r="C4" s="1124" t="s">
        <v>1234</v>
      </c>
      <c r="D4" s="1124" t="s">
        <v>1235</v>
      </c>
      <c r="E4" s="1124" t="s">
        <v>1236</v>
      </c>
      <c r="F4" s="1124" t="s">
        <v>751</v>
      </c>
      <c r="G4" s="1124" t="s">
        <v>1237</v>
      </c>
      <c r="H4" s="1490" t="s">
        <v>484</v>
      </c>
      <c r="I4" s="1490" t="s">
        <v>485</v>
      </c>
      <c r="J4" s="1490" t="s">
        <v>1238</v>
      </c>
      <c r="K4" s="1490" t="s">
        <v>1239</v>
      </c>
      <c r="L4" s="1490" t="s">
        <v>1240</v>
      </c>
      <c r="M4" s="1490" t="s">
        <v>1241</v>
      </c>
      <c r="N4" s="1498" t="s">
        <v>1242</v>
      </c>
    </row>
    <row r="5" spans="1:14" ht="15">
      <c r="A5" s="1491" t="s">
        <v>666</v>
      </c>
      <c r="B5" s="1124"/>
      <c r="C5" s="1124" t="s">
        <v>1243</v>
      </c>
      <c r="D5" s="1124"/>
      <c r="E5" s="1124" t="s">
        <v>1243</v>
      </c>
      <c r="F5" s="1124"/>
      <c r="G5" s="1124"/>
      <c r="H5" s="1124"/>
      <c r="I5" s="1492"/>
      <c r="J5" s="1492"/>
      <c r="K5" s="1492"/>
      <c r="L5" s="1492"/>
      <c r="M5" s="1492"/>
      <c r="N5" s="1492"/>
    </row>
    <row r="6" spans="1:14" ht="15">
      <c r="A6" s="1493" t="s">
        <v>531</v>
      </c>
      <c r="B6" s="1124"/>
      <c r="C6" s="1124"/>
      <c r="D6" s="1124"/>
      <c r="E6" s="1124"/>
      <c r="F6" s="1124"/>
      <c r="G6" s="1124"/>
      <c r="H6" s="1492"/>
      <c r="I6" s="1492"/>
      <c r="J6" s="1492"/>
      <c r="K6" s="1492"/>
      <c r="L6" s="1492"/>
      <c r="M6" s="1492"/>
      <c r="N6" s="1492"/>
    </row>
    <row r="7" spans="1:14" ht="16.5" customHeight="1">
      <c r="A7" s="1493" t="s">
        <v>534</v>
      </c>
      <c r="B7" s="1494" t="s">
        <v>1243</v>
      </c>
      <c r="C7" s="1494" t="s">
        <v>1243</v>
      </c>
      <c r="D7" s="1494" t="s">
        <v>1243</v>
      </c>
      <c r="E7" s="1494" t="s">
        <v>1243</v>
      </c>
      <c r="F7" s="1124"/>
      <c r="G7" s="1124"/>
      <c r="H7" s="1490" t="s">
        <v>1243</v>
      </c>
      <c r="I7" s="1490" t="s">
        <v>1243</v>
      </c>
      <c r="J7" s="1490" t="s">
        <v>1243</v>
      </c>
      <c r="K7" s="1490" t="s">
        <v>1243</v>
      </c>
      <c r="L7" s="1492"/>
      <c r="M7" s="1492"/>
      <c r="N7" s="1492"/>
    </row>
    <row r="8" spans="1:14" ht="15">
      <c r="A8" s="1493" t="s">
        <v>536</v>
      </c>
      <c r="B8" s="1124" t="s">
        <v>1243</v>
      </c>
      <c r="C8" s="1124" t="s">
        <v>1243</v>
      </c>
      <c r="D8" s="1124" t="s">
        <v>1243</v>
      </c>
      <c r="E8" s="1124" t="s">
        <v>1243</v>
      </c>
      <c r="F8" s="1124" t="s">
        <v>1243</v>
      </c>
      <c r="G8" s="1124" t="s">
        <v>1243</v>
      </c>
      <c r="H8" s="1492"/>
      <c r="I8" s="1492"/>
      <c r="J8" s="1492"/>
      <c r="K8" s="1490" t="s">
        <v>1243</v>
      </c>
      <c r="L8" s="1490" t="s">
        <v>1243</v>
      </c>
      <c r="M8" s="1490" t="s">
        <v>1243</v>
      </c>
      <c r="N8" s="1490" t="s">
        <v>1243</v>
      </c>
    </row>
    <row r="9" spans="1:14" ht="15">
      <c r="A9" s="1495" t="s">
        <v>542</v>
      </c>
      <c r="B9" s="1124" t="s">
        <v>1243</v>
      </c>
      <c r="C9" s="1124" t="s">
        <v>1243</v>
      </c>
      <c r="D9" s="1124" t="s">
        <v>1243</v>
      </c>
      <c r="E9" s="1124" t="s">
        <v>1243</v>
      </c>
      <c r="F9" s="1124" t="s">
        <v>1243</v>
      </c>
      <c r="G9" s="1124" t="s">
        <v>1243</v>
      </c>
      <c r="H9" s="1490" t="s">
        <v>1243</v>
      </c>
      <c r="I9" s="1490" t="s">
        <v>1243</v>
      </c>
      <c r="J9" s="1492"/>
      <c r="K9" s="1490" t="s">
        <v>1243</v>
      </c>
      <c r="L9" s="1490" t="s">
        <v>1243</v>
      </c>
      <c r="M9" s="1490" t="s">
        <v>1243</v>
      </c>
      <c r="N9" s="1492"/>
    </row>
    <row r="10" spans="1:14" ht="15">
      <c r="A10" s="1495" t="s">
        <v>545</v>
      </c>
      <c r="B10" s="1124" t="s">
        <v>1243</v>
      </c>
      <c r="C10" s="1124" t="s">
        <v>1243</v>
      </c>
      <c r="D10" s="1124" t="s">
        <v>1243</v>
      </c>
      <c r="E10" s="1124" t="s">
        <v>1243</v>
      </c>
      <c r="F10" s="1124" t="s">
        <v>1243</v>
      </c>
      <c r="G10" s="1124" t="s">
        <v>1243</v>
      </c>
      <c r="H10" s="1490" t="s">
        <v>1243</v>
      </c>
      <c r="I10" s="1490" t="s">
        <v>1243</v>
      </c>
      <c r="J10" s="1490" t="s">
        <v>1243</v>
      </c>
      <c r="K10" s="1490" t="s">
        <v>1243</v>
      </c>
      <c r="L10" s="1490" t="s">
        <v>1243</v>
      </c>
      <c r="M10" s="1490" t="s">
        <v>1243</v>
      </c>
      <c r="N10" s="1492"/>
    </row>
    <row r="11" spans="1:14" ht="15">
      <c r="A11" s="1493" t="s">
        <v>546</v>
      </c>
      <c r="B11" s="1124" t="s">
        <v>1243</v>
      </c>
      <c r="C11" s="1124" t="s">
        <v>1243</v>
      </c>
      <c r="D11" s="1124" t="s">
        <v>1243</v>
      </c>
      <c r="E11" s="1124" t="s">
        <v>1243</v>
      </c>
      <c r="F11" s="1124" t="s">
        <v>1243</v>
      </c>
      <c r="G11" s="1124" t="s">
        <v>1243</v>
      </c>
      <c r="H11" s="1490" t="s">
        <v>1243</v>
      </c>
      <c r="I11" s="1490" t="s">
        <v>1243</v>
      </c>
      <c r="J11" s="1490" t="s">
        <v>1243</v>
      </c>
      <c r="K11" s="1490" t="s">
        <v>1243</v>
      </c>
      <c r="L11" s="1490" t="s">
        <v>1243</v>
      </c>
      <c r="M11" s="1490" t="s">
        <v>1243</v>
      </c>
      <c r="N11" s="1490" t="s">
        <v>1243</v>
      </c>
    </row>
    <row r="12" spans="1:14" ht="15">
      <c r="A12" s="1495" t="s">
        <v>552</v>
      </c>
      <c r="B12" s="1124"/>
      <c r="C12" s="1124"/>
      <c r="D12" s="1124"/>
      <c r="E12" s="1124"/>
      <c r="F12" s="1124"/>
      <c r="G12" s="1124"/>
      <c r="H12" s="1492"/>
      <c r="I12" s="1492"/>
      <c r="J12" s="1492"/>
      <c r="K12" s="1492"/>
      <c r="L12" s="1492"/>
      <c r="M12" s="1492"/>
      <c r="N12" s="1492"/>
    </row>
    <row r="13" spans="1:14" ht="15">
      <c r="A13" s="1496" t="s">
        <v>553</v>
      </c>
      <c r="B13" s="1124" t="s">
        <v>1244</v>
      </c>
      <c r="C13" s="1124" t="s">
        <v>1244</v>
      </c>
      <c r="D13" s="1124" t="s">
        <v>1244</v>
      </c>
      <c r="E13" s="1124" t="s">
        <v>1244</v>
      </c>
      <c r="F13" s="1124" t="s">
        <v>1244</v>
      </c>
      <c r="G13" s="1124" t="s">
        <v>1244</v>
      </c>
      <c r="H13" s="1490" t="s">
        <v>1244</v>
      </c>
      <c r="I13" s="1490" t="s">
        <v>1244</v>
      </c>
      <c r="J13" s="1490" t="s">
        <v>1244</v>
      </c>
      <c r="K13" s="1490" t="s">
        <v>1244</v>
      </c>
      <c r="L13" s="1490" t="s">
        <v>1244</v>
      </c>
      <c r="M13" s="1490" t="s">
        <v>1244</v>
      </c>
      <c r="N13" s="1490" t="s">
        <v>1244</v>
      </c>
    </row>
    <row r="14" spans="1:14" ht="20.25">
      <c r="A14" s="1496" t="s">
        <v>554</v>
      </c>
      <c r="B14" s="1494" t="s">
        <v>1243</v>
      </c>
      <c r="C14" s="1494" t="s">
        <v>1243</v>
      </c>
      <c r="D14" s="1494" t="s">
        <v>1243</v>
      </c>
      <c r="E14" s="1494" t="s">
        <v>1243</v>
      </c>
      <c r="F14" s="1124"/>
      <c r="G14" s="1124"/>
      <c r="H14" s="1492"/>
      <c r="I14" s="1492"/>
      <c r="J14" s="1492"/>
      <c r="K14" s="1492"/>
      <c r="L14" s="1492"/>
      <c r="M14" s="1492"/>
      <c r="N14" s="1492"/>
    </row>
    <row r="15" spans="1:14" ht="15">
      <c r="A15" s="1493" t="s">
        <v>662</v>
      </c>
      <c r="B15" s="1124" t="s">
        <v>1243</v>
      </c>
      <c r="C15" s="1124" t="s">
        <v>1243</v>
      </c>
      <c r="D15" s="1124" t="s">
        <v>1243</v>
      </c>
      <c r="E15" s="1124" t="s">
        <v>1243</v>
      </c>
      <c r="F15" s="1124"/>
      <c r="G15" s="1124"/>
      <c r="H15" s="1492"/>
      <c r="I15" s="1492"/>
      <c r="J15" s="1492"/>
      <c r="K15" s="1492"/>
      <c r="L15" s="1492"/>
      <c r="M15" s="1492"/>
      <c r="N15" s="1492"/>
    </row>
    <row r="16" spans="1:14" ht="15">
      <c r="A16" s="1694"/>
      <c r="B16" s="1694"/>
      <c r="C16" s="1694"/>
      <c r="D16" s="1694"/>
      <c r="E16" s="1694"/>
      <c r="F16" s="1489"/>
      <c r="G16" s="1694"/>
    </row>
    <row r="17" spans="1:7" ht="15">
      <c r="A17" s="1694"/>
      <c r="B17" s="1694"/>
      <c r="C17" s="1694"/>
      <c r="D17" s="1694"/>
      <c r="E17" s="1694"/>
      <c r="F17" s="1694"/>
      <c r="G17" s="1694"/>
    </row>
    <row r="18" spans="1:7" ht="18">
      <c r="A18" s="1695"/>
      <c r="B18" s="1694"/>
      <c r="C18" s="1694"/>
      <c r="D18" s="1694"/>
      <c r="E18" s="1694"/>
      <c r="F18" s="1694"/>
      <c r="G18" s="1694"/>
    </row>
    <row r="19" spans="1:7" ht="15">
      <c r="A19" s="1696"/>
      <c r="B19" s="1696"/>
      <c r="C19" s="1696"/>
      <c r="D19" s="1696"/>
      <c r="E19" s="1696"/>
      <c r="F19" s="1696"/>
      <c r="G19" s="1694"/>
    </row>
    <row r="20" spans="1:7" ht="15">
      <c r="A20" s="1696"/>
      <c r="B20" s="1696"/>
      <c r="C20" s="1696"/>
      <c r="D20" s="1696"/>
      <c r="E20" s="1696"/>
      <c r="F20" s="1696"/>
      <c r="G20" s="1694"/>
    </row>
    <row r="21" spans="1:7" ht="15">
      <c r="A21" s="1694"/>
      <c r="B21" s="1694"/>
      <c r="C21" s="1694"/>
      <c r="D21" s="1694"/>
      <c r="E21" s="1694"/>
      <c r="F21" s="1489"/>
      <c r="G21" s="1694"/>
    </row>
    <row r="22" spans="1:7" ht="15">
      <c r="A22" s="1694"/>
      <c r="B22" s="1694"/>
      <c r="C22" s="1694"/>
      <c r="D22" s="1694"/>
      <c r="E22" s="1694"/>
      <c r="F22" s="1694"/>
      <c r="G22" s="1694"/>
    </row>
    <row r="23" spans="1:7" ht="18">
      <c r="A23" s="1695"/>
      <c r="B23" s="1694"/>
      <c r="C23" s="1694"/>
      <c r="D23" s="1694"/>
      <c r="E23" s="1694"/>
      <c r="F23" s="1694"/>
      <c r="G23" s="1694"/>
    </row>
    <row r="24" spans="1:7" ht="15">
      <c r="A24" s="1696"/>
      <c r="B24" s="1696"/>
      <c r="C24" s="1696"/>
      <c r="D24" s="1696"/>
      <c r="E24" s="1696"/>
      <c r="F24" s="1694"/>
      <c r="G24" s="1694"/>
    </row>
    <row r="25" spans="1:7" ht="15">
      <c r="A25" s="1696"/>
      <c r="B25" s="1696"/>
      <c r="C25" s="1696"/>
      <c r="D25" s="1696"/>
      <c r="E25" s="1696"/>
      <c r="F25" s="1694"/>
      <c r="G25" s="1694"/>
    </row>
    <row r="26" spans="1:7" ht="15">
      <c r="A26" s="1696"/>
      <c r="B26" s="1696"/>
      <c r="C26" s="1696"/>
      <c r="D26" s="1696"/>
      <c r="E26" s="1696"/>
      <c r="F26" s="1694"/>
      <c r="G26" s="1694"/>
    </row>
    <row r="27" spans="1:7" ht="15">
      <c r="A27" s="1694"/>
      <c r="B27" s="1694"/>
      <c r="C27" s="1694"/>
      <c r="D27" s="1694"/>
      <c r="E27" s="1694"/>
      <c r="F27" s="1694"/>
      <c r="G27" s="1694"/>
    </row>
    <row r="28" spans="1:7" ht="15">
      <c r="A28" s="1125"/>
      <c r="B28" s="1694"/>
      <c r="C28" s="1694"/>
      <c r="D28" s="1694"/>
      <c r="E28" s="1694"/>
      <c r="F28" s="1694"/>
      <c r="G28" s="1694"/>
    </row>
    <row r="29" spans="1:7" ht="15">
      <c r="A29" s="1694"/>
      <c r="B29" s="1694"/>
      <c r="C29" s="1694"/>
      <c r="D29" s="1694"/>
      <c r="E29" s="1694"/>
      <c r="F29" s="1694"/>
      <c r="G29" s="1694"/>
    </row>
    <row r="30" spans="1:7" ht="15">
      <c r="A30" s="1694"/>
      <c r="B30" s="1694"/>
      <c r="C30" s="1694"/>
      <c r="D30" s="1694"/>
      <c r="E30" s="1694"/>
      <c r="F30" s="1694"/>
      <c r="G30" s="1694"/>
    </row>
    <row r="31" spans="1:7" ht="15">
      <c r="A31" s="1694"/>
      <c r="B31" s="1694"/>
      <c r="C31" s="1694"/>
      <c r="D31" s="1694"/>
      <c r="E31" s="1694"/>
      <c r="F31" s="1694"/>
      <c r="G31" s="1694"/>
    </row>
    <row r="32" spans="1:7" ht="15">
      <c r="A32" s="1694"/>
      <c r="B32" s="1694"/>
      <c r="C32" s="1694"/>
      <c r="D32" s="1694"/>
      <c r="E32" s="1694"/>
      <c r="F32" s="1694"/>
      <c r="G32" s="1694"/>
    </row>
    <row r="33" spans="1:7" ht="15">
      <c r="A33" s="1694"/>
      <c r="B33" s="1694"/>
      <c r="C33" s="1694"/>
      <c r="D33" s="1694"/>
      <c r="E33" s="1694"/>
      <c r="F33" s="1694"/>
      <c r="G33" s="1694"/>
    </row>
    <row r="34" spans="1:7" ht="15">
      <c r="A34" s="1694"/>
      <c r="B34" s="1694"/>
      <c r="C34" s="1694"/>
      <c r="D34" s="1694"/>
      <c r="E34" s="1694"/>
      <c r="F34" s="1694"/>
      <c r="G34" s="1694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Ark5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Ark7"/>
  <dimension ref="A1"/>
  <sheetViews>
    <sheetView workbookViewId="0"/>
  </sheetViews>
  <sheetFormatPr defaultRowHeight="12.7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e6a412d2-aea5-45d9-add9-4615ec186553" ContentTypeId="0x010100B015E2879F2C3E49A84E4FBA662FB26A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MigreringsDokument" ma:contentTypeID="0x010100B015E2879F2C3E49A84E4FBA662FB26A0046F37DEC036D284BBEE537A85881DFA0" ma:contentTypeVersion="8" ma:contentTypeDescription="" ma:contentTypeScope="" ma:versionID="204b4f41741311cf3d4604c45a43f42c">
  <xsd:schema xmlns:xsd="http://www.w3.org/2001/XMLSchema" xmlns:xs="http://www.w3.org/2001/XMLSchema" xmlns:p="http://schemas.microsoft.com/office/2006/metadata/properties" xmlns:ns2="0dd46b0f-e2c7-4a31-a61e-54a1e81a6d74" targetNamespace="http://schemas.microsoft.com/office/2006/metadata/properties" ma:root="true" ma:fieldsID="5e25330f2461cae1f360396c77e972dd" ns2:_="">
    <xsd:import namespace="0dd46b0f-e2c7-4a31-a61e-54a1e81a6d74"/>
    <xsd:element name="properties">
      <xsd:complexType>
        <xsd:sequence>
          <xsd:element name="documentManagement">
            <xsd:complexType>
              <xsd:all>
                <xsd:element ref="ns2:MigrationPath" minOccurs="0"/>
                <xsd:element ref="ns2:MigrationDirectoryID" minOccurs="0"/>
                <xsd:element ref="ns2:MigrationOriginalDate" minOccurs="0"/>
                <xsd:element ref="ns2:j2c2601e249f4d2993f2fcc4fe83f7c1" minOccurs="0"/>
                <xsd:element ref="ns2:TaxCatchAll" minOccurs="0"/>
                <xsd:element ref="ns2:TaxCatchAllLabe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d46b0f-e2c7-4a31-a61e-54a1e81a6d74" elementFormDefault="qualified">
    <xsd:import namespace="http://schemas.microsoft.com/office/2006/documentManagement/types"/>
    <xsd:import namespace="http://schemas.microsoft.com/office/infopath/2007/PartnerControls"/>
    <xsd:element name="MigrationPath" ma:index="8" nillable="true" ma:displayName="Migreringssti" ma:internalName="MigrationPath" ma:readOnly="false">
      <xsd:simpleType>
        <xsd:restriction base="dms:Text">
          <xsd:maxLength value="255"/>
        </xsd:restriction>
      </xsd:simpleType>
    </xsd:element>
    <xsd:element name="MigrationDirectoryID" ma:index="9" nillable="true" ma:displayName="MigreringsFolderId" ma:internalName="MigrationDirectoryID" ma:readOnly="false">
      <xsd:simpleType>
        <xsd:restriction base="dms:Text">
          <xsd:maxLength value="255"/>
        </xsd:restriction>
      </xsd:simpleType>
    </xsd:element>
    <xsd:element name="MigrationOriginalDate" ma:index="10" nillable="true" ma:displayName="Original dato" ma:description="The modified date from the file system" ma:format="DateTime" ma:internalName="MigrationOriginalDate">
      <xsd:simpleType>
        <xsd:restriction base="dms:DateTime"/>
      </xsd:simpleType>
    </xsd:element>
    <xsd:element name="j2c2601e249f4d2993f2fcc4fe83f7c1" ma:index="11" nillable="true" ma:taxonomy="true" ma:internalName="j2c2601e249f4d2993f2fcc4fe83f7c1" ma:taxonomyFieldName="Sensitivity" ma:displayName="Sensitivity" ma:default="" ma:fieldId="{32c2601e-249f-4d29-93f2-fcc4fe83f7c1}" ma:sspId="e6a412d2-aea5-45d9-add9-4615ec186553" ma:termSetId="2400aab3-62fb-4893-836f-46f56c17e615" ma:anchorId="a96bf159-1ff9-48c6-9318-7ab65633f375" ma:open="false" ma:isKeyword="fals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1adb61e6-50f3-4f94-b9a9-c9b4ea046575}" ma:internalName="TaxCatchAll" ma:showField="CatchAllData" ma:web="45c24c4d-4de2-4a11-996b-ad1b02b5a53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3" nillable="true" ma:displayName="Taxonomy Catch All Column1" ma:hidden="true" ma:list="{1adb61e6-50f3-4f94-b9a9-c9b4ea046575}" ma:internalName="TaxCatchAllLabel" ma:readOnly="true" ma:showField="CatchAllDataLabel" ma:web="45c24c4d-4de2-4a11-996b-ad1b02b5a53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igrationPath xmlns="0dd46b0f-e2c7-4a31-a61e-54a1e81a6d74">\\kk-dfs.kk.dk\of$\KEjd\SERVICE &amp; KUNDER\RÅDHUSSERVICE\Betjent\_Rådhusvagten\Vagtplaner\Vagtplan 2013 - 2014.xlsm</MigrationPath>
    <MigrationDirectoryID xmlns="0dd46b0f-e2c7-4a31-a61e-54a1e81a6d74">EB2DA93E41303435E0260E130F69F969BB3D0AA6</MigrationDirectoryID>
    <MigrationOriginalDate xmlns="0dd46b0f-e2c7-4a31-a61e-54a1e81a6d74" xsi:nil="true"/>
    <TaxCatchAll xmlns="0dd46b0f-e2c7-4a31-a61e-54a1e81a6d74" xsi:nil="true"/>
    <j2c2601e249f4d2993f2fcc4fe83f7c1 xmlns="0dd46b0f-e2c7-4a31-a61e-54a1e81a6d74">
      <Terms xmlns="http://schemas.microsoft.com/office/infopath/2007/PartnerControls"/>
    </j2c2601e249f4d2993f2fcc4fe83f7c1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4597B3-0F21-4C36-8F68-63FEC68C667C}"/>
</file>

<file path=customXml/itemProps2.xml><?xml version="1.0" encoding="utf-8"?>
<ds:datastoreItem xmlns:ds="http://schemas.openxmlformats.org/officeDocument/2006/customXml" ds:itemID="{8AEF3114-A2E0-4EAD-8F7E-DDEE325F59FA}"/>
</file>

<file path=customXml/itemProps3.xml><?xml version="1.0" encoding="utf-8"?>
<ds:datastoreItem xmlns:ds="http://schemas.openxmlformats.org/officeDocument/2006/customXml" ds:itemID="{3C368802-7B2B-4F87-BC50-D5614994B90A}"/>
</file>

<file path=customXml/itemProps4.xml><?xml version="1.0" encoding="utf-8"?>
<ds:datastoreItem xmlns:ds="http://schemas.openxmlformats.org/officeDocument/2006/customXml" ds:itemID="{5048D62D-21E9-40A9-B30B-6A1CA09723E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Kff</dc:creator>
  <cp:keywords/>
  <dc:description/>
  <cp:lastModifiedBy>Martin Svanebjerg Larsen</cp:lastModifiedBy>
  <cp:revision>11</cp:revision>
  <dcterms:created xsi:type="dcterms:W3CDTF">2000-02-23T09:56:36Z</dcterms:created>
  <dcterms:modified xsi:type="dcterms:W3CDTF">2022-07-07T10:18:20Z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jitsuDocumentOpenedAndNotYetMarkedAsEDocInExcel">
    <vt:bool>false</vt:bool>
  </property>
  <property fmtid="{D5CDD505-2E9C-101B-9397-08002B2CF9AE}" pid="3" name="ICLInviaDenyAllSaves">
    <vt:bool>false</vt:bool>
  </property>
  <property fmtid="{D5CDD505-2E9C-101B-9397-08002B2CF9AE}" pid="4" name="ICLInviaDocumentId">
    <vt:lpwstr>{4E6EB6B6-D0DC-409E-891A-6296969950C6}</vt:lpwstr>
  </property>
  <property fmtid="{D5CDD505-2E9C-101B-9397-08002B2CF9AE}" pid="5" name="ICLInviaIsBeingSaved">
    <vt:bool>true</vt:bool>
  </property>
  <property fmtid="{D5CDD505-2E9C-101B-9397-08002B2CF9AE}" pid="6" name="ICLInviaLocalDocument">
    <vt:bool>true</vt:bool>
  </property>
  <property fmtid="{D5CDD505-2E9C-101B-9397-08002B2CF9AE}" pid="7" name="ICLInviaNewDocument">
    <vt:bool>false</vt:bool>
  </property>
  <property fmtid="{D5CDD505-2E9C-101B-9397-08002B2CF9AE}" pid="8" name="ICLInviaReadOnly">
    <vt:bool>false</vt:bool>
  </property>
  <property fmtid="{D5CDD505-2E9C-101B-9397-08002B2CF9AE}" pid="9" name="ICLInviaTemplate">
    <vt:bool>false</vt:bool>
  </property>
  <property fmtid="{D5CDD505-2E9C-101B-9397-08002B2CF9AE}" pid="10" name="eDocWrapped">
    <vt:bool>true</vt:bool>
  </property>
  <property fmtid="{D5CDD505-2E9C-101B-9397-08002B2CF9AE}" pid="11" name="ContentTypeId">
    <vt:lpwstr>0x010100B015E2879F2C3E49A84E4FBA662FB26A0046F37DEC036D284BBEE537A85881DFA0</vt:lpwstr>
  </property>
  <property fmtid="{D5CDD505-2E9C-101B-9397-08002B2CF9AE}" pid="12" name="Order">
    <vt:r8>100</vt:r8>
  </property>
  <property fmtid="{D5CDD505-2E9C-101B-9397-08002B2CF9AE}" pid="13" name="AuthorIds_UIVersion_512">
    <vt:lpwstr>38</vt:lpwstr>
  </property>
  <property fmtid="{D5CDD505-2E9C-101B-9397-08002B2CF9AE}" pid="14" name="Sensitivity">
    <vt:lpwstr/>
  </property>
  <property fmtid="{D5CDD505-2E9C-101B-9397-08002B2CF9AE}" pid="15" name="MediaServiceImageTags">
    <vt:lpwstr/>
  </property>
  <property fmtid="{D5CDD505-2E9C-101B-9397-08002B2CF9AE}" pid="16" name="lcf76f155ced4ddcb4097134ff3c332f">
    <vt:lpwstr/>
  </property>
</Properties>
</file>